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C:\Users\HomePC\Downloads\"/>
    </mc:Choice>
  </mc:AlternateContent>
  <xr:revisionPtr revIDLastSave="0" documentId="8_{8BE7FB36-6ACE-41A8-A8A3-000A59F7EB45}" xr6:coauthVersionLast="47" xr6:coauthVersionMax="47" xr10:uidLastSave="{00000000-0000-0000-0000-000000000000}"/>
  <bookViews>
    <workbookView xWindow="-110" yWindow="-110" windowWidth="19420" windowHeight="10300" activeTab="3" xr2:uid="{9258393A-A07D-4918-BA76-8F2A05C08541}"/>
  </bookViews>
  <sheets>
    <sheet name="Pqp supermarket data" sheetId="2" r:id="rId1"/>
    <sheet name="cards" sheetId="1" r:id="rId2"/>
    <sheet name="charts" sheetId="4" r:id="rId3"/>
    <sheet name="reports" sheetId="5" r:id="rId4"/>
  </sheets>
  <definedNames>
    <definedName name="ExternalData_1" localSheetId="0" hidden="1">'Pqp supermarket data'!$A$1:$J$3001</definedName>
    <definedName name="Slicer_City">#N/A</definedName>
    <definedName name="Slicer_Year">#N/A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3" i="1" l="1"/>
  <c r="N3" i="1"/>
  <c r="G3" i="1"/>
  <c r="N2" i="2"/>
  <c r="N3" i="2"/>
  <c r="N4" i="2"/>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N122" i="2"/>
  <c r="N123" i="2"/>
  <c r="N124" i="2"/>
  <c r="N125" i="2"/>
  <c r="N126" i="2"/>
  <c r="N127" i="2"/>
  <c r="N128" i="2"/>
  <c r="N129" i="2"/>
  <c r="N130" i="2"/>
  <c r="N131" i="2"/>
  <c r="N132" i="2"/>
  <c r="N133" i="2"/>
  <c r="N134" i="2"/>
  <c r="N135" i="2"/>
  <c r="N136" i="2"/>
  <c r="N137" i="2"/>
  <c r="N138" i="2"/>
  <c r="N139" i="2"/>
  <c r="N140" i="2"/>
  <c r="N141" i="2"/>
  <c r="N142" i="2"/>
  <c r="N143" i="2"/>
  <c r="N144" i="2"/>
  <c r="N145" i="2"/>
  <c r="N146" i="2"/>
  <c r="N147" i="2"/>
  <c r="N148" i="2"/>
  <c r="N149" i="2"/>
  <c r="N150" i="2"/>
  <c r="N151" i="2"/>
  <c r="N152" i="2"/>
  <c r="N153" i="2"/>
  <c r="N154" i="2"/>
  <c r="N155" i="2"/>
  <c r="N156" i="2"/>
  <c r="N157" i="2"/>
  <c r="N158" i="2"/>
  <c r="N159" i="2"/>
  <c r="N160" i="2"/>
  <c r="N161" i="2"/>
  <c r="N162" i="2"/>
  <c r="N163" i="2"/>
  <c r="N164" i="2"/>
  <c r="N165" i="2"/>
  <c r="N166" i="2"/>
  <c r="N167" i="2"/>
  <c r="N168" i="2"/>
  <c r="N169" i="2"/>
  <c r="N170" i="2"/>
  <c r="N171" i="2"/>
  <c r="N172" i="2"/>
  <c r="N173" i="2"/>
  <c r="N174" i="2"/>
  <c r="N175" i="2"/>
  <c r="N176" i="2"/>
  <c r="N177" i="2"/>
  <c r="N178" i="2"/>
  <c r="N179" i="2"/>
  <c r="N180" i="2"/>
  <c r="N181" i="2"/>
  <c r="N182" i="2"/>
  <c r="N183" i="2"/>
  <c r="N184" i="2"/>
  <c r="N185" i="2"/>
  <c r="N186" i="2"/>
  <c r="N187" i="2"/>
  <c r="N188" i="2"/>
  <c r="N189" i="2"/>
  <c r="N190" i="2"/>
  <c r="N191" i="2"/>
  <c r="N192" i="2"/>
  <c r="N193" i="2"/>
  <c r="N194" i="2"/>
  <c r="N195" i="2"/>
  <c r="N196" i="2"/>
  <c r="N197" i="2"/>
  <c r="N198" i="2"/>
  <c r="N199" i="2"/>
  <c r="N200" i="2"/>
  <c r="N201" i="2"/>
  <c r="N202" i="2"/>
  <c r="N203" i="2"/>
  <c r="N204" i="2"/>
  <c r="N205" i="2"/>
  <c r="N206" i="2"/>
  <c r="N207" i="2"/>
  <c r="N208" i="2"/>
  <c r="N209" i="2"/>
  <c r="N210" i="2"/>
  <c r="N211" i="2"/>
  <c r="N212" i="2"/>
  <c r="N213" i="2"/>
  <c r="N214" i="2"/>
  <c r="N215" i="2"/>
  <c r="N216" i="2"/>
  <c r="N217" i="2"/>
  <c r="N218" i="2"/>
  <c r="N219" i="2"/>
  <c r="N220" i="2"/>
  <c r="N221" i="2"/>
  <c r="N222" i="2"/>
  <c r="N223" i="2"/>
  <c r="N224" i="2"/>
  <c r="N225" i="2"/>
  <c r="N226" i="2"/>
  <c r="N227" i="2"/>
  <c r="N228" i="2"/>
  <c r="N229" i="2"/>
  <c r="N230" i="2"/>
  <c r="N231" i="2"/>
  <c r="N232" i="2"/>
  <c r="N233" i="2"/>
  <c r="N234" i="2"/>
  <c r="N235" i="2"/>
  <c r="N236" i="2"/>
  <c r="N237" i="2"/>
  <c r="N238" i="2"/>
  <c r="N239" i="2"/>
  <c r="N240" i="2"/>
  <c r="N241" i="2"/>
  <c r="N242" i="2"/>
  <c r="N243" i="2"/>
  <c r="N244" i="2"/>
  <c r="N245" i="2"/>
  <c r="N246" i="2"/>
  <c r="N247" i="2"/>
  <c r="N248" i="2"/>
  <c r="N249" i="2"/>
  <c r="N250" i="2"/>
  <c r="N251" i="2"/>
  <c r="N252" i="2"/>
  <c r="N253" i="2"/>
  <c r="N254" i="2"/>
  <c r="N255" i="2"/>
  <c r="N256" i="2"/>
  <c r="N257" i="2"/>
  <c r="N258" i="2"/>
  <c r="N259" i="2"/>
  <c r="N260" i="2"/>
  <c r="N261" i="2"/>
  <c r="N262" i="2"/>
  <c r="N263" i="2"/>
  <c r="N264" i="2"/>
  <c r="N265" i="2"/>
  <c r="N266" i="2"/>
  <c r="N267" i="2"/>
  <c r="N268" i="2"/>
  <c r="N269" i="2"/>
  <c r="N270" i="2"/>
  <c r="N271" i="2"/>
  <c r="N272" i="2"/>
  <c r="N273" i="2"/>
  <c r="N274" i="2"/>
  <c r="N275" i="2"/>
  <c r="N276" i="2"/>
  <c r="N277" i="2"/>
  <c r="N278" i="2"/>
  <c r="N279" i="2"/>
  <c r="N280" i="2"/>
  <c r="N281" i="2"/>
  <c r="N282" i="2"/>
  <c r="N283" i="2"/>
  <c r="N284" i="2"/>
  <c r="N285" i="2"/>
  <c r="N286" i="2"/>
  <c r="N287" i="2"/>
  <c r="N288" i="2"/>
  <c r="N289" i="2"/>
  <c r="N290" i="2"/>
  <c r="N291" i="2"/>
  <c r="N292" i="2"/>
  <c r="N293" i="2"/>
  <c r="N294" i="2"/>
  <c r="N295" i="2"/>
  <c r="N296" i="2"/>
  <c r="N297" i="2"/>
  <c r="N298" i="2"/>
  <c r="N299" i="2"/>
  <c r="N300" i="2"/>
  <c r="N301" i="2"/>
  <c r="N302" i="2"/>
  <c r="N303" i="2"/>
  <c r="N304" i="2"/>
  <c r="N305" i="2"/>
  <c r="N306" i="2"/>
  <c r="N307" i="2"/>
  <c r="N308" i="2"/>
  <c r="N309" i="2"/>
  <c r="N310" i="2"/>
  <c r="N311" i="2"/>
  <c r="N312" i="2"/>
  <c r="N313" i="2"/>
  <c r="N314" i="2"/>
  <c r="N315" i="2"/>
  <c r="N316" i="2"/>
  <c r="N317" i="2"/>
  <c r="N318" i="2"/>
  <c r="N319" i="2"/>
  <c r="N320" i="2"/>
  <c r="N321" i="2"/>
  <c r="N322" i="2"/>
  <c r="N323" i="2"/>
  <c r="N324" i="2"/>
  <c r="N325" i="2"/>
  <c r="N326" i="2"/>
  <c r="N327" i="2"/>
  <c r="N328" i="2"/>
  <c r="N329" i="2"/>
  <c r="N330" i="2"/>
  <c r="N331" i="2"/>
  <c r="N332" i="2"/>
  <c r="N333" i="2"/>
  <c r="N334" i="2"/>
  <c r="N335" i="2"/>
  <c r="N336" i="2"/>
  <c r="N337" i="2"/>
  <c r="N338" i="2"/>
  <c r="N339" i="2"/>
  <c r="N340" i="2"/>
  <c r="N341" i="2"/>
  <c r="N342" i="2"/>
  <c r="N343" i="2"/>
  <c r="N344" i="2"/>
  <c r="N345" i="2"/>
  <c r="N346" i="2"/>
  <c r="N347" i="2"/>
  <c r="N348" i="2"/>
  <c r="N349" i="2"/>
  <c r="N350" i="2"/>
  <c r="N351" i="2"/>
  <c r="N352" i="2"/>
  <c r="N353" i="2"/>
  <c r="N354" i="2"/>
  <c r="N355" i="2"/>
  <c r="N356" i="2"/>
  <c r="N357" i="2"/>
  <c r="N358" i="2"/>
  <c r="N359" i="2"/>
  <c r="N360" i="2"/>
  <c r="N361" i="2"/>
  <c r="N362" i="2"/>
  <c r="N363" i="2"/>
  <c r="N364" i="2"/>
  <c r="N365" i="2"/>
  <c r="N366" i="2"/>
  <c r="N367" i="2"/>
  <c r="N368" i="2"/>
  <c r="N369" i="2"/>
  <c r="N370" i="2"/>
  <c r="N371" i="2"/>
  <c r="N372" i="2"/>
  <c r="N373" i="2"/>
  <c r="N374" i="2"/>
  <c r="N375" i="2"/>
  <c r="N376" i="2"/>
  <c r="N377" i="2"/>
  <c r="N378" i="2"/>
  <c r="N379" i="2"/>
  <c r="N380" i="2"/>
  <c r="N381" i="2"/>
  <c r="N382" i="2"/>
  <c r="N383" i="2"/>
  <c r="N384" i="2"/>
  <c r="N385" i="2"/>
  <c r="N386" i="2"/>
  <c r="N387" i="2"/>
  <c r="N388" i="2"/>
  <c r="N389" i="2"/>
  <c r="N390" i="2"/>
  <c r="N391" i="2"/>
  <c r="N392" i="2"/>
  <c r="N393" i="2"/>
  <c r="N394" i="2"/>
  <c r="N395" i="2"/>
  <c r="N396" i="2"/>
  <c r="N397" i="2"/>
  <c r="N398" i="2"/>
  <c r="N399" i="2"/>
  <c r="N400" i="2"/>
  <c r="N401" i="2"/>
  <c r="N402" i="2"/>
  <c r="N403" i="2"/>
  <c r="N404" i="2"/>
  <c r="N405" i="2"/>
  <c r="N406" i="2"/>
  <c r="N407" i="2"/>
  <c r="N408" i="2"/>
  <c r="N409" i="2"/>
  <c r="N410" i="2"/>
  <c r="N411" i="2"/>
  <c r="N412" i="2"/>
  <c r="N413" i="2"/>
  <c r="N414" i="2"/>
  <c r="N415" i="2"/>
  <c r="N416" i="2"/>
  <c r="N417" i="2"/>
  <c r="N418" i="2"/>
  <c r="N419" i="2"/>
  <c r="N420" i="2"/>
  <c r="N421" i="2"/>
  <c r="N422" i="2"/>
  <c r="N423" i="2"/>
  <c r="N424" i="2"/>
  <c r="N425" i="2"/>
  <c r="N426" i="2"/>
  <c r="N427" i="2"/>
  <c r="N428" i="2"/>
  <c r="N429" i="2"/>
  <c r="N430" i="2"/>
  <c r="N431" i="2"/>
  <c r="N432" i="2"/>
  <c r="N433" i="2"/>
  <c r="N434" i="2"/>
  <c r="N435" i="2"/>
  <c r="N436" i="2"/>
  <c r="N437" i="2"/>
  <c r="N438" i="2"/>
  <c r="N439" i="2"/>
  <c r="N440" i="2"/>
  <c r="N441" i="2"/>
  <c r="N442" i="2"/>
  <c r="N443" i="2"/>
  <c r="N444" i="2"/>
  <c r="N445" i="2"/>
  <c r="N446" i="2"/>
  <c r="N447" i="2"/>
  <c r="N448" i="2"/>
  <c r="N449" i="2"/>
  <c r="N450" i="2"/>
  <c r="N451" i="2"/>
  <c r="N452" i="2"/>
  <c r="N453" i="2"/>
  <c r="N454" i="2"/>
  <c r="N455" i="2"/>
  <c r="N456" i="2"/>
  <c r="N457" i="2"/>
  <c r="N458" i="2"/>
  <c r="N459" i="2"/>
  <c r="N460" i="2"/>
  <c r="N461" i="2"/>
  <c r="N462" i="2"/>
  <c r="N463" i="2"/>
  <c r="N464" i="2"/>
  <c r="N465" i="2"/>
  <c r="N466" i="2"/>
  <c r="N467" i="2"/>
  <c r="N468" i="2"/>
  <c r="N469" i="2"/>
  <c r="N470" i="2"/>
  <c r="N471" i="2"/>
  <c r="N472" i="2"/>
  <c r="N473" i="2"/>
  <c r="N474" i="2"/>
  <c r="N475" i="2"/>
  <c r="N476" i="2"/>
  <c r="N477" i="2"/>
  <c r="N478" i="2"/>
  <c r="N479" i="2"/>
  <c r="N480" i="2"/>
  <c r="N481" i="2"/>
  <c r="N482" i="2"/>
  <c r="N483" i="2"/>
  <c r="N484" i="2"/>
  <c r="N485" i="2"/>
  <c r="N486" i="2"/>
  <c r="N487" i="2"/>
  <c r="N488" i="2"/>
  <c r="N489" i="2"/>
  <c r="N490" i="2"/>
  <c r="N491" i="2"/>
  <c r="N492" i="2"/>
  <c r="N493" i="2"/>
  <c r="N494" i="2"/>
  <c r="N495" i="2"/>
  <c r="N496" i="2"/>
  <c r="N497" i="2"/>
  <c r="N498" i="2"/>
  <c r="N499" i="2"/>
  <c r="N500" i="2"/>
  <c r="N501" i="2"/>
  <c r="N502" i="2"/>
  <c r="N503" i="2"/>
  <c r="N504" i="2"/>
  <c r="N505" i="2"/>
  <c r="N506" i="2"/>
  <c r="N507" i="2"/>
  <c r="N508" i="2"/>
  <c r="N509" i="2"/>
  <c r="N510" i="2"/>
  <c r="N511" i="2"/>
  <c r="N512" i="2"/>
  <c r="N513" i="2"/>
  <c r="N514" i="2"/>
  <c r="N515" i="2"/>
  <c r="N516" i="2"/>
  <c r="N517" i="2"/>
  <c r="N518" i="2"/>
  <c r="N519" i="2"/>
  <c r="N520" i="2"/>
  <c r="N521" i="2"/>
  <c r="N522" i="2"/>
  <c r="N523" i="2"/>
  <c r="N524" i="2"/>
  <c r="N525" i="2"/>
  <c r="N526" i="2"/>
  <c r="N527" i="2"/>
  <c r="N528" i="2"/>
  <c r="N529" i="2"/>
  <c r="N530" i="2"/>
  <c r="N531" i="2"/>
  <c r="N532" i="2"/>
  <c r="N533" i="2"/>
  <c r="N534" i="2"/>
  <c r="N535" i="2"/>
  <c r="N536" i="2"/>
  <c r="N537" i="2"/>
  <c r="N538" i="2"/>
  <c r="N539" i="2"/>
  <c r="N540" i="2"/>
  <c r="N541" i="2"/>
  <c r="N542" i="2"/>
  <c r="N543" i="2"/>
  <c r="N544" i="2"/>
  <c r="N545" i="2"/>
  <c r="N546" i="2"/>
  <c r="N547" i="2"/>
  <c r="N548" i="2"/>
  <c r="N549" i="2"/>
  <c r="N550" i="2"/>
  <c r="N551" i="2"/>
  <c r="N552" i="2"/>
  <c r="N553" i="2"/>
  <c r="N554" i="2"/>
  <c r="N555" i="2"/>
  <c r="N556" i="2"/>
  <c r="N557" i="2"/>
  <c r="N558" i="2"/>
  <c r="N559" i="2"/>
  <c r="N560" i="2"/>
  <c r="N561" i="2"/>
  <c r="N562" i="2"/>
  <c r="N563" i="2"/>
  <c r="N564" i="2"/>
  <c r="N565" i="2"/>
  <c r="N566" i="2"/>
  <c r="N567" i="2"/>
  <c r="N568" i="2"/>
  <c r="N569" i="2"/>
  <c r="N570" i="2"/>
  <c r="N571" i="2"/>
  <c r="N572" i="2"/>
  <c r="N573" i="2"/>
  <c r="N574" i="2"/>
  <c r="N575" i="2"/>
  <c r="N576" i="2"/>
  <c r="N577" i="2"/>
  <c r="N578" i="2"/>
  <c r="N579" i="2"/>
  <c r="N580" i="2"/>
  <c r="N581" i="2"/>
  <c r="N582" i="2"/>
  <c r="N583" i="2"/>
  <c r="N584" i="2"/>
  <c r="N585" i="2"/>
  <c r="N586" i="2"/>
  <c r="N587" i="2"/>
  <c r="N588" i="2"/>
  <c r="N589" i="2"/>
  <c r="N590" i="2"/>
  <c r="N591" i="2"/>
  <c r="N592" i="2"/>
  <c r="N593" i="2"/>
  <c r="N594" i="2"/>
  <c r="N595" i="2"/>
  <c r="N596" i="2"/>
  <c r="N597" i="2"/>
  <c r="N598" i="2"/>
  <c r="N599" i="2"/>
  <c r="N600" i="2"/>
  <c r="N601" i="2"/>
  <c r="N602" i="2"/>
  <c r="N603" i="2"/>
  <c r="N604" i="2"/>
  <c r="N605" i="2"/>
  <c r="N606" i="2"/>
  <c r="N607" i="2"/>
  <c r="N608" i="2"/>
  <c r="N609" i="2"/>
  <c r="N610" i="2"/>
  <c r="N611" i="2"/>
  <c r="N612" i="2"/>
  <c r="N613" i="2"/>
  <c r="N614" i="2"/>
  <c r="N615" i="2"/>
  <c r="N616" i="2"/>
  <c r="N617" i="2"/>
  <c r="N618" i="2"/>
  <c r="N619" i="2"/>
  <c r="N620" i="2"/>
  <c r="N621" i="2"/>
  <c r="N622" i="2"/>
  <c r="N623" i="2"/>
  <c r="N624" i="2"/>
  <c r="N625" i="2"/>
  <c r="N626" i="2"/>
  <c r="N627" i="2"/>
  <c r="N628" i="2"/>
  <c r="N629" i="2"/>
  <c r="N630" i="2"/>
  <c r="N631" i="2"/>
  <c r="N632" i="2"/>
  <c r="N633" i="2"/>
  <c r="N634" i="2"/>
  <c r="N635" i="2"/>
  <c r="N636" i="2"/>
  <c r="N637" i="2"/>
  <c r="N638" i="2"/>
  <c r="N639" i="2"/>
  <c r="N640" i="2"/>
  <c r="N641" i="2"/>
  <c r="N642" i="2"/>
  <c r="N643" i="2"/>
  <c r="N644" i="2"/>
  <c r="N645" i="2"/>
  <c r="N646" i="2"/>
  <c r="N647" i="2"/>
  <c r="N648" i="2"/>
  <c r="N649" i="2"/>
  <c r="N650" i="2"/>
  <c r="N651" i="2"/>
  <c r="N652" i="2"/>
  <c r="N653" i="2"/>
  <c r="N654" i="2"/>
  <c r="N655" i="2"/>
  <c r="N656" i="2"/>
  <c r="N657" i="2"/>
  <c r="N658" i="2"/>
  <c r="N659" i="2"/>
  <c r="N660" i="2"/>
  <c r="N661" i="2"/>
  <c r="N662" i="2"/>
  <c r="N663" i="2"/>
  <c r="N664" i="2"/>
  <c r="N665" i="2"/>
  <c r="N666" i="2"/>
  <c r="N667" i="2"/>
  <c r="N668" i="2"/>
  <c r="N669" i="2"/>
  <c r="N670" i="2"/>
  <c r="N671" i="2"/>
  <c r="N672" i="2"/>
  <c r="N673" i="2"/>
  <c r="N674" i="2"/>
  <c r="N675" i="2"/>
  <c r="N676" i="2"/>
  <c r="N677" i="2"/>
  <c r="N678" i="2"/>
  <c r="N679" i="2"/>
  <c r="N680" i="2"/>
  <c r="N681" i="2"/>
  <c r="N682" i="2"/>
  <c r="N683" i="2"/>
  <c r="N684" i="2"/>
  <c r="N685" i="2"/>
  <c r="N686" i="2"/>
  <c r="N687" i="2"/>
  <c r="N688" i="2"/>
  <c r="N689" i="2"/>
  <c r="N690" i="2"/>
  <c r="N691" i="2"/>
  <c r="N692" i="2"/>
  <c r="N693" i="2"/>
  <c r="N694" i="2"/>
  <c r="N695" i="2"/>
  <c r="N696" i="2"/>
  <c r="N697" i="2"/>
  <c r="N698" i="2"/>
  <c r="N699" i="2"/>
  <c r="N700" i="2"/>
  <c r="N701" i="2"/>
  <c r="N702" i="2"/>
  <c r="N703" i="2"/>
  <c r="N704" i="2"/>
  <c r="N705" i="2"/>
  <c r="N706" i="2"/>
  <c r="N707" i="2"/>
  <c r="N708" i="2"/>
  <c r="N709" i="2"/>
  <c r="N710" i="2"/>
  <c r="N711" i="2"/>
  <c r="N712" i="2"/>
  <c r="N713" i="2"/>
  <c r="N714" i="2"/>
  <c r="N715" i="2"/>
  <c r="N716" i="2"/>
  <c r="N717" i="2"/>
  <c r="N718" i="2"/>
  <c r="N719" i="2"/>
  <c r="N720" i="2"/>
  <c r="N721" i="2"/>
  <c r="N722" i="2"/>
  <c r="N723" i="2"/>
  <c r="N724" i="2"/>
  <c r="N725" i="2"/>
  <c r="N726" i="2"/>
  <c r="N727" i="2"/>
  <c r="N728" i="2"/>
  <c r="N729" i="2"/>
  <c r="N730" i="2"/>
  <c r="N731" i="2"/>
  <c r="N732" i="2"/>
  <c r="N733" i="2"/>
  <c r="N734" i="2"/>
  <c r="N735" i="2"/>
  <c r="N736" i="2"/>
  <c r="N737" i="2"/>
  <c r="N738" i="2"/>
  <c r="N739" i="2"/>
  <c r="N740" i="2"/>
  <c r="N741" i="2"/>
  <c r="N742" i="2"/>
  <c r="N743" i="2"/>
  <c r="N744" i="2"/>
  <c r="N745" i="2"/>
  <c r="N746" i="2"/>
  <c r="N747" i="2"/>
  <c r="N748" i="2"/>
  <c r="N749" i="2"/>
  <c r="N750" i="2"/>
  <c r="N751" i="2"/>
  <c r="N752" i="2"/>
  <c r="N753" i="2"/>
  <c r="N754" i="2"/>
  <c r="N755" i="2"/>
  <c r="N756" i="2"/>
  <c r="N757" i="2"/>
  <c r="N758" i="2"/>
  <c r="N759" i="2"/>
  <c r="N760" i="2"/>
  <c r="N761" i="2"/>
  <c r="N762" i="2"/>
  <c r="N763" i="2"/>
  <c r="N764" i="2"/>
  <c r="N765" i="2"/>
  <c r="N766" i="2"/>
  <c r="N767" i="2"/>
  <c r="N768" i="2"/>
  <c r="N769" i="2"/>
  <c r="N770" i="2"/>
  <c r="N771" i="2"/>
  <c r="N772" i="2"/>
  <c r="N773" i="2"/>
  <c r="N774" i="2"/>
  <c r="N775" i="2"/>
  <c r="N776" i="2"/>
  <c r="N777" i="2"/>
  <c r="N778" i="2"/>
  <c r="N779" i="2"/>
  <c r="N780" i="2"/>
  <c r="N781" i="2"/>
  <c r="N782" i="2"/>
  <c r="N783" i="2"/>
  <c r="N784" i="2"/>
  <c r="N785" i="2"/>
  <c r="N786" i="2"/>
  <c r="N787" i="2"/>
  <c r="N788" i="2"/>
  <c r="N789" i="2"/>
  <c r="N790" i="2"/>
  <c r="N791" i="2"/>
  <c r="N792" i="2"/>
  <c r="N793" i="2"/>
  <c r="N794" i="2"/>
  <c r="N795" i="2"/>
  <c r="N796" i="2"/>
  <c r="N797" i="2"/>
  <c r="N798" i="2"/>
  <c r="N799" i="2"/>
  <c r="N800" i="2"/>
  <c r="N801" i="2"/>
  <c r="N802" i="2"/>
  <c r="N803" i="2"/>
  <c r="N804" i="2"/>
  <c r="N805" i="2"/>
  <c r="N806" i="2"/>
  <c r="N807" i="2"/>
  <c r="N808" i="2"/>
  <c r="N809" i="2"/>
  <c r="N810" i="2"/>
  <c r="N811" i="2"/>
  <c r="N812" i="2"/>
  <c r="N813" i="2"/>
  <c r="N814" i="2"/>
  <c r="N815" i="2"/>
  <c r="N816" i="2"/>
  <c r="N817" i="2"/>
  <c r="N818" i="2"/>
  <c r="N819" i="2"/>
  <c r="N820" i="2"/>
  <c r="N821" i="2"/>
  <c r="N822" i="2"/>
  <c r="N823" i="2"/>
  <c r="N824" i="2"/>
  <c r="N825" i="2"/>
  <c r="N826" i="2"/>
  <c r="N827" i="2"/>
  <c r="N828" i="2"/>
  <c r="N829" i="2"/>
  <c r="N830" i="2"/>
  <c r="N831" i="2"/>
  <c r="N832" i="2"/>
  <c r="N833" i="2"/>
  <c r="N834" i="2"/>
  <c r="N835" i="2"/>
  <c r="N836" i="2"/>
  <c r="N837" i="2"/>
  <c r="N838" i="2"/>
  <c r="N839" i="2"/>
  <c r="N840" i="2"/>
  <c r="N841" i="2"/>
  <c r="N842" i="2"/>
  <c r="N843" i="2"/>
  <c r="N844" i="2"/>
  <c r="N845" i="2"/>
  <c r="N846" i="2"/>
  <c r="N847" i="2"/>
  <c r="N848" i="2"/>
  <c r="N849" i="2"/>
  <c r="N850" i="2"/>
  <c r="N851" i="2"/>
  <c r="N852" i="2"/>
  <c r="N853" i="2"/>
  <c r="N854" i="2"/>
  <c r="N855" i="2"/>
  <c r="N856" i="2"/>
  <c r="N857" i="2"/>
  <c r="N858" i="2"/>
  <c r="N859" i="2"/>
  <c r="N860" i="2"/>
  <c r="N861" i="2"/>
  <c r="N862" i="2"/>
  <c r="N863" i="2"/>
  <c r="N864" i="2"/>
  <c r="N865" i="2"/>
  <c r="N866" i="2"/>
  <c r="N867" i="2"/>
  <c r="N868" i="2"/>
  <c r="N869" i="2"/>
  <c r="N870" i="2"/>
  <c r="N871" i="2"/>
  <c r="N872" i="2"/>
  <c r="N873" i="2"/>
  <c r="N874" i="2"/>
  <c r="N875" i="2"/>
  <c r="N876" i="2"/>
  <c r="N877" i="2"/>
  <c r="N878" i="2"/>
  <c r="N879" i="2"/>
  <c r="N880" i="2"/>
  <c r="N881" i="2"/>
  <c r="N882" i="2"/>
  <c r="N883" i="2"/>
  <c r="N884" i="2"/>
  <c r="N885" i="2"/>
  <c r="N886" i="2"/>
  <c r="N887" i="2"/>
  <c r="N888" i="2"/>
  <c r="N889" i="2"/>
  <c r="N890" i="2"/>
  <c r="N891" i="2"/>
  <c r="N892" i="2"/>
  <c r="N893" i="2"/>
  <c r="N894" i="2"/>
  <c r="N895" i="2"/>
  <c r="N896" i="2"/>
  <c r="N897" i="2"/>
  <c r="N898" i="2"/>
  <c r="N899" i="2"/>
  <c r="N900" i="2"/>
  <c r="N901" i="2"/>
  <c r="N902" i="2"/>
  <c r="N903" i="2"/>
  <c r="N904" i="2"/>
  <c r="N905" i="2"/>
  <c r="N906" i="2"/>
  <c r="N907" i="2"/>
  <c r="N908" i="2"/>
  <c r="N909" i="2"/>
  <c r="N910" i="2"/>
  <c r="N911" i="2"/>
  <c r="N912" i="2"/>
  <c r="N913" i="2"/>
  <c r="N914" i="2"/>
  <c r="N915" i="2"/>
  <c r="N916" i="2"/>
  <c r="N917" i="2"/>
  <c r="N918" i="2"/>
  <c r="N919" i="2"/>
  <c r="N920" i="2"/>
  <c r="N921" i="2"/>
  <c r="N922" i="2"/>
  <c r="N923" i="2"/>
  <c r="N924" i="2"/>
  <c r="N925" i="2"/>
  <c r="N926" i="2"/>
  <c r="N927" i="2"/>
  <c r="N928" i="2"/>
  <c r="N929" i="2"/>
  <c r="N930" i="2"/>
  <c r="N931" i="2"/>
  <c r="N932" i="2"/>
  <c r="N933" i="2"/>
  <c r="N934" i="2"/>
  <c r="N935" i="2"/>
  <c r="N936" i="2"/>
  <c r="N937" i="2"/>
  <c r="N938" i="2"/>
  <c r="N939" i="2"/>
  <c r="N940" i="2"/>
  <c r="N941" i="2"/>
  <c r="N942" i="2"/>
  <c r="N943" i="2"/>
  <c r="N944" i="2"/>
  <c r="N945" i="2"/>
  <c r="N946" i="2"/>
  <c r="N947" i="2"/>
  <c r="N948" i="2"/>
  <c r="N949" i="2"/>
  <c r="N950" i="2"/>
  <c r="N951" i="2"/>
  <c r="N952" i="2"/>
  <c r="N953" i="2"/>
  <c r="N954" i="2"/>
  <c r="N955" i="2"/>
  <c r="N956" i="2"/>
  <c r="N957" i="2"/>
  <c r="N958" i="2"/>
  <c r="N959" i="2"/>
  <c r="N960" i="2"/>
  <c r="N961" i="2"/>
  <c r="N962" i="2"/>
  <c r="N963" i="2"/>
  <c r="N964" i="2"/>
  <c r="N965" i="2"/>
  <c r="N966" i="2"/>
  <c r="N967" i="2"/>
  <c r="N968" i="2"/>
  <c r="N969" i="2"/>
  <c r="N970" i="2"/>
  <c r="N971" i="2"/>
  <c r="N972" i="2"/>
  <c r="N973" i="2"/>
  <c r="N974" i="2"/>
  <c r="N975" i="2"/>
  <c r="N976" i="2"/>
  <c r="N977" i="2"/>
  <c r="N978" i="2"/>
  <c r="N979" i="2"/>
  <c r="N980" i="2"/>
  <c r="N981" i="2"/>
  <c r="N982" i="2"/>
  <c r="N983" i="2"/>
  <c r="N984" i="2"/>
  <c r="N985" i="2"/>
  <c r="N986" i="2"/>
  <c r="N987" i="2"/>
  <c r="N988" i="2"/>
  <c r="N989" i="2"/>
  <c r="N990" i="2"/>
  <c r="N991" i="2"/>
  <c r="N992" i="2"/>
  <c r="N993" i="2"/>
  <c r="N994" i="2"/>
  <c r="N995" i="2"/>
  <c r="N996" i="2"/>
  <c r="N997" i="2"/>
  <c r="N998" i="2"/>
  <c r="N999" i="2"/>
  <c r="N1000" i="2"/>
  <c r="N1001" i="2"/>
  <c r="N1002" i="2"/>
  <c r="N1003" i="2"/>
  <c r="N1004" i="2"/>
  <c r="N1005" i="2"/>
  <c r="N1006" i="2"/>
  <c r="N1007" i="2"/>
  <c r="N1008" i="2"/>
  <c r="N1009" i="2"/>
  <c r="N1010" i="2"/>
  <c r="N1011" i="2"/>
  <c r="N1012" i="2"/>
  <c r="N1013" i="2"/>
  <c r="N1014" i="2"/>
  <c r="N1015" i="2"/>
  <c r="N1016" i="2"/>
  <c r="N1017" i="2"/>
  <c r="N1018" i="2"/>
  <c r="N1019" i="2"/>
  <c r="N1020" i="2"/>
  <c r="N1021" i="2"/>
  <c r="N1022" i="2"/>
  <c r="N1023" i="2"/>
  <c r="N1024" i="2"/>
  <c r="N1025" i="2"/>
  <c r="N1026" i="2"/>
  <c r="N1027" i="2"/>
  <c r="N1028" i="2"/>
  <c r="N1029" i="2"/>
  <c r="N1030" i="2"/>
  <c r="N1031" i="2"/>
  <c r="N1032" i="2"/>
  <c r="N1033" i="2"/>
  <c r="N1034" i="2"/>
  <c r="N1035" i="2"/>
  <c r="N1036" i="2"/>
  <c r="N1037" i="2"/>
  <c r="N1038" i="2"/>
  <c r="N1039" i="2"/>
  <c r="N1040" i="2"/>
  <c r="N1041" i="2"/>
  <c r="N1042" i="2"/>
  <c r="N1043" i="2"/>
  <c r="N1044" i="2"/>
  <c r="N1045" i="2"/>
  <c r="N1046" i="2"/>
  <c r="N1047" i="2"/>
  <c r="N1048" i="2"/>
  <c r="N1049" i="2"/>
  <c r="N1050" i="2"/>
  <c r="N1051" i="2"/>
  <c r="N1052" i="2"/>
  <c r="N1053" i="2"/>
  <c r="N1054" i="2"/>
  <c r="N1055" i="2"/>
  <c r="N1056" i="2"/>
  <c r="N1057" i="2"/>
  <c r="N1058" i="2"/>
  <c r="N1059" i="2"/>
  <c r="N1060" i="2"/>
  <c r="N1061" i="2"/>
  <c r="N1062" i="2"/>
  <c r="N1063" i="2"/>
  <c r="N1064" i="2"/>
  <c r="N1065" i="2"/>
  <c r="N1066" i="2"/>
  <c r="N1067" i="2"/>
  <c r="N1068" i="2"/>
  <c r="N1069" i="2"/>
  <c r="N1070" i="2"/>
  <c r="N1071" i="2"/>
  <c r="N1072" i="2"/>
  <c r="N1073" i="2"/>
  <c r="N1074" i="2"/>
  <c r="N1075" i="2"/>
  <c r="N1076" i="2"/>
  <c r="N1077" i="2"/>
  <c r="N1078" i="2"/>
  <c r="N1079" i="2"/>
  <c r="N1080" i="2"/>
  <c r="N1081" i="2"/>
  <c r="N1082" i="2"/>
  <c r="N1083" i="2"/>
  <c r="N1084" i="2"/>
  <c r="N1085" i="2"/>
  <c r="N1086" i="2"/>
  <c r="N1087" i="2"/>
  <c r="N1088" i="2"/>
  <c r="N1089" i="2"/>
  <c r="N1090" i="2"/>
  <c r="N1091" i="2"/>
  <c r="N1092" i="2"/>
  <c r="N1093" i="2"/>
  <c r="N1094" i="2"/>
  <c r="N1095" i="2"/>
  <c r="N1096" i="2"/>
  <c r="N1097" i="2"/>
  <c r="N1098" i="2"/>
  <c r="N1099" i="2"/>
  <c r="N1100" i="2"/>
  <c r="N1101" i="2"/>
  <c r="N1102" i="2"/>
  <c r="N1103" i="2"/>
  <c r="N1104" i="2"/>
  <c r="N1105" i="2"/>
  <c r="N1106" i="2"/>
  <c r="N1107" i="2"/>
  <c r="N1108" i="2"/>
  <c r="N1109" i="2"/>
  <c r="N1110" i="2"/>
  <c r="N1111" i="2"/>
  <c r="N1112" i="2"/>
  <c r="N1113" i="2"/>
  <c r="N1114" i="2"/>
  <c r="N1115" i="2"/>
  <c r="N1116" i="2"/>
  <c r="N1117" i="2"/>
  <c r="N1118" i="2"/>
  <c r="N1119" i="2"/>
  <c r="N1120" i="2"/>
  <c r="N1121" i="2"/>
  <c r="N1122" i="2"/>
  <c r="N1123" i="2"/>
  <c r="N1124" i="2"/>
  <c r="N1125" i="2"/>
  <c r="N1126" i="2"/>
  <c r="N1127" i="2"/>
  <c r="N1128" i="2"/>
  <c r="N1129" i="2"/>
  <c r="N1130" i="2"/>
  <c r="N1131" i="2"/>
  <c r="N1132" i="2"/>
  <c r="N1133" i="2"/>
  <c r="N1134" i="2"/>
  <c r="N1135" i="2"/>
  <c r="N1136" i="2"/>
  <c r="N1137" i="2"/>
  <c r="N1138" i="2"/>
  <c r="N1139" i="2"/>
  <c r="N1140" i="2"/>
  <c r="N1141" i="2"/>
  <c r="N1142" i="2"/>
  <c r="N1143" i="2"/>
  <c r="N1144" i="2"/>
  <c r="N1145" i="2"/>
  <c r="N1146" i="2"/>
  <c r="N1147" i="2"/>
  <c r="N1148" i="2"/>
  <c r="N1149" i="2"/>
  <c r="N1150" i="2"/>
  <c r="N1151" i="2"/>
  <c r="N1152" i="2"/>
  <c r="N1153" i="2"/>
  <c r="N1154" i="2"/>
  <c r="N1155" i="2"/>
  <c r="N1156" i="2"/>
  <c r="N1157" i="2"/>
  <c r="N1158" i="2"/>
  <c r="N1159" i="2"/>
  <c r="N1160" i="2"/>
  <c r="N1161" i="2"/>
  <c r="N1162" i="2"/>
  <c r="N1163" i="2"/>
  <c r="N1164" i="2"/>
  <c r="N1165" i="2"/>
  <c r="N1166" i="2"/>
  <c r="N1167" i="2"/>
  <c r="N1168" i="2"/>
  <c r="N1169" i="2"/>
  <c r="N1170" i="2"/>
  <c r="N1171" i="2"/>
  <c r="N1172" i="2"/>
  <c r="N1173" i="2"/>
  <c r="N1174" i="2"/>
  <c r="N1175" i="2"/>
  <c r="N1176" i="2"/>
  <c r="N1177" i="2"/>
  <c r="N1178" i="2"/>
  <c r="N1179" i="2"/>
  <c r="N1180" i="2"/>
  <c r="N1181" i="2"/>
  <c r="N1182" i="2"/>
  <c r="N1183" i="2"/>
  <c r="N1184" i="2"/>
  <c r="N1185" i="2"/>
  <c r="N1186" i="2"/>
  <c r="N1187" i="2"/>
  <c r="N1188" i="2"/>
  <c r="N1189" i="2"/>
  <c r="N1190" i="2"/>
  <c r="N1191" i="2"/>
  <c r="N1192" i="2"/>
  <c r="N1193" i="2"/>
  <c r="N1194" i="2"/>
  <c r="N1195" i="2"/>
  <c r="N1196" i="2"/>
  <c r="N1197" i="2"/>
  <c r="N1198" i="2"/>
  <c r="N1199" i="2"/>
  <c r="N1200" i="2"/>
  <c r="N1201" i="2"/>
  <c r="N1202" i="2"/>
  <c r="N1203" i="2"/>
  <c r="N1204" i="2"/>
  <c r="N1205" i="2"/>
  <c r="N1206" i="2"/>
  <c r="N1207" i="2"/>
  <c r="N1208" i="2"/>
  <c r="N1209" i="2"/>
  <c r="N1210" i="2"/>
  <c r="N1211" i="2"/>
  <c r="N1212" i="2"/>
  <c r="N1213" i="2"/>
  <c r="N1214" i="2"/>
  <c r="N1215" i="2"/>
  <c r="N1216" i="2"/>
  <c r="N1217" i="2"/>
  <c r="N1218" i="2"/>
  <c r="N1219" i="2"/>
  <c r="N1220" i="2"/>
  <c r="N1221" i="2"/>
  <c r="N1222" i="2"/>
  <c r="N1223" i="2"/>
  <c r="N1224" i="2"/>
  <c r="N1225" i="2"/>
  <c r="N1226" i="2"/>
  <c r="N1227" i="2"/>
  <c r="N1228" i="2"/>
  <c r="N1229" i="2"/>
  <c r="N1230" i="2"/>
  <c r="N1231" i="2"/>
  <c r="N1232" i="2"/>
  <c r="N1233" i="2"/>
  <c r="N1234" i="2"/>
  <c r="N1235" i="2"/>
  <c r="N1236" i="2"/>
  <c r="N1237" i="2"/>
  <c r="N1238" i="2"/>
  <c r="N1239" i="2"/>
  <c r="N1240" i="2"/>
  <c r="N1241" i="2"/>
  <c r="N1242" i="2"/>
  <c r="N1243" i="2"/>
  <c r="N1244" i="2"/>
  <c r="N1245" i="2"/>
  <c r="N1246" i="2"/>
  <c r="N1247" i="2"/>
  <c r="N1248" i="2"/>
  <c r="N1249" i="2"/>
  <c r="N1250" i="2"/>
  <c r="N1251" i="2"/>
  <c r="N1252" i="2"/>
  <c r="N1253" i="2"/>
  <c r="N1254" i="2"/>
  <c r="N1255" i="2"/>
  <c r="N1256" i="2"/>
  <c r="N1257" i="2"/>
  <c r="N1258" i="2"/>
  <c r="N1259" i="2"/>
  <c r="N1260" i="2"/>
  <c r="N1261" i="2"/>
  <c r="N1262" i="2"/>
  <c r="N1263" i="2"/>
  <c r="N1264" i="2"/>
  <c r="N1265" i="2"/>
  <c r="N1266" i="2"/>
  <c r="N1267" i="2"/>
  <c r="N1268" i="2"/>
  <c r="N1269" i="2"/>
  <c r="N1270" i="2"/>
  <c r="N1271" i="2"/>
  <c r="N1272" i="2"/>
  <c r="N1273" i="2"/>
  <c r="N1274" i="2"/>
  <c r="N1275" i="2"/>
  <c r="N1276" i="2"/>
  <c r="N1277" i="2"/>
  <c r="N1278" i="2"/>
  <c r="N1279" i="2"/>
  <c r="N1280" i="2"/>
  <c r="N1281" i="2"/>
  <c r="N1282" i="2"/>
  <c r="N1283" i="2"/>
  <c r="N1284" i="2"/>
  <c r="N1285" i="2"/>
  <c r="N1286" i="2"/>
  <c r="N1287" i="2"/>
  <c r="N1288" i="2"/>
  <c r="N1289" i="2"/>
  <c r="N1290" i="2"/>
  <c r="N1291" i="2"/>
  <c r="N1292" i="2"/>
  <c r="N1293" i="2"/>
  <c r="N1294" i="2"/>
  <c r="N1295" i="2"/>
  <c r="N1296" i="2"/>
  <c r="N1297" i="2"/>
  <c r="N1298" i="2"/>
  <c r="N1299" i="2"/>
  <c r="N1300" i="2"/>
  <c r="N1301" i="2"/>
  <c r="N1302" i="2"/>
  <c r="N1303" i="2"/>
  <c r="N1304" i="2"/>
  <c r="N1305" i="2"/>
  <c r="N1306" i="2"/>
  <c r="N1307" i="2"/>
  <c r="N1308" i="2"/>
  <c r="N1309" i="2"/>
  <c r="N1310" i="2"/>
  <c r="N1311" i="2"/>
  <c r="N1312" i="2"/>
  <c r="N1313" i="2"/>
  <c r="N1314" i="2"/>
  <c r="N1315" i="2"/>
  <c r="N1316" i="2"/>
  <c r="N1317" i="2"/>
  <c r="N1318" i="2"/>
  <c r="N1319" i="2"/>
  <c r="N1320" i="2"/>
  <c r="N1321" i="2"/>
  <c r="N1322" i="2"/>
  <c r="N1323" i="2"/>
  <c r="N1324" i="2"/>
  <c r="N1325" i="2"/>
  <c r="N1326" i="2"/>
  <c r="N1327" i="2"/>
  <c r="N1328" i="2"/>
  <c r="N1329" i="2"/>
  <c r="N1330" i="2"/>
  <c r="N1331" i="2"/>
  <c r="N1332" i="2"/>
  <c r="N1333" i="2"/>
  <c r="N1334" i="2"/>
  <c r="N1335" i="2"/>
  <c r="N1336" i="2"/>
  <c r="N1337" i="2"/>
  <c r="N1338" i="2"/>
  <c r="N1339" i="2"/>
  <c r="N1340" i="2"/>
  <c r="N1341" i="2"/>
  <c r="N1342" i="2"/>
  <c r="N1343" i="2"/>
  <c r="N1344" i="2"/>
  <c r="N1345" i="2"/>
  <c r="N1346" i="2"/>
  <c r="N1347" i="2"/>
  <c r="N1348" i="2"/>
  <c r="N1349" i="2"/>
  <c r="N1350" i="2"/>
  <c r="N1351" i="2"/>
  <c r="N1352" i="2"/>
  <c r="N1353" i="2"/>
  <c r="N1354" i="2"/>
  <c r="N1355" i="2"/>
  <c r="N1356" i="2"/>
  <c r="N1357" i="2"/>
  <c r="N1358" i="2"/>
  <c r="N1359" i="2"/>
  <c r="N1360" i="2"/>
  <c r="N1361" i="2"/>
  <c r="N1362" i="2"/>
  <c r="N1363" i="2"/>
  <c r="N1364" i="2"/>
  <c r="N1365" i="2"/>
  <c r="N1366" i="2"/>
  <c r="N1367" i="2"/>
  <c r="N1368" i="2"/>
  <c r="N1369" i="2"/>
  <c r="N1370" i="2"/>
  <c r="N1371" i="2"/>
  <c r="N1372" i="2"/>
  <c r="N1373" i="2"/>
  <c r="N1374" i="2"/>
  <c r="N1375" i="2"/>
  <c r="N1376" i="2"/>
  <c r="N1377" i="2"/>
  <c r="N1378" i="2"/>
  <c r="N1379" i="2"/>
  <c r="N1380" i="2"/>
  <c r="N1381" i="2"/>
  <c r="N1382" i="2"/>
  <c r="N1383" i="2"/>
  <c r="N1384" i="2"/>
  <c r="N1385" i="2"/>
  <c r="N1386" i="2"/>
  <c r="N1387" i="2"/>
  <c r="N1388" i="2"/>
  <c r="N1389" i="2"/>
  <c r="N1390" i="2"/>
  <c r="N1391" i="2"/>
  <c r="N1392" i="2"/>
  <c r="N1393" i="2"/>
  <c r="N1394" i="2"/>
  <c r="N1395" i="2"/>
  <c r="N1396" i="2"/>
  <c r="N1397" i="2"/>
  <c r="N1398" i="2"/>
  <c r="N1399" i="2"/>
  <c r="N1400" i="2"/>
  <c r="N1401" i="2"/>
  <c r="N1402" i="2"/>
  <c r="N1403" i="2"/>
  <c r="N1404" i="2"/>
  <c r="N1405" i="2"/>
  <c r="N1406" i="2"/>
  <c r="N1407" i="2"/>
  <c r="N1408" i="2"/>
  <c r="N1409" i="2"/>
  <c r="N1410" i="2"/>
  <c r="N1411" i="2"/>
  <c r="N1412" i="2"/>
  <c r="N1413" i="2"/>
  <c r="N1414" i="2"/>
  <c r="N1415" i="2"/>
  <c r="N1416" i="2"/>
  <c r="N1417" i="2"/>
  <c r="N1418" i="2"/>
  <c r="N1419" i="2"/>
  <c r="N1420" i="2"/>
  <c r="N1421" i="2"/>
  <c r="N1422" i="2"/>
  <c r="N1423" i="2"/>
  <c r="N1424" i="2"/>
  <c r="N1425" i="2"/>
  <c r="N1426" i="2"/>
  <c r="N1427" i="2"/>
  <c r="N1428" i="2"/>
  <c r="N1429" i="2"/>
  <c r="N1430" i="2"/>
  <c r="N1431" i="2"/>
  <c r="N1432" i="2"/>
  <c r="N1433" i="2"/>
  <c r="N1434" i="2"/>
  <c r="N1435" i="2"/>
  <c r="N1436" i="2"/>
  <c r="N1437" i="2"/>
  <c r="N1438" i="2"/>
  <c r="N1439" i="2"/>
  <c r="N1440" i="2"/>
  <c r="N1441" i="2"/>
  <c r="N1442" i="2"/>
  <c r="N1443" i="2"/>
  <c r="N1444" i="2"/>
  <c r="N1445" i="2"/>
  <c r="N1446" i="2"/>
  <c r="N1447" i="2"/>
  <c r="N1448" i="2"/>
  <c r="N1449" i="2"/>
  <c r="N1450" i="2"/>
  <c r="N1451" i="2"/>
  <c r="N1452" i="2"/>
  <c r="N1453" i="2"/>
  <c r="N1454" i="2"/>
  <c r="N1455" i="2"/>
  <c r="N1456" i="2"/>
  <c r="N1457" i="2"/>
  <c r="N1458" i="2"/>
  <c r="N1459" i="2"/>
  <c r="N1460" i="2"/>
  <c r="N1461" i="2"/>
  <c r="N1462" i="2"/>
  <c r="N1463" i="2"/>
  <c r="N1464" i="2"/>
  <c r="N1465" i="2"/>
  <c r="N1466" i="2"/>
  <c r="N1467" i="2"/>
  <c r="N1468" i="2"/>
  <c r="N1469" i="2"/>
  <c r="N1470" i="2"/>
  <c r="N1471" i="2"/>
  <c r="N1472" i="2"/>
  <c r="N1473" i="2"/>
  <c r="N1474" i="2"/>
  <c r="N1475" i="2"/>
  <c r="N1476" i="2"/>
  <c r="N1477" i="2"/>
  <c r="N1478" i="2"/>
  <c r="N1479" i="2"/>
  <c r="N1480" i="2"/>
  <c r="N1481" i="2"/>
  <c r="N1482" i="2"/>
  <c r="N1483" i="2"/>
  <c r="N1484" i="2"/>
  <c r="N1485" i="2"/>
  <c r="N1486" i="2"/>
  <c r="N1487" i="2"/>
  <c r="N1488" i="2"/>
  <c r="N1489" i="2"/>
  <c r="N1490" i="2"/>
  <c r="N1491" i="2"/>
  <c r="N1492" i="2"/>
  <c r="N1493" i="2"/>
  <c r="N1494" i="2"/>
  <c r="N1495" i="2"/>
  <c r="N1496" i="2"/>
  <c r="N1497" i="2"/>
  <c r="N1498" i="2"/>
  <c r="N1499" i="2"/>
  <c r="N1500" i="2"/>
  <c r="N1501" i="2"/>
  <c r="N1502" i="2"/>
  <c r="N1503" i="2"/>
  <c r="N1504" i="2"/>
  <c r="N1505" i="2"/>
  <c r="N1506" i="2"/>
  <c r="N1507" i="2"/>
  <c r="N1508" i="2"/>
  <c r="N1509" i="2"/>
  <c r="N1510" i="2"/>
  <c r="N1511" i="2"/>
  <c r="N1512" i="2"/>
  <c r="N1513" i="2"/>
  <c r="N1514" i="2"/>
  <c r="N1515" i="2"/>
  <c r="N1516" i="2"/>
  <c r="N1517" i="2"/>
  <c r="N1518" i="2"/>
  <c r="N1519" i="2"/>
  <c r="N1520" i="2"/>
  <c r="N1521" i="2"/>
  <c r="N1522" i="2"/>
  <c r="N1523" i="2"/>
  <c r="N1524" i="2"/>
  <c r="N1525" i="2"/>
  <c r="N1526" i="2"/>
  <c r="N1527" i="2"/>
  <c r="N1528" i="2"/>
  <c r="N1529" i="2"/>
  <c r="N1530" i="2"/>
  <c r="N1531" i="2"/>
  <c r="N1532" i="2"/>
  <c r="N1533" i="2"/>
  <c r="N1534" i="2"/>
  <c r="N1535" i="2"/>
  <c r="N1536" i="2"/>
  <c r="N1537" i="2"/>
  <c r="N1538" i="2"/>
  <c r="N1539" i="2"/>
  <c r="N1540" i="2"/>
  <c r="N1541" i="2"/>
  <c r="N1542" i="2"/>
  <c r="N1543" i="2"/>
  <c r="N1544" i="2"/>
  <c r="N1545" i="2"/>
  <c r="N1546" i="2"/>
  <c r="N1547" i="2"/>
  <c r="N1548" i="2"/>
  <c r="N1549" i="2"/>
  <c r="N1550" i="2"/>
  <c r="N1551" i="2"/>
  <c r="N1552" i="2"/>
  <c r="N1553" i="2"/>
  <c r="N1554" i="2"/>
  <c r="N1555" i="2"/>
  <c r="N1556" i="2"/>
  <c r="N1557" i="2"/>
  <c r="N1558" i="2"/>
  <c r="N1559" i="2"/>
  <c r="N1560" i="2"/>
  <c r="N1561" i="2"/>
  <c r="N1562" i="2"/>
  <c r="N1563" i="2"/>
  <c r="N1564" i="2"/>
  <c r="N1565" i="2"/>
  <c r="N1566" i="2"/>
  <c r="N1567" i="2"/>
  <c r="N1568" i="2"/>
  <c r="N1569" i="2"/>
  <c r="N1570" i="2"/>
  <c r="N1571" i="2"/>
  <c r="N1572" i="2"/>
  <c r="N1573" i="2"/>
  <c r="N1574" i="2"/>
  <c r="N1575" i="2"/>
  <c r="N1576" i="2"/>
  <c r="N1577" i="2"/>
  <c r="N1578" i="2"/>
  <c r="N1579" i="2"/>
  <c r="N1580" i="2"/>
  <c r="N1581" i="2"/>
  <c r="N1582" i="2"/>
  <c r="N1583" i="2"/>
  <c r="N1584" i="2"/>
  <c r="N1585" i="2"/>
  <c r="N1586" i="2"/>
  <c r="N1587" i="2"/>
  <c r="N1588" i="2"/>
  <c r="N1589" i="2"/>
  <c r="N1590" i="2"/>
  <c r="N1591" i="2"/>
  <c r="N1592" i="2"/>
  <c r="N1593" i="2"/>
  <c r="N1594" i="2"/>
  <c r="N1595" i="2"/>
  <c r="N1596" i="2"/>
  <c r="N1597" i="2"/>
  <c r="N1598" i="2"/>
  <c r="N1599" i="2"/>
  <c r="N1600" i="2"/>
  <c r="N1601" i="2"/>
  <c r="N1602" i="2"/>
  <c r="N1603" i="2"/>
  <c r="N1604" i="2"/>
  <c r="N1605" i="2"/>
  <c r="N1606" i="2"/>
  <c r="N1607" i="2"/>
  <c r="N1608" i="2"/>
  <c r="N1609" i="2"/>
  <c r="N1610" i="2"/>
  <c r="N1611" i="2"/>
  <c r="N1612" i="2"/>
  <c r="N1613" i="2"/>
  <c r="N1614" i="2"/>
  <c r="N1615" i="2"/>
  <c r="N1616" i="2"/>
  <c r="N1617" i="2"/>
  <c r="N1618" i="2"/>
  <c r="N1619" i="2"/>
  <c r="N1620" i="2"/>
  <c r="N1621" i="2"/>
  <c r="N1622" i="2"/>
  <c r="N1623" i="2"/>
  <c r="N1624" i="2"/>
  <c r="N1625" i="2"/>
  <c r="N1626" i="2"/>
  <c r="N1627" i="2"/>
  <c r="N1628" i="2"/>
  <c r="N1629" i="2"/>
  <c r="N1630" i="2"/>
  <c r="N1631" i="2"/>
  <c r="N1632" i="2"/>
  <c r="N1633" i="2"/>
  <c r="N1634" i="2"/>
  <c r="N1635" i="2"/>
  <c r="N1636" i="2"/>
  <c r="N1637" i="2"/>
  <c r="N1638" i="2"/>
  <c r="N1639" i="2"/>
  <c r="N1640" i="2"/>
  <c r="N1641" i="2"/>
  <c r="N1642" i="2"/>
  <c r="N1643" i="2"/>
  <c r="N1644" i="2"/>
  <c r="N1645" i="2"/>
  <c r="N1646" i="2"/>
  <c r="N1647" i="2"/>
  <c r="N1648" i="2"/>
  <c r="N1649" i="2"/>
  <c r="N1650" i="2"/>
  <c r="N1651" i="2"/>
  <c r="N1652" i="2"/>
  <c r="N1653" i="2"/>
  <c r="N1654" i="2"/>
  <c r="N1655" i="2"/>
  <c r="N1656" i="2"/>
  <c r="N1657" i="2"/>
  <c r="N1658" i="2"/>
  <c r="N1659" i="2"/>
  <c r="N1660" i="2"/>
  <c r="N1661" i="2"/>
  <c r="N1662" i="2"/>
  <c r="N1663" i="2"/>
  <c r="N1664" i="2"/>
  <c r="N1665" i="2"/>
  <c r="N1666" i="2"/>
  <c r="N1667" i="2"/>
  <c r="N1668" i="2"/>
  <c r="N1669" i="2"/>
  <c r="N1670" i="2"/>
  <c r="N1671" i="2"/>
  <c r="N1672" i="2"/>
  <c r="N1673" i="2"/>
  <c r="N1674" i="2"/>
  <c r="N1675" i="2"/>
  <c r="N1676" i="2"/>
  <c r="N1677" i="2"/>
  <c r="N1678" i="2"/>
  <c r="N1679" i="2"/>
  <c r="N1680" i="2"/>
  <c r="N1681" i="2"/>
  <c r="N1682" i="2"/>
  <c r="N1683" i="2"/>
  <c r="N1684" i="2"/>
  <c r="N1685" i="2"/>
  <c r="N1686" i="2"/>
  <c r="N1687" i="2"/>
  <c r="N1688" i="2"/>
  <c r="N1689" i="2"/>
  <c r="N1690" i="2"/>
  <c r="N1691" i="2"/>
  <c r="N1692" i="2"/>
  <c r="N1693" i="2"/>
  <c r="N1694" i="2"/>
  <c r="N1695" i="2"/>
  <c r="N1696" i="2"/>
  <c r="N1697" i="2"/>
  <c r="N1698" i="2"/>
  <c r="N1699" i="2"/>
  <c r="N1700" i="2"/>
  <c r="N1701" i="2"/>
  <c r="N1702" i="2"/>
  <c r="N1703" i="2"/>
  <c r="N1704" i="2"/>
  <c r="N1705" i="2"/>
  <c r="N1706" i="2"/>
  <c r="N1707" i="2"/>
  <c r="N1708" i="2"/>
  <c r="N1709" i="2"/>
  <c r="N1710" i="2"/>
  <c r="N1711" i="2"/>
  <c r="N1712" i="2"/>
  <c r="N1713" i="2"/>
  <c r="N1714" i="2"/>
  <c r="N1715" i="2"/>
  <c r="N1716" i="2"/>
  <c r="N1717" i="2"/>
  <c r="N1718" i="2"/>
  <c r="N1719" i="2"/>
  <c r="N1720" i="2"/>
  <c r="N1721" i="2"/>
  <c r="N1722" i="2"/>
  <c r="N1723" i="2"/>
  <c r="N1724" i="2"/>
  <c r="N1725" i="2"/>
  <c r="N1726" i="2"/>
  <c r="N1727" i="2"/>
  <c r="N1728" i="2"/>
  <c r="N1729" i="2"/>
  <c r="N1730" i="2"/>
  <c r="N1731" i="2"/>
  <c r="N1732" i="2"/>
  <c r="N1733" i="2"/>
  <c r="N1734" i="2"/>
  <c r="N1735" i="2"/>
  <c r="N1736" i="2"/>
  <c r="N1737" i="2"/>
  <c r="N1738" i="2"/>
  <c r="N1739" i="2"/>
  <c r="N1740" i="2"/>
  <c r="N1741" i="2"/>
  <c r="N1742" i="2"/>
  <c r="N1743" i="2"/>
  <c r="N1744" i="2"/>
  <c r="N1745" i="2"/>
  <c r="N1746" i="2"/>
  <c r="N1747" i="2"/>
  <c r="N1748" i="2"/>
  <c r="N1749" i="2"/>
  <c r="N1750" i="2"/>
  <c r="N1751" i="2"/>
  <c r="N1752" i="2"/>
  <c r="N1753" i="2"/>
  <c r="N1754" i="2"/>
  <c r="N1755" i="2"/>
  <c r="N1756" i="2"/>
  <c r="N1757" i="2"/>
  <c r="N1758" i="2"/>
  <c r="N1759" i="2"/>
  <c r="N1760" i="2"/>
  <c r="N1761" i="2"/>
  <c r="N1762" i="2"/>
  <c r="N1763" i="2"/>
  <c r="N1764" i="2"/>
  <c r="N1765" i="2"/>
  <c r="N1766" i="2"/>
  <c r="N1767" i="2"/>
  <c r="N1768" i="2"/>
  <c r="N1769" i="2"/>
  <c r="N1770" i="2"/>
  <c r="N1771" i="2"/>
  <c r="N1772" i="2"/>
  <c r="N1773" i="2"/>
  <c r="N1774" i="2"/>
  <c r="N1775" i="2"/>
  <c r="N1776" i="2"/>
  <c r="N1777" i="2"/>
  <c r="N1778" i="2"/>
  <c r="N1779" i="2"/>
  <c r="N1780" i="2"/>
  <c r="N1781" i="2"/>
  <c r="N1782" i="2"/>
  <c r="N1783" i="2"/>
  <c r="N1784" i="2"/>
  <c r="N1785" i="2"/>
  <c r="N1786" i="2"/>
  <c r="N1787" i="2"/>
  <c r="N1788" i="2"/>
  <c r="N1789" i="2"/>
  <c r="N1790" i="2"/>
  <c r="N1791" i="2"/>
  <c r="N1792" i="2"/>
  <c r="N1793" i="2"/>
  <c r="N1794" i="2"/>
  <c r="N1795" i="2"/>
  <c r="N1796" i="2"/>
  <c r="N1797" i="2"/>
  <c r="N1798" i="2"/>
  <c r="N1799" i="2"/>
  <c r="N1800" i="2"/>
  <c r="N1801" i="2"/>
  <c r="N1802" i="2"/>
  <c r="N1803" i="2"/>
  <c r="N1804" i="2"/>
  <c r="N1805" i="2"/>
  <c r="N1806" i="2"/>
  <c r="N1807" i="2"/>
  <c r="N1808" i="2"/>
  <c r="N1809" i="2"/>
  <c r="N1810" i="2"/>
  <c r="N1811" i="2"/>
  <c r="N1812" i="2"/>
  <c r="N1813" i="2"/>
  <c r="N1814" i="2"/>
  <c r="N1815" i="2"/>
  <c r="N1816" i="2"/>
  <c r="N1817" i="2"/>
  <c r="N1818" i="2"/>
  <c r="N1819" i="2"/>
  <c r="N1820" i="2"/>
  <c r="N1821" i="2"/>
  <c r="N1822" i="2"/>
  <c r="N1823" i="2"/>
  <c r="N1824" i="2"/>
  <c r="N1825" i="2"/>
  <c r="N1826" i="2"/>
  <c r="N1827" i="2"/>
  <c r="N1828" i="2"/>
  <c r="N1829" i="2"/>
  <c r="N1830" i="2"/>
  <c r="N1831" i="2"/>
  <c r="N1832" i="2"/>
  <c r="N1833" i="2"/>
  <c r="N1834" i="2"/>
  <c r="N1835" i="2"/>
  <c r="N1836" i="2"/>
  <c r="N1837" i="2"/>
  <c r="N1838" i="2"/>
  <c r="N1839" i="2"/>
  <c r="N1840" i="2"/>
  <c r="N1841" i="2"/>
  <c r="N1842" i="2"/>
  <c r="N1843" i="2"/>
  <c r="N1844" i="2"/>
  <c r="N1845" i="2"/>
  <c r="N1846" i="2"/>
  <c r="N1847" i="2"/>
  <c r="N1848" i="2"/>
  <c r="N1849" i="2"/>
  <c r="N1850" i="2"/>
  <c r="N1851" i="2"/>
  <c r="N1852" i="2"/>
  <c r="N1853" i="2"/>
  <c r="N1854" i="2"/>
  <c r="N1855" i="2"/>
  <c r="N1856" i="2"/>
  <c r="N1857" i="2"/>
  <c r="N1858" i="2"/>
  <c r="N1859" i="2"/>
  <c r="N1860" i="2"/>
  <c r="N1861" i="2"/>
  <c r="N1862" i="2"/>
  <c r="N1863" i="2"/>
  <c r="N1864" i="2"/>
  <c r="N1865" i="2"/>
  <c r="N1866" i="2"/>
  <c r="N1867" i="2"/>
  <c r="N1868" i="2"/>
  <c r="N1869" i="2"/>
  <c r="N1870" i="2"/>
  <c r="N1871" i="2"/>
  <c r="N1872" i="2"/>
  <c r="N1873" i="2"/>
  <c r="N1874" i="2"/>
  <c r="N1875" i="2"/>
  <c r="N1876" i="2"/>
  <c r="N1877" i="2"/>
  <c r="N1878" i="2"/>
  <c r="N1879" i="2"/>
  <c r="N1880" i="2"/>
  <c r="N1881" i="2"/>
  <c r="N1882" i="2"/>
  <c r="N1883" i="2"/>
  <c r="N1884" i="2"/>
  <c r="N1885" i="2"/>
  <c r="N1886" i="2"/>
  <c r="N1887" i="2"/>
  <c r="N1888" i="2"/>
  <c r="N1889" i="2"/>
  <c r="N1890" i="2"/>
  <c r="N1891" i="2"/>
  <c r="N1892" i="2"/>
  <c r="N1893" i="2"/>
  <c r="N1894" i="2"/>
  <c r="N1895" i="2"/>
  <c r="N1896" i="2"/>
  <c r="N1897" i="2"/>
  <c r="N1898" i="2"/>
  <c r="N1899" i="2"/>
  <c r="N1900" i="2"/>
  <c r="N1901" i="2"/>
  <c r="N1902" i="2"/>
  <c r="N1903" i="2"/>
  <c r="N1904" i="2"/>
  <c r="N1905" i="2"/>
  <c r="N1906" i="2"/>
  <c r="N1907" i="2"/>
  <c r="N1908" i="2"/>
  <c r="N1909" i="2"/>
  <c r="N1910" i="2"/>
  <c r="N1911" i="2"/>
  <c r="N1912" i="2"/>
  <c r="N1913" i="2"/>
  <c r="N1914" i="2"/>
  <c r="N1915" i="2"/>
  <c r="N1916" i="2"/>
  <c r="N1917" i="2"/>
  <c r="N1918" i="2"/>
  <c r="N1919" i="2"/>
  <c r="N1920" i="2"/>
  <c r="N1921" i="2"/>
  <c r="N1922" i="2"/>
  <c r="N1923" i="2"/>
  <c r="N1924" i="2"/>
  <c r="N1925" i="2"/>
  <c r="N1926" i="2"/>
  <c r="N1927" i="2"/>
  <c r="N1928" i="2"/>
  <c r="N1929" i="2"/>
  <c r="N1930" i="2"/>
  <c r="N1931" i="2"/>
  <c r="N1932" i="2"/>
  <c r="N1933" i="2"/>
  <c r="N1934" i="2"/>
  <c r="N1935" i="2"/>
  <c r="N1936" i="2"/>
  <c r="N1937" i="2"/>
  <c r="N1938" i="2"/>
  <c r="N1939" i="2"/>
  <c r="N1940" i="2"/>
  <c r="N1941" i="2"/>
  <c r="N1942" i="2"/>
  <c r="N1943" i="2"/>
  <c r="N1944" i="2"/>
  <c r="N1945" i="2"/>
  <c r="N1946" i="2"/>
  <c r="N1947" i="2"/>
  <c r="N1948" i="2"/>
  <c r="N1949" i="2"/>
  <c r="N1950" i="2"/>
  <c r="N1951" i="2"/>
  <c r="N1952" i="2"/>
  <c r="N1953" i="2"/>
  <c r="N1954" i="2"/>
  <c r="N1955" i="2"/>
  <c r="N1956" i="2"/>
  <c r="N1957" i="2"/>
  <c r="N1958" i="2"/>
  <c r="N1959" i="2"/>
  <c r="N1960" i="2"/>
  <c r="N1961" i="2"/>
  <c r="N1962" i="2"/>
  <c r="N1963" i="2"/>
  <c r="N1964" i="2"/>
  <c r="N1965" i="2"/>
  <c r="N1966" i="2"/>
  <c r="N1967" i="2"/>
  <c r="N1968" i="2"/>
  <c r="N1969" i="2"/>
  <c r="N1970" i="2"/>
  <c r="N1971" i="2"/>
  <c r="N1972" i="2"/>
  <c r="N1973" i="2"/>
  <c r="N1974" i="2"/>
  <c r="N1975" i="2"/>
  <c r="N1976" i="2"/>
  <c r="N1977" i="2"/>
  <c r="N1978" i="2"/>
  <c r="N1979" i="2"/>
  <c r="N1980" i="2"/>
  <c r="N1981" i="2"/>
  <c r="N1982" i="2"/>
  <c r="N1983" i="2"/>
  <c r="N1984" i="2"/>
  <c r="N1985" i="2"/>
  <c r="N1986" i="2"/>
  <c r="N1987" i="2"/>
  <c r="N1988" i="2"/>
  <c r="N1989" i="2"/>
  <c r="N1990" i="2"/>
  <c r="N1991" i="2"/>
  <c r="N1992" i="2"/>
  <c r="N1993" i="2"/>
  <c r="N1994" i="2"/>
  <c r="N1995" i="2"/>
  <c r="N1996" i="2"/>
  <c r="N1997" i="2"/>
  <c r="N1998" i="2"/>
  <c r="N1999" i="2"/>
  <c r="N2000" i="2"/>
  <c r="N2001" i="2"/>
  <c r="N2002" i="2"/>
  <c r="N2003" i="2"/>
  <c r="N2004" i="2"/>
  <c r="N2005" i="2"/>
  <c r="N2006" i="2"/>
  <c r="N2007" i="2"/>
  <c r="N2008" i="2"/>
  <c r="N2009" i="2"/>
  <c r="N2010" i="2"/>
  <c r="N2011" i="2"/>
  <c r="N2012" i="2"/>
  <c r="N2013" i="2"/>
  <c r="N2014" i="2"/>
  <c r="N2015" i="2"/>
  <c r="N2016" i="2"/>
  <c r="N2017" i="2"/>
  <c r="N2018" i="2"/>
  <c r="N2019" i="2"/>
  <c r="N2020" i="2"/>
  <c r="N2021" i="2"/>
  <c r="N2022" i="2"/>
  <c r="N2023" i="2"/>
  <c r="N2024" i="2"/>
  <c r="N2025" i="2"/>
  <c r="N2026" i="2"/>
  <c r="N2027" i="2"/>
  <c r="N2028" i="2"/>
  <c r="N2029" i="2"/>
  <c r="N2030" i="2"/>
  <c r="N2031" i="2"/>
  <c r="N2032" i="2"/>
  <c r="N2033" i="2"/>
  <c r="N2034" i="2"/>
  <c r="N2035" i="2"/>
  <c r="N2036" i="2"/>
  <c r="N2037" i="2"/>
  <c r="N2038" i="2"/>
  <c r="N2039" i="2"/>
  <c r="N2040" i="2"/>
  <c r="N2041" i="2"/>
  <c r="N2042" i="2"/>
  <c r="N2043" i="2"/>
  <c r="N2044" i="2"/>
  <c r="N2045" i="2"/>
  <c r="N2046" i="2"/>
  <c r="N2047" i="2"/>
  <c r="N2048" i="2"/>
  <c r="N2049" i="2"/>
  <c r="N2050" i="2"/>
  <c r="N2051" i="2"/>
  <c r="N2052" i="2"/>
  <c r="N2053" i="2"/>
  <c r="N2054" i="2"/>
  <c r="N2055" i="2"/>
  <c r="N2056" i="2"/>
  <c r="N2057" i="2"/>
  <c r="N2058" i="2"/>
  <c r="N2059" i="2"/>
  <c r="N2060" i="2"/>
  <c r="N2061" i="2"/>
  <c r="N2062" i="2"/>
  <c r="N2063" i="2"/>
  <c r="N2064" i="2"/>
  <c r="N2065" i="2"/>
  <c r="N2066" i="2"/>
  <c r="N2067" i="2"/>
  <c r="N2068" i="2"/>
  <c r="N2069" i="2"/>
  <c r="N2070" i="2"/>
  <c r="N2071" i="2"/>
  <c r="N2072" i="2"/>
  <c r="N2073" i="2"/>
  <c r="N2074" i="2"/>
  <c r="N2075" i="2"/>
  <c r="N2076" i="2"/>
  <c r="N2077" i="2"/>
  <c r="N2078" i="2"/>
  <c r="N2079" i="2"/>
  <c r="N2080" i="2"/>
  <c r="N2081" i="2"/>
  <c r="N2082" i="2"/>
  <c r="N2083" i="2"/>
  <c r="N2084" i="2"/>
  <c r="N2085" i="2"/>
  <c r="N2086" i="2"/>
  <c r="N2087" i="2"/>
  <c r="N2088" i="2"/>
  <c r="N2089" i="2"/>
  <c r="N2090" i="2"/>
  <c r="N2091" i="2"/>
  <c r="N2092" i="2"/>
  <c r="N2093" i="2"/>
  <c r="N2094" i="2"/>
  <c r="N2095" i="2"/>
  <c r="N2096" i="2"/>
  <c r="N2097" i="2"/>
  <c r="N2098" i="2"/>
  <c r="N2099" i="2"/>
  <c r="N2100" i="2"/>
  <c r="N2101" i="2"/>
  <c r="N2102" i="2"/>
  <c r="N2103" i="2"/>
  <c r="N2104" i="2"/>
  <c r="N2105" i="2"/>
  <c r="N2106" i="2"/>
  <c r="N2107" i="2"/>
  <c r="N2108" i="2"/>
  <c r="N2109" i="2"/>
  <c r="N2110" i="2"/>
  <c r="N2111" i="2"/>
  <c r="N2112" i="2"/>
  <c r="N2113" i="2"/>
  <c r="N2114" i="2"/>
  <c r="N2115" i="2"/>
  <c r="N2116" i="2"/>
  <c r="N2117" i="2"/>
  <c r="N2118" i="2"/>
  <c r="N2119" i="2"/>
  <c r="N2120" i="2"/>
  <c r="N2121" i="2"/>
  <c r="N2122" i="2"/>
  <c r="N2123" i="2"/>
  <c r="N2124" i="2"/>
  <c r="N2125" i="2"/>
  <c r="N2126" i="2"/>
  <c r="N2127" i="2"/>
  <c r="N2128" i="2"/>
  <c r="N2129" i="2"/>
  <c r="N2130" i="2"/>
  <c r="N2131" i="2"/>
  <c r="N2132" i="2"/>
  <c r="N2133" i="2"/>
  <c r="N2134" i="2"/>
  <c r="N2135" i="2"/>
  <c r="N2136" i="2"/>
  <c r="N2137" i="2"/>
  <c r="N2138" i="2"/>
  <c r="N2139" i="2"/>
  <c r="N2140" i="2"/>
  <c r="N2141" i="2"/>
  <c r="N2142" i="2"/>
  <c r="N2143" i="2"/>
  <c r="N2144" i="2"/>
  <c r="N2145" i="2"/>
  <c r="N2146" i="2"/>
  <c r="N2147" i="2"/>
  <c r="N2148" i="2"/>
  <c r="N2149" i="2"/>
  <c r="N2150" i="2"/>
  <c r="N2151" i="2"/>
  <c r="N2152" i="2"/>
  <c r="N2153" i="2"/>
  <c r="N2154" i="2"/>
  <c r="N2155" i="2"/>
  <c r="N2156" i="2"/>
  <c r="N2157" i="2"/>
  <c r="N2158" i="2"/>
  <c r="N2159" i="2"/>
  <c r="N2160" i="2"/>
  <c r="N2161" i="2"/>
  <c r="N2162" i="2"/>
  <c r="N2163" i="2"/>
  <c r="N2164" i="2"/>
  <c r="N2165" i="2"/>
  <c r="N2166" i="2"/>
  <c r="N2167" i="2"/>
  <c r="N2168" i="2"/>
  <c r="N2169" i="2"/>
  <c r="N2170" i="2"/>
  <c r="N2171" i="2"/>
  <c r="N2172" i="2"/>
  <c r="N2173" i="2"/>
  <c r="N2174" i="2"/>
  <c r="N2175" i="2"/>
  <c r="N2176" i="2"/>
  <c r="N2177" i="2"/>
  <c r="N2178" i="2"/>
  <c r="N2179" i="2"/>
  <c r="N2180" i="2"/>
  <c r="N2181" i="2"/>
  <c r="N2182" i="2"/>
  <c r="N2183" i="2"/>
  <c r="N2184" i="2"/>
  <c r="N2185" i="2"/>
  <c r="N2186" i="2"/>
  <c r="N2187" i="2"/>
  <c r="N2188" i="2"/>
  <c r="N2189" i="2"/>
  <c r="N2190" i="2"/>
  <c r="N2191" i="2"/>
  <c r="N2192" i="2"/>
  <c r="N2193" i="2"/>
  <c r="N2194" i="2"/>
  <c r="N2195" i="2"/>
  <c r="N2196" i="2"/>
  <c r="N2197" i="2"/>
  <c r="N2198" i="2"/>
  <c r="N2199" i="2"/>
  <c r="N2200" i="2"/>
  <c r="N2201" i="2"/>
  <c r="N2202" i="2"/>
  <c r="N2203" i="2"/>
  <c r="N2204" i="2"/>
  <c r="N2205" i="2"/>
  <c r="N2206" i="2"/>
  <c r="N2207" i="2"/>
  <c r="N2208" i="2"/>
  <c r="N2209" i="2"/>
  <c r="N2210" i="2"/>
  <c r="N2211" i="2"/>
  <c r="N2212" i="2"/>
  <c r="N2213" i="2"/>
  <c r="N2214" i="2"/>
  <c r="N2215" i="2"/>
  <c r="N2216" i="2"/>
  <c r="N2217" i="2"/>
  <c r="N2218" i="2"/>
  <c r="N2219" i="2"/>
  <c r="N2220" i="2"/>
  <c r="N2221" i="2"/>
  <c r="N2222" i="2"/>
  <c r="N2223" i="2"/>
  <c r="N2224" i="2"/>
  <c r="N2225" i="2"/>
  <c r="N2226" i="2"/>
  <c r="N2227" i="2"/>
  <c r="N2228" i="2"/>
  <c r="N2229" i="2"/>
  <c r="N2230" i="2"/>
  <c r="N2231" i="2"/>
  <c r="N2232" i="2"/>
  <c r="N2233" i="2"/>
  <c r="N2234" i="2"/>
  <c r="N2235" i="2"/>
  <c r="N2236" i="2"/>
  <c r="N2237" i="2"/>
  <c r="N2238" i="2"/>
  <c r="N2239" i="2"/>
  <c r="N2240" i="2"/>
  <c r="N2241" i="2"/>
  <c r="N2242" i="2"/>
  <c r="N2243" i="2"/>
  <c r="N2244" i="2"/>
  <c r="N2245" i="2"/>
  <c r="N2246" i="2"/>
  <c r="N2247" i="2"/>
  <c r="N2248" i="2"/>
  <c r="N2249" i="2"/>
  <c r="N2250" i="2"/>
  <c r="N2251" i="2"/>
  <c r="N2252" i="2"/>
  <c r="N2253" i="2"/>
  <c r="N2254" i="2"/>
  <c r="N2255" i="2"/>
  <c r="N2256" i="2"/>
  <c r="N2257" i="2"/>
  <c r="N2258" i="2"/>
  <c r="N2259" i="2"/>
  <c r="N2260" i="2"/>
  <c r="N2261" i="2"/>
  <c r="N2262" i="2"/>
  <c r="N2263" i="2"/>
  <c r="N2264" i="2"/>
  <c r="N2265" i="2"/>
  <c r="N2266" i="2"/>
  <c r="N2267" i="2"/>
  <c r="N2268" i="2"/>
  <c r="N2269" i="2"/>
  <c r="N2270" i="2"/>
  <c r="N2271" i="2"/>
  <c r="N2272" i="2"/>
  <c r="N2273" i="2"/>
  <c r="N2274" i="2"/>
  <c r="N2275" i="2"/>
  <c r="N2276" i="2"/>
  <c r="N2277" i="2"/>
  <c r="N2278" i="2"/>
  <c r="N2279" i="2"/>
  <c r="N2280" i="2"/>
  <c r="N2281" i="2"/>
  <c r="N2282" i="2"/>
  <c r="N2283" i="2"/>
  <c r="N2284" i="2"/>
  <c r="N2285" i="2"/>
  <c r="N2286" i="2"/>
  <c r="N2287" i="2"/>
  <c r="N2288" i="2"/>
  <c r="N2289" i="2"/>
  <c r="N2290" i="2"/>
  <c r="N2291" i="2"/>
  <c r="N2292" i="2"/>
  <c r="N2293" i="2"/>
  <c r="N2294" i="2"/>
  <c r="N2295" i="2"/>
  <c r="N2296" i="2"/>
  <c r="N2297" i="2"/>
  <c r="N2298" i="2"/>
  <c r="N2299" i="2"/>
  <c r="N2300" i="2"/>
  <c r="N2301" i="2"/>
  <c r="N2302" i="2"/>
  <c r="N2303" i="2"/>
  <c r="N2304" i="2"/>
  <c r="N2305" i="2"/>
  <c r="N2306" i="2"/>
  <c r="N2307" i="2"/>
  <c r="N2308" i="2"/>
  <c r="N2309" i="2"/>
  <c r="N2310" i="2"/>
  <c r="N2311" i="2"/>
  <c r="N2312" i="2"/>
  <c r="N2313" i="2"/>
  <c r="N2314" i="2"/>
  <c r="N2315" i="2"/>
  <c r="N2316" i="2"/>
  <c r="N2317" i="2"/>
  <c r="N2318" i="2"/>
  <c r="N2319" i="2"/>
  <c r="N2320" i="2"/>
  <c r="N2321" i="2"/>
  <c r="N2322" i="2"/>
  <c r="N2323" i="2"/>
  <c r="N2324" i="2"/>
  <c r="N2325" i="2"/>
  <c r="N2326" i="2"/>
  <c r="N2327" i="2"/>
  <c r="N2328" i="2"/>
  <c r="N2329" i="2"/>
  <c r="N2330" i="2"/>
  <c r="N2331" i="2"/>
  <c r="N2332" i="2"/>
  <c r="N2333" i="2"/>
  <c r="N2334" i="2"/>
  <c r="N2335" i="2"/>
  <c r="N2336" i="2"/>
  <c r="N2337" i="2"/>
  <c r="N2338" i="2"/>
  <c r="N2339" i="2"/>
  <c r="N2340" i="2"/>
  <c r="N2341" i="2"/>
  <c r="N2342" i="2"/>
  <c r="N2343" i="2"/>
  <c r="N2344" i="2"/>
  <c r="N2345" i="2"/>
  <c r="N2346" i="2"/>
  <c r="N2347" i="2"/>
  <c r="N2348" i="2"/>
  <c r="N2349" i="2"/>
  <c r="N2350" i="2"/>
  <c r="N2351" i="2"/>
  <c r="N2352" i="2"/>
  <c r="N2353" i="2"/>
  <c r="N2354" i="2"/>
  <c r="N2355" i="2"/>
  <c r="N2356" i="2"/>
  <c r="N2357" i="2"/>
  <c r="N2358" i="2"/>
  <c r="N2359" i="2"/>
  <c r="N2360" i="2"/>
  <c r="N2361" i="2"/>
  <c r="N2362" i="2"/>
  <c r="N2363" i="2"/>
  <c r="N2364" i="2"/>
  <c r="N2365" i="2"/>
  <c r="N2366" i="2"/>
  <c r="N2367" i="2"/>
  <c r="N2368" i="2"/>
  <c r="N2369" i="2"/>
  <c r="N2370" i="2"/>
  <c r="N2371" i="2"/>
  <c r="N2372" i="2"/>
  <c r="N2373" i="2"/>
  <c r="N2374" i="2"/>
  <c r="N2375" i="2"/>
  <c r="N2376" i="2"/>
  <c r="N2377" i="2"/>
  <c r="N2378" i="2"/>
  <c r="N2379" i="2"/>
  <c r="N2380" i="2"/>
  <c r="N2381" i="2"/>
  <c r="N2382" i="2"/>
  <c r="N2383" i="2"/>
  <c r="N2384" i="2"/>
  <c r="N2385" i="2"/>
  <c r="N2386" i="2"/>
  <c r="N2387" i="2"/>
  <c r="N2388" i="2"/>
  <c r="N2389" i="2"/>
  <c r="N2390" i="2"/>
  <c r="N2391" i="2"/>
  <c r="N2392" i="2"/>
  <c r="N2393" i="2"/>
  <c r="N2394" i="2"/>
  <c r="N2395" i="2"/>
  <c r="N2396" i="2"/>
  <c r="N2397" i="2"/>
  <c r="N2398" i="2"/>
  <c r="N2399" i="2"/>
  <c r="N2400" i="2"/>
  <c r="N2401" i="2"/>
  <c r="N2402" i="2"/>
  <c r="N2403" i="2"/>
  <c r="N2404" i="2"/>
  <c r="N2405" i="2"/>
  <c r="N2406" i="2"/>
  <c r="N2407" i="2"/>
  <c r="N2408" i="2"/>
  <c r="N2409" i="2"/>
  <c r="N2410" i="2"/>
  <c r="N2411" i="2"/>
  <c r="N2412" i="2"/>
  <c r="N2413" i="2"/>
  <c r="N2414" i="2"/>
  <c r="N2415" i="2"/>
  <c r="N2416" i="2"/>
  <c r="N2417" i="2"/>
  <c r="N2418" i="2"/>
  <c r="N2419" i="2"/>
  <c r="N2420" i="2"/>
  <c r="N2421" i="2"/>
  <c r="N2422" i="2"/>
  <c r="N2423" i="2"/>
  <c r="N2424" i="2"/>
  <c r="N2425" i="2"/>
  <c r="N2426" i="2"/>
  <c r="N2427" i="2"/>
  <c r="N2428" i="2"/>
  <c r="N2429" i="2"/>
  <c r="N2430" i="2"/>
  <c r="N2431" i="2"/>
  <c r="N2432" i="2"/>
  <c r="N2433" i="2"/>
  <c r="N2434" i="2"/>
  <c r="N2435" i="2"/>
  <c r="N2436" i="2"/>
  <c r="N2437" i="2"/>
  <c r="N2438" i="2"/>
  <c r="N2439" i="2"/>
  <c r="N2440" i="2"/>
  <c r="N2441" i="2"/>
  <c r="N2442" i="2"/>
  <c r="N2443" i="2"/>
  <c r="N2444" i="2"/>
  <c r="N2445" i="2"/>
  <c r="N2446" i="2"/>
  <c r="N2447" i="2"/>
  <c r="N2448" i="2"/>
  <c r="N2449" i="2"/>
  <c r="N2450" i="2"/>
  <c r="N2451" i="2"/>
  <c r="N2452" i="2"/>
  <c r="N2453" i="2"/>
  <c r="N2454" i="2"/>
  <c r="N2455" i="2"/>
  <c r="N2456" i="2"/>
  <c r="N2457" i="2"/>
  <c r="N2458" i="2"/>
  <c r="N2459" i="2"/>
  <c r="N2460" i="2"/>
  <c r="N2461" i="2"/>
  <c r="N2462" i="2"/>
  <c r="N2463" i="2"/>
  <c r="N2464" i="2"/>
  <c r="N2465" i="2"/>
  <c r="N2466" i="2"/>
  <c r="N2467" i="2"/>
  <c r="N2468" i="2"/>
  <c r="N2469" i="2"/>
  <c r="N2470" i="2"/>
  <c r="N2471" i="2"/>
  <c r="N2472" i="2"/>
  <c r="N2473" i="2"/>
  <c r="N2474" i="2"/>
  <c r="N2475" i="2"/>
  <c r="N2476" i="2"/>
  <c r="N2477" i="2"/>
  <c r="N2478" i="2"/>
  <c r="N2479" i="2"/>
  <c r="N2480" i="2"/>
  <c r="N2481" i="2"/>
  <c r="N2482" i="2"/>
  <c r="N2483" i="2"/>
  <c r="N2484" i="2"/>
  <c r="N2485" i="2"/>
  <c r="N2486" i="2"/>
  <c r="N2487" i="2"/>
  <c r="N2488" i="2"/>
  <c r="N2489" i="2"/>
  <c r="N2490" i="2"/>
  <c r="N2491" i="2"/>
  <c r="N2492" i="2"/>
  <c r="N2493" i="2"/>
  <c r="N2494" i="2"/>
  <c r="N2495" i="2"/>
  <c r="N2496" i="2"/>
  <c r="N2497" i="2"/>
  <c r="N2498" i="2"/>
  <c r="N2499" i="2"/>
  <c r="N2500" i="2"/>
  <c r="N2501" i="2"/>
  <c r="N2502" i="2"/>
  <c r="N2503" i="2"/>
  <c r="N2504" i="2"/>
  <c r="N2505" i="2"/>
  <c r="N2506" i="2"/>
  <c r="N2507" i="2"/>
  <c r="N2508" i="2"/>
  <c r="N2509" i="2"/>
  <c r="N2510" i="2"/>
  <c r="N2511" i="2"/>
  <c r="N2512" i="2"/>
  <c r="N2513" i="2"/>
  <c r="N2514" i="2"/>
  <c r="N2515" i="2"/>
  <c r="N2516" i="2"/>
  <c r="N2517" i="2"/>
  <c r="N2518" i="2"/>
  <c r="N2519" i="2"/>
  <c r="N2520" i="2"/>
  <c r="N2521" i="2"/>
  <c r="N2522" i="2"/>
  <c r="N2523" i="2"/>
  <c r="N2524" i="2"/>
  <c r="N2525" i="2"/>
  <c r="N2526" i="2"/>
  <c r="N2527" i="2"/>
  <c r="N2528" i="2"/>
  <c r="N2529" i="2"/>
  <c r="N2530" i="2"/>
  <c r="N2531" i="2"/>
  <c r="N2532" i="2"/>
  <c r="N2533" i="2"/>
  <c r="N2534" i="2"/>
  <c r="N2535" i="2"/>
  <c r="N2536" i="2"/>
  <c r="N2537" i="2"/>
  <c r="N2538" i="2"/>
  <c r="N2539" i="2"/>
  <c r="N2540" i="2"/>
  <c r="N2541" i="2"/>
  <c r="N2542" i="2"/>
  <c r="N2543" i="2"/>
  <c r="N2544" i="2"/>
  <c r="N2545" i="2"/>
  <c r="N2546" i="2"/>
  <c r="N2547" i="2"/>
  <c r="N2548" i="2"/>
  <c r="N2549" i="2"/>
  <c r="N2550" i="2"/>
  <c r="N2551" i="2"/>
  <c r="N2552" i="2"/>
  <c r="N2553" i="2"/>
  <c r="N2554" i="2"/>
  <c r="N2555" i="2"/>
  <c r="N2556" i="2"/>
  <c r="N2557" i="2"/>
  <c r="N2558" i="2"/>
  <c r="N2559" i="2"/>
  <c r="N2560" i="2"/>
  <c r="N2561" i="2"/>
  <c r="N2562" i="2"/>
  <c r="N2563" i="2"/>
  <c r="N2564" i="2"/>
  <c r="N2565" i="2"/>
  <c r="N2566" i="2"/>
  <c r="N2567" i="2"/>
  <c r="N2568" i="2"/>
  <c r="N2569" i="2"/>
  <c r="N2570" i="2"/>
  <c r="N2571" i="2"/>
  <c r="N2572" i="2"/>
  <c r="N2573" i="2"/>
  <c r="N2574" i="2"/>
  <c r="N2575" i="2"/>
  <c r="N2576" i="2"/>
  <c r="N2577" i="2"/>
  <c r="N2578" i="2"/>
  <c r="N2579" i="2"/>
  <c r="N2580" i="2"/>
  <c r="N2581" i="2"/>
  <c r="N2582" i="2"/>
  <c r="N2583" i="2"/>
  <c r="N2584" i="2"/>
  <c r="N2585" i="2"/>
  <c r="N2586" i="2"/>
  <c r="N2587" i="2"/>
  <c r="N2588" i="2"/>
  <c r="N2589" i="2"/>
  <c r="N2590" i="2"/>
  <c r="N2591" i="2"/>
  <c r="N2592" i="2"/>
  <c r="N2593" i="2"/>
  <c r="N2594" i="2"/>
  <c r="N2595" i="2"/>
  <c r="N2596" i="2"/>
  <c r="N2597" i="2"/>
  <c r="N2598" i="2"/>
  <c r="N2599" i="2"/>
  <c r="N2600" i="2"/>
  <c r="N2601" i="2"/>
  <c r="N2602" i="2"/>
  <c r="N2603" i="2"/>
  <c r="N2604" i="2"/>
  <c r="N2605" i="2"/>
  <c r="N2606" i="2"/>
  <c r="N2607" i="2"/>
  <c r="N2608" i="2"/>
  <c r="N2609" i="2"/>
  <c r="N2610" i="2"/>
  <c r="N2611" i="2"/>
  <c r="N2612" i="2"/>
  <c r="N2613" i="2"/>
  <c r="N2614" i="2"/>
  <c r="N2615" i="2"/>
  <c r="N2616" i="2"/>
  <c r="N2617" i="2"/>
  <c r="N2618" i="2"/>
  <c r="N2619" i="2"/>
  <c r="N2620" i="2"/>
  <c r="N2621" i="2"/>
  <c r="N2622" i="2"/>
  <c r="N2623" i="2"/>
  <c r="N2624" i="2"/>
  <c r="N2625" i="2"/>
  <c r="N2626" i="2"/>
  <c r="N2627" i="2"/>
  <c r="N2628" i="2"/>
  <c r="N2629" i="2"/>
  <c r="N2630" i="2"/>
  <c r="N2631" i="2"/>
  <c r="N2632" i="2"/>
  <c r="N2633" i="2"/>
  <c r="N2634" i="2"/>
  <c r="N2635" i="2"/>
  <c r="N2636" i="2"/>
  <c r="N2637" i="2"/>
  <c r="N2638" i="2"/>
  <c r="N2639" i="2"/>
  <c r="N2640" i="2"/>
  <c r="N2641" i="2"/>
  <c r="N2642" i="2"/>
  <c r="N2643" i="2"/>
  <c r="N2644" i="2"/>
  <c r="N2645" i="2"/>
  <c r="N2646" i="2"/>
  <c r="N2647" i="2"/>
  <c r="N2648" i="2"/>
  <c r="N2649" i="2"/>
  <c r="N2650" i="2"/>
  <c r="N2651" i="2"/>
  <c r="N2652" i="2"/>
  <c r="N2653" i="2"/>
  <c r="N2654" i="2"/>
  <c r="N2655" i="2"/>
  <c r="N2656" i="2"/>
  <c r="N2657" i="2"/>
  <c r="N2658" i="2"/>
  <c r="N2659" i="2"/>
  <c r="N2660" i="2"/>
  <c r="N2661" i="2"/>
  <c r="N2662" i="2"/>
  <c r="N2663" i="2"/>
  <c r="N2664" i="2"/>
  <c r="N2665" i="2"/>
  <c r="N2666" i="2"/>
  <c r="N2667" i="2"/>
  <c r="N2668" i="2"/>
  <c r="N2669" i="2"/>
  <c r="N2670" i="2"/>
  <c r="N2671" i="2"/>
  <c r="N2672" i="2"/>
  <c r="N2673" i="2"/>
  <c r="N2674" i="2"/>
  <c r="N2675" i="2"/>
  <c r="N2676" i="2"/>
  <c r="N2677" i="2"/>
  <c r="N2678" i="2"/>
  <c r="N2679" i="2"/>
  <c r="N2680" i="2"/>
  <c r="N2681" i="2"/>
  <c r="N2682" i="2"/>
  <c r="N2683" i="2"/>
  <c r="N2684" i="2"/>
  <c r="N2685" i="2"/>
  <c r="N2686" i="2"/>
  <c r="N2687" i="2"/>
  <c r="N2688" i="2"/>
  <c r="N2689" i="2"/>
  <c r="N2690" i="2"/>
  <c r="N2691" i="2"/>
  <c r="N2692" i="2"/>
  <c r="N2693" i="2"/>
  <c r="N2694" i="2"/>
  <c r="N2695" i="2"/>
  <c r="N2696" i="2"/>
  <c r="N2697" i="2"/>
  <c r="N2698" i="2"/>
  <c r="N2699" i="2"/>
  <c r="N2700" i="2"/>
  <c r="N2701" i="2"/>
  <c r="N2702" i="2"/>
  <c r="N2703" i="2"/>
  <c r="N2704" i="2"/>
  <c r="N2705" i="2"/>
  <c r="N2706" i="2"/>
  <c r="N2707" i="2"/>
  <c r="N2708" i="2"/>
  <c r="N2709" i="2"/>
  <c r="N2710" i="2"/>
  <c r="N2711" i="2"/>
  <c r="N2712" i="2"/>
  <c r="N2713" i="2"/>
  <c r="N2714" i="2"/>
  <c r="N2715" i="2"/>
  <c r="N2716" i="2"/>
  <c r="N2717" i="2"/>
  <c r="N2718" i="2"/>
  <c r="N2719" i="2"/>
  <c r="N2720" i="2"/>
  <c r="N2721" i="2"/>
  <c r="N2722" i="2"/>
  <c r="N2723" i="2"/>
  <c r="N2724" i="2"/>
  <c r="N2725" i="2"/>
  <c r="N2726" i="2"/>
  <c r="N2727" i="2"/>
  <c r="N2728" i="2"/>
  <c r="N2729" i="2"/>
  <c r="N2730" i="2"/>
  <c r="N2731" i="2"/>
  <c r="N2732" i="2"/>
  <c r="N2733" i="2"/>
  <c r="N2734" i="2"/>
  <c r="N2735" i="2"/>
  <c r="N2736" i="2"/>
  <c r="N2737" i="2"/>
  <c r="N2738" i="2"/>
  <c r="N2739" i="2"/>
  <c r="N2740" i="2"/>
  <c r="N2741" i="2"/>
  <c r="N2742" i="2"/>
  <c r="N2743" i="2"/>
  <c r="N2744" i="2"/>
  <c r="N2745" i="2"/>
  <c r="N2746" i="2"/>
  <c r="N2747" i="2"/>
  <c r="N2748" i="2"/>
  <c r="N2749" i="2"/>
  <c r="N2750" i="2"/>
  <c r="N2751" i="2"/>
  <c r="N2752" i="2"/>
  <c r="N2753" i="2"/>
  <c r="N2754" i="2"/>
  <c r="N2755" i="2"/>
  <c r="N2756" i="2"/>
  <c r="N2757" i="2"/>
  <c r="N2758" i="2"/>
  <c r="N2759" i="2"/>
  <c r="N2760" i="2"/>
  <c r="N2761" i="2"/>
  <c r="N2762" i="2"/>
  <c r="N2763" i="2"/>
  <c r="N2764" i="2"/>
  <c r="N2765" i="2"/>
  <c r="N2766" i="2"/>
  <c r="N2767" i="2"/>
  <c r="N2768" i="2"/>
  <c r="N2769" i="2"/>
  <c r="N2770" i="2"/>
  <c r="N2771" i="2"/>
  <c r="N2772" i="2"/>
  <c r="N2773" i="2"/>
  <c r="N2774" i="2"/>
  <c r="N2775" i="2"/>
  <c r="N2776" i="2"/>
  <c r="N2777" i="2"/>
  <c r="N2778" i="2"/>
  <c r="N2779" i="2"/>
  <c r="N2780" i="2"/>
  <c r="N2781" i="2"/>
  <c r="N2782" i="2"/>
  <c r="N2783" i="2"/>
  <c r="N2784" i="2"/>
  <c r="N2785" i="2"/>
  <c r="N2786" i="2"/>
  <c r="N2787" i="2"/>
  <c r="N2788" i="2"/>
  <c r="N2789" i="2"/>
  <c r="N2790" i="2"/>
  <c r="N2791" i="2"/>
  <c r="N2792" i="2"/>
  <c r="N2793" i="2"/>
  <c r="N2794" i="2"/>
  <c r="N2795" i="2"/>
  <c r="N2796" i="2"/>
  <c r="N2797" i="2"/>
  <c r="N2798" i="2"/>
  <c r="N2799" i="2"/>
  <c r="N2800" i="2"/>
  <c r="N2801" i="2"/>
  <c r="N2802" i="2"/>
  <c r="N2803" i="2"/>
  <c r="N2804" i="2"/>
  <c r="N2805" i="2"/>
  <c r="N2806" i="2"/>
  <c r="N2807" i="2"/>
  <c r="N2808" i="2"/>
  <c r="N2809" i="2"/>
  <c r="N2810" i="2"/>
  <c r="N2811" i="2"/>
  <c r="N2812" i="2"/>
  <c r="N2813" i="2"/>
  <c r="N2814" i="2"/>
  <c r="N2815" i="2"/>
  <c r="N2816" i="2"/>
  <c r="N2817" i="2"/>
  <c r="N2818" i="2"/>
  <c r="N2819" i="2"/>
  <c r="N2820" i="2"/>
  <c r="N2821" i="2"/>
  <c r="N2822" i="2"/>
  <c r="N2823" i="2"/>
  <c r="N2824" i="2"/>
  <c r="N2825" i="2"/>
  <c r="N2826" i="2"/>
  <c r="N2827" i="2"/>
  <c r="N2828" i="2"/>
  <c r="N2829" i="2"/>
  <c r="N2830" i="2"/>
  <c r="N2831" i="2"/>
  <c r="N2832" i="2"/>
  <c r="N2833" i="2"/>
  <c r="N2834" i="2"/>
  <c r="N2835" i="2"/>
  <c r="N2836" i="2"/>
  <c r="N2837" i="2"/>
  <c r="N2838" i="2"/>
  <c r="N2839" i="2"/>
  <c r="N2840" i="2"/>
  <c r="N2841" i="2"/>
  <c r="N2842" i="2"/>
  <c r="N2843" i="2"/>
  <c r="N2844" i="2"/>
  <c r="N2845" i="2"/>
  <c r="N2846" i="2"/>
  <c r="N2847" i="2"/>
  <c r="N2848" i="2"/>
  <c r="N2849" i="2"/>
  <c r="N2850" i="2"/>
  <c r="N2851" i="2"/>
  <c r="N2852" i="2"/>
  <c r="N2853" i="2"/>
  <c r="N2854" i="2"/>
  <c r="N2855" i="2"/>
  <c r="N2856" i="2"/>
  <c r="N2857" i="2"/>
  <c r="N2858" i="2"/>
  <c r="N2859" i="2"/>
  <c r="N2860" i="2"/>
  <c r="N2861" i="2"/>
  <c r="N2862" i="2"/>
  <c r="N2863" i="2"/>
  <c r="N2864" i="2"/>
  <c r="N2865" i="2"/>
  <c r="N2866" i="2"/>
  <c r="N2867" i="2"/>
  <c r="N2868" i="2"/>
  <c r="N2869" i="2"/>
  <c r="N2870" i="2"/>
  <c r="N2871" i="2"/>
  <c r="N2872" i="2"/>
  <c r="N2873" i="2"/>
  <c r="N2874" i="2"/>
  <c r="N2875" i="2"/>
  <c r="N2876" i="2"/>
  <c r="N2877" i="2"/>
  <c r="N2878" i="2"/>
  <c r="N2879" i="2"/>
  <c r="N2880" i="2"/>
  <c r="N2881" i="2"/>
  <c r="N2882" i="2"/>
  <c r="N2883" i="2"/>
  <c r="N2884" i="2"/>
  <c r="N2885" i="2"/>
  <c r="N2886" i="2"/>
  <c r="N2887" i="2"/>
  <c r="N2888" i="2"/>
  <c r="N2889" i="2"/>
  <c r="N2890" i="2"/>
  <c r="N2891" i="2"/>
  <c r="N2892" i="2"/>
  <c r="N2893" i="2"/>
  <c r="N2894" i="2"/>
  <c r="N2895" i="2"/>
  <c r="N2896" i="2"/>
  <c r="N2897" i="2"/>
  <c r="N2898" i="2"/>
  <c r="N2899" i="2"/>
  <c r="N2900" i="2"/>
  <c r="N2901" i="2"/>
  <c r="N2902" i="2"/>
  <c r="N2903" i="2"/>
  <c r="N2904" i="2"/>
  <c r="N2905" i="2"/>
  <c r="N2906" i="2"/>
  <c r="N2907" i="2"/>
  <c r="N2908" i="2"/>
  <c r="N2909" i="2"/>
  <c r="N2910" i="2"/>
  <c r="N2911" i="2"/>
  <c r="N2912" i="2"/>
  <c r="N2913" i="2"/>
  <c r="N2914" i="2"/>
  <c r="N2915" i="2"/>
  <c r="N2916" i="2"/>
  <c r="N2917" i="2"/>
  <c r="N2918" i="2"/>
  <c r="N2919" i="2"/>
  <c r="N2920" i="2"/>
  <c r="N2921" i="2"/>
  <c r="N2922" i="2"/>
  <c r="N2923" i="2"/>
  <c r="N2924" i="2"/>
  <c r="N2925" i="2"/>
  <c r="N2926" i="2"/>
  <c r="N2927" i="2"/>
  <c r="N2928" i="2"/>
  <c r="N2929" i="2"/>
  <c r="N2930" i="2"/>
  <c r="N2931" i="2"/>
  <c r="N2932" i="2"/>
  <c r="N2933" i="2"/>
  <c r="N2934" i="2"/>
  <c r="N2935" i="2"/>
  <c r="N2936" i="2"/>
  <c r="N2937" i="2"/>
  <c r="N2938" i="2"/>
  <c r="N2939" i="2"/>
  <c r="N2940" i="2"/>
  <c r="N2941" i="2"/>
  <c r="N2942" i="2"/>
  <c r="N2943" i="2"/>
  <c r="N2944" i="2"/>
  <c r="N2945" i="2"/>
  <c r="N2946" i="2"/>
  <c r="N2947" i="2"/>
  <c r="N2948" i="2"/>
  <c r="N2949" i="2"/>
  <c r="N2950" i="2"/>
  <c r="N2951" i="2"/>
  <c r="N2952" i="2"/>
  <c r="N2953" i="2"/>
  <c r="N2954" i="2"/>
  <c r="N2955" i="2"/>
  <c r="N2956" i="2"/>
  <c r="N2957" i="2"/>
  <c r="N2958" i="2"/>
  <c r="N2959" i="2"/>
  <c r="N2960" i="2"/>
  <c r="N2961" i="2"/>
  <c r="N2962" i="2"/>
  <c r="N2963" i="2"/>
  <c r="N2964" i="2"/>
  <c r="N2965" i="2"/>
  <c r="N2966" i="2"/>
  <c r="N2967" i="2"/>
  <c r="N2968" i="2"/>
  <c r="N2969" i="2"/>
  <c r="N2970" i="2"/>
  <c r="N2971" i="2"/>
  <c r="N2972" i="2"/>
  <c r="N2973" i="2"/>
  <c r="N2974" i="2"/>
  <c r="N2975" i="2"/>
  <c r="N2976" i="2"/>
  <c r="N2977" i="2"/>
  <c r="N2978" i="2"/>
  <c r="N2979" i="2"/>
  <c r="N2980" i="2"/>
  <c r="N2981" i="2"/>
  <c r="N2982" i="2"/>
  <c r="N2983" i="2"/>
  <c r="N2984" i="2"/>
  <c r="N2985" i="2"/>
  <c r="N2986" i="2"/>
  <c r="N2987" i="2"/>
  <c r="N2988" i="2"/>
  <c r="N2989" i="2"/>
  <c r="N2990" i="2"/>
  <c r="N2991" i="2"/>
  <c r="N2992" i="2"/>
  <c r="N2993" i="2"/>
  <c r="N2994" i="2"/>
  <c r="N2995" i="2"/>
  <c r="N2996" i="2"/>
  <c r="N2997" i="2"/>
  <c r="N2998" i="2"/>
  <c r="N2999" i="2"/>
  <c r="N3000" i="2"/>
  <c r="N3001" i="2"/>
  <c r="M2" i="2"/>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1002" i="2"/>
  <c r="M1003" i="2"/>
  <c r="M1004" i="2"/>
  <c r="M1005" i="2"/>
  <c r="M1006" i="2"/>
  <c r="M1007" i="2"/>
  <c r="M1008" i="2"/>
  <c r="M1009" i="2"/>
  <c r="M1010" i="2"/>
  <c r="M1011" i="2"/>
  <c r="M1012" i="2"/>
  <c r="M1013" i="2"/>
  <c r="M1014" i="2"/>
  <c r="M1015" i="2"/>
  <c r="M1016" i="2"/>
  <c r="M1017" i="2"/>
  <c r="M1018" i="2"/>
  <c r="M1019" i="2"/>
  <c r="M1020" i="2"/>
  <c r="M1021" i="2"/>
  <c r="M1022" i="2"/>
  <c r="M1023" i="2"/>
  <c r="M1024" i="2"/>
  <c r="M1025" i="2"/>
  <c r="M1026" i="2"/>
  <c r="M1027" i="2"/>
  <c r="M1028" i="2"/>
  <c r="M1029" i="2"/>
  <c r="M1030" i="2"/>
  <c r="M1031" i="2"/>
  <c r="M1032" i="2"/>
  <c r="M1033" i="2"/>
  <c r="M1034" i="2"/>
  <c r="M1035" i="2"/>
  <c r="M1036" i="2"/>
  <c r="M1037" i="2"/>
  <c r="M1038" i="2"/>
  <c r="M1039" i="2"/>
  <c r="M1040" i="2"/>
  <c r="M1041" i="2"/>
  <c r="M1042" i="2"/>
  <c r="M1043" i="2"/>
  <c r="M1044" i="2"/>
  <c r="M1045" i="2"/>
  <c r="M1046" i="2"/>
  <c r="M1047" i="2"/>
  <c r="M1048" i="2"/>
  <c r="M1049" i="2"/>
  <c r="M1050" i="2"/>
  <c r="M1051" i="2"/>
  <c r="M1052" i="2"/>
  <c r="M1053" i="2"/>
  <c r="M1054" i="2"/>
  <c r="M1055" i="2"/>
  <c r="M1056" i="2"/>
  <c r="M1057" i="2"/>
  <c r="M1058" i="2"/>
  <c r="M1059" i="2"/>
  <c r="M1060" i="2"/>
  <c r="M1061" i="2"/>
  <c r="M1062" i="2"/>
  <c r="M1063" i="2"/>
  <c r="M1064" i="2"/>
  <c r="M1065" i="2"/>
  <c r="M1066" i="2"/>
  <c r="M1067" i="2"/>
  <c r="M1068" i="2"/>
  <c r="M1069" i="2"/>
  <c r="M1070" i="2"/>
  <c r="M1071" i="2"/>
  <c r="M1072" i="2"/>
  <c r="M1073" i="2"/>
  <c r="M1074" i="2"/>
  <c r="M1075" i="2"/>
  <c r="M1076" i="2"/>
  <c r="M1077" i="2"/>
  <c r="M1078" i="2"/>
  <c r="M1079" i="2"/>
  <c r="M1080" i="2"/>
  <c r="M1081" i="2"/>
  <c r="M1082" i="2"/>
  <c r="M1083" i="2"/>
  <c r="M1084" i="2"/>
  <c r="M1085" i="2"/>
  <c r="M1086" i="2"/>
  <c r="M1087" i="2"/>
  <c r="M1088" i="2"/>
  <c r="M1089" i="2"/>
  <c r="M1090" i="2"/>
  <c r="M1091" i="2"/>
  <c r="M1092" i="2"/>
  <c r="M1093" i="2"/>
  <c r="M1094" i="2"/>
  <c r="M1095" i="2"/>
  <c r="M1096" i="2"/>
  <c r="M1097" i="2"/>
  <c r="M1098" i="2"/>
  <c r="M1099" i="2"/>
  <c r="M1100" i="2"/>
  <c r="M1101" i="2"/>
  <c r="M1102" i="2"/>
  <c r="M1103" i="2"/>
  <c r="M1104" i="2"/>
  <c r="M1105" i="2"/>
  <c r="M1106" i="2"/>
  <c r="M1107" i="2"/>
  <c r="M1108" i="2"/>
  <c r="M1109" i="2"/>
  <c r="M1110" i="2"/>
  <c r="M1111" i="2"/>
  <c r="M1112" i="2"/>
  <c r="M1113" i="2"/>
  <c r="M1114" i="2"/>
  <c r="M1115" i="2"/>
  <c r="M1116" i="2"/>
  <c r="M1117" i="2"/>
  <c r="M1118" i="2"/>
  <c r="M1119" i="2"/>
  <c r="M1120" i="2"/>
  <c r="M1121" i="2"/>
  <c r="M1122" i="2"/>
  <c r="M1123" i="2"/>
  <c r="M1124" i="2"/>
  <c r="M1125" i="2"/>
  <c r="M1126" i="2"/>
  <c r="M1127" i="2"/>
  <c r="M1128" i="2"/>
  <c r="M1129" i="2"/>
  <c r="M1130" i="2"/>
  <c r="M1131" i="2"/>
  <c r="M1132" i="2"/>
  <c r="M1133" i="2"/>
  <c r="M1134" i="2"/>
  <c r="M1135" i="2"/>
  <c r="M1136" i="2"/>
  <c r="M1137" i="2"/>
  <c r="M1138" i="2"/>
  <c r="M1139" i="2"/>
  <c r="M1140" i="2"/>
  <c r="M1141" i="2"/>
  <c r="M1142" i="2"/>
  <c r="M1143" i="2"/>
  <c r="M1144" i="2"/>
  <c r="M1145" i="2"/>
  <c r="M1146" i="2"/>
  <c r="M1147" i="2"/>
  <c r="M1148" i="2"/>
  <c r="M1149" i="2"/>
  <c r="M1150" i="2"/>
  <c r="M1151" i="2"/>
  <c r="M1152" i="2"/>
  <c r="M1153" i="2"/>
  <c r="M1154" i="2"/>
  <c r="M1155" i="2"/>
  <c r="M1156" i="2"/>
  <c r="M1157" i="2"/>
  <c r="M1158" i="2"/>
  <c r="M1159" i="2"/>
  <c r="M1160" i="2"/>
  <c r="M1161" i="2"/>
  <c r="M1162" i="2"/>
  <c r="M1163" i="2"/>
  <c r="M1164" i="2"/>
  <c r="M1165" i="2"/>
  <c r="M1166" i="2"/>
  <c r="M1167" i="2"/>
  <c r="M1168" i="2"/>
  <c r="M1169" i="2"/>
  <c r="M1170" i="2"/>
  <c r="M1171" i="2"/>
  <c r="M1172" i="2"/>
  <c r="M1173" i="2"/>
  <c r="M1174" i="2"/>
  <c r="M1175" i="2"/>
  <c r="M1176" i="2"/>
  <c r="M1177" i="2"/>
  <c r="M1178" i="2"/>
  <c r="M1179" i="2"/>
  <c r="M1180" i="2"/>
  <c r="M1181" i="2"/>
  <c r="M1182" i="2"/>
  <c r="M1183" i="2"/>
  <c r="M1184" i="2"/>
  <c r="M1185" i="2"/>
  <c r="M1186" i="2"/>
  <c r="M1187" i="2"/>
  <c r="M1188" i="2"/>
  <c r="M1189" i="2"/>
  <c r="M1190" i="2"/>
  <c r="M1191" i="2"/>
  <c r="M1192" i="2"/>
  <c r="M1193" i="2"/>
  <c r="M1194" i="2"/>
  <c r="M1195" i="2"/>
  <c r="M1196" i="2"/>
  <c r="M1197" i="2"/>
  <c r="M1198" i="2"/>
  <c r="M1199" i="2"/>
  <c r="M1200" i="2"/>
  <c r="M1201" i="2"/>
  <c r="M1202" i="2"/>
  <c r="M1203" i="2"/>
  <c r="M1204" i="2"/>
  <c r="M1205" i="2"/>
  <c r="M1206" i="2"/>
  <c r="M1207" i="2"/>
  <c r="M1208" i="2"/>
  <c r="M1209" i="2"/>
  <c r="M1210" i="2"/>
  <c r="M1211" i="2"/>
  <c r="M1212" i="2"/>
  <c r="M1213" i="2"/>
  <c r="M1214" i="2"/>
  <c r="M1215" i="2"/>
  <c r="M1216" i="2"/>
  <c r="M1217" i="2"/>
  <c r="M1218" i="2"/>
  <c r="M1219" i="2"/>
  <c r="M1220" i="2"/>
  <c r="M1221" i="2"/>
  <c r="M1222" i="2"/>
  <c r="M1223" i="2"/>
  <c r="M1224" i="2"/>
  <c r="M1225" i="2"/>
  <c r="M1226" i="2"/>
  <c r="M1227" i="2"/>
  <c r="M1228" i="2"/>
  <c r="M1229" i="2"/>
  <c r="M1230" i="2"/>
  <c r="M1231" i="2"/>
  <c r="M1232" i="2"/>
  <c r="M1233" i="2"/>
  <c r="M1234" i="2"/>
  <c r="M1235" i="2"/>
  <c r="M1236" i="2"/>
  <c r="M1237" i="2"/>
  <c r="M1238" i="2"/>
  <c r="M1239" i="2"/>
  <c r="M1240" i="2"/>
  <c r="M1241" i="2"/>
  <c r="M1242" i="2"/>
  <c r="M1243" i="2"/>
  <c r="M1244" i="2"/>
  <c r="M1245" i="2"/>
  <c r="M1246" i="2"/>
  <c r="M1247" i="2"/>
  <c r="M1248" i="2"/>
  <c r="M1249" i="2"/>
  <c r="M1250" i="2"/>
  <c r="M1251" i="2"/>
  <c r="M1252" i="2"/>
  <c r="M1253" i="2"/>
  <c r="M1254" i="2"/>
  <c r="M1255" i="2"/>
  <c r="M1256" i="2"/>
  <c r="M1257" i="2"/>
  <c r="M1258" i="2"/>
  <c r="M1259" i="2"/>
  <c r="M1260" i="2"/>
  <c r="M1261" i="2"/>
  <c r="M1262" i="2"/>
  <c r="M1263" i="2"/>
  <c r="M1264" i="2"/>
  <c r="M1265" i="2"/>
  <c r="M1266" i="2"/>
  <c r="M1267" i="2"/>
  <c r="M1268" i="2"/>
  <c r="M1269" i="2"/>
  <c r="M1270" i="2"/>
  <c r="M1271" i="2"/>
  <c r="M1272" i="2"/>
  <c r="M1273" i="2"/>
  <c r="M1274" i="2"/>
  <c r="M1275" i="2"/>
  <c r="M1276" i="2"/>
  <c r="M1277" i="2"/>
  <c r="M1278" i="2"/>
  <c r="M1279" i="2"/>
  <c r="M1280" i="2"/>
  <c r="M1281" i="2"/>
  <c r="M1282" i="2"/>
  <c r="M1283" i="2"/>
  <c r="M1284" i="2"/>
  <c r="M1285" i="2"/>
  <c r="M1286" i="2"/>
  <c r="M1287" i="2"/>
  <c r="M1288" i="2"/>
  <c r="M1289" i="2"/>
  <c r="M1290" i="2"/>
  <c r="M1291" i="2"/>
  <c r="M1292" i="2"/>
  <c r="M1293" i="2"/>
  <c r="M1294" i="2"/>
  <c r="M1295" i="2"/>
  <c r="M1296" i="2"/>
  <c r="M1297" i="2"/>
  <c r="M1298" i="2"/>
  <c r="M1299" i="2"/>
  <c r="M1300" i="2"/>
  <c r="M1301" i="2"/>
  <c r="M1302" i="2"/>
  <c r="M1303" i="2"/>
  <c r="M1304" i="2"/>
  <c r="M1305" i="2"/>
  <c r="M1306" i="2"/>
  <c r="M1307" i="2"/>
  <c r="M1308" i="2"/>
  <c r="M1309" i="2"/>
  <c r="M1310" i="2"/>
  <c r="M1311" i="2"/>
  <c r="M1312" i="2"/>
  <c r="M1313" i="2"/>
  <c r="M1314" i="2"/>
  <c r="M1315" i="2"/>
  <c r="M1316" i="2"/>
  <c r="M1317" i="2"/>
  <c r="M1318" i="2"/>
  <c r="M1319" i="2"/>
  <c r="M1320" i="2"/>
  <c r="M1321" i="2"/>
  <c r="M1322" i="2"/>
  <c r="M1323" i="2"/>
  <c r="M1324" i="2"/>
  <c r="M1325" i="2"/>
  <c r="M1326" i="2"/>
  <c r="M1327" i="2"/>
  <c r="M1328" i="2"/>
  <c r="M1329" i="2"/>
  <c r="M1330" i="2"/>
  <c r="M1331" i="2"/>
  <c r="M1332" i="2"/>
  <c r="M1333" i="2"/>
  <c r="M1334" i="2"/>
  <c r="M1335" i="2"/>
  <c r="M1336" i="2"/>
  <c r="M1337" i="2"/>
  <c r="M1338" i="2"/>
  <c r="M1339" i="2"/>
  <c r="M1340" i="2"/>
  <c r="M1341" i="2"/>
  <c r="M1342" i="2"/>
  <c r="M1343" i="2"/>
  <c r="M1344" i="2"/>
  <c r="M1345" i="2"/>
  <c r="M1346" i="2"/>
  <c r="M1347" i="2"/>
  <c r="M1348" i="2"/>
  <c r="M1349" i="2"/>
  <c r="M1350" i="2"/>
  <c r="M1351" i="2"/>
  <c r="M1352" i="2"/>
  <c r="M1353" i="2"/>
  <c r="M1354" i="2"/>
  <c r="M1355" i="2"/>
  <c r="M1356" i="2"/>
  <c r="M1357" i="2"/>
  <c r="M1358" i="2"/>
  <c r="M1359" i="2"/>
  <c r="M1360" i="2"/>
  <c r="M1361" i="2"/>
  <c r="M1362" i="2"/>
  <c r="M1363" i="2"/>
  <c r="M1364" i="2"/>
  <c r="M1365" i="2"/>
  <c r="M1366" i="2"/>
  <c r="M1367" i="2"/>
  <c r="M1368" i="2"/>
  <c r="M1369" i="2"/>
  <c r="M1370" i="2"/>
  <c r="M1371" i="2"/>
  <c r="M1372" i="2"/>
  <c r="M1373" i="2"/>
  <c r="M1374" i="2"/>
  <c r="M1375" i="2"/>
  <c r="M1376" i="2"/>
  <c r="M1377" i="2"/>
  <c r="M1378" i="2"/>
  <c r="M1379" i="2"/>
  <c r="M1380" i="2"/>
  <c r="M1381" i="2"/>
  <c r="M1382" i="2"/>
  <c r="M1383" i="2"/>
  <c r="M1384" i="2"/>
  <c r="M1385" i="2"/>
  <c r="M1386" i="2"/>
  <c r="M1387" i="2"/>
  <c r="M1388" i="2"/>
  <c r="M1389" i="2"/>
  <c r="M1390" i="2"/>
  <c r="M1391" i="2"/>
  <c r="M1392" i="2"/>
  <c r="M1393" i="2"/>
  <c r="M1394" i="2"/>
  <c r="M1395" i="2"/>
  <c r="M1396" i="2"/>
  <c r="M1397" i="2"/>
  <c r="M1398" i="2"/>
  <c r="M1399" i="2"/>
  <c r="M1400" i="2"/>
  <c r="M1401" i="2"/>
  <c r="M1402" i="2"/>
  <c r="M1403" i="2"/>
  <c r="M1404" i="2"/>
  <c r="M1405" i="2"/>
  <c r="M1406" i="2"/>
  <c r="M1407" i="2"/>
  <c r="M1408" i="2"/>
  <c r="M1409" i="2"/>
  <c r="M1410" i="2"/>
  <c r="M1411" i="2"/>
  <c r="M1412" i="2"/>
  <c r="M1413" i="2"/>
  <c r="M1414" i="2"/>
  <c r="M1415" i="2"/>
  <c r="M1416" i="2"/>
  <c r="M1417" i="2"/>
  <c r="M1418" i="2"/>
  <c r="M1419" i="2"/>
  <c r="M1420" i="2"/>
  <c r="M1421" i="2"/>
  <c r="M1422" i="2"/>
  <c r="M1423" i="2"/>
  <c r="M1424" i="2"/>
  <c r="M1425" i="2"/>
  <c r="M1426" i="2"/>
  <c r="M1427" i="2"/>
  <c r="M1428" i="2"/>
  <c r="M1429" i="2"/>
  <c r="M1430" i="2"/>
  <c r="M1431" i="2"/>
  <c r="M1432" i="2"/>
  <c r="M1433" i="2"/>
  <c r="M1434" i="2"/>
  <c r="M1435" i="2"/>
  <c r="M1436" i="2"/>
  <c r="M1437" i="2"/>
  <c r="M1438" i="2"/>
  <c r="M1439" i="2"/>
  <c r="M1440" i="2"/>
  <c r="M1441" i="2"/>
  <c r="M1442" i="2"/>
  <c r="M1443" i="2"/>
  <c r="M1444" i="2"/>
  <c r="M1445" i="2"/>
  <c r="M1446" i="2"/>
  <c r="M1447" i="2"/>
  <c r="M1448" i="2"/>
  <c r="M1449" i="2"/>
  <c r="M1450" i="2"/>
  <c r="M1451" i="2"/>
  <c r="M1452" i="2"/>
  <c r="M1453" i="2"/>
  <c r="M1454" i="2"/>
  <c r="M1455" i="2"/>
  <c r="M1456" i="2"/>
  <c r="M1457" i="2"/>
  <c r="M1458" i="2"/>
  <c r="M1459" i="2"/>
  <c r="M1460" i="2"/>
  <c r="M1461" i="2"/>
  <c r="M1462" i="2"/>
  <c r="M1463" i="2"/>
  <c r="M1464" i="2"/>
  <c r="M1465" i="2"/>
  <c r="M1466" i="2"/>
  <c r="M1467" i="2"/>
  <c r="M1468" i="2"/>
  <c r="M1469" i="2"/>
  <c r="M1470" i="2"/>
  <c r="M1471" i="2"/>
  <c r="M1472" i="2"/>
  <c r="M1473" i="2"/>
  <c r="M1474" i="2"/>
  <c r="M1475" i="2"/>
  <c r="M1476" i="2"/>
  <c r="M1477" i="2"/>
  <c r="M1478" i="2"/>
  <c r="M1479" i="2"/>
  <c r="M1480" i="2"/>
  <c r="M1481" i="2"/>
  <c r="M1482" i="2"/>
  <c r="M1483" i="2"/>
  <c r="M1484" i="2"/>
  <c r="M1485" i="2"/>
  <c r="M1486" i="2"/>
  <c r="M1487" i="2"/>
  <c r="M1488" i="2"/>
  <c r="M1489" i="2"/>
  <c r="M1490" i="2"/>
  <c r="M1491" i="2"/>
  <c r="M1492" i="2"/>
  <c r="M1493" i="2"/>
  <c r="M1494" i="2"/>
  <c r="M1495" i="2"/>
  <c r="M1496" i="2"/>
  <c r="M1497" i="2"/>
  <c r="M1498" i="2"/>
  <c r="M1499" i="2"/>
  <c r="M1500" i="2"/>
  <c r="M1501" i="2"/>
  <c r="M1502" i="2"/>
  <c r="M1503" i="2"/>
  <c r="M1504" i="2"/>
  <c r="M1505" i="2"/>
  <c r="M1506" i="2"/>
  <c r="M1507" i="2"/>
  <c r="M1508" i="2"/>
  <c r="M1509" i="2"/>
  <c r="M1510" i="2"/>
  <c r="M1511" i="2"/>
  <c r="M1512" i="2"/>
  <c r="M1513" i="2"/>
  <c r="M1514" i="2"/>
  <c r="M1515" i="2"/>
  <c r="M1516" i="2"/>
  <c r="M1517" i="2"/>
  <c r="M1518" i="2"/>
  <c r="M1519" i="2"/>
  <c r="M1520" i="2"/>
  <c r="M1521" i="2"/>
  <c r="M1522" i="2"/>
  <c r="M1523" i="2"/>
  <c r="M1524" i="2"/>
  <c r="M1525" i="2"/>
  <c r="M1526" i="2"/>
  <c r="M1527" i="2"/>
  <c r="M1528" i="2"/>
  <c r="M1529" i="2"/>
  <c r="M1530" i="2"/>
  <c r="M1531" i="2"/>
  <c r="M1532" i="2"/>
  <c r="M1533" i="2"/>
  <c r="M1534" i="2"/>
  <c r="M1535" i="2"/>
  <c r="M1536" i="2"/>
  <c r="M1537" i="2"/>
  <c r="M1538" i="2"/>
  <c r="M1539" i="2"/>
  <c r="M1540" i="2"/>
  <c r="M1541" i="2"/>
  <c r="M1542" i="2"/>
  <c r="M1543" i="2"/>
  <c r="M1544" i="2"/>
  <c r="M1545" i="2"/>
  <c r="M1546" i="2"/>
  <c r="M1547" i="2"/>
  <c r="M1548" i="2"/>
  <c r="M1549" i="2"/>
  <c r="M1550" i="2"/>
  <c r="M1551" i="2"/>
  <c r="M1552" i="2"/>
  <c r="M1553" i="2"/>
  <c r="M1554" i="2"/>
  <c r="M1555" i="2"/>
  <c r="M1556" i="2"/>
  <c r="M1557" i="2"/>
  <c r="M1558" i="2"/>
  <c r="M1559" i="2"/>
  <c r="M1560" i="2"/>
  <c r="M1561" i="2"/>
  <c r="M1562" i="2"/>
  <c r="M1563" i="2"/>
  <c r="M1564" i="2"/>
  <c r="M1565" i="2"/>
  <c r="M1566" i="2"/>
  <c r="M1567" i="2"/>
  <c r="M1568" i="2"/>
  <c r="M1569" i="2"/>
  <c r="M1570" i="2"/>
  <c r="M1571" i="2"/>
  <c r="M1572" i="2"/>
  <c r="M1573" i="2"/>
  <c r="M1574" i="2"/>
  <c r="M1575" i="2"/>
  <c r="M1576" i="2"/>
  <c r="M1577" i="2"/>
  <c r="M1578" i="2"/>
  <c r="M1579" i="2"/>
  <c r="M1580" i="2"/>
  <c r="M1581" i="2"/>
  <c r="M1582" i="2"/>
  <c r="M1583" i="2"/>
  <c r="M1584" i="2"/>
  <c r="M1585" i="2"/>
  <c r="M1586" i="2"/>
  <c r="M1587" i="2"/>
  <c r="M1588" i="2"/>
  <c r="M1589" i="2"/>
  <c r="M1590" i="2"/>
  <c r="M1591" i="2"/>
  <c r="M1592" i="2"/>
  <c r="M1593" i="2"/>
  <c r="M1594" i="2"/>
  <c r="M1595" i="2"/>
  <c r="M1596" i="2"/>
  <c r="M1597" i="2"/>
  <c r="M1598" i="2"/>
  <c r="M1599" i="2"/>
  <c r="M1600" i="2"/>
  <c r="M1601" i="2"/>
  <c r="M1602" i="2"/>
  <c r="M1603" i="2"/>
  <c r="M1604" i="2"/>
  <c r="M1605" i="2"/>
  <c r="M1606" i="2"/>
  <c r="M1607" i="2"/>
  <c r="M1608" i="2"/>
  <c r="M1609" i="2"/>
  <c r="M1610" i="2"/>
  <c r="M1611" i="2"/>
  <c r="M1612" i="2"/>
  <c r="M1613" i="2"/>
  <c r="M1614" i="2"/>
  <c r="M1615" i="2"/>
  <c r="M1616" i="2"/>
  <c r="M1617" i="2"/>
  <c r="M1618" i="2"/>
  <c r="M1619" i="2"/>
  <c r="M1620" i="2"/>
  <c r="M1621" i="2"/>
  <c r="M1622" i="2"/>
  <c r="M1623" i="2"/>
  <c r="M1624" i="2"/>
  <c r="M1625" i="2"/>
  <c r="M1626" i="2"/>
  <c r="M1627" i="2"/>
  <c r="M1628" i="2"/>
  <c r="M1629" i="2"/>
  <c r="M1630" i="2"/>
  <c r="M1631" i="2"/>
  <c r="M1632" i="2"/>
  <c r="M1633" i="2"/>
  <c r="M1634" i="2"/>
  <c r="M1635" i="2"/>
  <c r="M1636" i="2"/>
  <c r="M1637" i="2"/>
  <c r="M1638" i="2"/>
  <c r="M1639" i="2"/>
  <c r="M1640" i="2"/>
  <c r="M1641" i="2"/>
  <c r="M1642" i="2"/>
  <c r="M1643" i="2"/>
  <c r="M1644" i="2"/>
  <c r="M1645" i="2"/>
  <c r="M1646" i="2"/>
  <c r="M1647" i="2"/>
  <c r="M1648" i="2"/>
  <c r="M1649" i="2"/>
  <c r="M1650" i="2"/>
  <c r="M1651" i="2"/>
  <c r="M1652" i="2"/>
  <c r="M1653" i="2"/>
  <c r="M1654" i="2"/>
  <c r="M1655" i="2"/>
  <c r="M1656" i="2"/>
  <c r="M1657" i="2"/>
  <c r="M1658" i="2"/>
  <c r="M1659" i="2"/>
  <c r="M1660" i="2"/>
  <c r="M1661" i="2"/>
  <c r="M1662" i="2"/>
  <c r="M1663" i="2"/>
  <c r="M1664" i="2"/>
  <c r="M1665" i="2"/>
  <c r="M1666" i="2"/>
  <c r="M1667" i="2"/>
  <c r="M1668" i="2"/>
  <c r="M1669" i="2"/>
  <c r="M1670" i="2"/>
  <c r="M1671" i="2"/>
  <c r="M1672" i="2"/>
  <c r="M1673" i="2"/>
  <c r="M1674" i="2"/>
  <c r="M1675" i="2"/>
  <c r="M1676" i="2"/>
  <c r="M1677" i="2"/>
  <c r="M1678" i="2"/>
  <c r="M1679" i="2"/>
  <c r="M1680" i="2"/>
  <c r="M1681" i="2"/>
  <c r="M1682" i="2"/>
  <c r="M1683" i="2"/>
  <c r="M1684" i="2"/>
  <c r="M1685" i="2"/>
  <c r="M1686" i="2"/>
  <c r="M1687" i="2"/>
  <c r="M1688" i="2"/>
  <c r="M1689" i="2"/>
  <c r="M1690" i="2"/>
  <c r="M1691" i="2"/>
  <c r="M1692" i="2"/>
  <c r="M1693" i="2"/>
  <c r="M1694" i="2"/>
  <c r="M1695" i="2"/>
  <c r="M1696" i="2"/>
  <c r="M1697" i="2"/>
  <c r="M1698" i="2"/>
  <c r="M1699" i="2"/>
  <c r="M1700" i="2"/>
  <c r="M1701" i="2"/>
  <c r="M1702" i="2"/>
  <c r="M1703" i="2"/>
  <c r="M1704" i="2"/>
  <c r="M1705" i="2"/>
  <c r="M1706" i="2"/>
  <c r="M1707" i="2"/>
  <c r="M1708" i="2"/>
  <c r="M1709" i="2"/>
  <c r="M1710" i="2"/>
  <c r="M1711" i="2"/>
  <c r="M1712" i="2"/>
  <c r="M1713" i="2"/>
  <c r="M1714" i="2"/>
  <c r="M1715" i="2"/>
  <c r="M1716" i="2"/>
  <c r="M1717" i="2"/>
  <c r="M1718" i="2"/>
  <c r="M1719" i="2"/>
  <c r="M1720" i="2"/>
  <c r="M1721" i="2"/>
  <c r="M1722" i="2"/>
  <c r="M1723" i="2"/>
  <c r="M1724" i="2"/>
  <c r="M1725" i="2"/>
  <c r="M1726" i="2"/>
  <c r="M1727" i="2"/>
  <c r="M1728" i="2"/>
  <c r="M1729" i="2"/>
  <c r="M1730" i="2"/>
  <c r="M1731" i="2"/>
  <c r="M1732" i="2"/>
  <c r="M1733" i="2"/>
  <c r="M1734" i="2"/>
  <c r="M1735" i="2"/>
  <c r="M1736" i="2"/>
  <c r="M1737" i="2"/>
  <c r="M1738" i="2"/>
  <c r="M1739" i="2"/>
  <c r="M1740" i="2"/>
  <c r="M1741" i="2"/>
  <c r="M1742" i="2"/>
  <c r="M1743" i="2"/>
  <c r="M1744" i="2"/>
  <c r="M1745" i="2"/>
  <c r="M1746" i="2"/>
  <c r="M1747" i="2"/>
  <c r="M1748" i="2"/>
  <c r="M1749" i="2"/>
  <c r="M1750" i="2"/>
  <c r="M1751" i="2"/>
  <c r="M1752" i="2"/>
  <c r="M1753" i="2"/>
  <c r="M1754" i="2"/>
  <c r="M1755" i="2"/>
  <c r="M1756" i="2"/>
  <c r="M1757" i="2"/>
  <c r="M1758" i="2"/>
  <c r="M1759" i="2"/>
  <c r="M1760" i="2"/>
  <c r="M1761" i="2"/>
  <c r="M1762" i="2"/>
  <c r="M1763" i="2"/>
  <c r="M1764" i="2"/>
  <c r="M1765" i="2"/>
  <c r="M1766" i="2"/>
  <c r="M1767" i="2"/>
  <c r="M1768" i="2"/>
  <c r="M1769" i="2"/>
  <c r="M1770" i="2"/>
  <c r="M1771" i="2"/>
  <c r="M1772" i="2"/>
  <c r="M1773" i="2"/>
  <c r="M1774" i="2"/>
  <c r="M1775" i="2"/>
  <c r="M1776" i="2"/>
  <c r="M1777" i="2"/>
  <c r="M1778" i="2"/>
  <c r="M1779" i="2"/>
  <c r="M1780" i="2"/>
  <c r="M1781" i="2"/>
  <c r="M1782" i="2"/>
  <c r="M1783" i="2"/>
  <c r="M1784" i="2"/>
  <c r="M1785" i="2"/>
  <c r="M1786" i="2"/>
  <c r="M1787" i="2"/>
  <c r="M1788" i="2"/>
  <c r="M1789" i="2"/>
  <c r="M1790" i="2"/>
  <c r="M1791" i="2"/>
  <c r="M1792" i="2"/>
  <c r="M1793" i="2"/>
  <c r="M1794" i="2"/>
  <c r="M1795" i="2"/>
  <c r="M1796" i="2"/>
  <c r="M1797" i="2"/>
  <c r="M1798" i="2"/>
  <c r="M1799" i="2"/>
  <c r="M1800" i="2"/>
  <c r="M1801" i="2"/>
  <c r="M1802" i="2"/>
  <c r="M1803" i="2"/>
  <c r="M1804" i="2"/>
  <c r="M1805" i="2"/>
  <c r="M1806" i="2"/>
  <c r="M1807" i="2"/>
  <c r="M1808" i="2"/>
  <c r="M1809" i="2"/>
  <c r="M1810" i="2"/>
  <c r="M1811" i="2"/>
  <c r="M1812" i="2"/>
  <c r="M1813" i="2"/>
  <c r="M1814" i="2"/>
  <c r="M1815" i="2"/>
  <c r="M1816" i="2"/>
  <c r="M1817" i="2"/>
  <c r="M1818" i="2"/>
  <c r="M1819" i="2"/>
  <c r="M1820" i="2"/>
  <c r="M1821" i="2"/>
  <c r="M1822" i="2"/>
  <c r="M1823" i="2"/>
  <c r="M1824" i="2"/>
  <c r="M1825" i="2"/>
  <c r="M1826" i="2"/>
  <c r="M1827" i="2"/>
  <c r="M1828" i="2"/>
  <c r="M1829" i="2"/>
  <c r="M1830" i="2"/>
  <c r="M1831" i="2"/>
  <c r="M1832" i="2"/>
  <c r="M1833" i="2"/>
  <c r="M1834" i="2"/>
  <c r="M1835" i="2"/>
  <c r="M1836" i="2"/>
  <c r="M1837" i="2"/>
  <c r="M1838" i="2"/>
  <c r="M1839" i="2"/>
  <c r="M1840" i="2"/>
  <c r="M1841" i="2"/>
  <c r="M1842" i="2"/>
  <c r="M1843" i="2"/>
  <c r="M1844" i="2"/>
  <c r="M1845" i="2"/>
  <c r="M1846" i="2"/>
  <c r="M1847" i="2"/>
  <c r="M1848" i="2"/>
  <c r="M1849" i="2"/>
  <c r="M1850" i="2"/>
  <c r="M1851" i="2"/>
  <c r="M1852" i="2"/>
  <c r="M1853" i="2"/>
  <c r="M1854" i="2"/>
  <c r="M1855" i="2"/>
  <c r="M1856" i="2"/>
  <c r="M1857" i="2"/>
  <c r="M1858" i="2"/>
  <c r="M1859" i="2"/>
  <c r="M1860" i="2"/>
  <c r="M1861" i="2"/>
  <c r="M1862" i="2"/>
  <c r="M1863" i="2"/>
  <c r="M1864" i="2"/>
  <c r="M1865" i="2"/>
  <c r="M1866" i="2"/>
  <c r="M1867" i="2"/>
  <c r="M1868" i="2"/>
  <c r="M1869" i="2"/>
  <c r="M1870" i="2"/>
  <c r="M1871" i="2"/>
  <c r="M1872" i="2"/>
  <c r="M1873" i="2"/>
  <c r="M1874" i="2"/>
  <c r="M1875" i="2"/>
  <c r="M1876" i="2"/>
  <c r="M1877" i="2"/>
  <c r="M1878" i="2"/>
  <c r="M1879" i="2"/>
  <c r="M1880" i="2"/>
  <c r="M1881" i="2"/>
  <c r="M1882" i="2"/>
  <c r="M1883" i="2"/>
  <c r="M1884" i="2"/>
  <c r="M1885" i="2"/>
  <c r="M1886" i="2"/>
  <c r="M1887" i="2"/>
  <c r="M1888" i="2"/>
  <c r="M1889" i="2"/>
  <c r="M1890" i="2"/>
  <c r="M1891" i="2"/>
  <c r="M1892" i="2"/>
  <c r="M1893" i="2"/>
  <c r="M1894" i="2"/>
  <c r="M1895" i="2"/>
  <c r="M1896" i="2"/>
  <c r="M1897" i="2"/>
  <c r="M1898" i="2"/>
  <c r="M1899" i="2"/>
  <c r="M1900" i="2"/>
  <c r="M1901" i="2"/>
  <c r="M1902" i="2"/>
  <c r="M1903" i="2"/>
  <c r="M1904" i="2"/>
  <c r="M1905" i="2"/>
  <c r="M1906" i="2"/>
  <c r="M1907" i="2"/>
  <c r="M1908" i="2"/>
  <c r="M1909" i="2"/>
  <c r="M1910" i="2"/>
  <c r="M1911" i="2"/>
  <c r="M1912" i="2"/>
  <c r="M1913" i="2"/>
  <c r="M1914" i="2"/>
  <c r="M1915" i="2"/>
  <c r="M1916" i="2"/>
  <c r="M1917" i="2"/>
  <c r="M1918" i="2"/>
  <c r="M1919" i="2"/>
  <c r="M1920" i="2"/>
  <c r="M1921" i="2"/>
  <c r="M1922" i="2"/>
  <c r="M1923" i="2"/>
  <c r="M1924" i="2"/>
  <c r="M1925" i="2"/>
  <c r="M1926" i="2"/>
  <c r="M1927" i="2"/>
  <c r="M1928" i="2"/>
  <c r="M1929" i="2"/>
  <c r="M1930" i="2"/>
  <c r="M1931" i="2"/>
  <c r="M1932" i="2"/>
  <c r="M1933" i="2"/>
  <c r="M1934" i="2"/>
  <c r="M1935" i="2"/>
  <c r="M1936" i="2"/>
  <c r="M1937" i="2"/>
  <c r="M1938" i="2"/>
  <c r="M1939" i="2"/>
  <c r="M1940" i="2"/>
  <c r="M1941" i="2"/>
  <c r="M1942" i="2"/>
  <c r="M1943" i="2"/>
  <c r="M1944" i="2"/>
  <c r="M1945" i="2"/>
  <c r="M1946" i="2"/>
  <c r="M1947" i="2"/>
  <c r="M1948" i="2"/>
  <c r="M1949" i="2"/>
  <c r="M1950" i="2"/>
  <c r="M1951" i="2"/>
  <c r="M1952" i="2"/>
  <c r="M1953" i="2"/>
  <c r="M1954" i="2"/>
  <c r="M1955" i="2"/>
  <c r="M1956" i="2"/>
  <c r="M1957" i="2"/>
  <c r="M1958" i="2"/>
  <c r="M1959" i="2"/>
  <c r="M1960" i="2"/>
  <c r="M1961" i="2"/>
  <c r="M1962" i="2"/>
  <c r="M1963" i="2"/>
  <c r="M1964" i="2"/>
  <c r="M1965" i="2"/>
  <c r="M1966" i="2"/>
  <c r="M1967" i="2"/>
  <c r="M1968" i="2"/>
  <c r="M1969" i="2"/>
  <c r="M1970" i="2"/>
  <c r="M1971" i="2"/>
  <c r="M1972" i="2"/>
  <c r="M1973" i="2"/>
  <c r="M1974" i="2"/>
  <c r="M1975" i="2"/>
  <c r="M1976" i="2"/>
  <c r="M1977" i="2"/>
  <c r="M1978" i="2"/>
  <c r="M1979" i="2"/>
  <c r="M1980" i="2"/>
  <c r="M1981" i="2"/>
  <c r="M1982" i="2"/>
  <c r="M1983" i="2"/>
  <c r="M1984" i="2"/>
  <c r="M1985" i="2"/>
  <c r="M1986" i="2"/>
  <c r="M1987" i="2"/>
  <c r="M1988" i="2"/>
  <c r="M1989" i="2"/>
  <c r="M1990" i="2"/>
  <c r="M1991" i="2"/>
  <c r="M1992" i="2"/>
  <c r="M1993" i="2"/>
  <c r="M1994" i="2"/>
  <c r="M1995" i="2"/>
  <c r="M1996" i="2"/>
  <c r="M1997" i="2"/>
  <c r="M1998" i="2"/>
  <c r="M1999" i="2"/>
  <c r="M2000" i="2"/>
  <c r="M2001" i="2"/>
  <c r="M2002" i="2"/>
  <c r="M2003" i="2"/>
  <c r="M2004" i="2"/>
  <c r="M2005" i="2"/>
  <c r="M2006" i="2"/>
  <c r="M2007" i="2"/>
  <c r="M2008" i="2"/>
  <c r="M2009" i="2"/>
  <c r="M2010" i="2"/>
  <c r="M2011" i="2"/>
  <c r="M2012" i="2"/>
  <c r="M2013" i="2"/>
  <c r="M2014" i="2"/>
  <c r="M2015" i="2"/>
  <c r="M2016" i="2"/>
  <c r="M2017" i="2"/>
  <c r="M2018" i="2"/>
  <c r="M2019" i="2"/>
  <c r="M2020" i="2"/>
  <c r="M2021" i="2"/>
  <c r="M2022" i="2"/>
  <c r="M2023" i="2"/>
  <c r="M2024" i="2"/>
  <c r="M2025" i="2"/>
  <c r="M2026" i="2"/>
  <c r="M2027" i="2"/>
  <c r="M2028" i="2"/>
  <c r="M2029" i="2"/>
  <c r="M2030" i="2"/>
  <c r="M2031" i="2"/>
  <c r="M2032" i="2"/>
  <c r="M2033" i="2"/>
  <c r="M2034" i="2"/>
  <c r="M2035" i="2"/>
  <c r="M2036" i="2"/>
  <c r="M2037" i="2"/>
  <c r="M2038" i="2"/>
  <c r="M2039" i="2"/>
  <c r="M2040" i="2"/>
  <c r="M2041" i="2"/>
  <c r="M2042" i="2"/>
  <c r="M2043" i="2"/>
  <c r="M2044" i="2"/>
  <c r="M2045" i="2"/>
  <c r="M2046" i="2"/>
  <c r="M2047" i="2"/>
  <c r="M2048" i="2"/>
  <c r="M2049" i="2"/>
  <c r="M2050" i="2"/>
  <c r="M2051" i="2"/>
  <c r="M2052" i="2"/>
  <c r="M2053" i="2"/>
  <c r="M2054" i="2"/>
  <c r="M2055" i="2"/>
  <c r="M2056" i="2"/>
  <c r="M2057" i="2"/>
  <c r="M2058" i="2"/>
  <c r="M2059" i="2"/>
  <c r="M2060" i="2"/>
  <c r="M2061" i="2"/>
  <c r="M2062" i="2"/>
  <c r="M2063" i="2"/>
  <c r="M2064" i="2"/>
  <c r="M2065" i="2"/>
  <c r="M2066" i="2"/>
  <c r="M2067" i="2"/>
  <c r="M2068" i="2"/>
  <c r="M2069" i="2"/>
  <c r="M2070" i="2"/>
  <c r="M2071" i="2"/>
  <c r="M2072" i="2"/>
  <c r="M2073" i="2"/>
  <c r="M2074" i="2"/>
  <c r="M2075" i="2"/>
  <c r="M2076" i="2"/>
  <c r="M2077" i="2"/>
  <c r="M2078" i="2"/>
  <c r="M2079" i="2"/>
  <c r="M2080" i="2"/>
  <c r="M2081" i="2"/>
  <c r="M2082" i="2"/>
  <c r="M2083" i="2"/>
  <c r="M2084" i="2"/>
  <c r="M2085" i="2"/>
  <c r="M2086" i="2"/>
  <c r="M2087" i="2"/>
  <c r="M2088" i="2"/>
  <c r="M2089" i="2"/>
  <c r="M2090" i="2"/>
  <c r="M2091" i="2"/>
  <c r="M2092" i="2"/>
  <c r="M2093" i="2"/>
  <c r="M2094" i="2"/>
  <c r="M2095" i="2"/>
  <c r="M2096" i="2"/>
  <c r="M2097" i="2"/>
  <c r="M2098" i="2"/>
  <c r="M2099" i="2"/>
  <c r="M2100" i="2"/>
  <c r="M2101" i="2"/>
  <c r="M2102" i="2"/>
  <c r="M2103" i="2"/>
  <c r="M2104" i="2"/>
  <c r="M2105" i="2"/>
  <c r="M2106" i="2"/>
  <c r="M2107" i="2"/>
  <c r="M2108" i="2"/>
  <c r="M2109" i="2"/>
  <c r="M2110" i="2"/>
  <c r="M2111" i="2"/>
  <c r="M2112" i="2"/>
  <c r="M2113" i="2"/>
  <c r="M2114" i="2"/>
  <c r="M2115" i="2"/>
  <c r="M2116" i="2"/>
  <c r="M2117" i="2"/>
  <c r="M2118" i="2"/>
  <c r="M2119" i="2"/>
  <c r="M2120" i="2"/>
  <c r="M2121" i="2"/>
  <c r="M2122" i="2"/>
  <c r="M2123" i="2"/>
  <c r="M2124" i="2"/>
  <c r="M2125" i="2"/>
  <c r="M2126" i="2"/>
  <c r="M2127" i="2"/>
  <c r="M2128" i="2"/>
  <c r="M2129" i="2"/>
  <c r="M2130" i="2"/>
  <c r="M2131" i="2"/>
  <c r="M2132" i="2"/>
  <c r="M2133" i="2"/>
  <c r="M2134" i="2"/>
  <c r="M2135" i="2"/>
  <c r="M2136" i="2"/>
  <c r="M2137" i="2"/>
  <c r="M2138" i="2"/>
  <c r="M2139" i="2"/>
  <c r="M2140" i="2"/>
  <c r="M2141" i="2"/>
  <c r="M2142" i="2"/>
  <c r="M2143" i="2"/>
  <c r="M2144" i="2"/>
  <c r="M2145" i="2"/>
  <c r="M2146" i="2"/>
  <c r="M2147" i="2"/>
  <c r="M2148" i="2"/>
  <c r="M2149" i="2"/>
  <c r="M2150" i="2"/>
  <c r="M2151" i="2"/>
  <c r="M2152" i="2"/>
  <c r="M2153" i="2"/>
  <c r="M2154" i="2"/>
  <c r="M2155" i="2"/>
  <c r="M2156" i="2"/>
  <c r="M2157" i="2"/>
  <c r="M2158" i="2"/>
  <c r="M2159" i="2"/>
  <c r="M2160" i="2"/>
  <c r="M2161" i="2"/>
  <c r="M2162" i="2"/>
  <c r="M2163" i="2"/>
  <c r="M2164" i="2"/>
  <c r="M2165" i="2"/>
  <c r="M2166" i="2"/>
  <c r="M2167" i="2"/>
  <c r="M2168" i="2"/>
  <c r="M2169" i="2"/>
  <c r="M2170" i="2"/>
  <c r="M2171" i="2"/>
  <c r="M2172" i="2"/>
  <c r="M2173" i="2"/>
  <c r="M2174" i="2"/>
  <c r="M2175" i="2"/>
  <c r="M2176" i="2"/>
  <c r="M2177" i="2"/>
  <c r="M2178" i="2"/>
  <c r="M2179" i="2"/>
  <c r="M2180" i="2"/>
  <c r="M2181" i="2"/>
  <c r="M2182" i="2"/>
  <c r="M2183" i="2"/>
  <c r="M2184" i="2"/>
  <c r="M2185" i="2"/>
  <c r="M2186" i="2"/>
  <c r="M2187" i="2"/>
  <c r="M2188" i="2"/>
  <c r="M2189" i="2"/>
  <c r="M2190" i="2"/>
  <c r="M2191" i="2"/>
  <c r="M2192" i="2"/>
  <c r="M2193" i="2"/>
  <c r="M2194" i="2"/>
  <c r="M2195" i="2"/>
  <c r="M2196" i="2"/>
  <c r="M2197" i="2"/>
  <c r="M2198" i="2"/>
  <c r="M2199" i="2"/>
  <c r="M2200" i="2"/>
  <c r="M2201" i="2"/>
  <c r="M2202" i="2"/>
  <c r="M2203" i="2"/>
  <c r="M2204" i="2"/>
  <c r="M2205" i="2"/>
  <c r="M2206" i="2"/>
  <c r="M2207" i="2"/>
  <c r="M2208" i="2"/>
  <c r="M2209" i="2"/>
  <c r="M2210" i="2"/>
  <c r="M2211" i="2"/>
  <c r="M2212" i="2"/>
  <c r="M2213" i="2"/>
  <c r="M2214" i="2"/>
  <c r="M2215" i="2"/>
  <c r="M2216" i="2"/>
  <c r="M2217" i="2"/>
  <c r="M2218" i="2"/>
  <c r="M2219" i="2"/>
  <c r="M2220" i="2"/>
  <c r="M2221" i="2"/>
  <c r="M2222" i="2"/>
  <c r="M2223" i="2"/>
  <c r="M2224" i="2"/>
  <c r="M2225" i="2"/>
  <c r="M2226" i="2"/>
  <c r="M2227" i="2"/>
  <c r="M2228" i="2"/>
  <c r="M2229" i="2"/>
  <c r="M2230" i="2"/>
  <c r="M2231" i="2"/>
  <c r="M2232" i="2"/>
  <c r="M2233" i="2"/>
  <c r="M2234" i="2"/>
  <c r="M2235" i="2"/>
  <c r="M2236" i="2"/>
  <c r="M2237" i="2"/>
  <c r="M2238" i="2"/>
  <c r="M2239" i="2"/>
  <c r="M2240" i="2"/>
  <c r="M2241" i="2"/>
  <c r="M2242" i="2"/>
  <c r="M2243" i="2"/>
  <c r="M2244" i="2"/>
  <c r="M2245" i="2"/>
  <c r="M2246" i="2"/>
  <c r="M2247" i="2"/>
  <c r="M2248" i="2"/>
  <c r="M2249" i="2"/>
  <c r="M2250" i="2"/>
  <c r="M2251" i="2"/>
  <c r="M2252" i="2"/>
  <c r="M2253" i="2"/>
  <c r="M2254" i="2"/>
  <c r="M2255" i="2"/>
  <c r="M2256" i="2"/>
  <c r="M2257" i="2"/>
  <c r="M2258" i="2"/>
  <c r="M2259" i="2"/>
  <c r="M2260" i="2"/>
  <c r="M2261" i="2"/>
  <c r="M2262" i="2"/>
  <c r="M2263" i="2"/>
  <c r="M2264" i="2"/>
  <c r="M2265" i="2"/>
  <c r="M2266" i="2"/>
  <c r="M2267" i="2"/>
  <c r="M2268" i="2"/>
  <c r="M2269" i="2"/>
  <c r="M2270" i="2"/>
  <c r="M2271" i="2"/>
  <c r="M2272" i="2"/>
  <c r="M2273" i="2"/>
  <c r="M2274" i="2"/>
  <c r="M2275" i="2"/>
  <c r="M2276" i="2"/>
  <c r="M2277" i="2"/>
  <c r="M2278" i="2"/>
  <c r="M2279" i="2"/>
  <c r="M2280" i="2"/>
  <c r="M2281" i="2"/>
  <c r="M2282" i="2"/>
  <c r="M2283" i="2"/>
  <c r="M2284" i="2"/>
  <c r="M2285" i="2"/>
  <c r="M2286" i="2"/>
  <c r="M2287" i="2"/>
  <c r="M2288" i="2"/>
  <c r="M2289" i="2"/>
  <c r="M2290" i="2"/>
  <c r="M2291" i="2"/>
  <c r="M2292" i="2"/>
  <c r="M2293" i="2"/>
  <c r="M2294" i="2"/>
  <c r="M2295" i="2"/>
  <c r="M2296" i="2"/>
  <c r="M2297" i="2"/>
  <c r="M2298" i="2"/>
  <c r="M2299" i="2"/>
  <c r="M2300" i="2"/>
  <c r="M2301" i="2"/>
  <c r="M2302" i="2"/>
  <c r="M2303" i="2"/>
  <c r="M2304" i="2"/>
  <c r="M2305" i="2"/>
  <c r="M2306" i="2"/>
  <c r="M2307" i="2"/>
  <c r="M2308" i="2"/>
  <c r="M2309" i="2"/>
  <c r="M2310" i="2"/>
  <c r="M2311" i="2"/>
  <c r="M2312" i="2"/>
  <c r="M2313" i="2"/>
  <c r="M2314" i="2"/>
  <c r="M2315" i="2"/>
  <c r="M2316" i="2"/>
  <c r="M2317" i="2"/>
  <c r="M2318" i="2"/>
  <c r="M2319" i="2"/>
  <c r="M2320" i="2"/>
  <c r="M2321" i="2"/>
  <c r="M2322" i="2"/>
  <c r="M2323" i="2"/>
  <c r="M2324" i="2"/>
  <c r="M2325" i="2"/>
  <c r="M2326" i="2"/>
  <c r="M2327" i="2"/>
  <c r="M2328" i="2"/>
  <c r="M2329" i="2"/>
  <c r="M2330" i="2"/>
  <c r="M2331" i="2"/>
  <c r="M2332" i="2"/>
  <c r="M2333" i="2"/>
  <c r="M2334" i="2"/>
  <c r="M2335" i="2"/>
  <c r="M2336" i="2"/>
  <c r="M2337" i="2"/>
  <c r="M2338" i="2"/>
  <c r="M2339" i="2"/>
  <c r="M2340" i="2"/>
  <c r="M2341" i="2"/>
  <c r="M2342" i="2"/>
  <c r="M2343" i="2"/>
  <c r="M2344" i="2"/>
  <c r="M2345" i="2"/>
  <c r="M2346" i="2"/>
  <c r="M2347" i="2"/>
  <c r="M2348" i="2"/>
  <c r="M2349" i="2"/>
  <c r="M2350" i="2"/>
  <c r="M2351" i="2"/>
  <c r="M2352" i="2"/>
  <c r="M2353" i="2"/>
  <c r="M2354" i="2"/>
  <c r="M2355" i="2"/>
  <c r="M2356" i="2"/>
  <c r="M2357" i="2"/>
  <c r="M2358" i="2"/>
  <c r="M2359" i="2"/>
  <c r="M2360" i="2"/>
  <c r="M2361" i="2"/>
  <c r="M2362" i="2"/>
  <c r="M2363" i="2"/>
  <c r="M2364" i="2"/>
  <c r="M2365" i="2"/>
  <c r="M2366" i="2"/>
  <c r="M2367" i="2"/>
  <c r="M2368" i="2"/>
  <c r="M2369" i="2"/>
  <c r="M2370" i="2"/>
  <c r="M2371" i="2"/>
  <c r="M2372" i="2"/>
  <c r="M2373" i="2"/>
  <c r="M2374" i="2"/>
  <c r="M2375" i="2"/>
  <c r="M2376" i="2"/>
  <c r="M2377" i="2"/>
  <c r="M2378" i="2"/>
  <c r="M2379" i="2"/>
  <c r="M2380" i="2"/>
  <c r="M2381" i="2"/>
  <c r="M2382" i="2"/>
  <c r="M2383" i="2"/>
  <c r="M2384" i="2"/>
  <c r="M2385" i="2"/>
  <c r="M2386" i="2"/>
  <c r="M2387" i="2"/>
  <c r="M2388" i="2"/>
  <c r="M2389" i="2"/>
  <c r="M2390" i="2"/>
  <c r="M2391" i="2"/>
  <c r="M2392" i="2"/>
  <c r="M2393" i="2"/>
  <c r="M2394" i="2"/>
  <c r="M2395" i="2"/>
  <c r="M2396" i="2"/>
  <c r="M2397" i="2"/>
  <c r="M2398" i="2"/>
  <c r="M2399" i="2"/>
  <c r="M2400" i="2"/>
  <c r="M2401" i="2"/>
  <c r="M2402" i="2"/>
  <c r="M2403" i="2"/>
  <c r="M2404" i="2"/>
  <c r="M2405" i="2"/>
  <c r="M2406" i="2"/>
  <c r="M2407" i="2"/>
  <c r="M2408" i="2"/>
  <c r="M2409" i="2"/>
  <c r="M2410" i="2"/>
  <c r="M2411" i="2"/>
  <c r="M2412" i="2"/>
  <c r="M2413" i="2"/>
  <c r="M2414" i="2"/>
  <c r="M2415" i="2"/>
  <c r="M2416" i="2"/>
  <c r="M2417" i="2"/>
  <c r="M2418" i="2"/>
  <c r="M2419" i="2"/>
  <c r="M2420" i="2"/>
  <c r="M2421" i="2"/>
  <c r="M2422" i="2"/>
  <c r="M2423" i="2"/>
  <c r="M2424" i="2"/>
  <c r="M2425" i="2"/>
  <c r="M2426" i="2"/>
  <c r="M2427" i="2"/>
  <c r="M2428" i="2"/>
  <c r="M2429" i="2"/>
  <c r="M2430" i="2"/>
  <c r="M2431" i="2"/>
  <c r="M2432" i="2"/>
  <c r="M2433" i="2"/>
  <c r="M2434" i="2"/>
  <c r="M2435" i="2"/>
  <c r="M2436" i="2"/>
  <c r="M2437" i="2"/>
  <c r="M2438" i="2"/>
  <c r="M2439" i="2"/>
  <c r="M2440" i="2"/>
  <c r="M2441" i="2"/>
  <c r="M2442" i="2"/>
  <c r="M2443" i="2"/>
  <c r="M2444" i="2"/>
  <c r="M2445" i="2"/>
  <c r="M2446" i="2"/>
  <c r="M2447" i="2"/>
  <c r="M2448" i="2"/>
  <c r="M2449" i="2"/>
  <c r="M2450" i="2"/>
  <c r="M2451" i="2"/>
  <c r="M2452" i="2"/>
  <c r="M2453" i="2"/>
  <c r="M2454" i="2"/>
  <c r="M2455" i="2"/>
  <c r="M2456" i="2"/>
  <c r="M2457" i="2"/>
  <c r="M2458" i="2"/>
  <c r="M2459" i="2"/>
  <c r="M2460" i="2"/>
  <c r="M2461" i="2"/>
  <c r="M2462" i="2"/>
  <c r="M2463" i="2"/>
  <c r="M2464" i="2"/>
  <c r="M2465" i="2"/>
  <c r="M2466" i="2"/>
  <c r="M2467" i="2"/>
  <c r="M2468" i="2"/>
  <c r="M2469" i="2"/>
  <c r="M2470" i="2"/>
  <c r="M2471" i="2"/>
  <c r="M2472" i="2"/>
  <c r="M2473" i="2"/>
  <c r="M2474" i="2"/>
  <c r="M2475" i="2"/>
  <c r="M2476" i="2"/>
  <c r="M2477" i="2"/>
  <c r="M2478" i="2"/>
  <c r="M2479" i="2"/>
  <c r="M2480" i="2"/>
  <c r="M2481" i="2"/>
  <c r="M2482" i="2"/>
  <c r="M2483" i="2"/>
  <c r="M2484" i="2"/>
  <c r="M2485" i="2"/>
  <c r="M2486" i="2"/>
  <c r="M2487" i="2"/>
  <c r="M2488" i="2"/>
  <c r="M2489" i="2"/>
  <c r="M2490" i="2"/>
  <c r="M2491" i="2"/>
  <c r="M2492" i="2"/>
  <c r="M2493" i="2"/>
  <c r="M2494" i="2"/>
  <c r="M2495" i="2"/>
  <c r="M2496" i="2"/>
  <c r="M2497" i="2"/>
  <c r="M2498" i="2"/>
  <c r="M2499" i="2"/>
  <c r="M2500" i="2"/>
  <c r="M2501" i="2"/>
  <c r="M2502" i="2"/>
  <c r="M2503" i="2"/>
  <c r="M2504" i="2"/>
  <c r="M2505" i="2"/>
  <c r="M2506" i="2"/>
  <c r="M2507" i="2"/>
  <c r="M2508" i="2"/>
  <c r="M2509" i="2"/>
  <c r="M2510" i="2"/>
  <c r="M2511" i="2"/>
  <c r="M2512" i="2"/>
  <c r="M2513" i="2"/>
  <c r="M2514" i="2"/>
  <c r="M2515" i="2"/>
  <c r="M2516" i="2"/>
  <c r="M2517" i="2"/>
  <c r="M2518" i="2"/>
  <c r="M2519" i="2"/>
  <c r="M2520" i="2"/>
  <c r="M2521" i="2"/>
  <c r="M2522" i="2"/>
  <c r="M2523" i="2"/>
  <c r="M2524" i="2"/>
  <c r="M2525" i="2"/>
  <c r="M2526" i="2"/>
  <c r="M2527" i="2"/>
  <c r="M2528" i="2"/>
  <c r="M2529" i="2"/>
  <c r="M2530" i="2"/>
  <c r="M2531" i="2"/>
  <c r="M2532" i="2"/>
  <c r="M2533" i="2"/>
  <c r="M2534" i="2"/>
  <c r="M2535" i="2"/>
  <c r="M2536" i="2"/>
  <c r="M2537" i="2"/>
  <c r="M2538" i="2"/>
  <c r="M2539" i="2"/>
  <c r="M2540" i="2"/>
  <c r="M2541" i="2"/>
  <c r="M2542" i="2"/>
  <c r="M2543" i="2"/>
  <c r="M2544" i="2"/>
  <c r="M2545" i="2"/>
  <c r="M2546" i="2"/>
  <c r="M2547" i="2"/>
  <c r="M2548" i="2"/>
  <c r="M2549" i="2"/>
  <c r="M2550" i="2"/>
  <c r="M2551" i="2"/>
  <c r="M2552" i="2"/>
  <c r="M2553" i="2"/>
  <c r="M2554" i="2"/>
  <c r="M2555" i="2"/>
  <c r="M2556" i="2"/>
  <c r="M2557" i="2"/>
  <c r="M2558" i="2"/>
  <c r="M2559" i="2"/>
  <c r="M2560" i="2"/>
  <c r="M2561" i="2"/>
  <c r="M2562" i="2"/>
  <c r="M2563" i="2"/>
  <c r="M2564" i="2"/>
  <c r="M2565" i="2"/>
  <c r="M2566" i="2"/>
  <c r="M2567" i="2"/>
  <c r="M2568" i="2"/>
  <c r="M2569" i="2"/>
  <c r="M2570" i="2"/>
  <c r="M2571" i="2"/>
  <c r="M2572" i="2"/>
  <c r="M2573" i="2"/>
  <c r="M2574" i="2"/>
  <c r="M2575" i="2"/>
  <c r="M2576" i="2"/>
  <c r="M2577" i="2"/>
  <c r="M2578" i="2"/>
  <c r="M2579" i="2"/>
  <c r="M2580" i="2"/>
  <c r="M2581" i="2"/>
  <c r="M2582" i="2"/>
  <c r="M2583" i="2"/>
  <c r="M2584" i="2"/>
  <c r="M2585" i="2"/>
  <c r="M2586" i="2"/>
  <c r="M2587" i="2"/>
  <c r="M2588" i="2"/>
  <c r="M2589" i="2"/>
  <c r="M2590" i="2"/>
  <c r="M2591" i="2"/>
  <c r="M2592" i="2"/>
  <c r="M2593" i="2"/>
  <c r="M2594" i="2"/>
  <c r="M2595" i="2"/>
  <c r="M2596" i="2"/>
  <c r="M2597" i="2"/>
  <c r="M2598" i="2"/>
  <c r="M2599" i="2"/>
  <c r="M2600" i="2"/>
  <c r="M2601" i="2"/>
  <c r="M2602" i="2"/>
  <c r="M2603" i="2"/>
  <c r="M2604" i="2"/>
  <c r="M2605" i="2"/>
  <c r="M2606" i="2"/>
  <c r="M2607" i="2"/>
  <c r="M2608" i="2"/>
  <c r="M2609" i="2"/>
  <c r="M2610" i="2"/>
  <c r="M2611" i="2"/>
  <c r="M2612" i="2"/>
  <c r="M2613" i="2"/>
  <c r="M2614" i="2"/>
  <c r="M2615" i="2"/>
  <c r="M2616" i="2"/>
  <c r="M2617" i="2"/>
  <c r="M2618" i="2"/>
  <c r="M2619" i="2"/>
  <c r="M2620" i="2"/>
  <c r="M2621" i="2"/>
  <c r="M2622" i="2"/>
  <c r="M2623" i="2"/>
  <c r="M2624" i="2"/>
  <c r="M2625" i="2"/>
  <c r="M2626" i="2"/>
  <c r="M2627" i="2"/>
  <c r="M2628" i="2"/>
  <c r="M2629" i="2"/>
  <c r="M2630" i="2"/>
  <c r="M2631" i="2"/>
  <c r="M2632" i="2"/>
  <c r="M2633" i="2"/>
  <c r="M2634" i="2"/>
  <c r="M2635" i="2"/>
  <c r="M2636" i="2"/>
  <c r="M2637" i="2"/>
  <c r="M2638" i="2"/>
  <c r="M2639" i="2"/>
  <c r="M2640" i="2"/>
  <c r="M2641" i="2"/>
  <c r="M2642" i="2"/>
  <c r="M2643" i="2"/>
  <c r="M2644" i="2"/>
  <c r="M2645" i="2"/>
  <c r="M2646" i="2"/>
  <c r="M2647" i="2"/>
  <c r="M2648" i="2"/>
  <c r="M2649" i="2"/>
  <c r="M2650" i="2"/>
  <c r="M2651" i="2"/>
  <c r="M2652" i="2"/>
  <c r="M2653" i="2"/>
  <c r="M2654" i="2"/>
  <c r="M2655" i="2"/>
  <c r="M2656" i="2"/>
  <c r="M2657" i="2"/>
  <c r="M2658" i="2"/>
  <c r="M2659" i="2"/>
  <c r="M2660" i="2"/>
  <c r="M2661" i="2"/>
  <c r="M2662" i="2"/>
  <c r="M2663" i="2"/>
  <c r="M2664" i="2"/>
  <c r="M2665" i="2"/>
  <c r="M2666" i="2"/>
  <c r="M2667" i="2"/>
  <c r="M2668" i="2"/>
  <c r="M2669" i="2"/>
  <c r="M2670" i="2"/>
  <c r="M2671" i="2"/>
  <c r="M2672" i="2"/>
  <c r="M2673" i="2"/>
  <c r="M2674" i="2"/>
  <c r="M2675" i="2"/>
  <c r="M2676" i="2"/>
  <c r="M2677" i="2"/>
  <c r="M2678" i="2"/>
  <c r="M2679" i="2"/>
  <c r="M2680" i="2"/>
  <c r="M2681" i="2"/>
  <c r="M2682" i="2"/>
  <c r="M2683" i="2"/>
  <c r="M2684" i="2"/>
  <c r="M2685" i="2"/>
  <c r="M2686" i="2"/>
  <c r="M2687" i="2"/>
  <c r="M2688" i="2"/>
  <c r="M2689" i="2"/>
  <c r="M2690" i="2"/>
  <c r="M2691" i="2"/>
  <c r="M2692" i="2"/>
  <c r="M2693" i="2"/>
  <c r="M2694" i="2"/>
  <c r="M2695" i="2"/>
  <c r="M2696" i="2"/>
  <c r="M2697" i="2"/>
  <c r="M2698" i="2"/>
  <c r="M2699" i="2"/>
  <c r="M2700" i="2"/>
  <c r="M2701" i="2"/>
  <c r="M2702" i="2"/>
  <c r="M2703" i="2"/>
  <c r="M2704" i="2"/>
  <c r="M2705" i="2"/>
  <c r="M2706" i="2"/>
  <c r="M2707" i="2"/>
  <c r="M2708" i="2"/>
  <c r="M2709" i="2"/>
  <c r="M2710" i="2"/>
  <c r="M2711" i="2"/>
  <c r="M2712" i="2"/>
  <c r="M2713" i="2"/>
  <c r="M2714" i="2"/>
  <c r="M2715" i="2"/>
  <c r="M2716" i="2"/>
  <c r="M2717" i="2"/>
  <c r="M2718" i="2"/>
  <c r="M2719" i="2"/>
  <c r="M2720" i="2"/>
  <c r="M2721" i="2"/>
  <c r="M2722" i="2"/>
  <c r="M2723" i="2"/>
  <c r="M2724" i="2"/>
  <c r="M2725" i="2"/>
  <c r="M2726" i="2"/>
  <c r="M2727" i="2"/>
  <c r="M2728" i="2"/>
  <c r="M2729" i="2"/>
  <c r="M2730" i="2"/>
  <c r="M2731" i="2"/>
  <c r="M2732" i="2"/>
  <c r="M2733" i="2"/>
  <c r="M2734" i="2"/>
  <c r="M2735" i="2"/>
  <c r="M2736" i="2"/>
  <c r="M2737" i="2"/>
  <c r="M2738" i="2"/>
  <c r="M2739" i="2"/>
  <c r="M2740" i="2"/>
  <c r="M2741" i="2"/>
  <c r="M2742" i="2"/>
  <c r="M2743" i="2"/>
  <c r="M2744" i="2"/>
  <c r="M2745" i="2"/>
  <c r="M2746" i="2"/>
  <c r="M2747" i="2"/>
  <c r="M2748" i="2"/>
  <c r="M2749" i="2"/>
  <c r="M2750" i="2"/>
  <c r="M2751" i="2"/>
  <c r="M2752" i="2"/>
  <c r="M2753" i="2"/>
  <c r="M2754" i="2"/>
  <c r="M2755" i="2"/>
  <c r="M2756" i="2"/>
  <c r="M2757" i="2"/>
  <c r="M2758" i="2"/>
  <c r="M2759" i="2"/>
  <c r="M2760" i="2"/>
  <c r="M2761" i="2"/>
  <c r="M2762" i="2"/>
  <c r="M2763" i="2"/>
  <c r="M2764" i="2"/>
  <c r="M2765" i="2"/>
  <c r="M2766" i="2"/>
  <c r="M2767" i="2"/>
  <c r="M2768" i="2"/>
  <c r="M2769" i="2"/>
  <c r="M2770" i="2"/>
  <c r="M2771" i="2"/>
  <c r="M2772" i="2"/>
  <c r="M2773" i="2"/>
  <c r="M2774" i="2"/>
  <c r="M2775" i="2"/>
  <c r="M2776" i="2"/>
  <c r="M2777" i="2"/>
  <c r="M2778" i="2"/>
  <c r="M2779" i="2"/>
  <c r="M2780" i="2"/>
  <c r="M2781" i="2"/>
  <c r="M2782" i="2"/>
  <c r="M2783" i="2"/>
  <c r="M2784" i="2"/>
  <c r="M2785" i="2"/>
  <c r="M2786" i="2"/>
  <c r="M2787" i="2"/>
  <c r="M2788" i="2"/>
  <c r="M2789" i="2"/>
  <c r="M2790" i="2"/>
  <c r="M2791" i="2"/>
  <c r="M2792" i="2"/>
  <c r="M2793" i="2"/>
  <c r="M2794" i="2"/>
  <c r="M2795" i="2"/>
  <c r="M2796" i="2"/>
  <c r="M2797" i="2"/>
  <c r="M2798" i="2"/>
  <c r="M2799" i="2"/>
  <c r="M2800" i="2"/>
  <c r="M2801" i="2"/>
  <c r="M2802" i="2"/>
  <c r="M2803" i="2"/>
  <c r="M2804" i="2"/>
  <c r="M2805" i="2"/>
  <c r="M2806" i="2"/>
  <c r="M2807" i="2"/>
  <c r="M2808" i="2"/>
  <c r="M2809" i="2"/>
  <c r="M2810" i="2"/>
  <c r="M2811" i="2"/>
  <c r="M2812" i="2"/>
  <c r="M2813" i="2"/>
  <c r="M2814" i="2"/>
  <c r="M2815" i="2"/>
  <c r="M2816" i="2"/>
  <c r="M2817" i="2"/>
  <c r="M2818" i="2"/>
  <c r="M2819" i="2"/>
  <c r="M2820" i="2"/>
  <c r="M2821" i="2"/>
  <c r="M2822" i="2"/>
  <c r="M2823" i="2"/>
  <c r="M2824" i="2"/>
  <c r="M2825" i="2"/>
  <c r="M2826" i="2"/>
  <c r="M2827" i="2"/>
  <c r="M2828" i="2"/>
  <c r="M2829" i="2"/>
  <c r="M2830" i="2"/>
  <c r="M2831" i="2"/>
  <c r="M2832" i="2"/>
  <c r="M2833" i="2"/>
  <c r="M2834" i="2"/>
  <c r="M2835" i="2"/>
  <c r="M2836" i="2"/>
  <c r="M2837" i="2"/>
  <c r="M2838" i="2"/>
  <c r="M2839" i="2"/>
  <c r="M2840" i="2"/>
  <c r="M2841" i="2"/>
  <c r="M2842" i="2"/>
  <c r="M2843" i="2"/>
  <c r="M2844" i="2"/>
  <c r="M2845" i="2"/>
  <c r="M2846" i="2"/>
  <c r="M2847" i="2"/>
  <c r="M2848" i="2"/>
  <c r="M2849" i="2"/>
  <c r="M2850" i="2"/>
  <c r="M2851" i="2"/>
  <c r="M2852" i="2"/>
  <c r="M2853" i="2"/>
  <c r="M2854" i="2"/>
  <c r="M2855" i="2"/>
  <c r="M2856" i="2"/>
  <c r="M2857" i="2"/>
  <c r="M2858" i="2"/>
  <c r="M2859" i="2"/>
  <c r="M2860" i="2"/>
  <c r="M2861" i="2"/>
  <c r="M2862" i="2"/>
  <c r="M2863" i="2"/>
  <c r="M2864" i="2"/>
  <c r="M2865" i="2"/>
  <c r="M2866" i="2"/>
  <c r="M2867" i="2"/>
  <c r="M2868" i="2"/>
  <c r="M2869" i="2"/>
  <c r="M2870" i="2"/>
  <c r="M2871" i="2"/>
  <c r="M2872" i="2"/>
  <c r="M2873" i="2"/>
  <c r="M2874" i="2"/>
  <c r="M2875" i="2"/>
  <c r="M2876" i="2"/>
  <c r="M2877" i="2"/>
  <c r="M2878" i="2"/>
  <c r="M2879" i="2"/>
  <c r="M2880" i="2"/>
  <c r="M2881" i="2"/>
  <c r="M2882" i="2"/>
  <c r="M2883" i="2"/>
  <c r="M2884" i="2"/>
  <c r="M2885" i="2"/>
  <c r="M2886" i="2"/>
  <c r="M2887" i="2"/>
  <c r="M2888" i="2"/>
  <c r="M2889" i="2"/>
  <c r="M2890" i="2"/>
  <c r="M2891" i="2"/>
  <c r="M2892" i="2"/>
  <c r="M2893" i="2"/>
  <c r="M2894" i="2"/>
  <c r="M2895" i="2"/>
  <c r="M2896" i="2"/>
  <c r="M2897" i="2"/>
  <c r="M2898" i="2"/>
  <c r="M2899" i="2"/>
  <c r="M2900" i="2"/>
  <c r="M2901" i="2"/>
  <c r="M2902" i="2"/>
  <c r="M2903" i="2"/>
  <c r="M2904" i="2"/>
  <c r="M2905" i="2"/>
  <c r="M2906" i="2"/>
  <c r="M2907" i="2"/>
  <c r="M2908" i="2"/>
  <c r="M2909" i="2"/>
  <c r="M2910" i="2"/>
  <c r="M2911" i="2"/>
  <c r="M2912" i="2"/>
  <c r="M2913" i="2"/>
  <c r="M2914" i="2"/>
  <c r="M2915" i="2"/>
  <c r="M2916" i="2"/>
  <c r="M2917" i="2"/>
  <c r="M2918" i="2"/>
  <c r="M2919" i="2"/>
  <c r="M2920" i="2"/>
  <c r="M2921" i="2"/>
  <c r="M2922" i="2"/>
  <c r="M2923" i="2"/>
  <c r="M2924" i="2"/>
  <c r="M2925" i="2"/>
  <c r="M2926" i="2"/>
  <c r="M2927" i="2"/>
  <c r="M2928" i="2"/>
  <c r="M2929" i="2"/>
  <c r="M2930" i="2"/>
  <c r="M2931" i="2"/>
  <c r="M2932" i="2"/>
  <c r="M2933" i="2"/>
  <c r="M2934" i="2"/>
  <c r="M2935" i="2"/>
  <c r="M2936" i="2"/>
  <c r="M2937" i="2"/>
  <c r="M2938" i="2"/>
  <c r="M2939" i="2"/>
  <c r="M2940" i="2"/>
  <c r="M2941" i="2"/>
  <c r="M2942" i="2"/>
  <c r="M2943" i="2"/>
  <c r="M2944" i="2"/>
  <c r="M2945" i="2"/>
  <c r="M2946" i="2"/>
  <c r="M2947" i="2"/>
  <c r="M2948" i="2"/>
  <c r="M2949" i="2"/>
  <c r="M2950" i="2"/>
  <c r="M2951" i="2"/>
  <c r="M2952" i="2"/>
  <c r="M2953" i="2"/>
  <c r="M2954" i="2"/>
  <c r="M2955" i="2"/>
  <c r="M2956" i="2"/>
  <c r="M2957" i="2"/>
  <c r="M2958" i="2"/>
  <c r="M2959" i="2"/>
  <c r="M2960" i="2"/>
  <c r="M2961" i="2"/>
  <c r="M2962" i="2"/>
  <c r="M2963" i="2"/>
  <c r="M2964" i="2"/>
  <c r="M2965" i="2"/>
  <c r="M2966" i="2"/>
  <c r="M2967" i="2"/>
  <c r="M2968" i="2"/>
  <c r="M2969" i="2"/>
  <c r="M2970" i="2"/>
  <c r="M2971" i="2"/>
  <c r="M2972" i="2"/>
  <c r="M2973" i="2"/>
  <c r="M2974" i="2"/>
  <c r="M2975" i="2"/>
  <c r="M2976" i="2"/>
  <c r="M2977" i="2"/>
  <c r="M2978" i="2"/>
  <c r="M2979" i="2"/>
  <c r="M2980" i="2"/>
  <c r="M2981" i="2"/>
  <c r="M2982" i="2"/>
  <c r="M2983" i="2"/>
  <c r="M2984" i="2"/>
  <c r="M2985" i="2"/>
  <c r="M2986" i="2"/>
  <c r="M2987" i="2"/>
  <c r="M2988" i="2"/>
  <c r="M2989" i="2"/>
  <c r="M2990" i="2"/>
  <c r="M2991" i="2"/>
  <c r="M2992" i="2"/>
  <c r="M2993" i="2"/>
  <c r="M2994" i="2"/>
  <c r="M2995" i="2"/>
  <c r="M2996" i="2"/>
  <c r="M2997" i="2"/>
  <c r="M2998" i="2"/>
  <c r="M2999" i="2"/>
  <c r="M3000" i="2"/>
  <c r="M3001" i="2"/>
  <c r="L2" i="2"/>
  <c r="L3" i="2"/>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L1004" i="2"/>
  <c r="L1005" i="2"/>
  <c r="L1006" i="2"/>
  <c r="L1007" i="2"/>
  <c r="L1008" i="2"/>
  <c r="L1009" i="2"/>
  <c r="L1010" i="2"/>
  <c r="L1011" i="2"/>
  <c r="L1012" i="2"/>
  <c r="L1013" i="2"/>
  <c r="L1014" i="2"/>
  <c r="L1015" i="2"/>
  <c r="L1016" i="2"/>
  <c r="L1017" i="2"/>
  <c r="L1018" i="2"/>
  <c r="L1019" i="2"/>
  <c r="L1020" i="2"/>
  <c r="L1021" i="2"/>
  <c r="L1022" i="2"/>
  <c r="L1023" i="2"/>
  <c r="L1024" i="2"/>
  <c r="L1025" i="2"/>
  <c r="L1026" i="2"/>
  <c r="L1027" i="2"/>
  <c r="L1028" i="2"/>
  <c r="L1029" i="2"/>
  <c r="L1030" i="2"/>
  <c r="L1031" i="2"/>
  <c r="L1032" i="2"/>
  <c r="L1033" i="2"/>
  <c r="L1034" i="2"/>
  <c r="L1035" i="2"/>
  <c r="L1036" i="2"/>
  <c r="L1037" i="2"/>
  <c r="L1038" i="2"/>
  <c r="L1039" i="2"/>
  <c r="L1040" i="2"/>
  <c r="L1041" i="2"/>
  <c r="L1042" i="2"/>
  <c r="L1043" i="2"/>
  <c r="L1044" i="2"/>
  <c r="L1045" i="2"/>
  <c r="L1046" i="2"/>
  <c r="L1047" i="2"/>
  <c r="L1048" i="2"/>
  <c r="L1049" i="2"/>
  <c r="L1050" i="2"/>
  <c r="L1051" i="2"/>
  <c r="L1052" i="2"/>
  <c r="L1053" i="2"/>
  <c r="L1054" i="2"/>
  <c r="L1055" i="2"/>
  <c r="L1056" i="2"/>
  <c r="L1057" i="2"/>
  <c r="L1058" i="2"/>
  <c r="L1059" i="2"/>
  <c r="L1060" i="2"/>
  <c r="L1061" i="2"/>
  <c r="L1062" i="2"/>
  <c r="L1063" i="2"/>
  <c r="L1064" i="2"/>
  <c r="L1065" i="2"/>
  <c r="L1066" i="2"/>
  <c r="L1067" i="2"/>
  <c r="L1068" i="2"/>
  <c r="L1069" i="2"/>
  <c r="L1070" i="2"/>
  <c r="L1071" i="2"/>
  <c r="L1072" i="2"/>
  <c r="L1073" i="2"/>
  <c r="L1074" i="2"/>
  <c r="L1075" i="2"/>
  <c r="L1076" i="2"/>
  <c r="L1077" i="2"/>
  <c r="L1078" i="2"/>
  <c r="L1079" i="2"/>
  <c r="L1080" i="2"/>
  <c r="L1081" i="2"/>
  <c r="L1082" i="2"/>
  <c r="L1083" i="2"/>
  <c r="L1084" i="2"/>
  <c r="L1085" i="2"/>
  <c r="L1086" i="2"/>
  <c r="L1087" i="2"/>
  <c r="L1088" i="2"/>
  <c r="L1089" i="2"/>
  <c r="L1090" i="2"/>
  <c r="L1091" i="2"/>
  <c r="L1092" i="2"/>
  <c r="L1093" i="2"/>
  <c r="L1094" i="2"/>
  <c r="L1095" i="2"/>
  <c r="L1096" i="2"/>
  <c r="L1097" i="2"/>
  <c r="L1098" i="2"/>
  <c r="L1099" i="2"/>
  <c r="L1100" i="2"/>
  <c r="L1101" i="2"/>
  <c r="L1102" i="2"/>
  <c r="L1103" i="2"/>
  <c r="L1104" i="2"/>
  <c r="L1105" i="2"/>
  <c r="L1106" i="2"/>
  <c r="L1107" i="2"/>
  <c r="L1108" i="2"/>
  <c r="L1109" i="2"/>
  <c r="L1110" i="2"/>
  <c r="L1111" i="2"/>
  <c r="L1112" i="2"/>
  <c r="L1113" i="2"/>
  <c r="L1114" i="2"/>
  <c r="L1115" i="2"/>
  <c r="L1116" i="2"/>
  <c r="L1117" i="2"/>
  <c r="L1118" i="2"/>
  <c r="L1119" i="2"/>
  <c r="L1120" i="2"/>
  <c r="L1121" i="2"/>
  <c r="L1122" i="2"/>
  <c r="L1123" i="2"/>
  <c r="L1124" i="2"/>
  <c r="L1125" i="2"/>
  <c r="L1126" i="2"/>
  <c r="L1127" i="2"/>
  <c r="L1128" i="2"/>
  <c r="L1129" i="2"/>
  <c r="L1130" i="2"/>
  <c r="L1131" i="2"/>
  <c r="L1132" i="2"/>
  <c r="L1133" i="2"/>
  <c r="L1134" i="2"/>
  <c r="L1135" i="2"/>
  <c r="L1136" i="2"/>
  <c r="L1137" i="2"/>
  <c r="L1138" i="2"/>
  <c r="L1139" i="2"/>
  <c r="L1140" i="2"/>
  <c r="L1141" i="2"/>
  <c r="L1142" i="2"/>
  <c r="L1143" i="2"/>
  <c r="L1144" i="2"/>
  <c r="L1145" i="2"/>
  <c r="L1146" i="2"/>
  <c r="L1147" i="2"/>
  <c r="L1148" i="2"/>
  <c r="L1149" i="2"/>
  <c r="L1150" i="2"/>
  <c r="L1151" i="2"/>
  <c r="L1152" i="2"/>
  <c r="L1153" i="2"/>
  <c r="L1154" i="2"/>
  <c r="L1155" i="2"/>
  <c r="L1156" i="2"/>
  <c r="L1157" i="2"/>
  <c r="L1158" i="2"/>
  <c r="L1159" i="2"/>
  <c r="L1160" i="2"/>
  <c r="L1161" i="2"/>
  <c r="L1162" i="2"/>
  <c r="L1163" i="2"/>
  <c r="L1164" i="2"/>
  <c r="L1165" i="2"/>
  <c r="L1166" i="2"/>
  <c r="L1167" i="2"/>
  <c r="L1168" i="2"/>
  <c r="L1169" i="2"/>
  <c r="L1170" i="2"/>
  <c r="L1171" i="2"/>
  <c r="L1172" i="2"/>
  <c r="L1173" i="2"/>
  <c r="L1174" i="2"/>
  <c r="L1175" i="2"/>
  <c r="L1176" i="2"/>
  <c r="L1177" i="2"/>
  <c r="L1178" i="2"/>
  <c r="L1179" i="2"/>
  <c r="L1180" i="2"/>
  <c r="L1181" i="2"/>
  <c r="L1182" i="2"/>
  <c r="L1183" i="2"/>
  <c r="L1184" i="2"/>
  <c r="L1185" i="2"/>
  <c r="L1186" i="2"/>
  <c r="L1187" i="2"/>
  <c r="L1188" i="2"/>
  <c r="L1189" i="2"/>
  <c r="L1190" i="2"/>
  <c r="L1191" i="2"/>
  <c r="L1192" i="2"/>
  <c r="L1193" i="2"/>
  <c r="L1194" i="2"/>
  <c r="L1195" i="2"/>
  <c r="L1196" i="2"/>
  <c r="L1197" i="2"/>
  <c r="L1198" i="2"/>
  <c r="L1199" i="2"/>
  <c r="L1200" i="2"/>
  <c r="L1201" i="2"/>
  <c r="L1202" i="2"/>
  <c r="L1203" i="2"/>
  <c r="L1204" i="2"/>
  <c r="L1205" i="2"/>
  <c r="L1206" i="2"/>
  <c r="L1207" i="2"/>
  <c r="L1208" i="2"/>
  <c r="L1209" i="2"/>
  <c r="L1210" i="2"/>
  <c r="L1211" i="2"/>
  <c r="L1212" i="2"/>
  <c r="L1213" i="2"/>
  <c r="L1214" i="2"/>
  <c r="L1215" i="2"/>
  <c r="L1216" i="2"/>
  <c r="L1217" i="2"/>
  <c r="L1218" i="2"/>
  <c r="L1219" i="2"/>
  <c r="L1220" i="2"/>
  <c r="L1221" i="2"/>
  <c r="L1222" i="2"/>
  <c r="L1223" i="2"/>
  <c r="L1224" i="2"/>
  <c r="L1225" i="2"/>
  <c r="L1226" i="2"/>
  <c r="L1227" i="2"/>
  <c r="L1228" i="2"/>
  <c r="L1229" i="2"/>
  <c r="L1230" i="2"/>
  <c r="L1231" i="2"/>
  <c r="L1232" i="2"/>
  <c r="L1233" i="2"/>
  <c r="L1234" i="2"/>
  <c r="L1235" i="2"/>
  <c r="L1236" i="2"/>
  <c r="L1237" i="2"/>
  <c r="L1238" i="2"/>
  <c r="L1239" i="2"/>
  <c r="L1240" i="2"/>
  <c r="L1241" i="2"/>
  <c r="L1242" i="2"/>
  <c r="L1243" i="2"/>
  <c r="L1244" i="2"/>
  <c r="L1245" i="2"/>
  <c r="L1246" i="2"/>
  <c r="L1247" i="2"/>
  <c r="L1248" i="2"/>
  <c r="L1249" i="2"/>
  <c r="L1250" i="2"/>
  <c r="L1251" i="2"/>
  <c r="L1252" i="2"/>
  <c r="L1253" i="2"/>
  <c r="L1254" i="2"/>
  <c r="L1255" i="2"/>
  <c r="L1256" i="2"/>
  <c r="L1257" i="2"/>
  <c r="L1258" i="2"/>
  <c r="L1259" i="2"/>
  <c r="L1260" i="2"/>
  <c r="L1261" i="2"/>
  <c r="L1262" i="2"/>
  <c r="L1263" i="2"/>
  <c r="L1264" i="2"/>
  <c r="L1265" i="2"/>
  <c r="L1266" i="2"/>
  <c r="L1267" i="2"/>
  <c r="L1268" i="2"/>
  <c r="L1269" i="2"/>
  <c r="L1270" i="2"/>
  <c r="L1271" i="2"/>
  <c r="L1272" i="2"/>
  <c r="L1273" i="2"/>
  <c r="L1274" i="2"/>
  <c r="L1275" i="2"/>
  <c r="L1276" i="2"/>
  <c r="L1277" i="2"/>
  <c r="L1278" i="2"/>
  <c r="L1279" i="2"/>
  <c r="L1280" i="2"/>
  <c r="L1281" i="2"/>
  <c r="L1282" i="2"/>
  <c r="L1283" i="2"/>
  <c r="L1284" i="2"/>
  <c r="L1285" i="2"/>
  <c r="L1286" i="2"/>
  <c r="L1287" i="2"/>
  <c r="L1288" i="2"/>
  <c r="L1289" i="2"/>
  <c r="L1290" i="2"/>
  <c r="L1291" i="2"/>
  <c r="L1292" i="2"/>
  <c r="L1293" i="2"/>
  <c r="L1294" i="2"/>
  <c r="L1295" i="2"/>
  <c r="L1296" i="2"/>
  <c r="L1297" i="2"/>
  <c r="L1298" i="2"/>
  <c r="L1299" i="2"/>
  <c r="L1300" i="2"/>
  <c r="L1301" i="2"/>
  <c r="L1302" i="2"/>
  <c r="L1303" i="2"/>
  <c r="L1304" i="2"/>
  <c r="L1305" i="2"/>
  <c r="L1306" i="2"/>
  <c r="L1307" i="2"/>
  <c r="L1308" i="2"/>
  <c r="L1309" i="2"/>
  <c r="L1310" i="2"/>
  <c r="L1311" i="2"/>
  <c r="L1312" i="2"/>
  <c r="L1313" i="2"/>
  <c r="L1314" i="2"/>
  <c r="L1315" i="2"/>
  <c r="L1316" i="2"/>
  <c r="L1317" i="2"/>
  <c r="L1318" i="2"/>
  <c r="L1319" i="2"/>
  <c r="L1320" i="2"/>
  <c r="L1321" i="2"/>
  <c r="L1322" i="2"/>
  <c r="L1323" i="2"/>
  <c r="L1324" i="2"/>
  <c r="L1325" i="2"/>
  <c r="L1326" i="2"/>
  <c r="L1327" i="2"/>
  <c r="L1328" i="2"/>
  <c r="L1329" i="2"/>
  <c r="L1330" i="2"/>
  <c r="L1331" i="2"/>
  <c r="L1332" i="2"/>
  <c r="L1333" i="2"/>
  <c r="L1334" i="2"/>
  <c r="L1335" i="2"/>
  <c r="L1336" i="2"/>
  <c r="L1337" i="2"/>
  <c r="L1338" i="2"/>
  <c r="L1339" i="2"/>
  <c r="L1340" i="2"/>
  <c r="L1341" i="2"/>
  <c r="L1342" i="2"/>
  <c r="L1343" i="2"/>
  <c r="L1344" i="2"/>
  <c r="L1345" i="2"/>
  <c r="L1346" i="2"/>
  <c r="L1347" i="2"/>
  <c r="L1348" i="2"/>
  <c r="L1349" i="2"/>
  <c r="L1350" i="2"/>
  <c r="L1351" i="2"/>
  <c r="L1352" i="2"/>
  <c r="L1353" i="2"/>
  <c r="L1354" i="2"/>
  <c r="L1355" i="2"/>
  <c r="L1356" i="2"/>
  <c r="L1357" i="2"/>
  <c r="L1358" i="2"/>
  <c r="L1359" i="2"/>
  <c r="L1360" i="2"/>
  <c r="L1361" i="2"/>
  <c r="L1362" i="2"/>
  <c r="L1363" i="2"/>
  <c r="L1364" i="2"/>
  <c r="L1365" i="2"/>
  <c r="L1366" i="2"/>
  <c r="L1367" i="2"/>
  <c r="L1368" i="2"/>
  <c r="L1369" i="2"/>
  <c r="L1370" i="2"/>
  <c r="L1371" i="2"/>
  <c r="L1372" i="2"/>
  <c r="L1373" i="2"/>
  <c r="L1374" i="2"/>
  <c r="L1375" i="2"/>
  <c r="L1376" i="2"/>
  <c r="L1377" i="2"/>
  <c r="L1378" i="2"/>
  <c r="L1379" i="2"/>
  <c r="L1380" i="2"/>
  <c r="L1381" i="2"/>
  <c r="L1382" i="2"/>
  <c r="L1383" i="2"/>
  <c r="L1384" i="2"/>
  <c r="L1385" i="2"/>
  <c r="L1386" i="2"/>
  <c r="L1387" i="2"/>
  <c r="L1388" i="2"/>
  <c r="L1389" i="2"/>
  <c r="L1390" i="2"/>
  <c r="L1391" i="2"/>
  <c r="L1392" i="2"/>
  <c r="L1393" i="2"/>
  <c r="L1394" i="2"/>
  <c r="L1395" i="2"/>
  <c r="L1396" i="2"/>
  <c r="L1397" i="2"/>
  <c r="L1398" i="2"/>
  <c r="L1399" i="2"/>
  <c r="L1400" i="2"/>
  <c r="L1401" i="2"/>
  <c r="L1402" i="2"/>
  <c r="L1403" i="2"/>
  <c r="L1404" i="2"/>
  <c r="L1405" i="2"/>
  <c r="L1406" i="2"/>
  <c r="L1407" i="2"/>
  <c r="L1408" i="2"/>
  <c r="L1409" i="2"/>
  <c r="L1410" i="2"/>
  <c r="L1411" i="2"/>
  <c r="L1412" i="2"/>
  <c r="L1413" i="2"/>
  <c r="L1414" i="2"/>
  <c r="L1415" i="2"/>
  <c r="L1416" i="2"/>
  <c r="L1417" i="2"/>
  <c r="L1418" i="2"/>
  <c r="L1419" i="2"/>
  <c r="L1420" i="2"/>
  <c r="L1421" i="2"/>
  <c r="L1422" i="2"/>
  <c r="L1423" i="2"/>
  <c r="L1424" i="2"/>
  <c r="L1425" i="2"/>
  <c r="L1426" i="2"/>
  <c r="L1427" i="2"/>
  <c r="L1428" i="2"/>
  <c r="L1429" i="2"/>
  <c r="L1430" i="2"/>
  <c r="L1431" i="2"/>
  <c r="L1432" i="2"/>
  <c r="L1433" i="2"/>
  <c r="L1434" i="2"/>
  <c r="L1435" i="2"/>
  <c r="L1436" i="2"/>
  <c r="L1437" i="2"/>
  <c r="L1438" i="2"/>
  <c r="L1439" i="2"/>
  <c r="L1440" i="2"/>
  <c r="L1441" i="2"/>
  <c r="L1442" i="2"/>
  <c r="L1443" i="2"/>
  <c r="L1444" i="2"/>
  <c r="L1445" i="2"/>
  <c r="L1446" i="2"/>
  <c r="L1447" i="2"/>
  <c r="L1448" i="2"/>
  <c r="L1449" i="2"/>
  <c r="L1450" i="2"/>
  <c r="L1451" i="2"/>
  <c r="L1452" i="2"/>
  <c r="L1453" i="2"/>
  <c r="L1454" i="2"/>
  <c r="L1455" i="2"/>
  <c r="L1456" i="2"/>
  <c r="L1457" i="2"/>
  <c r="L1458" i="2"/>
  <c r="L1459" i="2"/>
  <c r="L1460" i="2"/>
  <c r="L1461" i="2"/>
  <c r="L1462" i="2"/>
  <c r="L1463" i="2"/>
  <c r="L1464" i="2"/>
  <c r="L1465" i="2"/>
  <c r="L1466" i="2"/>
  <c r="L1467" i="2"/>
  <c r="L1468" i="2"/>
  <c r="L1469" i="2"/>
  <c r="L1470" i="2"/>
  <c r="L1471" i="2"/>
  <c r="L1472" i="2"/>
  <c r="L1473" i="2"/>
  <c r="L1474" i="2"/>
  <c r="L1475" i="2"/>
  <c r="L1476" i="2"/>
  <c r="L1477" i="2"/>
  <c r="L1478" i="2"/>
  <c r="L1479" i="2"/>
  <c r="L1480" i="2"/>
  <c r="L1481" i="2"/>
  <c r="L1482" i="2"/>
  <c r="L1483" i="2"/>
  <c r="L1484" i="2"/>
  <c r="L1485" i="2"/>
  <c r="L1486" i="2"/>
  <c r="L1487" i="2"/>
  <c r="L1488" i="2"/>
  <c r="L1489" i="2"/>
  <c r="L1490" i="2"/>
  <c r="L1491" i="2"/>
  <c r="L1492" i="2"/>
  <c r="L1493" i="2"/>
  <c r="L1494" i="2"/>
  <c r="L1495" i="2"/>
  <c r="L1496" i="2"/>
  <c r="L1497" i="2"/>
  <c r="L1498" i="2"/>
  <c r="L1499" i="2"/>
  <c r="L1500" i="2"/>
  <c r="L1501" i="2"/>
  <c r="L1502" i="2"/>
  <c r="L1503" i="2"/>
  <c r="L1504" i="2"/>
  <c r="L1505" i="2"/>
  <c r="L1506" i="2"/>
  <c r="L1507" i="2"/>
  <c r="L1508" i="2"/>
  <c r="L1509" i="2"/>
  <c r="L1510" i="2"/>
  <c r="L1511" i="2"/>
  <c r="L1512" i="2"/>
  <c r="L1513" i="2"/>
  <c r="L1514" i="2"/>
  <c r="L1515" i="2"/>
  <c r="L1516" i="2"/>
  <c r="L1517" i="2"/>
  <c r="L1518" i="2"/>
  <c r="L1519" i="2"/>
  <c r="L1520" i="2"/>
  <c r="L1521" i="2"/>
  <c r="L1522" i="2"/>
  <c r="L1523" i="2"/>
  <c r="L1524" i="2"/>
  <c r="L1525" i="2"/>
  <c r="L1526" i="2"/>
  <c r="L1527" i="2"/>
  <c r="L1528" i="2"/>
  <c r="L1529" i="2"/>
  <c r="L1530" i="2"/>
  <c r="L1531" i="2"/>
  <c r="L1532" i="2"/>
  <c r="L1533" i="2"/>
  <c r="L1534" i="2"/>
  <c r="L1535" i="2"/>
  <c r="L1536" i="2"/>
  <c r="L1537" i="2"/>
  <c r="L1538" i="2"/>
  <c r="L1539" i="2"/>
  <c r="L1540" i="2"/>
  <c r="L1541" i="2"/>
  <c r="L1542" i="2"/>
  <c r="L1543" i="2"/>
  <c r="L1544" i="2"/>
  <c r="L1545" i="2"/>
  <c r="L1546" i="2"/>
  <c r="L1547" i="2"/>
  <c r="L1548" i="2"/>
  <c r="L1549" i="2"/>
  <c r="L1550" i="2"/>
  <c r="L1551" i="2"/>
  <c r="L1552" i="2"/>
  <c r="L1553" i="2"/>
  <c r="L1554" i="2"/>
  <c r="L1555" i="2"/>
  <c r="L1556" i="2"/>
  <c r="L1557" i="2"/>
  <c r="L1558" i="2"/>
  <c r="L1559" i="2"/>
  <c r="L1560" i="2"/>
  <c r="L1561" i="2"/>
  <c r="L1562" i="2"/>
  <c r="L1563" i="2"/>
  <c r="L1564" i="2"/>
  <c r="L1565" i="2"/>
  <c r="L1566" i="2"/>
  <c r="L1567" i="2"/>
  <c r="L1568" i="2"/>
  <c r="L1569" i="2"/>
  <c r="L1570" i="2"/>
  <c r="L1571" i="2"/>
  <c r="L1572" i="2"/>
  <c r="L1573" i="2"/>
  <c r="L1574" i="2"/>
  <c r="L1575" i="2"/>
  <c r="L1576" i="2"/>
  <c r="L1577" i="2"/>
  <c r="L1578" i="2"/>
  <c r="L1579" i="2"/>
  <c r="L1580" i="2"/>
  <c r="L1581" i="2"/>
  <c r="L1582" i="2"/>
  <c r="L1583" i="2"/>
  <c r="L1584" i="2"/>
  <c r="L1585" i="2"/>
  <c r="L1586" i="2"/>
  <c r="L1587" i="2"/>
  <c r="L1588" i="2"/>
  <c r="L1589" i="2"/>
  <c r="L1590" i="2"/>
  <c r="L1591" i="2"/>
  <c r="L1592" i="2"/>
  <c r="L1593" i="2"/>
  <c r="L1594" i="2"/>
  <c r="L1595" i="2"/>
  <c r="L1596" i="2"/>
  <c r="L1597" i="2"/>
  <c r="L1598" i="2"/>
  <c r="L1599" i="2"/>
  <c r="L1600" i="2"/>
  <c r="L1601" i="2"/>
  <c r="L1602" i="2"/>
  <c r="L1603" i="2"/>
  <c r="L1604" i="2"/>
  <c r="L1605" i="2"/>
  <c r="L1606" i="2"/>
  <c r="L1607" i="2"/>
  <c r="L1608" i="2"/>
  <c r="L1609" i="2"/>
  <c r="L1610" i="2"/>
  <c r="L1611" i="2"/>
  <c r="L1612" i="2"/>
  <c r="L1613" i="2"/>
  <c r="L1614" i="2"/>
  <c r="L1615" i="2"/>
  <c r="L1616" i="2"/>
  <c r="L1617" i="2"/>
  <c r="L1618" i="2"/>
  <c r="L1619" i="2"/>
  <c r="L1620" i="2"/>
  <c r="L1621" i="2"/>
  <c r="L1622" i="2"/>
  <c r="L1623" i="2"/>
  <c r="L1624" i="2"/>
  <c r="L1625" i="2"/>
  <c r="L1626" i="2"/>
  <c r="L1627" i="2"/>
  <c r="L1628" i="2"/>
  <c r="L1629" i="2"/>
  <c r="L1630" i="2"/>
  <c r="L1631" i="2"/>
  <c r="L1632" i="2"/>
  <c r="L1633" i="2"/>
  <c r="L1634" i="2"/>
  <c r="L1635" i="2"/>
  <c r="L1636" i="2"/>
  <c r="L1637" i="2"/>
  <c r="L1638" i="2"/>
  <c r="L1639" i="2"/>
  <c r="L1640" i="2"/>
  <c r="L1641" i="2"/>
  <c r="L1642" i="2"/>
  <c r="L1643" i="2"/>
  <c r="L1644" i="2"/>
  <c r="L1645" i="2"/>
  <c r="L1646" i="2"/>
  <c r="L1647" i="2"/>
  <c r="L1648" i="2"/>
  <c r="L1649" i="2"/>
  <c r="L1650" i="2"/>
  <c r="L1651" i="2"/>
  <c r="L1652" i="2"/>
  <c r="L1653" i="2"/>
  <c r="L1654" i="2"/>
  <c r="L1655" i="2"/>
  <c r="L1656" i="2"/>
  <c r="L1657" i="2"/>
  <c r="L1658" i="2"/>
  <c r="L1659" i="2"/>
  <c r="L1660" i="2"/>
  <c r="L1661" i="2"/>
  <c r="L1662" i="2"/>
  <c r="L1663" i="2"/>
  <c r="L1664" i="2"/>
  <c r="L1665" i="2"/>
  <c r="L1666" i="2"/>
  <c r="L1667" i="2"/>
  <c r="L1668" i="2"/>
  <c r="L1669" i="2"/>
  <c r="L1670" i="2"/>
  <c r="L1671" i="2"/>
  <c r="L1672" i="2"/>
  <c r="L1673" i="2"/>
  <c r="L1674" i="2"/>
  <c r="L1675" i="2"/>
  <c r="L1676" i="2"/>
  <c r="L1677" i="2"/>
  <c r="L1678" i="2"/>
  <c r="L1679" i="2"/>
  <c r="L1680" i="2"/>
  <c r="L1681" i="2"/>
  <c r="L1682" i="2"/>
  <c r="L1683" i="2"/>
  <c r="L1684" i="2"/>
  <c r="L1685" i="2"/>
  <c r="L1686" i="2"/>
  <c r="L1687" i="2"/>
  <c r="L1688" i="2"/>
  <c r="L1689" i="2"/>
  <c r="L1690" i="2"/>
  <c r="L1691" i="2"/>
  <c r="L1692" i="2"/>
  <c r="L1693" i="2"/>
  <c r="L1694" i="2"/>
  <c r="L1695" i="2"/>
  <c r="L1696" i="2"/>
  <c r="L1697" i="2"/>
  <c r="L1698" i="2"/>
  <c r="L1699" i="2"/>
  <c r="L1700" i="2"/>
  <c r="L1701" i="2"/>
  <c r="L1702" i="2"/>
  <c r="L1703" i="2"/>
  <c r="L1704" i="2"/>
  <c r="L1705" i="2"/>
  <c r="L1706" i="2"/>
  <c r="L1707" i="2"/>
  <c r="L1708" i="2"/>
  <c r="L1709" i="2"/>
  <c r="L1710" i="2"/>
  <c r="L1711" i="2"/>
  <c r="L1712" i="2"/>
  <c r="L1713" i="2"/>
  <c r="L1714" i="2"/>
  <c r="L1715" i="2"/>
  <c r="L1716" i="2"/>
  <c r="L1717" i="2"/>
  <c r="L1718" i="2"/>
  <c r="L1719" i="2"/>
  <c r="L1720" i="2"/>
  <c r="L1721" i="2"/>
  <c r="L1722" i="2"/>
  <c r="L1723" i="2"/>
  <c r="L1724" i="2"/>
  <c r="L1725" i="2"/>
  <c r="L1726" i="2"/>
  <c r="L1727" i="2"/>
  <c r="L1728" i="2"/>
  <c r="L1729" i="2"/>
  <c r="L1730" i="2"/>
  <c r="L1731" i="2"/>
  <c r="L1732" i="2"/>
  <c r="L1733" i="2"/>
  <c r="L1734" i="2"/>
  <c r="L1735" i="2"/>
  <c r="L1736" i="2"/>
  <c r="L1737" i="2"/>
  <c r="L1738" i="2"/>
  <c r="L1739" i="2"/>
  <c r="L1740" i="2"/>
  <c r="L1741" i="2"/>
  <c r="L1742" i="2"/>
  <c r="L1743" i="2"/>
  <c r="L1744" i="2"/>
  <c r="L1745" i="2"/>
  <c r="L1746" i="2"/>
  <c r="L1747" i="2"/>
  <c r="L1748" i="2"/>
  <c r="L1749" i="2"/>
  <c r="L1750" i="2"/>
  <c r="L1751" i="2"/>
  <c r="L1752" i="2"/>
  <c r="L1753" i="2"/>
  <c r="L1754" i="2"/>
  <c r="L1755" i="2"/>
  <c r="L1756" i="2"/>
  <c r="L1757" i="2"/>
  <c r="L1758" i="2"/>
  <c r="L1759" i="2"/>
  <c r="L1760" i="2"/>
  <c r="L1761" i="2"/>
  <c r="L1762" i="2"/>
  <c r="L1763" i="2"/>
  <c r="L1764" i="2"/>
  <c r="L1765" i="2"/>
  <c r="L1766" i="2"/>
  <c r="L1767" i="2"/>
  <c r="L1768" i="2"/>
  <c r="L1769" i="2"/>
  <c r="L1770" i="2"/>
  <c r="L1771" i="2"/>
  <c r="L1772" i="2"/>
  <c r="L1773" i="2"/>
  <c r="L1774" i="2"/>
  <c r="L1775" i="2"/>
  <c r="L1776" i="2"/>
  <c r="L1777" i="2"/>
  <c r="L1778" i="2"/>
  <c r="L1779" i="2"/>
  <c r="L1780" i="2"/>
  <c r="L1781" i="2"/>
  <c r="L1782" i="2"/>
  <c r="L1783" i="2"/>
  <c r="L1784" i="2"/>
  <c r="L1785" i="2"/>
  <c r="L1786" i="2"/>
  <c r="L1787" i="2"/>
  <c r="L1788" i="2"/>
  <c r="L1789" i="2"/>
  <c r="L1790" i="2"/>
  <c r="L1791" i="2"/>
  <c r="L1792" i="2"/>
  <c r="L1793" i="2"/>
  <c r="L1794" i="2"/>
  <c r="L1795" i="2"/>
  <c r="L1796" i="2"/>
  <c r="L1797" i="2"/>
  <c r="L1798" i="2"/>
  <c r="L1799" i="2"/>
  <c r="L1800" i="2"/>
  <c r="L1801" i="2"/>
  <c r="L1802" i="2"/>
  <c r="L1803" i="2"/>
  <c r="L1804" i="2"/>
  <c r="L1805" i="2"/>
  <c r="L1806" i="2"/>
  <c r="L1807" i="2"/>
  <c r="L1808" i="2"/>
  <c r="L1809" i="2"/>
  <c r="L1810" i="2"/>
  <c r="L1811" i="2"/>
  <c r="L1812" i="2"/>
  <c r="L1813" i="2"/>
  <c r="L1814" i="2"/>
  <c r="L1815" i="2"/>
  <c r="L1816" i="2"/>
  <c r="L1817" i="2"/>
  <c r="L1818" i="2"/>
  <c r="L1819" i="2"/>
  <c r="L1820" i="2"/>
  <c r="L1821" i="2"/>
  <c r="L1822" i="2"/>
  <c r="L1823" i="2"/>
  <c r="L1824" i="2"/>
  <c r="L1825" i="2"/>
  <c r="L1826" i="2"/>
  <c r="L1827" i="2"/>
  <c r="L1828" i="2"/>
  <c r="L1829" i="2"/>
  <c r="L1830" i="2"/>
  <c r="L1831" i="2"/>
  <c r="L1832" i="2"/>
  <c r="L1833" i="2"/>
  <c r="L1834" i="2"/>
  <c r="L1835" i="2"/>
  <c r="L1836" i="2"/>
  <c r="L1837" i="2"/>
  <c r="L1838" i="2"/>
  <c r="L1839" i="2"/>
  <c r="L1840" i="2"/>
  <c r="L1841" i="2"/>
  <c r="L1842" i="2"/>
  <c r="L1843" i="2"/>
  <c r="L1844" i="2"/>
  <c r="L1845" i="2"/>
  <c r="L1846" i="2"/>
  <c r="L1847" i="2"/>
  <c r="L1848" i="2"/>
  <c r="L1849" i="2"/>
  <c r="L1850" i="2"/>
  <c r="L1851" i="2"/>
  <c r="L1852" i="2"/>
  <c r="L1853" i="2"/>
  <c r="L1854" i="2"/>
  <c r="L1855" i="2"/>
  <c r="L1856" i="2"/>
  <c r="L1857" i="2"/>
  <c r="L1858" i="2"/>
  <c r="L1859" i="2"/>
  <c r="L1860" i="2"/>
  <c r="L1861" i="2"/>
  <c r="L1862" i="2"/>
  <c r="L1863" i="2"/>
  <c r="L1864" i="2"/>
  <c r="L1865" i="2"/>
  <c r="L1866" i="2"/>
  <c r="L1867" i="2"/>
  <c r="L1868" i="2"/>
  <c r="L1869" i="2"/>
  <c r="L1870" i="2"/>
  <c r="L1871" i="2"/>
  <c r="L1872" i="2"/>
  <c r="L1873" i="2"/>
  <c r="L1874" i="2"/>
  <c r="L1875" i="2"/>
  <c r="L1876" i="2"/>
  <c r="L1877" i="2"/>
  <c r="L1878" i="2"/>
  <c r="L1879" i="2"/>
  <c r="L1880" i="2"/>
  <c r="L1881" i="2"/>
  <c r="L1882" i="2"/>
  <c r="L1883" i="2"/>
  <c r="L1884" i="2"/>
  <c r="L1885" i="2"/>
  <c r="L1886" i="2"/>
  <c r="L1887" i="2"/>
  <c r="L1888" i="2"/>
  <c r="L1889" i="2"/>
  <c r="L1890" i="2"/>
  <c r="L1891" i="2"/>
  <c r="L1892" i="2"/>
  <c r="L1893" i="2"/>
  <c r="L1894" i="2"/>
  <c r="L1895" i="2"/>
  <c r="L1896" i="2"/>
  <c r="L1897" i="2"/>
  <c r="L1898" i="2"/>
  <c r="L1899" i="2"/>
  <c r="L1900" i="2"/>
  <c r="L1901" i="2"/>
  <c r="L1902" i="2"/>
  <c r="L1903" i="2"/>
  <c r="L1904" i="2"/>
  <c r="L1905" i="2"/>
  <c r="L1906" i="2"/>
  <c r="L1907" i="2"/>
  <c r="L1908" i="2"/>
  <c r="L1909" i="2"/>
  <c r="L1910" i="2"/>
  <c r="L1911" i="2"/>
  <c r="L1912" i="2"/>
  <c r="L1913" i="2"/>
  <c r="L1914" i="2"/>
  <c r="L1915" i="2"/>
  <c r="L1916" i="2"/>
  <c r="L1917" i="2"/>
  <c r="L1918" i="2"/>
  <c r="L1919" i="2"/>
  <c r="L1920" i="2"/>
  <c r="L1921" i="2"/>
  <c r="L1922" i="2"/>
  <c r="L1923" i="2"/>
  <c r="L1924" i="2"/>
  <c r="L1925" i="2"/>
  <c r="L1926" i="2"/>
  <c r="L1927" i="2"/>
  <c r="L1928" i="2"/>
  <c r="L1929" i="2"/>
  <c r="L1930" i="2"/>
  <c r="L1931" i="2"/>
  <c r="L1932" i="2"/>
  <c r="L1933" i="2"/>
  <c r="L1934" i="2"/>
  <c r="L1935" i="2"/>
  <c r="L1936" i="2"/>
  <c r="L1937" i="2"/>
  <c r="L1938" i="2"/>
  <c r="L1939" i="2"/>
  <c r="L1940" i="2"/>
  <c r="L1941" i="2"/>
  <c r="L1942" i="2"/>
  <c r="L1943" i="2"/>
  <c r="L1944" i="2"/>
  <c r="L1945" i="2"/>
  <c r="L1946" i="2"/>
  <c r="L1947" i="2"/>
  <c r="L1948" i="2"/>
  <c r="L1949" i="2"/>
  <c r="L1950" i="2"/>
  <c r="L1951" i="2"/>
  <c r="L1952" i="2"/>
  <c r="L1953" i="2"/>
  <c r="L1954" i="2"/>
  <c r="L1955" i="2"/>
  <c r="L1956" i="2"/>
  <c r="L1957" i="2"/>
  <c r="L1958" i="2"/>
  <c r="L1959" i="2"/>
  <c r="L1960" i="2"/>
  <c r="L1961" i="2"/>
  <c r="L1962" i="2"/>
  <c r="L1963" i="2"/>
  <c r="L1964" i="2"/>
  <c r="L1965" i="2"/>
  <c r="L1966" i="2"/>
  <c r="L1967" i="2"/>
  <c r="L1968" i="2"/>
  <c r="L1969" i="2"/>
  <c r="L1970" i="2"/>
  <c r="L1971" i="2"/>
  <c r="L1972" i="2"/>
  <c r="L1973" i="2"/>
  <c r="L1974" i="2"/>
  <c r="L1975" i="2"/>
  <c r="L1976" i="2"/>
  <c r="L1977" i="2"/>
  <c r="L1978" i="2"/>
  <c r="L1979" i="2"/>
  <c r="L1980" i="2"/>
  <c r="L1981" i="2"/>
  <c r="L1982" i="2"/>
  <c r="L1983" i="2"/>
  <c r="L1984" i="2"/>
  <c r="L1985" i="2"/>
  <c r="L1986" i="2"/>
  <c r="L1987" i="2"/>
  <c r="L1988" i="2"/>
  <c r="L1989" i="2"/>
  <c r="L1990" i="2"/>
  <c r="L1991" i="2"/>
  <c r="L1992" i="2"/>
  <c r="L1993" i="2"/>
  <c r="L1994" i="2"/>
  <c r="L1995" i="2"/>
  <c r="L1996" i="2"/>
  <c r="L1997" i="2"/>
  <c r="L1998" i="2"/>
  <c r="L1999" i="2"/>
  <c r="L2000" i="2"/>
  <c r="L2001" i="2"/>
  <c r="L2002" i="2"/>
  <c r="L2003" i="2"/>
  <c r="L2004" i="2"/>
  <c r="L2005" i="2"/>
  <c r="L2006" i="2"/>
  <c r="L2007" i="2"/>
  <c r="L2008" i="2"/>
  <c r="L2009" i="2"/>
  <c r="L2010" i="2"/>
  <c r="L2011" i="2"/>
  <c r="L2012" i="2"/>
  <c r="L2013" i="2"/>
  <c r="L2014" i="2"/>
  <c r="L2015" i="2"/>
  <c r="L2016" i="2"/>
  <c r="L2017" i="2"/>
  <c r="L2018" i="2"/>
  <c r="L2019" i="2"/>
  <c r="L2020" i="2"/>
  <c r="L2021" i="2"/>
  <c r="L2022" i="2"/>
  <c r="L2023" i="2"/>
  <c r="L2024" i="2"/>
  <c r="L2025" i="2"/>
  <c r="L2026" i="2"/>
  <c r="L2027" i="2"/>
  <c r="L2028" i="2"/>
  <c r="L2029" i="2"/>
  <c r="L2030" i="2"/>
  <c r="L2031" i="2"/>
  <c r="L2032" i="2"/>
  <c r="L2033" i="2"/>
  <c r="L2034" i="2"/>
  <c r="L2035" i="2"/>
  <c r="L2036" i="2"/>
  <c r="L2037" i="2"/>
  <c r="L2038" i="2"/>
  <c r="L2039" i="2"/>
  <c r="L2040" i="2"/>
  <c r="L2041" i="2"/>
  <c r="L2042" i="2"/>
  <c r="L2043" i="2"/>
  <c r="L2044" i="2"/>
  <c r="L2045" i="2"/>
  <c r="L2046" i="2"/>
  <c r="L2047" i="2"/>
  <c r="L2048" i="2"/>
  <c r="L2049" i="2"/>
  <c r="L2050" i="2"/>
  <c r="L2051" i="2"/>
  <c r="L2052" i="2"/>
  <c r="L2053" i="2"/>
  <c r="L2054" i="2"/>
  <c r="L2055" i="2"/>
  <c r="L2056" i="2"/>
  <c r="L2057" i="2"/>
  <c r="L2058" i="2"/>
  <c r="L2059" i="2"/>
  <c r="L2060" i="2"/>
  <c r="L2061" i="2"/>
  <c r="L2062" i="2"/>
  <c r="L2063" i="2"/>
  <c r="L2064" i="2"/>
  <c r="L2065" i="2"/>
  <c r="L2066" i="2"/>
  <c r="L2067" i="2"/>
  <c r="L2068" i="2"/>
  <c r="L2069" i="2"/>
  <c r="L2070" i="2"/>
  <c r="L2071" i="2"/>
  <c r="L2072" i="2"/>
  <c r="L2073" i="2"/>
  <c r="L2074" i="2"/>
  <c r="L2075" i="2"/>
  <c r="L2076" i="2"/>
  <c r="L2077" i="2"/>
  <c r="L2078" i="2"/>
  <c r="L2079" i="2"/>
  <c r="L2080" i="2"/>
  <c r="L2081" i="2"/>
  <c r="L2082" i="2"/>
  <c r="L2083" i="2"/>
  <c r="L2084" i="2"/>
  <c r="L2085" i="2"/>
  <c r="L2086" i="2"/>
  <c r="L2087" i="2"/>
  <c r="L2088" i="2"/>
  <c r="L2089" i="2"/>
  <c r="L2090" i="2"/>
  <c r="L2091" i="2"/>
  <c r="L2092" i="2"/>
  <c r="L2093" i="2"/>
  <c r="L2094" i="2"/>
  <c r="L2095" i="2"/>
  <c r="L2096" i="2"/>
  <c r="L2097" i="2"/>
  <c r="L2098" i="2"/>
  <c r="L2099" i="2"/>
  <c r="L2100" i="2"/>
  <c r="L2101" i="2"/>
  <c r="L2102" i="2"/>
  <c r="L2103" i="2"/>
  <c r="L2104" i="2"/>
  <c r="L2105" i="2"/>
  <c r="L2106" i="2"/>
  <c r="L2107" i="2"/>
  <c r="L2108" i="2"/>
  <c r="L2109" i="2"/>
  <c r="L2110" i="2"/>
  <c r="L2111" i="2"/>
  <c r="L2112" i="2"/>
  <c r="L2113" i="2"/>
  <c r="L2114" i="2"/>
  <c r="L2115" i="2"/>
  <c r="L2116" i="2"/>
  <c r="L2117" i="2"/>
  <c r="L2118" i="2"/>
  <c r="L2119" i="2"/>
  <c r="L2120" i="2"/>
  <c r="L2121" i="2"/>
  <c r="L2122" i="2"/>
  <c r="L2123" i="2"/>
  <c r="L2124" i="2"/>
  <c r="L2125" i="2"/>
  <c r="L2126" i="2"/>
  <c r="L2127" i="2"/>
  <c r="L2128" i="2"/>
  <c r="L2129" i="2"/>
  <c r="L2130" i="2"/>
  <c r="L2131" i="2"/>
  <c r="L2132" i="2"/>
  <c r="L2133" i="2"/>
  <c r="L2134" i="2"/>
  <c r="L2135" i="2"/>
  <c r="L2136" i="2"/>
  <c r="L2137" i="2"/>
  <c r="L2138" i="2"/>
  <c r="L2139" i="2"/>
  <c r="L2140" i="2"/>
  <c r="L2141" i="2"/>
  <c r="L2142" i="2"/>
  <c r="L2143" i="2"/>
  <c r="L2144" i="2"/>
  <c r="L2145" i="2"/>
  <c r="L2146" i="2"/>
  <c r="L2147" i="2"/>
  <c r="L2148" i="2"/>
  <c r="L2149" i="2"/>
  <c r="L2150" i="2"/>
  <c r="L2151" i="2"/>
  <c r="L2152" i="2"/>
  <c r="L2153" i="2"/>
  <c r="L2154" i="2"/>
  <c r="L2155" i="2"/>
  <c r="L2156" i="2"/>
  <c r="L2157" i="2"/>
  <c r="L2158" i="2"/>
  <c r="L2159" i="2"/>
  <c r="L2160" i="2"/>
  <c r="L2161" i="2"/>
  <c r="L2162" i="2"/>
  <c r="L2163" i="2"/>
  <c r="L2164" i="2"/>
  <c r="L2165" i="2"/>
  <c r="L2166" i="2"/>
  <c r="L2167" i="2"/>
  <c r="L2168" i="2"/>
  <c r="L2169" i="2"/>
  <c r="L2170" i="2"/>
  <c r="L2171" i="2"/>
  <c r="L2172" i="2"/>
  <c r="L2173" i="2"/>
  <c r="L2174" i="2"/>
  <c r="L2175" i="2"/>
  <c r="L2176" i="2"/>
  <c r="L2177" i="2"/>
  <c r="L2178" i="2"/>
  <c r="L2179" i="2"/>
  <c r="L2180" i="2"/>
  <c r="L2181" i="2"/>
  <c r="L2182" i="2"/>
  <c r="L2183" i="2"/>
  <c r="L2184" i="2"/>
  <c r="L2185" i="2"/>
  <c r="L2186" i="2"/>
  <c r="L2187" i="2"/>
  <c r="L2188" i="2"/>
  <c r="L2189" i="2"/>
  <c r="L2190" i="2"/>
  <c r="L2191" i="2"/>
  <c r="L2192" i="2"/>
  <c r="L2193" i="2"/>
  <c r="L2194" i="2"/>
  <c r="L2195" i="2"/>
  <c r="L2196" i="2"/>
  <c r="L2197" i="2"/>
  <c r="L2198" i="2"/>
  <c r="L2199" i="2"/>
  <c r="L2200" i="2"/>
  <c r="L2201" i="2"/>
  <c r="L2202" i="2"/>
  <c r="L2203" i="2"/>
  <c r="L2204" i="2"/>
  <c r="L2205" i="2"/>
  <c r="L2206" i="2"/>
  <c r="L2207" i="2"/>
  <c r="L2208" i="2"/>
  <c r="L2209" i="2"/>
  <c r="L2210" i="2"/>
  <c r="L2211" i="2"/>
  <c r="L2212" i="2"/>
  <c r="L2213" i="2"/>
  <c r="L2214" i="2"/>
  <c r="L2215" i="2"/>
  <c r="L2216" i="2"/>
  <c r="L2217" i="2"/>
  <c r="L2218" i="2"/>
  <c r="L2219" i="2"/>
  <c r="L2220" i="2"/>
  <c r="L2221" i="2"/>
  <c r="L2222" i="2"/>
  <c r="L2223" i="2"/>
  <c r="L2224" i="2"/>
  <c r="L2225" i="2"/>
  <c r="L2226" i="2"/>
  <c r="L2227" i="2"/>
  <c r="L2228" i="2"/>
  <c r="L2229" i="2"/>
  <c r="L2230" i="2"/>
  <c r="L2231" i="2"/>
  <c r="L2232" i="2"/>
  <c r="L2233" i="2"/>
  <c r="L2234" i="2"/>
  <c r="L2235" i="2"/>
  <c r="L2236" i="2"/>
  <c r="L2237" i="2"/>
  <c r="L2238" i="2"/>
  <c r="L2239" i="2"/>
  <c r="L2240" i="2"/>
  <c r="L2241" i="2"/>
  <c r="L2242" i="2"/>
  <c r="L2243" i="2"/>
  <c r="L2244" i="2"/>
  <c r="L2245" i="2"/>
  <c r="L2246" i="2"/>
  <c r="L2247" i="2"/>
  <c r="L2248" i="2"/>
  <c r="L2249" i="2"/>
  <c r="L2250" i="2"/>
  <c r="L2251" i="2"/>
  <c r="L2252" i="2"/>
  <c r="L2253" i="2"/>
  <c r="L2254" i="2"/>
  <c r="L2255" i="2"/>
  <c r="L2256" i="2"/>
  <c r="L2257" i="2"/>
  <c r="L2258" i="2"/>
  <c r="L2259" i="2"/>
  <c r="L2260" i="2"/>
  <c r="L2261" i="2"/>
  <c r="L2262" i="2"/>
  <c r="L2263" i="2"/>
  <c r="L2264" i="2"/>
  <c r="L2265" i="2"/>
  <c r="L2266" i="2"/>
  <c r="L2267" i="2"/>
  <c r="L2268" i="2"/>
  <c r="L2269" i="2"/>
  <c r="L2270" i="2"/>
  <c r="L2271" i="2"/>
  <c r="L2272" i="2"/>
  <c r="L2273" i="2"/>
  <c r="L2274" i="2"/>
  <c r="L2275" i="2"/>
  <c r="L2276" i="2"/>
  <c r="L2277" i="2"/>
  <c r="L2278" i="2"/>
  <c r="L2279" i="2"/>
  <c r="L2280" i="2"/>
  <c r="L2281" i="2"/>
  <c r="L2282" i="2"/>
  <c r="L2283" i="2"/>
  <c r="L2284" i="2"/>
  <c r="L2285" i="2"/>
  <c r="L2286" i="2"/>
  <c r="L2287" i="2"/>
  <c r="L2288" i="2"/>
  <c r="L2289" i="2"/>
  <c r="L2290" i="2"/>
  <c r="L2291" i="2"/>
  <c r="L2292" i="2"/>
  <c r="L2293" i="2"/>
  <c r="L2294" i="2"/>
  <c r="L2295" i="2"/>
  <c r="L2296" i="2"/>
  <c r="L2297" i="2"/>
  <c r="L2298" i="2"/>
  <c r="L2299" i="2"/>
  <c r="L2300" i="2"/>
  <c r="L2301" i="2"/>
  <c r="L2302" i="2"/>
  <c r="L2303" i="2"/>
  <c r="L2304" i="2"/>
  <c r="L2305" i="2"/>
  <c r="L2306" i="2"/>
  <c r="L2307" i="2"/>
  <c r="L2308" i="2"/>
  <c r="L2309" i="2"/>
  <c r="L2310" i="2"/>
  <c r="L2311" i="2"/>
  <c r="L2312" i="2"/>
  <c r="L2313" i="2"/>
  <c r="L2314" i="2"/>
  <c r="L2315" i="2"/>
  <c r="L2316" i="2"/>
  <c r="L2317" i="2"/>
  <c r="L2318" i="2"/>
  <c r="L2319" i="2"/>
  <c r="L2320" i="2"/>
  <c r="L2321" i="2"/>
  <c r="L2322" i="2"/>
  <c r="L2323" i="2"/>
  <c r="L2324" i="2"/>
  <c r="L2325" i="2"/>
  <c r="L2326" i="2"/>
  <c r="L2327" i="2"/>
  <c r="L2328" i="2"/>
  <c r="L2329" i="2"/>
  <c r="L2330" i="2"/>
  <c r="L2331" i="2"/>
  <c r="L2332" i="2"/>
  <c r="L2333" i="2"/>
  <c r="L2334" i="2"/>
  <c r="L2335" i="2"/>
  <c r="L2336" i="2"/>
  <c r="L2337" i="2"/>
  <c r="L2338" i="2"/>
  <c r="L2339" i="2"/>
  <c r="L2340" i="2"/>
  <c r="L2341" i="2"/>
  <c r="L2342" i="2"/>
  <c r="L2343" i="2"/>
  <c r="L2344" i="2"/>
  <c r="L2345" i="2"/>
  <c r="L2346" i="2"/>
  <c r="L2347" i="2"/>
  <c r="L2348" i="2"/>
  <c r="L2349" i="2"/>
  <c r="L2350" i="2"/>
  <c r="L2351" i="2"/>
  <c r="L2352" i="2"/>
  <c r="L2353" i="2"/>
  <c r="L2354" i="2"/>
  <c r="L2355" i="2"/>
  <c r="L2356" i="2"/>
  <c r="L2357" i="2"/>
  <c r="L2358" i="2"/>
  <c r="L2359" i="2"/>
  <c r="L2360" i="2"/>
  <c r="L2361" i="2"/>
  <c r="L2362" i="2"/>
  <c r="L2363" i="2"/>
  <c r="L2364" i="2"/>
  <c r="L2365" i="2"/>
  <c r="L2366" i="2"/>
  <c r="L2367" i="2"/>
  <c r="L2368" i="2"/>
  <c r="L2369" i="2"/>
  <c r="L2370" i="2"/>
  <c r="L2371" i="2"/>
  <c r="L2372" i="2"/>
  <c r="L2373" i="2"/>
  <c r="L2374" i="2"/>
  <c r="L2375" i="2"/>
  <c r="L2376" i="2"/>
  <c r="L2377" i="2"/>
  <c r="L2378" i="2"/>
  <c r="L2379" i="2"/>
  <c r="L2380" i="2"/>
  <c r="L2381" i="2"/>
  <c r="L2382" i="2"/>
  <c r="L2383" i="2"/>
  <c r="L2384" i="2"/>
  <c r="L2385" i="2"/>
  <c r="L2386" i="2"/>
  <c r="L2387" i="2"/>
  <c r="L2388" i="2"/>
  <c r="L2389" i="2"/>
  <c r="L2390" i="2"/>
  <c r="L2391" i="2"/>
  <c r="L2392" i="2"/>
  <c r="L2393" i="2"/>
  <c r="L2394" i="2"/>
  <c r="L2395" i="2"/>
  <c r="L2396" i="2"/>
  <c r="L2397" i="2"/>
  <c r="L2398" i="2"/>
  <c r="L2399" i="2"/>
  <c r="L2400" i="2"/>
  <c r="L2401" i="2"/>
  <c r="L2402" i="2"/>
  <c r="L2403" i="2"/>
  <c r="L2404" i="2"/>
  <c r="L2405" i="2"/>
  <c r="L2406" i="2"/>
  <c r="L2407" i="2"/>
  <c r="L2408" i="2"/>
  <c r="L2409" i="2"/>
  <c r="L2410" i="2"/>
  <c r="L2411" i="2"/>
  <c r="L2412" i="2"/>
  <c r="L2413" i="2"/>
  <c r="L2414" i="2"/>
  <c r="L2415" i="2"/>
  <c r="L2416" i="2"/>
  <c r="L2417" i="2"/>
  <c r="L2418" i="2"/>
  <c r="L2419" i="2"/>
  <c r="L2420" i="2"/>
  <c r="L2421" i="2"/>
  <c r="L2422" i="2"/>
  <c r="L2423" i="2"/>
  <c r="L2424" i="2"/>
  <c r="L2425" i="2"/>
  <c r="L2426" i="2"/>
  <c r="L2427" i="2"/>
  <c r="L2428" i="2"/>
  <c r="L2429" i="2"/>
  <c r="L2430" i="2"/>
  <c r="L2431" i="2"/>
  <c r="L2432" i="2"/>
  <c r="L2433" i="2"/>
  <c r="L2434" i="2"/>
  <c r="L2435" i="2"/>
  <c r="L2436" i="2"/>
  <c r="L2437" i="2"/>
  <c r="L2438" i="2"/>
  <c r="L2439" i="2"/>
  <c r="L2440" i="2"/>
  <c r="L2441" i="2"/>
  <c r="L2442" i="2"/>
  <c r="L2443" i="2"/>
  <c r="L2444" i="2"/>
  <c r="L2445" i="2"/>
  <c r="L2446" i="2"/>
  <c r="L2447" i="2"/>
  <c r="L2448" i="2"/>
  <c r="L2449" i="2"/>
  <c r="L2450" i="2"/>
  <c r="L2451" i="2"/>
  <c r="L2452" i="2"/>
  <c r="L2453" i="2"/>
  <c r="L2454" i="2"/>
  <c r="L2455" i="2"/>
  <c r="L2456" i="2"/>
  <c r="L2457" i="2"/>
  <c r="L2458" i="2"/>
  <c r="L2459" i="2"/>
  <c r="L2460" i="2"/>
  <c r="L2461" i="2"/>
  <c r="L2462" i="2"/>
  <c r="L2463" i="2"/>
  <c r="L2464" i="2"/>
  <c r="L2465" i="2"/>
  <c r="L2466" i="2"/>
  <c r="L2467" i="2"/>
  <c r="L2468" i="2"/>
  <c r="L2469" i="2"/>
  <c r="L2470" i="2"/>
  <c r="L2471" i="2"/>
  <c r="L2472" i="2"/>
  <c r="L2473" i="2"/>
  <c r="L2474" i="2"/>
  <c r="L2475" i="2"/>
  <c r="L2476" i="2"/>
  <c r="L2477" i="2"/>
  <c r="L2478" i="2"/>
  <c r="L2479" i="2"/>
  <c r="L2480" i="2"/>
  <c r="L2481" i="2"/>
  <c r="L2482" i="2"/>
  <c r="L2483" i="2"/>
  <c r="L2484" i="2"/>
  <c r="L2485" i="2"/>
  <c r="L2486" i="2"/>
  <c r="L2487" i="2"/>
  <c r="L2488" i="2"/>
  <c r="L2489" i="2"/>
  <c r="L2490" i="2"/>
  <c r="L2491" i="2"/>
  <c r="L2492" i="2"/>
  <c r="L2493" i="2"/>
  <c r="L2494" i="2"/>
  <c r="L2495" i="2"/>
  <c r="L2496" i="2"/>
  <c r="L2497" i="2"/>
  <c r="L2498" i="2"/>
  <c r="L2499" i="2"/>
  <c r="L2500" i="2"/>
  <c r="L2501" i="2"/>
  <c r="L2502" i="2"/>
  <c r="L2503" i="2"/>
  <c r="L2504" i="2"/>
  <c r="L2505" i="2"/>
  <c r="L2506" i="2"/>
  <c r="L2507" i="2"/>
  <c r="L2508" i="2"/>
  <c r="L2509" i="2"/>
  <c r="L2510" i="2"/>
  <c r="L2511" i="2"/>
  <c r="L2512" i="2"/>
  <c r="L2513" i="2"/>
  <c r="L2514" i="2"/>
  <c r="L2515" i="2"/>
  <c r="L2516" i="2"/>
  <c r="L2517" i="2"/>
  <c r="L2518" i="2"/>
  <c r="L2519" i="2"/>
  <c r="L2520" i="2"/>
  <c r="L2521" i="2"/>
  <c r="L2522" i="2"/>
  <c r="L2523" i="2"/>
  <c r="L2524" i="2"/>
  <c r="L2525" i="2"/>
  <c r="L2526" i="2"/>
  <c r="L2527" i="2"/>
  <c r="L2528" i="2"/>
  <c r="L2529" i="2"/>
  <c r="L2530" i="2"/>
  <c r="L2531" i="2"/>
  <c r="L2532" i="2"/>
  <c r="L2533" i="2"/>
  <c r="L2534" i="2"/>
  <c r="L2535" i="2"/>
  <c r="L2536" i="2"/>
  <c r="L2537" i="2"/>
  <c r="L2538" i="2"/>
  <c r="L2539" i="2"/>
  <c r="L2540" i="2"/>
  <c r="L2541" i="2"/>
  <c r="L2542" i="2"/>
  <c r="L2543" i="2"/>
  <c r="L2544" i="2"/>
  <c r="L2545" i="2"/>
  <c r="L2546" i="2"/>
  <c r="L2547" i="2"/>
  <c r="L2548" i="2"/>
  <c r="L2549" i="2"/>
  <c r="L2550" i="2"/>
  <c r="L2551" i="2"/>
  <c r="L2552" i="2"/>
  <c r="L2553" i="2"/>
  <c r="L2554" i="2"/>
  <c r="L2555" i="2"/>
  <c r="L2556" i="2"/>
  <c r="L2557" i="2"/>
  <c r="L2558" i="2"/>
  <c r="L2559" i="2"/>
  <c r="L2560" i="2"/>
  <c r="L2561" i="2"/>
  <c r="L2562" i="2"/>
  <c r="L2563" i="2"/>
  <c r="L2564" i="2"/>
  <c r="L2565" i="2"/>
  <c r="L2566" i="2"/>
  <c r="L2567" i="2"/>
  <c r="L2568" i="2"/>
  <c r="L2569" i="2"/>
  <c r="L2570" i="2"/>
  <c r="L2571" i="2"/>
  <c r="L2572" i="2"/>
  <c r="L2573" i="2"/>
  <c r="L2574" i="2"/>
  <c r="L2575" i="2"/>
  <c r="L2576" i="2"/>
  <c r="L2577" i="2"/>
  <c r="L2578" i="2"/>
  <c r="L2579" i="2"/>
  <c r="L2580" i="2"/>
  <c r="L2581" i="2"/>
  <c r="L2582" i="2"/>
  <c r="L2583" i="2"/>
  <c r="L2584" i="2"/>
  <c r="L2585" i="2"/>
  <c r="L2586" i="2"/>
  <c r="L2587" i="2"/>
  <c r="L2588" i="2"/>
  <c r="L2589" i="2"/>
  <c r="L2590" i="2"/>
  <c r="L2591" i="2"/>
  <c r="L2592" i="2"/>
  <c r="L2593" i="2"/>
  <c r="L2594" i="2"/>
  <c r="L2595" i="2"/>
  <c r="L2596" i="2"/>
  <c r="L2597" i="2"/>
  <c r="L2598" i="2"/>
  <c r="L2599" i="2"/>
  <c r="L2600" i="2"/>
  <c r="L2601" i="2"/>
  <c r="L2602" i="2"/>
  <c r="L2603" i="2"/>
  <c r="L2604" i="2"/>
  <c r="L2605" i="2"/>
  <c r="L2606" i="2"/>
  <c r="L2607" i="2"/>
  <c r="L2608" i="2"/>
  <c r="L2609" i="2"/>
  <c r="L2610" i="2"/>
  <c r="L2611" i="2"/>
  <c r="L2612" i="2"/>
  <c r="L2613" i="2"/>
  <c r="L2614" i="2"/>
  <c r="L2615" i="2"/>
  <c r="L2616" i="2"/>
  <c r="L2617" i="2"/>
  <c r="L2618" i="2"/>
  <c r="L2619" i="2"/>
  <c r="L2620" i="2"/>
  <c r="L2621" i="2"/>
  <c r="L2622" i="2"/>
  <c r="L2623" i="2"/>
  <c r="L2624" i="2"/>
  <c r="L2625" i="2"/>
  <c r="L2626" i="2"/>
  <c r="L2627" i="2"/>
  <c r="L2628" i="2"/>
  <c r="L2629" i="2"/>
  <c r="L2630" i="2"/>
  <c r="L2631" i="2"/>
  <c r="L2632" i="2"/>
  <c r="L2633" i="2"/>
  <c r="L2634" i="2"/>
  <c r="L2635" i="2"/>
  <c r="L2636" i="2"/>
  <c r="L2637" i="2"/>
  <c r="L2638" i="2"/>
  <c r="L2639" i="2"/>
  <c r="L2640" i="2"/>
  <c r="L2641" i="2"/>
  <c r="L2642" i="2"/>
  <c r="L2643" i="2"/>
  <c r="L2644" i="2"/>
  <c r="L2645" i="2"/>
  <c r="L2646" i="2"/>
  <c r="L2647" i="2"/>
  <c r="L2648" i="2"/>
  <c r="L2649" i="2"/>
  <c r="L2650" i="2"/>
  <c r="L2651" i="2"/>
  <c r="L2652" i="2"/>
  <c r="L2653" i="2"/>
  <c r="L2654" i="2"/>
  <c r="L2655" i="2"/>
  <c r="L2656" i="2"/>
  <c r="L2657" i="2"/>
  <c r="L2658" i="2"/>
  <c r="L2659" i="2"/>
  <c r="L2660" i="2"/>
  <c r="L2661" i="2"/>
  <c r="L2662" i="2"/>
  <c r="L2663" i="2"/>
  <c r="L2664" i="2"/>
  <c r="L2665" i="2"/>
  <c r="L2666" i="2"/>
  <c r="L2667" i="2"/>
  <c r="L2668" i="2"/>
  <c r="L2669" i="2"/>
  <c r="L2670" i="2"/>
  <c r="L2671" i="2"/>
  <c r="L2672" i="2"/>
  <c r="L2673" i="2"/>
  <c r="L2674" i="2"/>
  <c r="L2675" i="2"/>
  <c r="L2676" i="2"/>
  <c r="L2677" i="2"/>
  <c r="L2678" i="2"/>
  <c r="L2679" i="2"/>
  <c r="L2680" i="2"/>
  <c r="L2681" i="2"/>
  <c r="L2682" i="2"/>
  <c r="L2683" i="2"/>
  <c r="L2684" i="2"/>
  <c r="L2685" i="2"/>
  <c r="L2686" i="2"/>
  <c r="L2687" i="2"/>
  <c r="L2688" i="2"/>
  <c r="L2689" i="2"/>
  <c r="L2690" i="2"/>
  <c r="L2691" i="2"/>
  <c r="L2692" i="2"/>
  <c r="L2693" i="2"/>
  <c r="L2694" i="2"/>
  <c r="L2695" i="2"/>
  <c r="L2696" i="2"/>
  <c r="L2697" i="2"/>
  <c r="L2698" i="2"/>
  <c r="L2699" i="2"/>
  <c r="L2700" i="2"/>
  <c r="L2701" i="2"/>
  <c r="L2702" i="2"/>
  <c r="L2703" i="2"/>
  <c r="L2704" i="2"/>
  <c r="L2705" i="2"/>
  <c r="L2706" i="2"/>
  <c r="L2707" i="2"/>
  <c r="L2708" i="2"/>
  <c r="L2709" i="2"/>
  <c r="L2710" i="2"/>
  <c r="L2711" i="2"/>
  <c r="L2712" i="2"/>
  <c r="L2713" i="2"/>
  <c r="L2714" i="2"/>
  <c r="L2715" i="2"/>
  <c r="L2716" i="2"/>
  <c r="L2717" i="2"/>
  <c r="L2718" i="2"/>
  <c r="L2719" i="2"/>
  <c r="L2720" i="2"/>
  <c r="L2721" i="2"/>
  <c r="L2722" i="2"/>
  <c r="L2723" i="2"/>
  <c r="L2724" i="2"/>
  <c r="L2725" i="2"/>
  <c r="L2726" i="2"/>
  <c r="L2727" i="2"/>
  <c r="L2728" i="2"/>
  <c r="L2729" i="2"/>
  <c r="L2730" i="2"/>
  <c r="L2731" i="2"/>
  <c r="L2732" i="2"/>
  <c r="L2733" i="2"/>
  <c r="L2734" i="2"/>
  <c r="L2735" i="2"/>
  <c r="L2736" i="2"/>
  <c r="L2737" i="2"/>
  <c r="L2738" i="2"/>
  <c r="L2739" i="2"/>
  <c r="L2740" i="2"/>
  <c r="L2741" i="2"/>
  <c r="L2742" i="2"/>
  <c r="L2743" i="2"/>
  <c r="L2744" i="2"/>
  <c r="L2745" i="2"/>
  <c r="L2746" i="2"/>
  <c r="L2747" i="2"/>
  <c r="L2748" i="2"/>
  <c r="L2749" i="2"/>
  <c r="L2750" i="2"/>
  <c r="L2751" i="2"/>
  <c r="L2752" i="2"/>
  <c r="L2753" i="2"/>
  <c r="L2754" i="2"/>
  <c r="L2755" i="2"/>
  <c r="L2756" i="2"/>
  <c r="L2757" i="2"/>
  <c r="L2758" i="2"/>
  <c r="L2759" i="2"/>
  <c r="L2760" i="2"/>
  <c r="L2761" i="2"/>
  <c r="L2762" i="2"/>
  <c r="L2763" i="2"/>
  <c r="L2764" i="2"/>
  <c r="L2765" i="2"/>
  <c r="L2766" i="2"/>
  <c r="L2767" i="2"/>
  <c r="L2768" i="2"/>
  <c r="L2769" i="2"/>
  <c r="L2770" i="2"/>
  <c r="L2771" i="2"/>
  <c r="L2772" i="2"/>
  <c r="L2773" i="2"/>
  <c r="L2774" i="2"/>
  <c r="L2775" i="2"/>
  <c r="L2776" i="2"/>
  <c r="L2777" i="2"/>
  <c r="L2778" i="2"/>
  <c r="L2779" i="2"/>
  <c r="L2780" i="2"/>
  <c r="L2781" i="2"/>
  <c r="L2782" i="2"/>
  <c r="L2783" i="2"/>
  <c r="L2784" i="2"/>
  <c r="L2785" i="2"/>
  <c r="L2786" i="2"/>
  <c r="L2787" i="2"/>
  <c r="L2788" i="2"/>
  <c r="L2789" i="2"/>
  <c r="L2790" i="2"/>
  <c r="L2791" i="2"/>
  <c r="L2792" i="2"/>
  <c r="L2793" i="2"/>
  <c r="L2794" i="2"/>
  <c r="L2795" i="2"/>
  <c r="L2796" i="2"/>
  <c r="L2797" i="2"/>
  <c r="L2798" i="2"/>
  <c r="L2799" i="2"/>
  <c r="L2800" i="2"/>
  <c r="L2801" i="2"/>
  <c r="L2802" i="2"/>
  <c r="L2803" i="2"/>
  <c r="L2804" i="2"/>
  <c r="L2805" i="2"/>
  <c r="L2806" i="2"/>
  <c r="L2807" i="2"/>
  <c r="L2808" i="2"/>
  <c r="L2809" i="2"/>
  <c r="L2810" i="2"/>
  <c r="L2811" i="2"/>
  <c r="L2812" i="2"/>
  <c r="L2813" i="2"/>
  <c r="L2814" i="2"/>
  <c r="L2815" i="2"/>
  <c r="L2816" i="2"/>
  <c r="L2817" i="2"/>
  <c r="L2818" i="2"/>
  <c r="L2819" i="2"/>
  <c r="L2820" i="2"/>
  <c r="L2821" i="2"/>
  <c r="L2822" i="2"/>
  <c r="L2823" i="2"/>
  <c r="L2824" i="2"/>
  <c r="L2825" i="2"/>
  <c r="L2826" i="2"/>
  <c r="L2827" i="2"/>
  <c r="L2828" i="2"/>
  <c r="L2829" i="2"/>
  <c r="L2830" i="2"/>
  <c r="L2831" i="2"/>
  <c r="L2832" i="2"/>
  <c r="L2833" i="2"/>
  <c r="L2834" i="2"/>
  <c r="L2835" i="2"/>
  <c r="L2836" i="2"/>
  <c r="L2837" i="2"/>
  <c r="L2838" i="2"/>
  <c r="L2839" i="2"/>
  <c r="L2840" i="2"/>
  <c r="L2841" i="2"/>
  <c r="L2842" i="2"/>
  <c r="L2843" i="2"/>
  <c r="L2844" i="2"/>
  <c r="L2845" i="2"/>
  <c r="L2846" i="2"/>
  <c r="L2847" i="2"/>
  <c r="L2848" i="2"/>
  <c r="L2849" i="2"/>
  <c r="L2850" i="2"/>
  <c r="L2851" i="2"/>
  <c r="L2852" i="2"/>
  <c r="L2853" i="2"/>
  <c r="L2854" i="2"/>
  <c r="L2855" i="2"/>
  <c r="L2856" i="2"/>
  <c r="L2857" i="2"/>
  <c r="L2858" i="2"/>
  <c r="L2859" i="2"/>
  <c r="L2860" i="2"/>
  <c r="L2861" i="2"/>
  <c r="L2862" i="2"/>
  <c r="L2863" i="2"/>
  <c r="L2864" i="2"/>
  <c r="L2865" i="2"/>
  <c r="L2866" i="2"/>
  <c r="L2867" i="2"/>
  <c r="L2868" i="2"/>
  <c r="L2869" i="2"/>
  <c r="L2870" i="2"/>
  <c r="L2871" i="2"/>
  <c r="L2872" i="2"/>
  <c r="L2873" i="2"/>
  <c r="L2874" i="2"/>
  <c r="L2875" i="2"/>
  <c r="L2876" i="2"/>
  <c r="L2877" i="2"/>
  <c r="L2878" i="2"/>
  <c r="L2879" i="2"/>
  <c r="L2880" i="2"/>
  <c r="L2881" i="2"/>
  <c r="L2882" i="2"/>
  <c r="L2883" i="2"/>
  <c r="L2884" i="2"/>
  <c r="L2885" i="2"/>
  <c r="L2886" i="2"/>
  <c r="L2887" i="2"/>
  <c r="L2888" i="2"/>
  <c r="L2889" i="2"/>
  <c r="L2890" i="2"/>
  <c r="L2891" i="2"/>
  <c r="L2892" i="2"/>
  <c r="L2893" i="2"/>
  <c r="L2894" i="2"/>
  <c r="L2895" i="2"/>
  <c r="L2896" i="2"/>
  <c r="L2897" i="2"/>
  <c r="L2898" i="2"/>
  <c r="L2899" i="2"/>
  <c r="L2900" i="2"/>
  <c r="L2901" i="2"/>
  <c r="L2902" i="2"/>
  <c r="L2903" i="2"/>
  <c r="L2904" i="2"/>
  <c r="L2905" i="2"/>
  <c r="L2906" i="2"/>
  <c r="L2907" i="2"/>
  <c r="L2908" i="2"/>
  <c r="L2909" i="2"/>
  <c r="L2910" i="2"/>
  <c r="L2911" i="2"/>
  <c r="L2912" i="2"/>
  <c r="L2913" i="2"/>
  <c r="L2914" i="2"/>
  <c r="L2915" i="2"/>
  <c r="L2916" i="2"/>
  <c r="L2917" i="2"/>
  <c r="L2918" i="2"/>
  <c r="L2919" i="2"/>
  <c r="L2920" i="2"/>
  <c r="L2921" i="2"/>
  <c r="L2922" i="2"/>
  <c r="L2923" i="2"/>
  <c r="L2924" i="2"/>
  <c r="L2925" i="2"/>
  <c r="L2926" i="2"/>
  <c r="L2927" i="2"/>
  <c r="L2928" i="2"/>
  <c r="L2929" i="2"/>
  <c r="L2930" i="2"/>
  <c r="L2931" i="2"/>
  <c r="L2932" i="2"/>
  <c r="L2933" i="2"/>
  <c r="L2934" i="2"/>
  <c r="L2935" i="2"/>
  <c r="L2936" i="2"/>
  <c r="L2937" i="2"/>
  <c r="L2938" i="2"/>
  <c r="L2939" i="2"/>
  <c r="L2940" i="2"/>
  <c r="L2941" i="2"/>
  <c r="L2942" i="2"/>
  <c r="L2943" i="2"/>
  <c r="L2944" i="2"/>
  <c r="L2945" i="2"/>
  <c r="L2946" i="2"/>
  <c r="L2947" i="2"/>
  <c r="L2948" i="2"/>
  <c r="L2949" i="2"/>
  <c r="L2950" i="2"/>
  <c r="L2951" i="2"/>
  <c r="L2952" i="2"/>
  <c r="L2953" i="2"/>
  <c r="L2954" i="2"/>
  <c r="L2955" i="2"/>
  <c r="L2956" i="2"/>
  <c r="L2957" i="2"/>
  <c r="L2958" i="2"/>
  <c r="L2959" i="2"/>
  <c r="L2960" i="2"/>
  <c r="L2961" i="2"/>
  <c r="L2962" i="2"/>
  <c r="L2963" i="2"/>
  <c r="L2964" i="2"/>
  <c r="L2965" i="2"/>
  <c r="L2966" i="2"/>
  <c r="L2967" i="2"/>
  <c r="L2968" i="2"/>
  <c r="L2969" i="2"/>
  <c r="L2970" i="2"/>
  <c r="L2971" i="2"/>
  <c r="L2972" i="2"/>
  <c r="L2973" i="2"/>
  <c r="L2974" i="2"/>
  <c r="L2975" i="2"/>
  <c r="L2976" i="2"/>
  <c r="L2977" i="2"/>
  <c r="L2978" i="2"/>
  <c r="L2979" i="2"/>
  <c r="L2980" i="2"/>
  <c r="L2981" i="2"/>
  <c r="L2982" i="2"/>
  <c r="L2983" i="2"/>
  <c r="L2984" i="2"/>
  <c r="L2985" i="2"/>
  <c r="L2986" i="2"/>
  <c r="L2987" i="2"/>
  <c r="L2988" i="2"/>
  <c r="L2989" i="2"/>
  <c r="L2990" i="2"/>
  <c r="L2991" i="2"/>
  <c r="L2992" i="2"/>
  <c r="L2993" i="2"/>
  <c r="L2994" i="2"/>
  <c r="L2995" i="2"/>
  <c r="L2996" i="2"/>
  <c r="L2997" i="2"/>
  <c r="L2998" i="2"/>
  <c r="L2999" i="2"/>
  <c r="L3000" i="2"/>
  <c r="L3001" i="2"/>
  <c r="K2" i="2"/>
  <c r="K3" i="2"/>
  <c r="K4" i="2"/>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K145" i="2"/>
  <c r="K146" i="2"/>
  <c r="K147" i="2"/>
  <c r="K148" i="2"/>
  <c r="K149" i="2"/>
  <c r="K150" i="2"/>
  <c r="K151" i="2"/>
  <c r="K152" i="2"/>
  <c r="K153" i="2"/>
  <c r="K154" i="2"/>
  <c r="K155" i="2"/>
  <c r="K156" i="2"/>
  <c r="K157" i="2"/>
  <c r="K158" i="2"/>
  <c r="K159" i="2"/>
  <c r="K160" i="2"/>
  <c r="K161" i="2"/>
  <c r="K162" i="2"/>
  <c r="K163" i="2"/>
  <c r="K164" i="2"/>
  <c r="K165" i="2"/>
  <c r="K166" i="2"/>
  <c r="K167" i="2"/>
  <c r="K168" i="2"/>
  <c r="K169" i="2"/>
  <c r="K170" i="2"/>
  <c r="K171" i="2"/>
  <c r="K172" i="2"/>
  <c r="K173" i="2"/>
  <c r="K174" i="2"/>
  <c r="K175" i="2"/>
  <c r="K176" i="2"/>
  <c r="K177" i="2"/>
  <c r="K178" i="2"/>
  <c r="K179" i="2"/>
  <c r="K180" i="2"/>
  <c r="K181" i="2"/>
  <c r="K182" i="2"/>
  <c r="K183" i="2"/>
  <c r="K184" i="2"/>
  <c r="K185" i="2"/>
  <c r="K186" i="2"/>
  <c r="K187" i="2"/>
  <c r="K188" i="2"/>
  <c r="K189" i="2"/>
  <c r="K190" i="2"/>
  <c r="K191" i="2"/>
  <c r="K192" i="2"/>
  <c r="K193" i="2"/>
  <c r="K194" i="2"/>
  <c r="K195" i="2"/>
  <c r="K196" i="2"/>
  <c r="K197" i="2"/>
  <c r="K198" i="2"/>
  <c r="K199" i="2"/>
  <c r="K200" i="2"/>
  <c r="K201" i="2"/>
  <c r="K202" i="2"/>
  <c r="K203" i="2"/>
  <c r="K204"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302" i="2"/>
  <c r="K303" i="2"/>
  <c r="K304" i="2"/>
  <c r="K305" i="2"/>
  <c r="K306" i="2"/>
  <c r="K307" i="2"/>
  <c r="K308" i="2"/>
  <c r="K309" i="2"/>
  <c r="K310" i="2"/>
  <c r="K311" i="2"/>
  <c r="K312" i="2"/>
  <c r="K313" i="2"/>
  <c r="K314" i="2"/>
  <c r="K315" i="2"/>
  <c r="K316" i="2"/>
  <c r="K317" i="2"/>
  <c r="K318" i="2"/>
  <c r="K319" i="2"/>
  <c r="K320" i="2"/>
  <c r="K321" i="2"/>
  <c r="K322" i="2"/>
  <c r="K323" i="2"/>
  <c r="K324" i="2"/>
  <c r="K325" i="2"/>
  <c r="K326" i="2"/>
  <c r="K327" i="2"/>
  <c r="K328" i="2"/>
  <c r="K329" i="2"/>
  <c r="K330" i="2"/>
  <c r="K331" i="2"/>
  <c r="K332" i="2"/>
  <c r="K333" i="2"/>
  <c r="K334" i="2"/>
  <c r="K335" i="2"/>
  <c r="K336" i="2"/>
  <c r="K337" i="2"/>
  <c r="K338" i="2"/>
  <c r="K339" i="2"/>
  <c r="K340" i="2"/>
  <c r="K341" i="2"/>
  <c r="K342" i="2"/>
  <c r="K343" i="2"/>
  <c r="K344" i="2"/>
  <c r="K345" i="2"/>
  <c r="K346" i="2"/>
  <c r="K347" i="2"/>
  <c r="K348" i="2"/>
  <c r="K349" i="2"/>
  <c r="K350" i="2"/>
  <c r="K351" i="2"/>
  <c r="K352" i="2"/>
  <c r="K353" i="2"/>
  <c r="K354" i="2"/>
  <c r="K355" i="2"/>
  <c r="K356" i="2"/>
  <c r="K357" i="2"/>
  <c r="K358" i="2"/>
  <c r="K359" i="2"/>
  <c r="K360" i="2"/>
  <c r="K361" i="2"/>
  <c r="K362" i="2"/>
  <c r="K363" i="2"/>
  <c r="K364" i="2"/>
  <c r="K365" i="2"/>
  <c r="K366" i="2"/>
  <c r="K367" i="2"/>
  <c r="K368" i="2"/>
  <c r="K369" i="2"/>
  <c r="K370" i="2"/>
  <c r="K371" i="2"/>
  <c r="K372" i="2"/>
  <c r="K373" i="2"/>
  <c r="K374" i="2"/>
  <c r="K375" i="2"/>
  <c r="K376" i="2"/>
  <c r="K377" i="2"/>
  <c r="K378" i="2"/>
  <c r="K379" i="2"/>
  <c r="K380" i="2"/>
  <c r="K381" i="2"/>
  <c r="K382" i="2"/>
  <c r="K383" i="2"/>
  <c r="K384" i="2"/>
  <c r="K385" i="2"/>
  <c r="K386" i="2"/>
  <c r="K387" i="2"/>
  <c r="K388" i="2"/>
  <c r="K389" i="2"/>
  <c r="K390" i="2"/>
  <c r="K391" i="2"/>
  <c r="K392" i="2"/>
  <c r="K393" i="2"/>
  <c r="K394" i="2"/>
  <c r="K395" i="2"/>
  <c r="K396" i="2"/>
  <c r="K397" i="2"/>
  <c r="K398" i="2"/>
  <c r="K399" i="2"/>
  <c r="K400" i="2"/>
  <c r="K401" i="2"/>
  <c r="K402" i="2"/>
  <c r="K403" i="2"/>
  <c r="K404" i="2"/>
  <c r="K405" i="2"/>
  <c r="K406" i="2"/>
  <c r="K407" i="2"/>
  <c r="K408" i="2"/>
  <c r="K409" i="2"/>
  <c r="K410" i="2"/>
  <c r="K411" i="2"/>
  <c r="K412" i="2"/>
  <c r="K413" i="2"/>
  <c r="K414" i="2"/>
  <c r="K415" i="2"/>
  <c r="K416" i="2"/>
  <c r="K417" i="2"/>
  <c r="K418" i="2"/>
  <c r="K419" i="2"/>
  <c r="K420" i="2"/>
  <c r="K421" i="2"/>
  <c r="K422" i="2"/>
  <c r="K423" i="2"/>
  <c r="K424" i="2"/>
  <c r="K425" i="2"/>
  <c r="K426" i="2"/>
  <c r="K427" i="2"/>
  <c r="K428" i="2"/>
  <c r="K429" i="2"/>
  <c r="K430" i="2"/>
  <c r="K431" i="2"/>
  <c r="K432" i="2"/>
  <c r="K433" i="2"/>
  <c r="K434" i="2"/>
  <c r="K435" i="2"/>
  <c r="K436" i="2"/>
  <c r="K437" i="2"/>
  <c r="K438" i="2"/>
  <c r="K439" i="2"/>
  <c r="K440" i="2"/>
  <c r="K441" i="2"/>
  <c r="K442" i="2"/>
  <c r="K443" i="2"/>
  <c r="K444" i="2"/>
  <c r="K445" i="2"/>
  <c r="K446" i="2"/>
  <c r="K447" i="2"/>
  <c r="K448" i="2"/>
  <c r="K449" i="2"/>
  <c r="K450" i="2"/>
  <c r="K451" i="2"/>
  <c r="K452" i="2"/>
  <c r="K453" i="2"/>
  <c r="K454" i="2"/>
  <c r="K455" i="2"/>
  <c r="K456" i="2"/>
  <c r="K457" i="2"/>
  <c r="K458" i="2"/>
  <c r="K459" i="2"/>
  <c r="K460" i="2"/>
  <c r="K461" i="2"/>
  <c r="K462" i="2"/>
  <c r="K463" i="2"/>
  <c r="K464" i="2"/>
  <c r="K465" i="2"/>
  <c r="K466" i="2"/>
  <c r="K467" i="2"/>
  <c r="K468" i="2"/>
  <c r="K469" i="2"/>
  <c r="K470" i="2"/>
  <c r="K471" i="2"/>
  <c r="K472" i="2"/>
  <c r="K473" i="2"/>
  <c r="K474" i="2"/>
  <c r="K475" i="2"/>
  <c r="K476" i="2"/>
  <c r="K477" i="2"/>
  <c r="K478" i="2"/>
  <c r="K479" i="2"/>
  <c r="K480" i="2"/>
  <c r="K481" i="2"/>
  <c r="K482" i="2"/>
  <c r="K483" i="2"/>
  <c r="K484" i="2"/>
  <c r="K485" i="2"/>
  <c r="K486" i="2"/>
  <c r="K487" i="2"/>
  <c r="K488" i="2"/>
  <c r="K489" i="2"/>
  <c r="K490" i="2"/>
  <c r="K491" i="2"/>
  <c r="K492" i="2"/>
  <c r="K493" i="2"/>
  <c r="K494" i="2"/>
  <c r="K495" i="2"/>
  <c r="K496" i="2"/>
  <c r="K497" i="2"/>
  <c r="K498" i="2"/>
  <c r="K499" i="2"/>
  <c r="K500" i="2"/>
  <c r="K501" i="2"/>
  <c r="K502" i="2"/>
  <c r="K503" i="2"/>
  <c r="K504" i="2"/>
  <c r="K505" i="2"/>
  <c r="K506" i="2"/>
  <c r="K507" i="2"/>
  <c r="K508" i="2"/>
  <c r="K509" i="2"/>
  <c r="K510" i="2"/>
  <c r="K511" i="2"/>
  <c r="K512" i="2"/>
  <c r="K513" i="2"/>
  <c r="K514" i="2"/>
  <c r="K515" i="2"/>
  <c r="K516" i="2"/>
  <c r="K517" i="2"/>
  <c r="K518" i="2"/>
  <c r="K519" i="2"/>
  <c r="K520" i="2"/>
  <c r="K521" i="2"/>
  <c r="K522" i="2"/>
  <c r="K523" i="2"/>
  <c r="K524" i="2"/>
  <c r="K525" i="2"/>
  <c r="K526" i="2"/>
  <c r="K527" i="2"/>
  <c r="K528" i="2"/>
  <c r="K529" i="2"/>
  <c r="K530" i="2"/>
  <c r="K531" i="2"/>
  <c r="K532" i="2"/>
  <c r="K533" i="2"/>
  <c r="K534" i="2"/>
  <c r="K535" i="2"/>
  <c r="K536" i="2"/>
  <c r="K537" i="2"/>
  <c r="K538" i="2"/>
  <c r="K539" i="2"/>
  <c r="K540" i="2"/>
  <c r="K541" i="2"/>
  <c r="K542" i="2"/>
  <c r="K543" i="2"/>
  <c r="K544" i="2"/>
  <c r="K545" i="2"/>
  <c r="K546" i="2"/>
  <c r="K547" i="2"/>
  <c r="K548" i="2"/>
  <c r="K549" i="2"/>
  <c r="K550" i="2"/>
  <c r="K551" i="2"/>
  <c r="K552" i="2"/>
  <c r="K553" i="2"/>
  <c r="K554" i="2"/>
  <c r="K555" i="2"/>
  <c r="K556" i="2"/>
  <c r="K557" i="2"/>
  <c r="K558" i="2"/>
  <c r="K559" i="2"/>
  <c r="K560" i="2"/>
  <c r="K561" i="2"/>
  <c r="K562" i="2"/>
  <c r="K563" i="2"/>
  <c r="K564" i="2"/>
  <c r="K565" i="2"/>
  <c r="K566" i="2"/>
  <c r="K567" i="2"/>
  <c r="K568" i="2"/>
  <c r="K569" i="2"/>
  <c r="K570" i="2"/>
  <c r="K571" i="2"/>
  <c r="K572" i="2"/>
  <c r="K573" i="2"/>
  <c r="K574" i="2"/>
  <c r="K575" i="2"/>
  <c r="K576" i="2"/>
  <c r="K577" i="2"/>
  <c r="K578" i="2"/>
  <c r="K579" i="2"/>
  <c r="K580" i="2"/>
  <c r="K581" i="2"/>
  <c r="K582" i="2"/>
  <c r="K583" i="2"/>
  <c r="K584" i="2"/>
  <c r="K585" i="2"/>
  <c r="K586" i="2"/>
  <c r="K587" i="2"/>
  <c r="K588" i="2"/>
  <c r="K589" i="2"/>
  <c r="K590" i="2"/>
  <c r="K591" i="2"/>
  <c r="K592" i="2"/>
  <c r="K593" i="2"/>
  <c r="K594" i="2"/>
  <c r="K595" i="2"/>
  <c r="K596" i="2"/>
  <c r="K597" i="2"/>
  <c r="K598" i="2"/>
  <c r="K599" i="2"/>
  <c r="K600" i="2"/>
  <c r="K601" i="2"/>
  <c r="K602" i="2"/>
  <c r="K603" i="2"/>
  <c r="K604" i="2"/>
  <c r="K605" i="2"/>
  <c r="K606" i="2"/>
  <c r="K607" i="2"/>
  <c r="K608" i="2"/>
  <c r="K609" i="2"/>
  <c r="K610" i="2"/>
  <c r="K611" i="2"/>
  <c r="K612" i="2"/>
  <c r="K613" i="2"/>
  <c r="K614" i="2"/>
  <c r="K615" i="2"/>
  <c r="K616" i="2"/>
  <c r="K617" i="2"/>
  <c r="K618" i="2"/>
  <c r="K619" i="2"/>
  <c r="K620" i="2"/>
  <c r="K621" i="2"/>
  <c r="K622" i="2"/>
  <c r="K623" i="2"/>
  <c r="K624" i="2"/>
  <c r="K625" i="2"/>
  <c r="K626" i="2"/>
  <c r="K627" i="2"/>
  <c r="K628" i="2"/>
  <c r="K629" i="2"/>
  <c r="K630" i="2"/>
  <c r="K631" i="2"/>
  <c r="K632" i="2"/>
  <c r="K633" i="2"/>
  <c r="K634" i="2"/>
  <c r="K635" i="2"/>
  <c r="K636" i="2"/>
  <c r="K637" i="2"/>
  <c r="K638" i="2"/>
  <c r="K639" i="2"/>
  <c r="K640" i="2"/>
  <c r="K641" i="2"/>
  <c r="K642" i="2"/>
  <c r="K643" i="2"/>
  <c r="K644" i="2"/>
  <c r="K645" i="2"/>
  <c r="K646" i="2"/>
  <c r="K647" i="2"/>
  <c r="K648" i="2"/>
  <c r="K649" i="2"/>
  <c r="K650" i="2"/>
  <c r="K651" i="2"/>
  <c r="K652" i="2"/>
  <c r="K653" i="2"/>
  <c r="K654" i="2"/>
  <c r="K655" i="2"/>
  <c r="K656" i="2"/>
  <c r="K657" i="2"/>
  <c r="K658" i="2"/>
  <c r="K659" i="2"/>
  <c r="K660" i="2"/>
  <c r="K661" i="2"/>
  <c r="K662" i="2"/>
  <c r="K663" i="2"/>
  <c r="K664" i="2"/>
  <c r="K665" i="2"/>
  <c r="K666" i="2"/>
  <c r="K667" i="2"/>
  <c r="K668" i="2"/>
  <c r="K669" i="2"/>
  <c r="K670" i="2"/>
  <c r="K671" i="2"/>
  <c r="K672" i="2"/>
  <c r="K673" i="2"/>
  <c r="K674" i="2"/>
  <c r="K675" i="2"/>
  <c r="K676" i="2"/>
  <c r="K677" i="2"/>
  <c r="K678" i="2"/>
  <c r="K679" i="2"/>
  <c r="K680" i="2"/>
  <c r="K681" i="2"/>
  <c r="K682" i="2"/>
  <c r="K683" i="2"/>
  <c r="K684" i="2"/>
  <c r="K685" i="2"/>
  <c r="K686" i="2"/>
  <c r="K687" i="2"/>
  <c r="K688" i="2"/>
  <c r="K689" i="2"/>
  <c r="K690" i="2"/>
  <c r="K691" i="2"/>
  <c r="K692" i="2"/>
  <c r="K693" i="2"/>
  <c r="K694" i="2"/>
  <c r="K695" i="2"/>
  <c r="K696" i="2"/>
  <c r="K697" i="2"/>
  <c r="K698" i="2"/>
  <c r="K699" i="2"/>
  <c r="K700" i="2"/>
  <c r="K701" i="2"/>
  <c r="K702" i="2"/>
  <c r="K703" i="2"/>
  <c r="K704" i="2"/>
  <c r="K705" i="2"/>
  <c r="K706" i="2"/>
  <c r="K707" i="2"/>
  <c r="K708" i="2"/>
  <c r="K709" i="2"/>
  <c r="K710" i="2"/>
  <c r="K711" i="2"/>
  <c r="K712" i="2"/>
  <c r="K713" i="2"/>
  <c r="K714" i="2"/>
  <c r="K715" i="2"/>
  <c r="K716" i="2"/>
  <c r="K717" i="2"/>
  <c r="K718" i="2"/>
  <c r="K719" i="2"/>
  <c r="K720" i="2"/>
  <c r="K721" i="2"/>
  <c r="K722" i="2"/>
  <c r="K723" i="2"/>
  <c r="K724" i="2"/>
  <c r="K725" i="2"/>
  <c r="K726" i="2"/>
  <c r="K727" i="2"/>
  <c r="K728" i="2"/>
  <c r="K729" i="2"/>
  <c r="K730" i="2"/>
  <c r="K731" i="2"/>
  <c r="K732" i="2"/>
  <c r="K733" i="2"/>
  <c r="K734" i="2"/>
  <c r="K735" i="2"/>
  <c r="K736" i="2"/>
  <c r="K737" i="2"/>
  <c r="K738" i="2"/>
  <c r="K739" i="2"/>
  <c r="K740" i="2"/>
  <c r="K741" i="2"/>
  <c r="K742" i="2"/>
  <c r="K743" i="2"/>
  <c r="K744" i="2"/>
  <c r="K745" i="2"/>
  <c r="K746" i="2"/>
  <c r="K747" i="2"/>
  <c r="K748" i="2"/>
  <c r="K749" i="2"/>
  <c r="K750" i="2"/>
  <c r="K751" i="2"/>
  <c r="K752" i="2"/>
  <c r="K753" i="2"/>
  <c r="K754" i="2"/>
  <c r="K755" i="2"/>
  <c r="K756" i="2"/>
  <c r="K757" i="2"/>
  <c r="K758" i="2"/>
  <c r="K759" i="2"/>
  <c r="K760" i="2"/>
  <c r="K761" i="2"/>
  <c r="K762" i="2"/>
  <c r="K763" i="2"/>
  <c r="K764" i="2"/>
  <c r="K765" i="2"/>
  <c r="K766" i="2"/>
  <c r="K767" i="2"/>
  <c r="K768" i="2"/>
  <c r="K769" i="2"/>
  <c r="K770" i="2"/>
  <c r="K771" i="2"/>
  <c r="K772" i="2"/>
  <c r="K773" i="2"/>
  <c r="K774" i="2"/>
  <c r="K775" i="2"/>
  <c r="K776" i="2"/>
  <c r="K777" i="2"/>
  <c r="K778" i="2"/>
  <c r="K779" i="2"/>
  <c r="K780" i="2"/>
  <c r="K781" i="2"/>
  <c r="K782" i="2"/>
  <c r="K783" i="2"/>
  <c r="K784" i="2"/>
  <c r="K785" i="2"/>
  <c r="K786" i="2"/>
  <c r="K787" i="2"/>
  <c r="K788" i="2"/>
  <c r="K789" i="2"/>
  <c r="K790" i="2"/>
  <c r="K791" i="2"/>
  <c r="K792" i="2"/>
  <c r="K793" i="2"/>
  <c r="K794" i="2"/>
  <c r="K795" i="2"/>
  <c r="K796" i="2"/>
  <c r="K797" i="2"/>
  <c r="K798" i="2"/>
  <c r="K799" i="2"/>
  <c r="K800" i="2"/>
  <c r="K801" i="2"/>
  <c r="K802" i="2"/>
  <c r="K803" i="2"/>
  <c r="K804" i="2"/>
  <c r="K805" i="2"/>
  <c r="K806" i="2"/>
  <c r="K807" i="2"/>
  <c r="K808" i="2"/>
  <c r="K809" i="2"/>
  <c r="K810" i="2"/>
  <c r="K811" i="2"/>
  <c r="K812" i="2"/>
  <c r="K813" i="2"/>
  <c r="K814" i="2"/>
  <c r="K815" i="2"/>
  <c r="K816" i="2"/>
  <c r="K817" i="2"/>
  <c r="K818" i="2"/>
  <c r="K819" i="2"/>
  <c r="K820" i="2"/>
  <c r="K821" i="2"/>
  <c r="K822" i="2"/>
  <c r="K823" i="2"/>
  <c r="K824" i="2"/>
  <c r="K825" i="2"/>
  <c r="K826" i="2"/>
  <c r="K827" i="2"/>
  <c r="K828" i="2"/>
  <c r="K829" i="2"/>
  <c r="K830" i="2"/>
  <c r="K831" i="2"/>
  <c r="K832" i="2"/>
  <c r="K833" i="2"/>
  <c r="K834" i="2"/>
  <c r="K835" i="2"/>
  <c r="K836" i="2"/>
  <c r="K837" i="2"/>
  <c r="K838" i="2"/>
  <c r="K839" i="2"/>
  <c r="K840" i="2"/>
  <c r="K841" i="2"/>
  <c r="K842" i="2"/>
  <c r="K843" i="2"/>
  <c r="K844" i="2"/>
  <c r="K845" i="2"/>
  <c r="K846" i="2"/>
  <c r="K847" i="2"/>
  <c r="K848" i="2"/>
  <c r="K849" i="2"/>
  <c r="K850" i="2"/>
  <c r="K851" i="2"/>
  <c r="K852" i="2"/>
  <c r="K853" i="2"/>
  <c r="K854" i="2"/>
  <c r="K855" i="2"/>
  <c r="K856" i="2"/>
  <c r="K857" i="2"/>
  <c r="K858" i="2"/>
  <c r="K859" i="2"/>
  <c r="K860" i="2"/>
  <c r="K861" i="2"/>
  <c r="K862" i="2"/>
  <c r="K863" i="2"/>
  <c r="K864" i="2"/>
  <c r="K865" i="2"/>
  <c r="K866" i="2"/>
  <c r="K867" i="2"/>
  <c r="K868" i="2"/>
  <c r="K869" i="2"/>
  <c r="K870" i="2"/>
  <c r="K871" i="2"/>
  <c r="K872" i="2"/>
  <c r="K873" i="2"/>
  <c r="K874" i="2"/>
  <c r="K875" i="2"/>
  <c r="K876" i="2"/>
  <c r="K877" i="2"/>
  <c r="K878" i="2"/>
  <c r="K879" i="2"/>
  <c r="K880" i="2"/>
  <c r="K881" i="2"/>
  <c r="K882" i="2"/>
  <c r="K883" i="2"/>
  <c r="K884" i="2"/>
  <c r="K885" i="2"/>
  <c r="K886" i="2"/>
  <c r="K887" i="2"/>
  <c r="K888" i="2"/>
  <c r="K889" i="2"/>
  <c r="K890" i="2"/>
  <c r="K891" i="2"/>
  <c r="K892" i="2"/>
  <c r="K893" i="2"/>
  <c r="K894" i="2"/>
  <c r="K895" i="2"/>
  <c r="K896" i="2"/>
  <c r="K897" i="2"/>
  <c r="K898" i="2"/>
  <c r="K899" i="2"/>
  <c r="K900" i="2"/>
  <c r="K901" i="2"/>
  <c r="K902" i="2"/>
  <c r="K903" i="2"/>
  <c r="K904" i="2"/>
  <c r="K905" i="2"/>
  <c r="K906" i="2"/>
  <c r="K907" i="2"/>
  <c r="K908" i="2"/>
  <c r="K909" i="2"/>
  <c r="K910" i="2"/>
  <c r="K911" i="2"/>
  <c r="K912" i="2"/>
  <c r="K913" i="2"/>
  <c r="K914" i="2"/>
  <c r="K915" i="2"/>
  <c r="K916" i="2"/>
  <c r="K917" i="2"/>
  <c r="K918" i="2"/>
  <c r="K919" i="2"/>
  <c r="K920" i="2"/>
  <c r="K921" i="2"/>
  <c r="K922" i="2"/>
  <c r="K923" i="2"/>
  <c r="K924" i="2"/>
  <c r="K925" i="2"/>
  <c r="K926" i="2"/>
  <c r="K927" i="2"/>
  <c r="K928" i="2"/>
  <c r="K929" i="2"/>
  <c r="K930" i="2"/>
  <c r="K931" i="2"/>
  <c r="K932" i="2"/>
  <c r="K933" i="2"/>
  <c r="K934" i="2"/>
  <c r="K935" i="2"/>
  <c r="K936" i="2"/>
  <c r="K937" i="2"/>
  <c r="K938" i="2"/>
  <c r="K939" i="2"/>
  <c r="K940" i="2"/>
  <c r="K941" i="2"/>
  <c r="K942" i="2"/>
  <c r="K943" i="2"/>
  <c r="K944" i="2"/>
  <c r="K945" i="2"/>
  <c r="K946" i="2"/>
  <c r="K947" i="2"/>
  <c r="K948" i="2"/>
  <c r="K949" i="2"/>
  <c r="K950" i="2"/>
  <c r="K951" i="2"/>
  <c r="K952" i="2"/>
  <c r="K953" i="2"/>
  <c r="K954" i="2"/>
  <c r="K955" i="2"/>
  <c r="K956" i="2"/>
  <c r="K957" i="2"/>
  <c r="K958" i="2"/>
  <c r="K959" i="2"/>
  <c r="K960" i="2"/>
  <c r="K961" i="2"/>
  <c r="K962" i="2"/>
  <c r="K963" i="2"/>
  <c r="K964" i="2"/>
  <c r="K965" i="2"/>
  <c r="K966" i="2"/>
  <c r="K967" i="2"/>
  <c r="K968" i="2"/>
  <c r="K969" i="2"/>
  <c r="K970" i="2"/>
  <c r="K971" i="2"/>
  <c r="K972" i="2"/>
  <c r="K973" i="2"/>
  <c r="K974" i="2"/>
  <c r="K975" i="2"/>
  <c r="K976" i="2"/>
  <c r="K977" i="2"/>
  <c r="K978" i="2"/>
  <c r="K979" i="2"/>
  <c r="K980" i="2"/>
  <c r="K981" i="2"/>
  <c r="K982" i="2"/>
  <c r="K983" i="2"/>
  <c r="K984" i="2"/>
  <c r="K985" i="2"/>
  <c r="K986" i="2"/>
  <c r="K987" i="2"/>
  <c r="K988" i="2"/>
  <c r="K989" i="2"/>
  <c r="K990" i="2"/>
  <c r="K991" i="2"/>
  <c r="K992" i="2"/>
  <c r="K993" i="2"/>
  <c r="K994" i="2"/>
  <c r="K995" i="2"/>
  <c r="K996" i="2"/>
  <c r="K997" i="2"/>
  <c r="K998" i="2"/>
  <c r="K999" i="2"/>
  <c r="K1000" i="2"/>
  <c r="K1001" i="2"/>
  <c r="K1002" i="2"/>
  <c r="K1003" i="2"/>
  <c r="K1004" i="2"/>
  <c r="K1005" i="2"/>
  <c r="K1006" i="2"/>
  <c r="K1007" i="2"/>
  <c r="K1008" i="2"/>
  <c r="K1009" i="2"/>
  <c r="K1010" i="2"/>
  <c r="K1011" i="2"/>
  <c r="K1012" i="2"/>
  <c r="K1013" i="2"/>
  <c r="K1014" i="2"/>
  <c r="K1015" i="2"/>
  <c r="K1016" i="2"/>
  <c r="K1017" i="2"/>
  <c r="K1018" i="2"/>
  <c r="K1019" i="2"/>
  <c r="K1020" i="2"/>
  <c r="K1021" i="2"/>
  <c r="K1022" i="2"/>
  <c r="K1023" i="2"/>
  <c r="K1024" i="2"/>
  <c r="K1025" i="2"/>
  <c r="K1026" i="2"/>
  <c r="K1027" i="2"/>
  <c r="K1028" i="2"/>
  <c r="K1029" i="2"/>
  <c r="K1030" i="2"/>
  <c r="K1031" i="2"/>
  <c r="K1032" i="2"/>
  <c r="K1033" i="2"/>
  <c r="K1034" i="2"/>
  <c r="K1035" i="2"/>
  <c r="K1036" i="2"/>
  <c r="K1037" i="2"/>
  <c r="K1038" i="2"/>
  <c r="K1039" i="2"/>
  <c r="K1040" i="2"/>
  <c r="K1041" i="2"/>
  <c r="K1042" i="2"/>
  <c r="K1043" i="2"/>
  <c r="K1044" i="2"/>
  <c r="K1045" i="2"/>
  <c r="K1046" i="2"/>
  <c r="K1047" i="2"/>
  <c r="K1048" i="2"/>
  <c r="K1049" i="2"/>
  <c r="K1050" i="2"/>
  <c r="K1051" i="2"/>
  <c r="K1052" i="2"/>
  <c r="K1053" i="2"/>
  <c r="K1054" i="2"/>
  <c r="K1055" i="2"/>
  <c r="K1056" i="2"/>
  <c r="K1057" i="2"/>
  <c r="K1058" i="2"/>
  <c r="K1059" i="2"/>
  <c r="K1060" i="2"/>
  <c r="K1061" i="2"/>
  <c r="K1062" i="2"/>
  <c r="K1063" i="2"/>
  <c r="K1064" i="2"/>
  <c r="K1065" i="2"/>
  <c r="K1066" i="2"/>
  <c r="K1067" i="2"/>
  <c r="K1068" i="2"/>
  <c r="K1069" i="2"/>
  <c r="K1070" i="2"/>
  <c r="K1071" i="2"/>
  <c r="K1072" i="2"/>
  <c r="K1073" i="2"/>
  <c r="K1074" i="2"/>
  <c r="K1075" i="2"/>
  <c r="K1076" i="2"/>
  <c r="K1077" i="2"/>
  <c r="K1078" i="2"/>
  <c r="K1079" i="2"/>
  <c r="K1080" i="2"/>
  <c r="K1081" i="2"/>
  <c r="K1082" i="2"/>
  <c r="K1083" i="2"/>
  <c r="K1084" i="2"/>
  <c r="K1085" i="2"/>
  <c r="K1086" i="2"/>
  <c r="K1087" i="2"/>
  <c r="K1088" i="2"/>
  <c r="K1089" i="2"/>
  <c r="K1090" i="2"/>
  <c r="K1091" i="2"/>
  <c r="K1092" i="2"/>
  <c r="K1093" i="2"/>
  <c r="K1094" i="2"/>
  <c r="K1095" i="2"/>
  <c r="K1096" i="2"/>
  <c r="K1097" i="2"/>
  <c r="K1098" i="2"/>
  <c r="K1099" i="2"/>
  <c r="K1100" i="2"/>
  <c r="K1101" i="2"/>
  <c r="K1102" i="2"/>
  <c r="K1103" i="2"/>
  <c r="K1104" i="2"/>
  <c r="K1105" i="2"/>
  <c r="K1106" i="2"/>
  <c r="K1107" i="2"/>
  <c r="K1108" i="2"/>
  <c r="K1109" i="2"/>
  <c r="K1110" i="2"/>
  <c r="K1111" i="2"/>
  <c r="K1112" i="2"/>
  <c r="K1113" i="2"/>
  <c r="K1114" i="2"/>
  <c r="K1115" i="2"/>
  <c r="K1116" i="2"/>
  <c r="K1117" i="2"/>
  <c r="K1118" i="2"/>
  <c r="K1119" i="2"/>
  <c r="K1120" i="2"/>
  <c r="K1121" i="2"/>
  <c r="K1122" i="2"/>
  <c r="K1123" i="2"/>
  <c r="K1124" i="2"/>
  <c r="K1125" i="2"/>
  <c r="K1126" i="2"/>
  <c r="K1127" i="2"/>
  <c r="K1128" i="2"/>
  <c r="K1129" i="2"/>
  <c r="K1130" i="2"/>
  <c r="K1131" i="2"/>
  <c r="K1132" i="2"/>
  <c r="K1133" i="2"/>
  <c r="K1134" i="2"/>
  <c r="K1135" i="2"/>
  <c r="K1136" i="2"/>
  <c r="K1137" i="2"/>
  <c r="K1138" i="2"/>
  <c r="K1139" i="2"/>
  <c r="K1140" i="2"/>
  <c r="K1141" i="2"/>
  <c r="K1142" i="2"/>
  <c r="K1143" i="2"/>
  <c r="K1144" i="2"/>
  <c r="K1145" i="2"/>
  <c r="K1146" i="2"/>
  <c r="K1147" i="2"/>
  <c r="K1148" i="2"/>
  <c r="K1149" i="2"/>
  <c r="K1150" i="2"/>
  <c r="K1151" i="2"/>
  <c r="K1152" i="2"/>
  <c r="K1153" i="2"/>
  <c r="K1154" i="2"/>
  <c r="K1155" i="2"/>
  <c r="K1156" i="2"/>
  <c r="K1157" i="2"/>
  <c r="K1158" i="2"/>
  <c r="K1159" i="2"/>
  <c r="K1160" i="2"/>
  <c r="K1161" i="2"/>
  <c r="K1162" i="2"/>
  <c r="K1163" i="2"/>
  <c r="K1164" i="2"/>
  <c r="K1165" i="2"/>
  <c r="K1166" i="2"/>
  <c r="K1167" i="2"/>
  <c r="K1168" i="2"/>
  <c r="K1169" i="2"/>
  <c r="K1170" i="2"/>
  <c r="K1171" i="2"/>
  <c r="K1172" i="2"/>
  <c r="K1173" i="2"/>
  <c r="K1174" i="2"/>
  <c r="K1175" i="2"/>
  <c r="K1176" i="2"/>
  <c r="K1177" i="2"/>
  <c r="K1178" i="2"/>
  <c r="K1179" i="2"/>
  <c r="K1180" i="2"/>
  <c r="K1181" i="2"/>
  <c r="K1182" i="2"/>
  <c r="K1183" i="2"/>
  <c r="K1184" i="2"/>
  <c r="K1185" i="2"/>
  <c r="K1186" i="2"/>
  <c r="K1187" i="2"/>
  <c r="K1188" i="2"/>
  <c r="K1189" i="2"/>
  <c r="K1190" i="2"/>
  <c r="K1191" i="2"/>
  <c r="K1192" i="2"/>
  <c r="K1193" i="2"/>
  <c r="K1194" i="2"/>
  <c r="K1195" i="2"/>
  <c r="K1196" i="2"/>
  <c r="K1197" i="2"/>
  <c r="K1198" i="2"/>
  <c r="K1199" i="2"/>
  <c r="K1200" i="2"/>
  <c r="K1201" i="2"/>
  <c r="K1202" i="2"/>
  <c r="K1203" i="2"/>
  <c r="K1204" i="2"/>
  <c r="K1205" i="2"/>
  <c r="K1206" i="2"/>
  <c r="K1207" i="2"/>
  <c r="K1208" i="2"/>
  <c r="K1209" i="2"/>
  <c r="K1210" i="2"/>
  <c r="K1211" i="2"/>
  <c r="K1212" i="2"/>
  <c r="K1213" i="2"/>
  <c r="K1214" i="2"/>
  <c r="K1215" i="2"/>
  <c r="K1216" i="2"/>
  <c r="K1217" i="2"/>
  <c r="K1218" i="2"/>
  <c r="K1219" i="2"/>
  <c r="K1220" i="2"/>
  <c r="K1221" i="2"/>
  <c r="K1222" i="2"/>
  <c r="K1223" i="2"/>
  <c r="K1224" i="2"/>
  <c r="K1225" i="2"/>
  <c r="K1226" i="2"/>
  <c r="K1227" i="2"/>
  <c r="K1228" i="2"/>
  <c r="K1229" i="2"/>
  <c r="K1230" i="2"/>
  <c r="K1231" i="2"/>
  <c r="K1232" i="2"/>
  <c r="K1233" i="2"/>
  <c r="K1234" i="2"/>
  <c r="K1235" i="2"/>
  <c r="K1236" i="2"/>
  <c r="K1237" i="2"/>
  <c r="K1238" i="2"/>
  <c r="K1239" i="2"/>
  <c r="K1240" i="2"/>
  <c r="K1241" i="2"/>
  <c r="K1242" i="2"/>
  <c r="K1243" i="2"/>
  <c r="K1244" i="2"/>
  <c r="K1245" i="2"/>
  <c r="K1246" i="2"/>
  <c r="K1247" i="2"/>
  <c r="K1248" i="2"/>
  <c r="K1249" i="2"/>
  <c r="K1250" i="2"/>
  <c r="K1251" i="2"/>
  <c r="K1252" i="2"/>
  <c r="K1253" i="2"/>
  <c r="K1254" i="2"/>
  <c r="K1255" i="2"/>
  <c r="K1256" i="2"/>
  <c r="K1257" i="2"/>
  <c r="K1258" i="2"/>
  <c r="K1259" i="2"/>
  <c r="K1260" i="2"/>
  <c r="K1261" i="2"/>
  <c r="K1262" i="2"/>
  <c r="K1263" i="2"/>
  <c r="K1264" i="2"/>
  <c r="K1265" i="2"/>
  <c r="K1266" i="2"/>
  <c r="K1267" i="2"/>
  <c r="K1268" i="2"/>
  <c r="K1269" i="2"/>
  <c r="K1270" i="2"/>
  <c r="K1271" i="2"/>
  <c r="K1272" i="2"/>
  <c r="K1273" i="2"/>
  <c r="K1274" i="2"/>
  <c r="K1275" i="2"/>
  <c r="K1276" i="2"/>
  <c r="K1277" i="2"/>
  <c r="K1278" i="2"/>
  <c r="K1279" i="2"/>
  <c r="K1280" i="2"/>
  <c r="K1281" i="2"/>
  <c r="K1282" i="2"/>
  <c r="K1283" i="2"/>
  <c r="K1284" i="2"/>
  <c r="K1285" i="2"/>
  <c r="K1286" i="2"/>
  <c r="K1287" i="2"/>
  <c r="K1288" i="2"/>
  <c r="K1289" i="2"/>
  <c r="K1290" i="2"/>
  <c r="K1291" i="2"/>
  <c r="K1292" i="2"/>
  <c r="K1293" i="2"/>
  <c r="K1294" i="2"/>
  <c r="K1295" i="2"/>
  <c r="K1296" i="2"/>
  <c r="K1297" i="2"/>
  <c r="K1298" i="2"/>
  <c r="K1299" i="2"/>
  <c r="K1300" i="2"/>
  <c r="K1301" i="2"/>
  <c r="K1302" i="2"/>
  <c r="K1303" i="2"/>
  <c r="K1304" i="2"/>
  <c r="K1305" i="2"/>
  <c r="K1306" i="2"/>
  <c r="K1307" i="2"/>
  <c r="K1308" i="2"/>
  <c r="K1309" i="2"/>
  <c r="K1310" i="2"/>
  <c r="K1311" i="2"/>
  <c r="K1312" i="2"/>
  <c r="K1313" i="2"/>
  <c r="K1314" i="2"/>
  <c r="K1315" i="2"/>
  <c r="K1316" i="2"/>
  <c r="K1317" i="2"/>
  <c r="K1318" i="2"/>
  <c r="K1319" i="2"/>
  <c r="K1320" i="2"/>
  <c r="K1321" i="2"/>
  <c r="K1322" i="2"/>
  <c r="K1323" i="2"/>
  <c r="K1324" i="2"/>
  <c r="K1325" i="2"/>
  <c r="K1326" i="2"/>
  <c r="K1327" i="2"/>
  <c r="K1328" i="2"/>
  <c r="K1329" i="2"/>
  <c r="K1330" i="2"/>
  <c r="K1331" i="2"/>
  <c r="K1332" i="2"/>
  <c r="K1333" i="2"/>
  <c r="K1334" i="2"/>
  <c r="K1335" i="2"/>
  <c r="K1336" i="2"/>
  <c r="K1337" i="2"/>
  <c r="K1338" i="2"/>
  <c r="K1339" i="2"/>
  <c r="K1340" i="2"/>
  <c r="K1341" i="2"/>
  <c r="K1342" i="2"/>
  <c r="K1343" i="2"/>
  <c r="K1344" i="2"/>
  <c r="K1345" i="2"/>
  <c r="K1346" i="2"/>
  <c r="K1347" i="2"/>
  <c r="K1348" i="2"/>
  <c r="K1349" i="2"/>
  <c r="K1350" i="2"/>
  <c r="K1351" i="2"/>
  <c r="K1352" i="2"/>
  <c r="K1353" i="2"/>
  <c r="K1354" i="2"/>
  <c r="K1355" i="2"/>
  <c r="K1356" i="2"/>
  <c r="K1357" i="2"/>
  <c r="K1358" i="2"/>
  <c r="K1359" i="2"/>
  <c r="K1360" i="2"/>
  <c r="K1361" i="2"/>
  <c r="K1362" i="2"/>
  <c r="K1363" i="2"/>
  <c r="K1364" i="2"/>
  <c r="K1365" i="2"/>
  <c r="K1366" i="2"/>
  <c r="K1367" i="2"/>
  <c r="K1368" i="2"/>
  <c r="K1369" i="2"/>
  <c r="K1370" i="2"/>
  <c r="K1371" i="2"/>
  <c r="K1372" i="2"/>
  <c r="K1373" i="2"/>
  <c r="K1374" i="2"/>
  <c r="K1375" i="2"/>
  <c r="K1376" i="2"/>
  <c r="K1377" i="2"/>
  <c r="K1378" i="2"/>
  <c r="K1379" i="2"/>
  <c r="K1380" i="2"/>
  <c r="K1381" i="2"/>
  <c r="K1382" i="2"/>
  <c r="K1383" i="2"/>
  <c r="K1384" i="2"/>
  <c r="K1385" i="2"/>
  <c r="K1386" i="2"/>
  <c r="K1387" i="2"/>
  <c r="K1388" i="2"/>
  <c r="K1389" i="2"/>
  <c r="K1390" i="2"/>
  <c r="K1391" i="2"/>
  <c r="K1392" i="2"/>
  <c r="K1393" i="2"/>
  <c r="K1394" i="2"/>
  <c r="K1395" i="2"/>
  <c r="K1396" i="2"/>
  <c r="K1397" i="2"/>
  <c r="K1398" i="2"/>
  <c r="K1399" i="2"/>
  <c r="K1400" i="2"/>
  <c r="K1401" i="2"/>
  <c r="K1402" i="2"/>
  <c r="K1403" i="2"/>
  <c r="K1404" i="2"/>
  <c r="K1405" i="2"/>
  <c r="K1406" i="2"/>
  <c r="K1407" i="2"/>
  <c r="K1408" i="2"/>
  <c r="K1409" i="2"/>
  <c r="K1410" i="2"/>
  <c r="K1411" i="2"/>
  <c r="K1412" i="2"/>
  <c r="K1413" i="2"/>
  <c r="K1414" i="2"/>
  <c r="K1415" i="2"/>
  <c r="K1416" i="2"/>
  <c r="K1417" i="2"/>
  <c r="K1418" i="2"/>
  <c r="K1419" i="2"/>
  <c r="K1420" i="2"/>
  <c r="K1421" i="2"/>
  <c r="K1422" i="2"/>
  <c r="K1423" i="2"/>
  <c r="K1424" i="2"/>
  <c r="K1425" i="2"/>
  <c r="K1426" i="2"/>
  <c r="K1427" i="2"/>
  <c r="K1428" i="2"/>
  <c r="K1429" i="2"/>
  <c r="K1430" i="2"/>
  <c r="K1431" i="2"/>
  <c r="K1432" i="2"/>
  <c r="K1433" i="2"/>
  <c r="K1434" i="2"/>
  <c r="K1435" i="2"/>
  <c r="K1436" i="2"/>
  <c r="K1437" i="2"/>
  <c r="K1438" i="2"/>
  <c r="K1439" i="2"/>
  <c r="K1440" i="2"/>
  <c r="K1441" i="2"/>
  <c r="K1442" i="2"/>
  <c r="K1443" i="2"/>
  <c r="K1444" i="2"/>
  <c r="K1445" i="2"/>
  <c r="K1446" i="2"/>
  <c r="K1447" i="2"/>
  <c r="K1448" i="2"/>
  <c r="K1449" i="2"/>
  <c r="K1450" i="2"/>
  <c r="K1451" i="2"/>
  <c r="K1452" i="2"/>
  <c r="K1453" i="2"/>
  <c r="K1454" i="2"/>
  <c r="K1455" i="2"/>
  <c r="K1456" i="2"/>
  <c r="K1457" i="2"/>
  <c r="K1458" i="2"/>
  <c r="K1459" i="2"/>
  <c r="K1460" i="2"/>
  <c r="K1461" i="2"/>
  <c r="K1462" i="2"/>
  <c r="K1463" i="2"/>
  <c r="K1464" i="2"/>
  <c r="K1465" i="2"/>
  <c r="K1466" i="2"/>
  <c r="K1467" i="2"/>
  <c r="K1468" i="2"/>
  <c r="K1469" i="2"/>
  <c r="K1470" i="2"/>
  <c r="K1471" i="2"/>
  <c r="K1472" i="2"/>
  <c r="K1473" i="2"/>
  <c r="K1474" i="2"/>
  <c r="K1475" i="2"/>
  <c r="K1476" i="2"/>
  <c r="K1477" i="2"/>
  <c r="K1478" i="2"/>
  <c r="K1479" i="2"/>
  <c r="K1480" i="2"/>
  <c r="K1481" i="2"/>
  <c r="K1482" i="2"/>
  <c r="K1483" i="2"/>
  <c r="K1484" i="2"/>
  <c r="K1485" i="2"/>
  <c r="K1486" i="2"/>
  <c r="K1487" i="2"/>
  <c r="K1488" i="2"/>
  <c r="K1489" i="2"/>
  <c r="K1490" i="2"/>
  <c r="K1491" i="2"/>
  <c r="K1492" i="2"/>
  <c r="K1493" i="2"/>
  <c r="K1494" i="2"/>
  <c r="K1495" i="2"/>
  <c r="K1496" i="2"/>
  <c r="K1497" i="2"/>
  <c r="K1498" i="2"/>
  <c r="K1499" i="2"/>
  <c r="K1500" i="2"/>
  <c r="K1501" i="2"/>
  <c r="K1502" i="2"/>
  <c r="K1503" i="2"/>
  <c r="K1504" i="2"/>
  <c r="K1505" i="2"/>
  <c r="K1506" i="2"/>
  <c r="K1507" i="2"/>
  <c r="K1508" i="2"/>
  <c r="K1509" i="2"/>
  <c r="K1510" i="2"/>
  <c r="K1511" i="2"/>
  <c r="K1512" i="2"/>
  <c r="K1513" i="2"/>
  <c r="K1514" i="2"/>
  <c r="K1515" i="2"/>
  <c r="K1516" i="2"/>
  <c r="K1517" i="2"/>
  <c r="K1518" i="2"/>
  <c r="K1519" i="2"/>
  <c r="K1520" i="2"/>
  <c r="K1521" i="2"/>
  <c r="K1522" i="2"/>
  <c r="K1523" i="2"/>
  <c r="K1524" i="2"/>
  <c r="K1525" i="2"/>
  <c r="K1526" i="2"/>
  <c r="K1527" i="2"/>
  <c r="K1528" i="2"/>
  <c r="K1529" i="2"/>
  <c r="K1530" i="2"/>
  <c r="K1531" i="2"/>
  <c r="K1532" i="2"/>
  <c r="K1533" i="2"/>
  <c r="K1534" i="2"/>
  <c r="K1535" i="2"/>
  <c r="K1536" i="2"/>
  <c r="K1537" i="2"/>
  <c r="K1538" i="2"/>
  <c r="K1539" i="2"/>
  <c r="K1540" i="2"/>
  <c r="K1541" i="2"/>
  <c r="K1542" i="2"/>
  <c r="K1543" i="2"/>
  <c r="K1544" i="2"/>
  <c r="K1545" i="2"/>
  <c r="K1546" i="2"/>
  <c r="K1547" i="2"/>
  <c r="K1548" i="2"/>
  <c r="K1549" i="2"/>
  <c r="K1550" i="2"/>
  <c r="K1551" i="2"/>
  <c r="K1552" i="2"/>
  <c r="K1553" i="2"/>
  <c r="K1554" i="2"/>
  <c r="K1555" i="2"/>
  <c r="K1556" i="2"/>
  <c r="K1557" i="2"/>
  <c r="K1558" i="2"/>
  <c r="K1559" i="2"/>
  <c r="K1560" i="2"/>
  <c r="K1561" i="2"/>
  <c r="K1562" i="2"/>
  <c r="K1563" i="2"/>
  <c r="K1564" i="2"/>
  <c r="K1565" i="2"/>
  <c r="K1566" i="2"/>
  <c r="K1567" i="2"/>
  <c r="K1568" i="2"/>
  <c r="K1569" i="2"/>
  <c r="K1570" i="2"/>
  <c r="K1571" i="2"/>
  <c r="K1572" i="2"/>
  <c r="K1573" i="2"/>
  <c r="K1574" i="2"/>
  <c r="K1575" i="2"/>
  <c r="K1576" i="2"/>
  <c r="K1577" i="2"/>
  <c r="K1578" i="2"/>
  <c r="K1579" i="2"/>
  <c r="K1580" i="2"/>
  <c r="K1581" i="2"/>
  <c r="K1582" i="2"/>
  <c r="K1583" i="2"/>
  <c r="K1584" i="2"/>
  <c r="K1585" i="2"/>
  <c r="K1586" i="2"/>
  <c r="K1587" i="2"/>
  <c r="K1588" i="2"/>
  <c r="K1589" i="2"/>
  <c r="K1590" i="2"/>
  <c r="K1591" i="2"/>
  <c r="K1592" i="2"/>
  <c r="K1593" i="2"/>
  <c r="K1594" i="2"/>
  <c r="K1595" i="2"/>
  <c r="K1596" i="2"/>
  <c r="K1597" i="2"/>
  <c r="K1598" i="2"/>
  <c r="K1599" i="2"/>
  <c r="K1600" i="2"/>
  <c r="K1601" i="2"/>
  <c r="K1602" i="2"/>
  <c r="K1603" i="2"/>
  <c r="K1604" i="2"/>
  <c r="K1605" i="2"/>
  <c r="K1606" i="2"/>
  <c r="K1607" i="2"/>
  <c r="K1608" i="2"/>
  <c r="K1609" i="2"/>
  <c r="K1610" i="2"/>
  <c r="K1611" i="2"/>
  <c r="K1612" i="2"/>
  <c r="K1613" i="2"/>
  <c r="K1614" i="2"/>
  <c r="K1615" i="2"/>
  <c r="K1616" i="2"/>
  <c r="K1617" i="2"/>
  <c r="K1618" i="2"/>
  <c r="K1619" i="2"/>
  <c r="K1620" i="2"/>
  <c r="K1621" i="2"/>
  <c r="K1622" i="2"/>
  <c r="K1623" i="2"/>
  <c r="K1624" i="2"/>
  <c r="K1625" i="2"/>
  <c r="K1626" i="2"/>
  <c r="K1627" i="2"/>
  <c r="K1628" i="2"/>
  <c r="K1629" i="2"/>
  <c r="K1630" i="2"/>
  <c r="K1631" i="2"/>
  <c r="K1632" i="2"/>
  <c r="K1633" i="2"/>
  <c r="K1634" i="2"/>
  <c r="K1635" i="2"/>
  <c r="K1636" i="2"/>
  <c r="K1637" i="2"/>
  <c r="K1638" i="2"/>
  <c r="K1639" i="2"/>
  <c r="K1640" i="2"/>
  <c r="K1641" i="2"/>
  <c r="K1642" i="2"/>
  <c r="K1643" i="2"/>
  <c r="K1644" i="2"/>
  <c r="K1645" i="2"/>
  <c r="K1646" i="2"/>
  <c r="K1647" i="2"/>
  <c r="K1648" i="2"/>
  <c r="K1649" i="2"/>
  <c r="K1650" i="2"/>
  <c r="K1651" i="2"/>
  <c r="K1652" i="2"/>
  <c r="K1653" i="2"/>
  <c r="K1654" i="2"/>
  <c r="K1655" i="2"/>
  <c r="K1656" i="2"/>
  <c r="K1657" i="2"/>
  <c r="K1658" i="2"/>
  <c r="K1659" i="2"/>
  <c r="K1660" i="2"/>
  <c r="K1661" i="2"/>
  <c r="K1662" i="2"/>
  <c r="K1663" i="2"/>
  <c r="K1664" i="2"/>
  <c r="K1665" i="2"/>
  <c r="K1666" i="2"/>
  <c r="K1667" i="2"/>
  <c r="K1668" i="2"/>
  <c r="K1669" i="2"/>
  <c r="K1670" i="2"/>
  <c r="K1671" i="2"/>
  <c r="K1672" i="2"/>
  <c r="K1673" i="2"/>
  <c r="K1674" i="2"/>
  <c r="K1675" i="2"/>
  <c r="K1676" i="2"/>
  <c r="K1677" i="2"/>
  <c r="K1678" i="2"/>
  <c r="K1679" i="2"/>
  <c r="K1680" i="2"/>
  <c r="K1681" i="2"/>
  <c r="K1682" i="2"/>
  <c r="K1683" i="2"/>
  <c r="K1684" i="2"/>
  <c r="K1685" i="2"/>
  <c r="K1686" i="2"/>
  <c r="K1687" i="2"/>
  <c r="K1688" i="2"/>
  <c r="K1689" i="2"/>
  <c r="K1690" i="2"/>
  <c r="K1691" i="2"/>
  <c r="K1692" i="2"/>
  <c r="K1693" i="2"/>
  <c r="K1694" i="2"/>
  <c r="K1695" i="2"/>
  <c r="K1696" i="2"/>
  <c r="K1697" i="2"/>
  <c r="K1698" i="2"/>
  <c r="K1699" i="2"/>
  <c r="K1700" i="2"/>
  <c r="K1701" i="2"/>
  <c r="K1702" i="2"/>
  <c r="K1703" i="2"/>
  <c r="K1704" i="2"/>
  <c r="K1705" i="2"/>
  <c r="K1706" i="2"/>
  <c r="K1707" i="2"/>
  <c r="K1708" i="2"/>
  <c r="K1709" i="2"/>
  <c r="K1710" i="2"/>
  <c r="K1711" i="2"/>
  <c r="K1712" i="2"/>
  <c r="K1713" i="2"/>
  <c r="K1714" i="2"/>
  <c r="K1715" i="2"/>
  <c r="K1716" i="2"/>
  <c r="K1717" i="2"/>
  <c r="K1718" i="2"/>
  <c r="K1719" i="2"/>
  <c r="K1720" i="2"/>
  <c r="K1721" i="2"/>
  <c r="K1722" i="2"/>
  <c r="K1723" i="2"/>
  <c r="K1724" i="2"/>
  <c r="K1725" i="2"/>
  <c r="K1726" i="2"/>
  <c r="K1727" i="2"/>
  <c r="K1728" i="2"/>
  <c r="K1729" i="2"/>
  <c r="K1730" i="2"/>
  <c r="K1731" i="2"/>
  <c r="K1732" i="2"/>
  <c r="K1733" i="2"/>
  <c r="K1734" i="2"/>
  <c r="K1735" i="2"/>
  <c r="K1736" i="2"/>
  <c r="K1737" i="2"/>
  <c r="K1738" i="2"/>
  <c r="K1739" i="2"/>
  <c r="K1740" i="2"/>
  <c r="K1741" i="2"/>
  <c r="K1742" i="2"/>
  <c r="K1743" i="2"/>
  <c r="K1744" i="2"/>
  <c r="K1745" i="2"/>
  <c r="K1746" i="2"/>
  <c r="K1747" i="2"/>
  <c r="K1748" i="2"/>
  <c r="K1749" i="2"/>
  <c r="K1750" i="2"/>
  <c r="K1751" i="2"/>
  <c r="K1752" i="2"/>
  <c r="K1753" i="2"/>
  <c r="K1754" i="2"/>
  <c r="K1755" i="2"/>
  <c r="K1756" i="2"/>
  <c r="K1757" i="2"/>
  <c r="K1758" i="2"/>
  <c r="K1759" i="2"/>
  <c r="K1760" i="2"/>
  <c r="K1761" i="2"/>
  <c r="K1762" i="2"/>
  <c r="K1763" i="2"/>
  <c r="K1764" i="2"/>
  <c r="K1765" i="2"/>
  <c r="K1766" i="2"/>
  <c r="K1767" i="2"/>
  <c r="K1768" i="2"/>
  <c r="K1769" i="2"/>
  <c r="K1770" i="2"/>
  <c r="K1771" i="2"/>
  <c r="K1772" i="2"/>
  <c r="K1773" i="2"/>
  <c r="K1774" i="2"/>
  <c r="K1775" i="2"/>
  <c r="K1776" i="2"/>
  <c r="K1777" i="2"/>
  <c r="K1778" i="2"/>
  <c r="K1779" i="2"/>
  <c r="K1780" i="2"/>
  <c r="K1781" i="2"/>
  <c r="K1782" i="2"/>
  <c r="K1783" i="2"/>
  <c r="K1784" i="2"/>
  <c r="K1785" i="2"/>
  <c r="K1786" i="2"/>
  <c r="K1787" i="2"/>
  <c r="K1788" i="2"/>
  <c r="K1789" i="2"/>
  <c r="K1790" i="2"/>
  <c r="K1791" i="2"/>
  <c r="K1792" i="2"/>
  <c r="K1793" i="2"/>
  <c r="K1794" i="2"/>
  <c r="K1795" i="2"/>
  <c r="K1796" i="2"/>
  <c r="K1797" i="2"/>
  <c r="K1798" i="2"/>
  <c r="K1799" i="2"/>
  <c r="K1800" i="2"/>
  <c r="K1801" i="2"/>
  <c r="K1802" i="2"/>
  <c r="K1803" i="2"/>
  <c r="K1804" i="2"/>
  <c r="K1805" i="2"/>
  <c r="K1806" i="2"/>
  <c r="K1807" i="2"/>
  <c r="K1808" i="2"/>
  <c r="K1809" i="2"/>
  <c r="K1810" i="2"/>
  <c r="K1811" i="2"/>
  <c r="K1812" i="2"/>
  <c r="K1813" i="2"/>
  <c r="K1814" i="2"/>
  <c r="K1815" i="2"/>
  <c r="K1816" i="2"/>
  <c r="K1817" i="2"/>
  <c r="K1818" i="2"/>
  <c r="K1819" i="2"/>
  <c r="K1820" i="2"/>
  <c r="K1821" i="2"/>
  <c r="K1822" i="2"/>
  <c r="K1823" i="2"/>
  <c r="K1824" i="2"/>
  <c r="K1825" i="2"/>
  <c r="K1826" i="2"/>
  <c r="K1827" i="2"/>
  <c r="K1828" i="2"/>
  <c r="K1829" i="2"/>
  <c r="K1830" i="2"/>
  <c r="K1831" i="2"/>
  <c r="K1832" i="2"/>
  <c r="K1833" i="2"/>
  <c r="K1834" i="2"/>
  <c r="K1835" i="2"/>
  <c r="K1836" i="2"/>
  <c r="K1837" i="2"/>
  <c r="K1838" i="2"/>
  <c r="K1839" i="2"/>
  <c r="K1840" i="2"/>
  <c r="K1841" i="2"/>
  <c r="K1842" i="2"/>
  <c r="K1843" i="2"/>
  <c r="K1844" i="2"/>
  <c r="K1845" i="2"/>
  <c r="K1846" i="2"/>
  <c r="K1847" i="2"/>
  <c r="K1848" i="2"/>
  <c r="K1849" i="2"/>
  <c r="K1850" i="2"/>
  <c r="K1851" i="2"/>
  <c r="K1852" i="2"/>
  <c r="K1853" i="2"/>
  <c r="K1854" i="2"/>
  <c r="K1855" i="2"/>
  <c r="K1856" i="2"/>
  <c r="K1857" i="2"/>
  <c r="K1858" i="2"/>
  <c r="K1859" i="2"/>
  <c r="K1860" i="2"/>
  <c r="K1861" i="2"/>
  <c r="K1862" i="2"/>
  <c r="K1863" i="2"/>
  <c r="K1864" i="2"/>
  <c r="K1865" i="2"/>
  <c r="K1866" i="2"/>
  <c r="K1867" i="2"/>
  <c r="K1868" i="2"/>
  <c r="K1869" i="2"/>
  <c r="K1870" i="2"/>
  <c r="K1871" i="2"/>
  <c r="K1872" i="2"/>
  <c r="K1873" i="2"/>
  <c r="K1874" i="2"/>
  <c r="K1875" i="2"/>
  <c r="K1876" i="2"/>
  <c r="K1877" i="2"/>
  <c r="K1878" i="2"/>
  <c r="K1879" i="2"/>
  <c r="K1880" i="2"/>
  <c r="K1881" i="2"/>
  <c r="K1882" i="2"/>
  <c r="K1883" i="2"/>
  <c r="K1884" i="2"/>
  <c r="K1885" i="2"/>
  <c r="K1886" i="2"/>
  <c r="K1887" i="2"/>
  <c r="K1888" i="2"/>
  <c r="K1889" i="2"/>
  <c r="K1890" i="2"/>
  <c r="K1891" i="2"/>
  <c r="K1892" i="2"/>
  <c r="K1893" i="2"/>
  <c r="K1894" i="2"/>
  <c r="K1895" i="2"/>
  <c r="K1896" i="2"/>
  <c r="K1897" i="2"/>
  <c r="K1898" i="2"/>
  <c r="K1899" i="2"/>
  <c r="K1900" i="2"/>
  <c r="K1901" i="2"/>
  <c r="K1902" i="2"/>
  <c r="K1903" i="2"/>
  <c r="K1904" i="2"/>
  <c r="K1905" i="2"/>
  <c r="K1906" i="2"/>
  <c r="K1907" i="2"/>
  <c r="K1908" i="2"/>
  <c r="K1909" i="2"/>
  <c r="K1910" i="2"/>
  <c r="K1911" i="2"/>
  <c r="K1912" i="2"/>
  <c r="K1913" i="2"/>
  <c r="K1914" i="2"/>
  <c r="K1915" i="2"/>
  <c r="K1916" i="2"/>
  <c r="K1917" i="2"/>
  <c r="K1918" i="2"/>
  <c r="K1919" i="2"/>
  <c r="K1920" i="2"/>
  <c r="K1921" i="2"/>
  <c r="K1922" i="2"/>
  <c r="K1923" i="2"/>
  <c r="K1924" i="2"/>
  <c r="K1925" i="2"/>
  <c r="K1926" i="2"/>
  <c r="K1927" i="2"/>
  <c r="K1928" i="2"/>
  <c r="K1929" i="2"/>
  <c r="K1930" i="2"/>
  <c r="K1931" i="2"/>
  <c r="K1932" i="2"/>
  <c r="K1933" i="2"/>
  <c r="K1934" i="2"/>
  <c r="K1935" i="2"/>
  <c r="K1936" i="2"/>
  <c r="K1937" i="2"/>
  <c r="K1938" i="2"/>
  <c r="K1939" i="2"/>
  <c r="K1940" i="2"/>
  <c r="K1941" i="2"/>
  <c r="K1942" i="2"/>
  <c r="K1943" i="2"/>
  <c r="K1944" i="2"/>
  <c r="K1945" i="2"/>
  <c r="K1946" i="2"/>
  <c r="K1947" i="2"/>
  <c r="K1948" i="2"/>
  <c r="K1949" i="2"/>
  <c r="K1950" i="2"/>
  <c r="K1951" i="2"/>
  <c r="K1952" i="2"/>
  <c r="K1953" i="2"/>
  <c r="K1954" i="2"/>
  <c r="K1955" i="2"/>
  <c r="K1956" i="2"/>
  <c r="K1957" i="2"/>
  <c r="K1958" i="2"/>
  <c r="K1959" i="2"/>
  <c r="K1960" i="2"/>
  <c r="K1961" i="2"/>
  <c r="K1962" i="2"/>
  <c r="K1963" i="2"/>
  <c r="K1964" i="2"/>
  <c r="K1965" i="2"/>
  <c r="K1966" i="2"/>
  <c r="K1967" i="2"/>
  <c r="K1968" i="2"/>
  <c r="K1969" i="2"/>
  <c r="K1970" i="2"/>
  <c r="K1971" i="2"/>
  <c r="K1972" i="2"/>
  <c r="K1973" i="2"/>
  <c r="K1974" i="2"/>
  <c r="K1975" i="2"/>
  <c r="K1976" i="2"/>
  <c r="K1977" i="2"/>
  <c r="K1978" i="2"/>
  <c r="K1979" i="2"/>
  <c r="K1980" i="2"/>
  <c r="K1981" i="2"/>
  <c r="K1982" i="2"/>
  <c r="K1983" i="2"/>
  <c r="K1984" i="2"/>
  <c r="K1985" i="2"/>
  <c r="K1986" i="2"/>
  <c r="K1987" i="2"/>
  <c r="K1988" i="2"/>
  <c r="K1989" i="2"/>
  <c r="K1990" i="2"/>
  <c r="K1991" i="2"/>
  <c r="K1992" i="2"/>
  <c r="K1993" i="2"/>
  <c r="K1994" i="2"/>
  <c r="K1995" i="2"/>
  <c r="K1996" i="2"/>
  <c r="K1997" i="2"/>
  <c r="K1998" i="2"/>
  <c r="K1999" i="2"/>
  <c r="K2000" i="2"/>
  <c r="K2001" i="2"/>
  <c r="K2002" i="2"/>
  <c r="K2003" i="2"/>
  <c r="K2004" i="2"/>
  <c r="K2005" i="2"/>
  <c r="K2006" i="2"/>
  <c r="K2007" i="2"/>
  <c r="K2008" i="2"/>
  <c r="K2009" i="2"/>
  <c r="K2010" i="2"/>
  <c r="K2011" i="2"/>
  <c r="K2012" i="2"/>
  <c r="K2013" i="2"/>
  <c r="K2014" i="2"/>
  <c r="K2015" i="2"/>
  <c r="K2016" i="2"/>
  <c r="K2017" i="2"/>
  <c r="K2018" i="2"/>
  <c r="K2019" i="2"/>
  <c r="K2020" i="2"/>
  <c r="K2021" i="2"/>
  <c r="K2022" i="2"/>
  <c r="K2023" i="2"/>
  <c r="K2024" i="2"/>
  <c r="K2025" i="2"/>
  <c r="K2026" i="2"/>
  <c r="K2027" i="2"/>
  <c r="K2028" i="2"/>
  <c r="K2029" i="2"/>
  <c r="K2030" i="2"/>
  <c r="K2031" i="2"/>
  <c r="K2032" i="2"/>
  <c r="K2033" i="2"/>
  <c r="K2034" i="2"/>
  <c r="K2035" i="2"/>
  <c r="K2036" i="2"/>
  <c r="K2037" i="2"/>
  <c r="K2038" i="2"/>
  <c r="K2039" i="2"/>
  <c r="K2040" i="2"/>
  <c r="K2041" i="2"/>
  <c r="K2042" i="2"/>
  <c r="K2043" i="2"/>
  <c r="K2044" i="2"/>
  <c r="K2045" i="2"/>
  <c r="K2046" i="2"/>
  <c r="K2047" i="2"/>
  <c r="K2048" i="2"/>
  <c r="K2049" i="2"/>
  <c r="K2050" i="2"/>
  <c r="K2051" i="2"/>
  <c r="K2052" i="2"/>
  <c r="K2053" i="2"/>
  <c r="K2054" i="2"/>
  <c r="K2055" i="2"/>
  <c r="K2056" i="2"/>
  <c r="K2057" i="2"/>
  <c r="K2058" i="2"/>
  <c r="K2059" i="2"/>
  <c r="K2060" i="2"/>
  <c r="K2061" i="2"/>
  <c r="K2062" i="2"/>
  <c r="K2063" i="2"/>
  <c r="K2064" i="2"/>
  <c r="K2065" i="2"/>
  <c r="K2066" i="2"/>
  <c r="K2067" i="2"/>
  <c r="K2068" i="2"/>
  <c r="K2069" i="2"/>
  <c r="K2070" i="2"/>
  <c r="K2071" i="2"/>
  <c r="K2072" i="2"/>
  <c r="K2073" i="2"/>
  <c r="K2074" i="2"/>
  <c r="K2075" i="2"/>
  <c r="K2076" i="2"/>
  <c r="K2077" i="2"/>
  <c r="K2078" i="2"/>
  <c r="K2079" i="2"/>
  <c r="K2080" i="2"/>
  <c r="K2081" i="2"/>
  <c r="K2082" i="2"/>
  <c r="K2083" i="2"/>
  <c r="K2084" i="2"/>
  <c r="K2085" i="2"/>
  <c r="K2086" i="2"/>
  <c r="K2087" i="2"/>
  <c r="K2088" i="2"/>
  <c r="K2089" i="2"/>
  <c r="K2090" i="2"/>
  <c r="K2091" i="2"/>
  <c r="K2092" i="2"/>
  <c r="K2093" i="2"/>
  <c r="K2094" i="2"/>
  <c r="K2095" i="2"/>
  <c r="K2096" i="2"/>
  <c r="K2097" i="2"/>
  <c r="K2098" i="2"/>
  <c r="K2099" i="2"/>
  <c r="K2100" i="2"/>
  <c r="K2101" i="2"/>
  <c r="K2102" i="2"/>
  <c r="K2103" i="2"/>
  <c r="K2104" i="2"/>
  <c r="K2105" i="2"/>
  <c r="K2106" i="2"/>
  <c r="K2107" i="2"/>
  <c r="K2108" i="2"/>
  <c r="K2109" i="2"/>
  <c r="K2110" i="2"/>
  <c r="K2111" i="2"/>
  <c r="K2112" i="2"/>
  <c r="K2113" i="2"/>
  <c r="K2114" i="2"/>
  <c r="K2115" i="2"/>
  <c r="K2116" i="2"/>
  <c r="K2117" i="2"/>
  <c r="K2118" i="2"/>
  <c r="K2119" i="2"/>
  <c r="K2120" i="2"/>
  <c r="K2121" i="2"/>
  <c r="K2122" i="2"/>
  <c r="K2123" i="2"/>
  <c r="K2124" i="2"/>
  <c r="K2125" i="2"/>
  <c r="K2126" i="2"/>
  <c r="K2127" i="2"/>
  <c r="K2128" i="2"/>
  <c r="K2129" i="2"/>
  <c r="K2130" i="2"/>
  <c r="K2131" i="2"/>
  <c r="K2132" i="2"/>
  <c r="K2133" i="2"/>
  <c r="K2134" i="2"/>
  <c r="K2135" i="2"/>
  <c r="K2136" i="2"/>
  <c r="K2137" i="2"/>
  <c r="K2138" i="2"/>
  <c r="K2139" i="2"/>
  <c r="K2140" i="2"/>
  <c r="K2141" i="2"/>
  <c r="K2142" i="2"/>
  <c r="K2143" i="2"/>
  <c r="K2144" i="2"/>
  <c r="K2145" i="2"/>
  <c r="K2146" i="2"/>
  <c r="K2147" i="2"/>
  <c r="K2148" i="2"/>
  <c r="K2149" i="2"/>
  <c r="K2150" i="2"/>
  <c r="K2151" i="2"/>
  <c r="K2152" i="2"/>
  <c r="K2153" i="2"/>
  <c r="K2154" i="2"/>
  <c r="K2155" i="2"/>
  <c r="K2156" i="2"/>
  <c r="K2157" i="2"/>
  <c r="K2158" i="2"/>
  <c r="K2159" i="2"/>
  <c r="K2160" i="2"/>
  <c r="K2161" i="2"/>
  <c r="K2162" i="2"/>
  <c r="K2163" i="2"/>
  <c r="K2164" i="2"/>
  <c r="K2165" i="2"/>
  <c r="K2166" i="2"/>
  <c r="K2167" i="2"/>
  <c r="K2168" i="2"/>
  <c r="K2169" i="2"/>
  <c r="K2170" i="2"/>
  <c r="K2171" i="2"/>
  <c r="K2172" i="2"/>
  <c r="K2173" i="2"/>
  <c r="K2174" i="2"/>
  <c r="K2175" i="2"/>
  <c r="K2176" i="2"/>
  <c r="K2177" i="2"/>
  <c r="K2178" i="2"/>
  <c r="K2179" i="2"/>
  <c r="K2180" i="2"/>
  <c r="K2181" i="2"/>
  <c r="K2182" i="2"/>
  <c r="K2183" i="2"/>
  <c r="K2184" i="2"/>
  <c r="K2185" i="2"/>
  <c r="K2186" i="2"/>
  <c r="K2187" i="2"/>
  <c r="K2188" i="2"/>
  <c r="K2189" i="2"/>
  <c r="K2190" i="2"/>
  <c r="K2191" i="2"/>
  <c r="K2192" i="2"/>
  <c r="K2193" i="2"/>
  <c r="K2194" i="2"/>
  <c r="K2195" i="2"/>
  <c r="K2196" i="2"/>
  <c r="K2197" i="2"/>
  <c r="K2198" i="2"/>
  <c r="K2199" i="2"/>
  <c r="K2200" i="2"/>
  <c r="K2201" i="2"/>
  <c r="K2202" i="2"/>
  <c r="K2203" i="2"/>
  <c r="K2204" i="2"/>
  <c r="K2205" i="2"/>
  <c r="K2206" i="2"/>
  <c r="K2207" i="2"/>
  <c r="K2208" i="2"/>
  <c r="K2209" i="2"/>
  <c r="K2210" i="2"/>
  <c r="K2211" i="2"/>
  <c r="K2212" i="2"/>
  <c r="K2213" i="2"/>
  <c r="K2214" i="2"/>
  <c r="K2215" i="2"/>
  <c r="K2216" i="2"/>
  <c r="K2217" i="2"/>
  <c r="K2218" i="2"/>
  <c r="K2219" i="2"/>
  <c r="K2220" i="2"/>
  <c r="K2221" i="2"/>
  <c r="K2222" i="2"/>
  <c r="K2223" i="2"/>
  <c r="K2224" i="2"/>
  <c r="K2225" i="2"/>
  <c r="K2226" i="2"/>
  <c r="K2227" i="2"/>
  <c r="K2228" i="2"/>
  <c r="K2229" i="2"/>
  <c r="K2230" i="2"/>
  <c r="K2231" i="2"/>
  <c r="K2232" i="2"/>
  <c r="K2233" i="2"/>
  <c r="K2234" i="2"/>
  <c r="K2235" i="2"/>
  <c r="K2236" i="2"/>
  <c r="K2237" i="2"/>
  <c r="K2238" i="2"/>
  <c r="K2239" i="2"/>
  <c r="K2240" i="2"/>
  <c r="K2241" i="2"/>
  <c r="K2242" i="2"/>
  <c r="K2243" i="2"/>
  <c r="K2244" i="2"/>
  <c r="K2245" i="2"/>
  <c r="K2246" i="2"/>
  <c r="K2247" i="2"/>
  <c r="K2248" i="2"/>
  <c r="K2249" i="2"/>
  <c r="K2250" i="2"/>
  <c r="K2251" i="2"/>
  <c r="K2252" i="2"/>
  <c r="K2253" i="2"/>
  <c r="K2254" i="2"/>
  <c r="K2255" i="2"/>
  <c r="K2256" i="2"/>
  <c r="K2257" i="2"/>
  <c r="K2258" i="2"/>
  <c r="K2259" i="2"/>
  <c r="K2260" i="2"/>
  <c r="K2261" i="2"/>
  <c r="K2262" i="2"/>
  <c r="K2263" i="2"/>
  <c r="K2264" i="2"/>
  <c r="K2265" i="2"/>
  <c r="K2266" i="2"/>
  <c r="K2267" i="2"/>
  <c r="K2268" i="2"/>
  <c r="K2269" i="2"/>
  <c r="K2270" i="2"/>
  <c r="K2271" i="2"/>
  <c r="K2272" i="2"/>
  <c r="K2273" i="2"/>
  <c r="K2274" i="2"/>
  <c r="K2275" i="2"/>
  <c r="K2276" i="2"/>
  <c r="K2277" i="2"/>
  <c r="K2278" i="2"/>
  <c r="K2279" i="2"/>
  <c r="K2280" i="2"/>
  <c r="K2281" i="2"/>
  <c r="K2282" i="2"/>
  <c r="K2283" i="2"/>
  <c r="K2284" i="2"/>
  <c r="K2285" i="2"/>
  <c r="K2286" i="2"/>
  <c r="K2287" i="2"/>
  <c r="K2288" i="2"/>
  <c r="K2289" i="2"/>
  <c r="K2290" i="2"/>
  <c r="K2291" i="2"/>
  <c r="K2292" i="2"/>
  <c r="K2293" i="2"/>
  <c r="K2294" i="2"/>
  <c r="K2295" i="2"/>
  <c r="K2296" i="2"/>
  <c r="K2297" i="2"/>
  <c r="K2298" i="2"/>
  <c r="K2299" i="2"/>
  <c r="K2300" i="2"/>
  <c r="K2301" i="2"/>
  <c r="K2302" i="2"/>
  <c r="K2303" i="2"/>
  <c r="K2304" i="2"/>
  <c r="K2305" i="2"/>
  <c r="K2306" i="2"/>
  <c r="K2307" i="2"/>
  <c r="K2308" i="2"/>
  <c r="K2309" i="2"/>
  <c r="K2310" i="2"/>
  <c r="K2311" i="2"/>
  <c r="K2312" i="2"/>
  <c r="K2313" i="2"/>
  <c r="K2314" i="2"/>
  <c r="K2315" i="2"/>
  <c r="K2316" i="2"/>
  <c r="K2317" i="2"/>
  <c r="K2318" i="2"/>
  <c r="K2319" i="2"/>
  <c r="K2320" i="2"/>
  <c r="K2321" i="2"/>
  <c r="K2322" i="2"/>
  <c r="K2323" i="2"/>
  <c r="K2324" i="2"/>
  <c r="K2325" i="2"/>
  <c r="K2326" i="2"/>
  <c r="K2327" i="2"/>
  <c r="K2328" i="2"/>
  <c r="K2329" i="2"/>
  <c r="K2330" i="2"/>
  <c r="K2331" i="2"/>
  <c r="K2332" i="2"/>
  <c r="K2333" i="2"/>
  <c r="K2334" i="2"/>
  <c r="K2335" i="2"/>
  <c r="K2336" i="2"/>
  <c r="K2337" i="2"/>
  <c r="K2338" i="2"/>
  <c r="K2339" i="2"/>
  <c r="K2340" i="2"/>
  <c r="K2341" i="2"/>
  <c r="K2342" i="2"/>
  <c r="K2343" i="2"/>
  <c r="K2344" i="2"/>
  <c r="K2345" i="2"/>
  <c r="K2346" i="2"/>
  <c r="K2347" i="2"/>
  <c r="K2348" i="2"/>
  <c r="K2349" i="2"/>
  <c r="K2350" i="2"/>
  <c r="K2351" i="2"/>
  <c r="K2352" i="2"/>
  <c r="K2353" i="2"/>
  <c r="K2354" i="2"/>
  <c r="K2355" i="2"/>
  <c r="K2356" i="2"/>
  <c r="K2357" i="2"/>
  <c r="K2358" i="2"/>
  <c r="K2359" i="2"/>
  <c r="K2360" i="2"/>
  <c r="K2361" i="2"/>
  <c r="K2362" i="2"/>
  <c r="K2363" i="2"/>
  <c r="K2364" i="2"/>
  <c r="K2365" i="2"/>
  <c r="K2366" i="2"/>
  <c r="K2367" i="2"/>
  <c r="K2368" i="2"/>
  <c r="K2369" i="2"/>
  <c r="K2370" i="2"/>
  <c r="K2371" i="2"/>
  <c r="K2372" i="2"/>
  <c r="K2373" i="2"/>
  <c r="K2374" i="2"/>
  <c r="K2375" i="2"/>
  <c r="K2376" i="2"/>
  <c r="K2377" i="2"/>
  <c r="K2378" i="2"/>
  <c r="K2379" i="2"/>
  <c r="K2380" i="2"/>
  <c r="K2381" i="2"/>
  <c r="K2382" i="2"/>
  <c r="K2383" i="2"/>
  <c r="K2384" i="2"/>
  <c r="K2385" i="2"/>
  <c r="K2386" i="2"/>
  <c r="K2387" i="2"/>
  <c r="K2388" i="2"/>
  <c r="K2389" i="2"/>
  <c r="K2390" i="2"/>
  <c r="K2391" i="2"/>
  <c r="K2392" i="2"/>
  <c r="K2393" i="2"/>
  <c r="K2394" i="2"/>
  <c r="K2395" i="2"/>
  <c r="K2396" i="2"/>
  <c r="K2397" i="2"/>
  <c r="K2398" i="2"/>
  <c r="K2399" i="2"/>
  <c r="K2400" i="2"/>
  <c r="K2401" i="2"/>
  <c r="K2402" i="2"/>
  <c r="K2403" i="2"/>
  <c r="K2404" i="2"/>
  <c r="K2405" i="2"/>
  <c r="K2406" i="2"/>
  <c r="K2407" i="2"/>
  <c r="K2408" i="2"/>
  <c r="K2409" i="2"/>
  <c r="K2410" i="2"/>
  <c r="K2411" i="2"/>
  <c r="K2412" i="2"/>
  <c r="K2413" i="2"/>
  <c r="K2414" i="2"/>
  <c r="K2415" i="2"/>
  <c r="K2416" i="2"/>
  <c r="K2417" i="2"/>
  <c r="K2418" i="2"/>
  <c r="K2419" i="2"/>
  <c r="K2420" i="2"/>
  <c r="K2421" i="2"/>
  <c r="K2422" i="2"/>
  <c r="K2423" i="2"/>
  <c r="K2424" i="2"/>
  <c r="K2425" i="2"/>
  <c r="K2426" i="2"/>
  <c r="K2427" i="2"/>
  <c r="K2428" i="2"/>
  <c r="K2429" i="2"/>
  <c r="K2430" i="2"/>
  <c r="K2431" i="2"/>
  <c r="K2432" i="2"/>
  <c r="K2433" i="2"/>
  <c r="K2434" i="2"/>
  <c r="K2435" i="2"/>
  <c r="K2436" i="2"/>
  <c r="K2437" i="2"/>
  <c r="K2438" i="2"/>
  <c r="K2439" i="2"/>
  <c r="K2440" i="2"/>
  <c r="K2441" i="2"/>
  <c r="K2442" i="2"/>
  <c r="K2443" i="2"/>
  <c r="K2444" i="2"/>
  <c r="K2445" i="2"/>
  <c r="K2446" i="2"/>
  <c r="K2447" i="2"/>
  <c r="K2448" i="2"/>
  <c r="K2449" i="2"/>
  <c r="K2450" i="2"/>
  <c r="K2451" i="2"/>
  <c r="K2452" i="2"/>
  <c r="K2453" i="2"/>
  <c r="K2454" i="2"/>
  <c r="K2455" i="2"/>
  <c r="K2456" i="2"/>
  <c r="K2457" i="2"/>
  <c r="K2458" i="2"/>
  <c r="K2459" i="2"/>
  <c r="K2460" i="2"/>
  <c r="K2461" i="2"/>
  <c r="K2462" i="2"/>
  <c r="K2463" i="2"/>
  <c r="K2464" i="2"/>
  <c r="K2465" i="2"/>
  <c r="K2466" i="2"/>
  <c r="K2467" i="2"/>
  <c r="K2468" i="2"/>
  <c r="K2469" i="2"/>
  <c r="K2470" i="2"/>
  <c r="K2471" i="2"/>
  <c r="K2472" i="2"/>
  <c r="K2473" i="2"/>
  <c r="K2474" i="2"/>
  <c r="K2475" i="2"/>
  <c r="K2476" i="2"/>
  <c r="K2477" i="2"/>
  <c r="K2478" i="2"/>
  <c r="K2479" i="2"/>
  <c r="K2480" i="2"/>
  <c r="K2481" i="2"/>
  <c r="K2482" i="2"/>
  <c r="K2483" i="2"/>
  <c r="K2484" i="2"/>
  <c r="K2485" i="2"/>
  <c r="K2486" i="2"/>
  <c r="K2487" i="2"/>
  <c r="K2488" i="2"/>
  <c r="K2489" i="2"/>
  <c r="K2490" i="2"/>
  <c r="K2491" i="2"/>
  <c r="K2492" i="2"/>
  <c r="K2493" i="2"/>
  <c r="K2494" i="2"/>
  <c r="K2495" i="2"/>
  <c r="K2496" i="2"/>
  <c r="K2497" i="2"/>
  <c r="K2498" i="2"/>
  <c r="K2499" i="2"/>
  <c r="K2500" i="2"/>
  <c r="K2501" i="2"/>
  <c r="K2502" i="2"/>
  <c r="K2503" i="2"/>
  <c r="K2504" i="2"/>
  <c r="K2505" i="2"/>
  <c r="K2506" i="2"/>
  <c r="K2507" i="2"/>
  <c r="K2508" i="2"/>
  <c r="K2509" i="2"/>
  <c r="K2510" i="2"/>
  <c r="K2511" i="2"/>
  <c r="K2512" i="2"/>
  <c r="K2513" i="2"/>
  <c r="K2514" i="2"/>
  <c r="K2515" i="2"/>
  <c r="K2516" i="2"/>
  <c r="K2517" i="2"/>
  <c r="K2518" i="2"/>
  <c r="K2519" i="2"/>
  <c r="K2520" i="2"/>
  <c r="K2521" i="2"/>
  <c r="K2522" i="2"/>
  <c r="K2523" i="2"/>
  <c r="K2524" i="2"/>
  <c r="K2525" i="2"/>
  <c r="K2526" i="2"/>
  <c r="K2527" i="2"/>
  <c r="K2528" i="2"/>
  <c r="K2529" i="2"/>
  <c r="K2530" i="2"/>
  <c r="K2531" i="2"/>
  <c r="K2532" i="2"/>
  <c r="K2533" i="2"/>
  <c r="K2534" i="2"/>
  <c r="K2535" i="2"/>
  <c r="K2536" i="2"/>
  <c r="K2537" i="2"/>
  <c r="K2538" i="2"/>
  <c r="K2539" i="2"/>
  <c r="K2540" i="2"/>
  <c r="K2541" i="2"/>
  <c r="K2542" i="2"/>
  <c r="K2543" i="2"/>
  <c r="K2544" i="2"/>
  <c r="K2545" i="2"/>
  <c r="K2546" i="2"/>
  <c r="K2547" i="2"/>
  <c r="K2548" i="2"/>
  <c r="K2549" i="2"/>
  <c r="K2550" i="2"/>
  <c r="K2551" i="2"/>
  <c r="K2552" i="2"/>
  <c r="K2553" i="2"/>
  <c r="K2554" i="2"/>
  <c r="K2555" i="2"/>
  <c r="K2556" i="2"/>
  <c r="K2557" i="2"/>
  <c r="K2558" i="2"/>
  <c r="K2559" i="2"/>
  <c r="K2560" i="2"/>
  <c r="K2561" i="2"/>
  <c r="K2562" i="2"/>
  <c r="K2563" i="2"/>
  <c r="K2564" i="2"/>
  <c r="K2565" i="2"/>
  <c r="K2566" i="2"/>
  <c r="K2567" i="2"/>
  <c r="K2568" i="2"/>
  <c r="K2569" i="2"/>
  <c r="K2570" i="2"/>
  <c r="K2571" i="2"/>
  <c r="K2572" i="2"/>
  <c r="K2573" i="2"/>
  <c r="K2574" i="2"/>
  <c r="K2575" i="2"/>
  <c r="K2576" i="2"/>
  <c r="K2577" i="2"/>
  <c r="K2578" i="2"/>
  <c r="K2579" i="2"/>
  <c r="K2580" i="2"/>
  <c r="K2581" i="2"/>
  <c r="K2582" i="2"/>
  <c r="K2583" i="2"/>
  <c r="K2584" i="2"/>
  <c r="K2585" i="2"/>
  <c r="K2586" i="2"/>
  <c r="K2587" i="2"/>
  <c r="K2588" i="2"/>
  <c r="K2589" i="2"/>
  <c r="K2590" i="2"/>
  <c r="K2591" i="2"/>
  <c r="K2592" i="2"/>
  <c r="K2593" i="2"/>
  <c r="K2594" i="2"/>
  <c r="K2595" i="2"/>
  <c r="K2596" i="2"/>
  <c r="K2597" i="2"/>
  <c r="K2598" i="2"/>
  <c r="K2599" i="2"/>
  <c r="K2600" i="2"/>
  <c r="K2601" i="2"/>
  <c r="K2602" i="2"/>
  <c r="K2603" i="2"/>
  <c r="K2604" i="2"/>
  <c r="K2605" i="2"/>
  <c r="K2606" i="2"/>
  <c r="K2607" i="2"/>
  <c r="K2608" i="2"/>
  <c r="K2609" i="2"/>
  <c r="K2610" i="2"/>
  <c r="K2611" i="2"/>
  <c r="K2612" i="2"/>
  <c r="K2613" i="2"/>
  <c r="K2614" i="2"/>
  <c r="K2615" i="2"/>
  <c r="K2616" i="2"/>
  <c r="K2617" i="2"/>
  <c r="K2618" i="2"/>
  <c r="K2619" i="2"/>
  <c r="K2620" i="2"/>
  <c r="K2621" i="2"/>
  <c r="K2622" i="2"/>
  <c r="K2623" i="2"/>
  <c r="K2624" i="2"/>
  <c r="K2625" i="2"/>
  <c r="K2626" i="2"/>
  <c r="K2627" i="2"/>
  <c r="K2628" i="2"/>
  <c r="K2629" i="2"/>
  <c r="K2630" i="2"/>
  <c r="K2631" i="2"/>
  <c r="K2632" i="2"/>
  <c r="K2633" i="2"/>
  <c r="K2634" i="2"/>
  <c r="K2635" i="2"/>
  <c r="K2636" i="2"/>
  <c r="K2637" i="2"/>
  <c r="K2638" i="2"/>
  <c r="K2639" i="2"/>
  <c r="K2640" i="2"/>
  <c r="K2641" i="2"/>
  <c r="K2642" i="2"/>
  <c r="K2643" i="2"/>
  <c r="K2644" i="2"/>
  <c r="K2645" i="2"/>
  <c r="K2646" i="2"/>
  <c r="K2647" i="2"/>
  <c r="K2648" i="2"/>
  <c r="K2649" i="2"/>
  <c r="K2650" i="2"/>
  <c r="K2651" i="2"/>
  <c r="K2652" i="2"/>
  <c r="K2653" i="2"/>
  <c r="K2654" i="2"/>
  <c r="K2655" i="2"/>
  <c r="K2656" i="2"/>
  <c r="K2657" i="2"/>
  <c r="K2658" i="2"/>
  <c r="K2659" i="2"/>
  <c r="K2660" i="2"/>
  <c r="K2661" i="2"/>
  <c r="K2662" i="2"/>
  <c r="K2663" i="2"/>
  <c r="K2664" i="2"/>
  <c r="K2665" i="2"/>
  <c r="K2666" i="2"/>
  <c r="K2667" i="2"/>
  <c r="K2668" i="2"/>
  <c r="K2669" i="2"/>
  <c r="K2670" i="2"/>
  <c r="K2671" i="2"/>
  <c r="K2672" i="2"/>
  <c r="K2673" i="2"/>
  <c r="K2674" i="2"/>
  <c r="K2675" i="2"/>
  <c r="K2676" i="2"/>
  <c r="K2677" i="2"/>
  <c r="K2678" i="2"/>
  <c r="K2679" i="2"/>
  <c r="K2680" i="2"/>
  <c r="K2681" i="2"/>
  <c r="K2682" i="2"/>
  <c r="K2683" i="2"/>
  <c r="K2684" i="2"/>
  <c r="K2685" i="2"/>
  <c r="K2686" i="2"/>
  <c r="K2687" i="2"/>
  <c r="K2688" i="2"/>
  <c r="K2689" i="2"/>
  <c r="K2690" i="2"/>
  <c r="K2691" i="2"/>
  <c r="K2692" i="2"/>
  <c r="K2693" i="2"/>
  <c r="K2694" i="2"/>
  <c r="K2695" i="2"/>
  <c r="K2696" i="2"/>
  <c r="K2697" i="2"/>
  <c r="K2698" i="2"/>
  <c r="K2699" i="2"/>
  <c r="K2700" i="2"/>
  <c r="K2701" i="2"/>
  <c r="K2702" i="2"/>
  <c r="K2703" i="2"/>
  <c r="K2704" i="2"/>
  <c r="K2705" i="2"/>
  <c r="K2706" i="2"/>
  <c r="K2707" i="2"/>
  <c r="K2708" i="2"/>
  <c r="K2709" i="2"/>
  <c r="K2710" i="2"/>
  <c r="K2711" i="2"/>
  <c r="K2712" i="2"/>
  <c r="K2713" i="2"/>
  <c r="K2714" i="2"/>
  <c r="K2715" i="2"/>
  <c r="K2716" i="2"/>
  <c r="K2717" i="2"/>
  <c r="K2718" i="2"/>
  <c r="K2719" i="2"/>
  <c r="K2720" i="2"/>
  <c r="K2721" i="2"/>
  <c r="K2722" i="2"/>
  <c r="K2723" i="2"/>
  <c r="K2724" i="2"/>
  <c r="K2725" i="2"/>
  <c r="K2726" i="2"/>
  <c r="K2727" i="2"/>
  <c r="K2728" i="2"/>
  <c r="K2729" i="2"/>
  <c r="K2730" i="2"/>
  <c r="K2731" i="2"/>
  <c r="K2732" i="2"/>
  <c r="K2733" i="2"/>
  <c r="K2734" i="2"/>
  <c r="K2735" i="2"/>
  <c r="K2736" i="2"/>
  <c r="K2737" i="2"/>
  <c r="K2738" i="2"/>
  <c r="K2739" i="2"/>
  <c r="K2740" i="2"/>
  <c r="K2741" i="2"/>
  <c r="K2742" i="2"/>
  <c r="K2743" i="2"/>
  <c r="K2744" i="2"/>
  <c r="K2745" i="2"/>
  <c r="K2746" i="2"/>
  <c r="K2747" i="2"/>
  <c r="K2748" i="2"/>
  <c r="K2749" i="2"/>
  <c r="K2750" i="2"/>
  <c r="K2751" i="2"/>
  <c r="K2752" i="2"/>
  <c r="K2753" i="2"/>
  <c r="K2754" i="2"/>
  <c r="K2755" i="2"/>
  <c r="K2756" i="2"/>
  <c r="K2757" i="2"/>
  <c r="K2758" i="2"/>
  <c r="K2759" i="2"/>
  <c r="K2760" i="2"/>
  <c r="K2761" i="2"/>
  <c r="K2762" i="2"/>
  <c r="K2763" i="2"/>
  <c r="K2764" i="2"/>
  <c r="K2765" i="2"/>
  <c r="K2766" i="2"/>
  <c r="K2767" i="2"/>
  <c r="K2768" i="2"/>
  <c r="K2769" i="2"/>
  <c r="K2770" i="2"/>
  <c r="K2771" i="2"/>
  <c r="K2772" i="2"/>
  <c r="K2773" i="2"/>
  <c r="K2774" i="2"/>
  <c r="K2775" i="2"/>
  <c r="K2776" i="2"/>
  <c r="K2777" i="2"/>
  <c r="K2778" i="2"/>
  <c r="K2779" i="2"/>
  <c r="K2780" i="2"/>
  <c r="K2781" i="2"/>
  <c r="K2782" i="2"/>
  <c r="K2783" i="2"/>
  <c r="K2784" i="2"/>
  <c r="K2785" i="2"/>
  <c r="K2786" i="2"/>
  <c r="K2787" i="2"/>
  <c r="K2788" i="2"/>
  <c r="K2789" i="2"/>
  <c r="K2790" i="2"/>
  <c r="K2791" i="2"/>
  <c r="K2792" i="2"/>
  <c r="K2793" i="2"/>
  <c r="K2794" i="2"/>
  <c r="K2795" i="2"/>
  <c r="K2796" i="2"/>
  <c r="K2797" i="2"/>
  <c r="K2798" i="2"/>
  <c r="K2799" i="2"/>
  <c r="K2800" i="2"/>
  <c r="K2801" i="2"/>
  <c r="K2802" i="2"/>
  <c r="K2803" i="2"/>
  <c r="K2804" i="2"/>
  <c r="K2805" i="2"/>
  <c r="K2806" i="2"/>
  <c r="K2807" i="2"/>
  <c r="K2808" i="2"/>
  <c r="K2809" i="2"/>
  <c r="K2810" i="2"/>
  <c r="K2811" i="2"/>
  <c r="K2812" i="2"/>
  <c r="K2813" i="2"/>
  <c r="K2814" i="2"/>
  <c r="K2815" i="2"/>
  <c r="K2816" i="2"/>
  <c r="K2817" i="2"/>
  <c r="K2818" i="2"/>
  <c r="K2819" i="2"/>
  <c r="K2820" i="2"/>
  <c r="K2821" i="2"/>
  <c r="K2822" i="2"/>
  <c r="K2823" i="2"/>
  <c r="K2824" i="2"/>
  <c r="K2825" i="2"/>
  <c r="K2826" i="2"/>
  <c r="K2827" i="2"/>
  <c r="K2828" i="2"/>
  <c r="K2829" i="2"/>
  <c r="K2830" i="2"/>
  <c r="K2831" i="2"/>
  <c r="K2832" i="2"/>
  <c r="K2833" i="2"/>
  <c r="K2834" i="2"/>
  <c r="K2835" i="2"/>
  <c r="K2836" i="2"/>
  <c r="K2837" i="2"/>
  <c r="K2838" i="2"/>
  <c r="K2839" i="2"/>
  <c r="K2840" i="2"/>
  <c r="K2841" i="2"/>
  <c r="K2842" i="2"/>
  <c r="K2843" i="2"/>
  <c r="K2844" i="2"/>
  <c r="K2845" i="2"/>
  <c r="K2846" i="2"/>
  <c r="K2847" i="2"/>
  <c r="K2848" i="2"/>
  <c r="K2849" i="2"/>
  <c r="K2850" i="2"/>
  <c r="K2851" i="2"/>
  <c r="K2852" i="2"/>
  <c r="K2853" i="2"/>
  <c r="K2854" i="2"/>
  <c r="K2855" i="2"/>
  <c r="K2856" i="2"/>
  <c r="K2857" i="2"/>
  <c r="K2858" i="2"/>
  <c r="K2859" i="2"/>
  <c r="K2860" i="2"/>
  <c r="K2861" i="2"/>
  <c r="K2862" i="2"/>
  <c r="K2863" i="2"/>
  <c r="K2864" i="2"/>
  <c r="K2865" i="2"/>
  <c r="K2866" i="2"/>
  <c r="K2867" i="2"/>
  <c r="K2868" i="2"/>
  <c r="K2869" i="2"/>
  <c r="K2870" i="2"/>
  <c r="K2871" i="2"/>
  <c r="K2872" i="2"/>
  <c r="K2873" i="2"/>
  <c r="K2874" i="2"/>
  <c r="K2875" i="2"/>
  <c r="K2876" i="2"/>
  <c r="K2877" i="2"/>
  <c r="K2878" i="2"/>
  <c r="K2879" i="2"/>
  <c r="K2880" i="2"/>
  <c r="K2881" i="2"/>
  <c r="K2882" i="2"/>
  <c r="K2883" i="2"/>
  <c r="K2884" i="2"/>
  <c r="K2885" i="2"/>
  <c r="K2886" i="2"/>
  <c r="K2887" i="2"/>
  <c r="K2888" i="2"/>
  <c r="K2889" i="2"/>
  <c r="K2890" i="2"/>
  <c r="K2891" i="2"/>
  <c r="K2892" i="2"/>
  <c r="K2893" i="2"/>
  <c r="K2894" i="2"/>
  <c r="K2895" i="2"/>
  <c r="K2896" i="2"/>
  <c r="K2897" i="2"/>
  <c r="K2898" i="2"/>
  <c r="K2899" i="2"/>
  <c r="K2900" i="2"/>
  <c r="K2901" i="2"/>
  <c r="K2902" i="2"/>
  <c r="K2903" i="2"/>
  <c r="K2904" i="2"/>
  <c r="K2905" i="2"/>
  <c r="K2906" i="2"/>
  <c r="K2907" i="2"/>
  <c r="K2908" i="2"/>
  <c r="K2909" i="2"/>
  <c r="K2910" i="2"/>
  <c r="K2911" i="2"/>
  <c r="K2912" i="2"/>
  <c r="K2913" i="2"/>
  <c r="K2914" i="2"/>
  <c r="K2915" i="2"/>
  <c r="K2916" i="2"/>
  <c r="K2917" i="2"/>
  <c r="K2918" i="2"/>
  <c r="K2919" i="2"/>
  <c r="K2920" i="2"/>
  <c r="K2921" i="2"/>
  <c r="K2922" i="2"/>
  <c r="K2923" i="2"/>
  <c r="K2924" i="2"/>
  <c r="K2925" i="2"/>
  <c r="K2926" i="2"/>
  <c r="K2927" i="2"/>
  <c r="K2928" i="2"/>
  <c r="K2929" i="2"/>
  <c r="K2930" i="2"/>
  <c r="K2931" i="2"/>
  <c r="K2932" i="2"/>
  <c r="K2933" i="2"/>
  <c r="K2934" i="2"/>
  <c r="K2935" i="2"/>
  <c r="K2936" i="2"/>
  <c r="K2937" i="2"/>
  <c r="K2938" i="2"/>
  <c r="K2939" i="2"/>
  <c r="K2940" i="2"/>
  <c r="K2941" i="2"/>
  <c r="K2942" i="2"/>
  <c r="K2943" i="2"/>
  <c r="K2944" i="2"/>
  <c r="K2945" i="2"/>
  <c r="K2946" i="2"/>
  <c r="K2947" i="2"/>
  <c r="K2948" i="2"/>
  <c r="K2949" i="2"/>
  <c r="K2950" i="2"/>
  <c r="K2951" i="2"/>
  <c r="K2952" i="2"/>
  <c r="K2953" i="2"/>
  <c r="K2954" i="2"/>
  <c r="K2955" i="2"/>
  <c r="K2956" i="2"/>
  <c r="K2957" i="2"/>
  <c r="K2958" i="2"/>
  <c r="K2959" i="2"/>
  <c r="K2960" i="2"/>
  <c r="K2961" i="2"/>
  <c r="K2962" i="2"/>
  <c r="K2963" i="2"/>
  <c r="K2964" i="2"/>
  <c r="K2965" i="2"/>
  <c r="K2966" i="2"/>
  <c r="K2967" i="2"/>
  <c r="K2968" i="2"/>
  <c r="K2969" i="2"/>
  <c r="K2970" i="2"/>
  <c r="K2971" i="2"/>
  <c r="K2972" i="2"/>
  <c r="K2973" i="2"/>
  <c r="K2974" i="2"/>
  <c r="K2975" i="2"/>
  <c r="K2976" i="2"/>
  <c r="K2977" i="2"/>
  <c r="K2978" i="2"/>
  <c r="K2979" i="2"/>
  <c r="K2980" i="2"/>
  <c r="K2981" i="2"/>
  <c r="K2982" i="2"/>
  <c r="K2983" i="2"/>
  <c r="K2984" i="2"/>
  <c r="K2985" i="2"/>
  <c r="K2986" i="2"/>
  <c r="K2987" i="2"/>
  <c r="K2988" i="2"/>
  <c r="K2989" i="2"/>
  <c r="K2990" i="2"/>
  <c r="K2991" i="2"/>
  <c r="K2992" i="2"/>
  <c r="K2993" i="2"/>
  <c r="K2994" i="2"/>
  <c r="K2995" i="2"/>
  <c r="K2996" i="2"/>
  <c r="K2997" i="2"/>
  <c r="K2998" i="2"/>
  <c r="K2999" i="2"/>
  <c r="K3000" i="2"/>
  <c r="K3001"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994212D-3F37-456E-A6A1-C28729FC95D8}" keepAlive="1" name="Query - Pqp supermarket data" description="Connection to the 'Pqp supermarket data' query in the workbook." type="5" refreshedVersion="8" background="1" saveData="1">
    <dbPr connection="Provider=Microsoft.Mashup.OleDb.1;Data Source=$Workbook$;Location=&quot;Pqp supermarket data&quot;;Extended Properties=&quot;&quot;" command="SELECT * FROM [Pqp supermarket data]"/>
  </connection>
</connections>
</file>

<file path=xl/sharedStrings.xml><?xml version="1.0" encoding="utf-8"?>
<sst xmlns="http://schemas.openxmlformats.org/spreadsheetml/2006/main" count="25040" uniqueCount="6112">
  <si>
    <t>Transaction_ID</t>
  </si>
  <si>
    <t>DateTime</t>
  </si>
  <si>
    <t>Customer_Name</t>
  </si>
  <si>
    <t>City</t>
  </si>
  <si>
    <t>Product</t>
  </si>
  <si>
    <t>Unit_Price</t>
  </si>
  <si>
    <t>Quantity</t>
  </si>
  <si>
    <t>Currency</t>
  </si>
  <si>
    <t>Payment_Method</t>
  </si>
  <si>
    <t>Cashier_ID</t>
  </si>
  <si>
    <t>TID000000</t>
  </si>
  <si>
    <t>Allison Hill</t>
  </si>
  <si>
    <t>Shanghai</t>
  </si>
  <si>
    <t>Orange Juice</t>
  </si>
  <si>
    <t>USD</t>
  </si>
  <si>
    <t>Credit Card</t>
  </si>
  <si>
    <t>EMP0018</t>
  </si>
  <si>
    <t>TID000001</t>
  </si>
  <si>
    <t>Noah Rhodes</t>
  </si>
  <si>
    <t>Mexico City</t>
  </si>
  <si>
    <t>Chocolate Bar</t>
  </si>
  <si>
    <t>Google Pay</t>
  </si>
  <si>
    <t>EMP0055</t>
  </si>
  <si>
    <t>TID000002</t>
  </si>
  <si>
    <t>Angie Henderson</t>
  </si>
  <si>
    <t>Berlin</t>
  </si>
  <si>
    <t>Toothpaste</t>
  </si>
  <si>
    <t>EMP0004</t>
  </si>
  <si>
    <t>TID000003</t>
  </si>
  <si>
    <t>Daniel Wagner</t>
  </si>
  <si>
    <t>Mumbai</t>
  </si>
  <si>
    <t>EMP0058</t>
  </si>
  <si>
    <t>TID000004</t>
  </si>
  <si>
    <t>Cristian Santos</t>
  </si>
  <si>
    <t>Los Angeles</t>
  </si>
  <si>
    <t>Coca-Cola</t>
  </si>
  <si>
    <t>PayPal</t>
  </si>
  <si>
    <t>TID000005</t>
  </si>
  <si>
    <t>Connie Lawrence</t>
  </si>
  <si>
    <t>Coffee</t>
  </si>
  <si>
    <t>Cash</t>
  </si>
  <si>
    <t>EMP0049</t>
  </si>
  <si>
    <t>TID000006</t>
  </si>
  <si>
    <t>Abigail Shaffer</t>
  </si>
  <si>
    <t>Sydney</t>
  </si>
  <si>
    <t>Water (1.5L)</t>
  </si>
  <si>
    <t>EMP0094</t>
  </si>
  <si>
    <t>TID000007</t>
  </si>
  <si>
    <t>Gina Moore</t>
  </si>
  <si>
    <t>Beef (1kg)</t>
  </si>
  <si>
    <t>EMP0038</t>
  </si>
  <si>
    <t>TID000008</t>
  </si>
  <si>
    <t>Gabrielle Davis</t>
  </si>
  <si>
    <t>Tea</t>
  </si>
  <si>
    <t>EMP0091</t>
  </si>
  <si>
    <t>TID000009</t>
  </si>
  <si>
    <t>Ryan Munoz</t>
  </si>
  <si>
    <t>Cheese</t>
  </si>
  <si>
    <t>EMP0013</t>
  </si>
  <si>
    <t>TID000010</t>
  </si>
  <si>
    <t>Monica Herrera</t>
  </si>
  <si>
    <t>Debit Card</t>
  </si>
  <si>
    <t>EMP0046</t>
  </si>
  <si>
    <t>TID000011</t>
  </si>
  <si>
    <t>Jamie Arnold</t>
  </si>
  <si>
    <t>Rice (1kg)</t>
  </si>
  <si>
    <t>EMP0022</t>
  </si>
  <si>
    <t>TID000012</t>
  </si>
  <si>
    <t>Lisa Hensley</t>
  </si>
  <si>
    <t>Paris</t>
  </si>
  <si>
    <t>Detergent</t>
  </si>
  <si>
    <t>EMP0082</t>
  </si>
  <si>
    <t>TID000013</t>
  </si>
  <si>
    <t>Michele Williams</t>
  </si>
  <si>
    <t>EMP0005</t>
  </si>
  <si>
    <t>TID000014</t>
  </si>
  <si>
    <t>Dylan Miller</t>
  </si>
  <si>
    <t>London</t>
  </si>
  <si>
    <t>Shampoo</t>
  </si>
  <si>
    <t>EMP0041</t>
  </si>
  <si>
    <t>TID000015</t>
  </si>
  <si>
    <t>Brian Ramirez</t>
  </si>
  <si>
    <t>Toronto</t>
  </si>
  <si>
    <t>TID000016</t>
  </si>
  <si>
    <t>Holly Wood</t>
  </si>
  <si>
    <t>Dubai</t>
  </si>
  <si>
    <t>Apple Pay</t>
  </si>
  <si>
    <t>EMP0075</t>
  </si>
  <si>
    <t>TID000017</t>
  </si>
  <si>
    <t>Derek Zuniga</t>
  </si>
  <si>
    <t>Milk (1L)</t>
  </si>
  <si>
    <t>EMP0097</t>
  </si>
  <si>
    <t>TID000018</t>
  </si>
  <si>
    <t>Lisa Jackson</t>
  </si>
  <si>
    <t>Toilet Paper</t>
  </si>
  <si>
    <t>EMP0009</t>
  </si>
  <si>
    <t>TID000019</t>
  </si>
  <si>
    <t>Carla Gray</t>
  </si>
  <si>
    <t>São Paulo</t>
  </si>
  <si>
    <t>EMP0002</t>
  </si>
  <si>
    <t>TID000020</t>
  </si>
  <si>
    <t>Margaret Hawkins DDS</t>
  </si>
  <si>
    <t>EMP0044</t>
  </si>
  <si>
    <t>TID000021</t>
  </si>
  <si>
    <t>Patty Perez</t>
  </si>
  <si>
    <t>EMP0093</t>
  </si>
  <si>
    <t>TID000022</t>
  </si>
  <si>
    <t>Ethan Adams</t>
  </si>
  <si>
    <t>EMP0039</t>
  </si>
  <si>
    <t>TID000023</t>
  </si>
  <si>
    <t>Tommy Walter</t>
  </si>
  <si>
    <t>Eggs (12)</t>
  </si>
  <si>
    <t>EMP0070</t>
  </si>
  <si>
    <t>TID000024</t>
  </si>
  <si>
    <t>Matthew Foster</t>
  </si>
  <si>
    <t>Yogurt</t>
  </si>
  <si>
    <t>EMP0047</t>
  </si>
  <si>
    <t>TID000025</t>
  </si>
  <si>
    <t>Judy Baker</t>
  </si>
  <si>
    <t>Frozen Pizza</t>
  </si>
  <si>
    <t>TID000026</t>
  </si>
  <si>
    <t>Justin Baker</t>
  </si>
  <si>
    <t>EMP0061</t>
  </si>
  <si>
    <t>TID000027</t>
  </si>
  <si>
    <t>Stephanie Ross</t>
  </si>
  <si>
    <t>TID000028</t>
  </si>
  <si>
    <t>Zachary Hicks</t>
  </si>
  <si>
    <t>Tokyo</t>
  </si>
  <si>
    <t>EMP0067</t>
  </si>
  <si>
    <t>TID000029</t>
  </si>
  <si>
    <t>Anthony Rodriguez</t>
  </si>
  <si>
    <t>EMP0076</t>
  </si>
  <si>
    <t>TID000030</t>
  </si>
  <si>
    <t>Rebecca Henderson</t>
  </si>
  <si>
    <t>EMP0081</t>
  </si>
  <si>
    <t>TID000031</t>
  </si>
  <si>
    <t>James Ferrell</t>
  </si>
  <si>
    <t>Bread</t>
  </si>
  <si>
    <t>EMP0066</t>
  </si>
  <si>
    <t>TID000032</t>
  </si>
  <si>
    <t>Tricia Valencia</t>
  </si>
  <si>
    <t>TID000033</t>
  </si>
  <si>
    <t>Nathan Maldonado</t>
  </si>
  <si>
    <t>TID000034</t>
  </si>
  <si>
    <t>Debra Davidson</t>
  </si>
  <si>
    <t>Pasta</t>
  </si>
  <si>
    <t>TID000035</t>
  </si>
  <si>
    <t>Jeffrey Chavez</t>
  </si>
  <si>
    <t>Chicken (1kg)</t>
  </si>
  <si>
    <t>TID000036</t>
  </si>
  <si>
    <t>Sherri Baker</t>
  </si>
  <si>
    <t>TID000037</t>
  </si>
  <si>
    <t>Cassandra Gaines</t>
  </si>
  <si>
    <t>EMP0071</t>
  </si>
  <si>
    <t>TID000038</t>
  </si>
  <si>
    <t>Elizabeth Fowler</t>
  </si>
  <si>
    <t>TID000039</t>
  </si>
  <si>
    <t>Brittany Farmer</t>
  </si>
  <si>
    <t>TID000040</t>
  </si>
  <si>
    <t>Paula Moreno</t>
  </si>
  <si>
    <t>EMP0090</t>
  </si>
  <si>
    <t>TID000041</t>
  </si>
  <si>
    <t>Fred Smith</t>
  </si>
  <si>
    <t>EMP0028</t>
  </si>
  <si>
    <t>TID000042</t>
  </si>
  <si>
    <t>Sherry Decker</t>
  </si>
  <si>
    <t>EMP0007</t>
  </si>
  <si>
    <t>TID000043</t>
  </si>
  <si>
    <t>Anthony Humphrey</t>
  </si>
  <si>
    <t>TID000044</t>
  </si>
  <si>
    <t>Angelica Tucker</t>
  </si>
  <si>
    <t>Cape Town</t>
  </si>
  <si>
    <t>EMP0016</t>
  </si>
  <si>
    <t>TID000045</t>
  </si>
  <si>
    <t>Philip Cannon</t>
  </si>
  <si>
    <t>EMP0054</t>
  </si>
  <si>
    <t>TID000046</t>
  </si>
  <si>
    <t>John Pierce</t>
  </si>
  <si>
    <t>EMP0086</t>
  </si>
  <si>
    <t>TID000047</t>
  </si>
  <si>
    <t>Shane Henderson</t>
  </si>
  <si>
    <t>TID000048</t>
  </si>
  <si>
    <t>Joshua Blair</t>
  </si>
  <si>
    <t>EMP0069</t>
  </si>
  <si>
    <t>TID000049</t>
  </si>
  <si>
    <t>Eric Carney</t>
  </si>
  <si>
    <t>EMP0048</t>
  </si>
  <si>
    <t>TID000050</t>
  </si>
  <si>
    <t>Jessica Holmes</t>
  </si>
  <si>
    <t>EMP0084</t>
  </si>
  <si>
    <t>TID000051</t>
  </si>
  <si>
    <t>Danny Morgan</t>
  </si>
  <si>
    <t>EMP0014</t>
  </si>
  <si>
    <t>TID000052</t>
  </si>
  <si>
    <t>Crystal Robinson</t>
  </si>
  <si>
    <t>EMP0035</t>
  </si>
  <si>
    <t>TID000053</t>
  </si>
  <si>
    <t>Mark Perez</t>
  </si>
  <si>
    <t>TID000054</t>
  </si>
  <si>
    <t>Shannon Jones</t>
  </si>
  <si>
    <t>TID000055</t>
  </si>
  <si>
    <t>Michael Lewis</t>
  </si>
  <si>
    <t>EMP0095</t>
  </si>
  <si>
    <t>TID000056</t>
  </si>
  <si>
    <t>Timothy Duncan</t>
  </si>
  <si>
    <t>EMP0010</t>
  </si>
  <si>
    <t>TID000057</t>
  </si>
  <si>
    <t>Richard Aguirre</t>
  </si>
  <si>
    <t>New York</t>
  </si>
  <si>
    <t>EMP0019</t>
  </si>
  <si>
    <t>TID000058</t>
  </si>
  <si>
    <t>Brent Jordan</t>
  </si>
  <si>
    <t>EMP0027</t>
  </si>
  <si>
    <t>TID000059</t>
  </si>
  <si>
    <t>John Daniel</t>
  </si>
  <si>
    <t>EMP0080</t>
  </si>
  <si>
    <t>TID000060</t>
  </si>
  <si>
    <t>Victoria Garcia</t>
  </si>
  <si>
    <t>EMP0023</t>
  </si>
  <si>
    <t>TID000061</t>
  </si>
  <si>
    <t>Gerald Hensley</t>
  </si>
  <si>
    <t>TID000062</t>
  </si>
  <si>
    <t>Connor West</t>
  </si>
  <si>
    <t>EMP0059</t>
  </si>
  <si>
    <t>TID000063</t>
  </si>
  <si>
    <t>Donald Wright</t>
  </si>
  <si>
    <t>Singapore</t>
  </si>
  <si>
    <t>EMP0085</t>
  </si>
  <si>
    <t>TID000064</t>
  </si>
  <si>
    <t>Jessica Callahan</t>
  </si>
  <si>
    <t>EMP0083</t>
  </si>
  <si>
    <t>TID000065</t>
  </si>
  <si>
    <t>Amber Kidd</t>
  </si>
  <si>
    <t>EMP0015</t>
  </si>
  <si>
    <t>TID000066</t>
  </si>
  <si>
    <t>Tracy House</t>
  </si>
  <si>
    <t>EMP0056</t>
  </si>
  <si>
    <t>TID000067</t>
  </si>
  <si>
    <t>Carol Tucker</t>
  </si>
  <si>
    <t>TID000068</t>
  </si>
  <si>
    <t>James Brown</t>
  </si>
  <si>
    <t>TID000069</t>
  </si>
  <si>
    <t>William Baker</t>
  </si>
  <si>
    <t>TID000070</t>
  </si>
  <si>
    <t>Jordan Henderson</t>
  </si>
  <si>
    <t>EMP0040</t>
  </si>
  <si>
    <t>TID000071</t>
  </si>
  <si>
    <t>Whitney Peters</t>
  </si>
  <si>
    <t>EMP0025</t>
  </si>
  <si>
    <t>TID000072</t>
  </si>
  <si>
    <t>Brittney Phillips</t>
  </si>
  <si>
    <t>TID000073</t>
  </si>
  <si>
    <t>Lauren Daniels</t>
  </si>
  <si>
    <t>TID000074</t>
  </si>
  <si>
    <t>Amy Silva</t>
  </si>
  <si>
    <t>EMP0087</t>
  </si>
  <si>
    <t>TID000075</t>
  </si>
  <si>
    <t>Sarah Moore</t>
  </si>
  <si>
    <t>TID000076</t>
  </si>
  <si>
    <t>Angela Lopez</t>
  </si>
  <si>
    <t>TID000077</t>
  </si>
  <si>
    <t>Megan Young</t>
  </si>
  <si>
    <t>EMP0079</t>
  </si>
  <si>
    <t>TID000078</t>
  </si>
  <si>
    <t>Steve Sanchez</t>
  </si>
  <si>
    <t>TID000079</t>
  </si>
  <si>
    <t>Lisa Barnes</t>
  </si>
  <si>
    <t>EMP0100</t>
  </si>
  <si>
    <t>TID000080</t>
  </si>
  <si>
    <t>Kelly Donovan</t>
  </si>
  <si>
    <t>EMP0072</t>
  </si>
  <si>
    <t>TID000081</t>
  </si>
  <si>
    <t>Mike Allen</t>
  </si>
  <si>
    <t>EMP0077</t>
  </si>
  <si>
    <t>TID000082</t>
  </si>
  <si>
    <t>Michael Evans</t>
  </si>
  <si>
    <t>TID000083</t>
  </si>
  <si>
    <t>Paul Jones</t>
  </si>
  <si>
    <t>TID000084</t>
  </si>
  <si>
    <t>Zachary Ferrell</t>
  </si>
  <si>
    <t>TID000085</t>
  </si>
  <si>
    <t>Daniel Baker</t>
  </si>
  <si>
    <t>TID000086</t>
  </si>
  <si>
    <t>Shirley Suarez</t>
  </si>
  <si>
    <t>TID000087</t>
  </si>
  <si>
    <t>Christopher Bass</t>
  </si>
  <si>
    <t>TID000088</t>
  </si>
  <si>
    <t>Lisa Archer</t>
  </si>
  <si>
    <t>EMP0001</t>
  </si>
  <si>
    <t>TID000089</t>
  </si>
  <si>
    <t>Aimee Montoya</t>
  </si>
  <si>
    <t>TID000090</t>
  </si>
  <si>
    <t>Matthew Mcmillan</t>
  </si>
  <si>
    <t>TID000091</t>
  </si>
  <si>
    <t>Brian Rodriguez</t>
  </si>
  <si>
    <t>EMP0017</t>
  </si>
  <si>
    <t>TID000092</t>
  </si>
  <si>
    <t>Denise Jacobs</t>
  </si>
  <si>
    <t>TID000093</t>
  </si>
  <si>
    <t>Christina Walters</t>
  </si>
  <si>
    <t>TID000094</t>
  </si>
  <si>
    <t>John Whitehead</t>
  </si>
  <si>
    <t>EMP0098</t>
  </si>
  <si>
    <t>TID000095</t>
  </si>
  <si>
    <t>Anna Henderson</t>
  </si>
  <si>
    <t>TID000096</t>
  </si>
  <si>
    <t>Aaron Wise</t>
  </si>
  <si>
    <t>TID000097</t>
  </si>
  <si>
    <t>Deborah Figueroa</t>
  </si>
  <si>
    <t>TID000098</t>
  </si>
  <si>
    <t>Jessica Smith</t>
  </si>
  <si>
    <t>EMP0060</t>
  </si>
  <si>
    <t>TID000099</t>
  </si>
  <si>
    <t>Stephen Mckee</t>
  </si>
  <si>
    <t>EMP0096</t>
  </si>
  <si>
    <t>TID000100</t>
  </si>
  <si>
    <t>Sandra Aguilar</t>
  </si>
  <si>
    <t>EMP0074</t>
  </si>
  <si>
    <t>TID000101</t>
  </si>
  <si>
    <t>Cameron Parker</t>
  </si>
  <si>
    <t>EMP0089</t>
  </si>
  <si>
    <t>TID000102</t>
  </si>
  <si>
    <t>Rebecca Valencia</t>
  </si>
  <si>
    <t>EMP0073</t>
  </si>
  <si>
    <t>TID000103</t>
  </si>
  <si>
    <t>Christine Wright</t>
  </si>
  <si>
    <t>TID000104</t>
  </si>
  <si>
    <t>Richard Henson</t>
  </si>
  <si>
    <t>TID000105</t>
  </si>
  <si>
    <t>Marc Moore</t>
  </si>
  <si>
    <t>TID000106</t>
  </si>
  <si>
    <t>Sharon Cherry</t>
  </si>
  <si>
    <t>TID000107</t>
  </si>
  <si>
    <t>Sierra Johnson</t>
  </si>
  <si>
    <t>TID000108</t>
  </si>
  <si>
    <t>Evelyn Galvan</t>
  </si>
  <si>
    <t>EMP0064</t>
  </si>
  <si>
    <t>TID000109</t>
  </si>
  <si>
    <t>Sharon Cochran</t>
  </si>
  <si>
    <t>EMP0036</t>
  </si>
  <si>
    <t>TID000110</t>
  </si>
  <si>
    <t>Richard Rodriguez</t>
  </si>
  <si>
    <t>TID000111</t>
  </si>
  <si>
    <t>Shannon Walker</t>
  </si>
  <si>
    <t>TID000112</t>
  </si>
  <si>
    <t>Julia Torres</t>
  </si>
  <si>
    <t>TID000113</t>
  </si>
  <si>
    <t>Crystal Johnson</t>
  </si>
  <si>
    <t>TID000114</t>
  </si>
  <si>
    <t>Garrett Lin</t>
  </si>
  <si>
    <t>TID000115</t>
  </si>
  <si>
    <t>Diana May</t>
  </si>
  <si>
    <t>TID000116</t>
  </si>
  <si>
    <t>William Herrera</t>
  </si>
  <si>
    <t>TID000117</t>
  </si>
  <si>
    <t>Ashley Waller</t>
  </si>
  <si>
    <t>TID000118</t>
  </si>
  <si>
    <t>Victor Baker</t>
  </si>
  <si>
    <t>TID000119</t>
  </si>
  <si>
    <t>Jeffrey Chandler</t>
  </si>
  <si>
    <t>TID000120</t>
  </si>
  <si>
    <t>Larry Dixon</t>
  </si>
  <si>
    <t>TID000121</t>
  </si>
  <si>
    <t>Kenneth Scott</t>
  </si>
  <si>
    <t>EMP0033</t>
  </si>
  <si>
    <t>TID000122</t>
  </si>
  <si>
    <t>April Frost</t>
  </si>
  <si>
    <t>TID000123</t>
  </si>
  <si>
    <t>Michelle Harmon</t>
  </si>
  <si>
    <t>EMP0011</t>
  </si>
  <si>
    <t>TID000124</t>
  </si>
  <si>
    <t>Helen Jones</t>
  </si>
  <si>
    <t>TID000125</t>
  </si>
  <si>
    <t>Erin Edwards</t>
  </si>
  <si>
    <t>TID000126</t>
  </si>
  <si>
    <t>Michelle Evans</t>
  </si>
  <si>
    <t>TID000127</t>
  </si>
  <si>
    <t>Jason Powell</t>
  </si>
  <si>
    <t>TID000128</t>
  </si>
  <si>
    <t>Cameron Fisher</t>
  </si>
  <si>
    <t>TID000129</t>
  </si>
  <si>
    <t>Megan Orr</t>
  </si>
  <si>
    <t>EMP0088</t>
  </si>
  <si>
    <t>TID000130</t>
  </si>
  <si>
    <t>Elizabeth Kelley</t>
  </si>
  <si>
    <t>TID000131</t>
  </si>
  <si>
    <t>Dustin Jordan</t>
  </si>
  <si>
    <t>EMP0008</t>
  </si>
  <si>
    <t>TID000132</t>
  </si>
  <si>
    <t>Mary Marshall</t>
  </si>
  <si>
    <t>TID000133</t>
  </si>
  <si>
    <t>Daniel Kennedy</t>
  </si>
  <si>
    <t>TID000134</t>
  </si>
  <si>
    <t>Rebecca Jackson</t>
  </si>
  <si>
    <t>EMP0042</t>
  </si>
  <si>
    <t>TID000135</t>
  </si>
  <si>
    <t>Jose Schultz</t>
  </si>
  <si>
    <t>EMP0003</t>
  </si>
  <si>
    <t>TID000136</t>
  </si>
  <si>
    <t>Robert Potter</t>
  </si>
  <si>
    <t>TID000137</t>
  </si>
  <si>
    <t>Courtney Gonzalez</t>
  </si>
  <si>
    <t>TID000138</t>
  </si>
  <si>
    <t>David Alvarez</t>
  </si>
  <si>
    <t>EMP0053</t>
  </si>
  <si>
    <t>TID000139</t>
  </si>
  <si>
    <t>Angel Perry</t>
  </si>
  <si>
    <t>TID000140</t>
  </si>
  <si>
    <t>Cheyenne Horton</t>
  </si>
  <si>
    <t>TID000141</t>
  </si>
  <si>
    <t>David Douglas Jr.</t>
  </si>
  <si>
    <t>TID000142</t>
  </si>
  <si>
    <t>Patricia Rodriguez</t>
  </si>
  <si>
    <t>TID000143</t>
  </si>
  <si>
    <t>Christopher Rubio</t>
  </si>
  <si>
    <t>TID000144</t>
  </si>
  <si>
    <t>Amber Wright</t>
  </si>
  <si>
    <t>TID000145</t>
  </si>
  <si>
    <t>Joyce Solis</t>
  </si>
  <si>
    <t>TID000146</t>
  </si>
  <si>
    <t>Victoria Larson</t>
  </si>
  <si>
    <t>TID000147</t>
  </si>
  <si>
    <t>Stephanie Salazar</t>
  </si>
  <si>
    <t>EMP0050</t>
  </si>
  <si>
    <t>TID000148</t>
  </si>
  <si>
    <t>Kathy Rivas</t>
  </si>
  <si>
    <t>EMP0099</t>
  </si>
  <si>
    <t>TID000149</t>
  </si>
  <si>
    <t>Stephanie Manning</t>
  </si>
  <si>
    <t>EMP0037</t>
  </si>
  <si>
    <t>TID000150</t>
  </si>
  <si>
    <t>David Wright</t>
  </si>
  <si>
    <t>TID000151</t>
  </si>
  <si>
    <t>Pamela Boyd</t>
  </si>
  <si>
    <t>TID000152</t>
  </si>
  <si>
    <t>Denise Jones</t>
  </si>
  <si>
    <t>EMP0006</t>
  </si>
  <si>
    <t>TID000153</t>
  </si>
  <si>
    <t>Devon Flores</t>
  </si>
  <si>
    <t>TID000154</t>
  </si>
  <si>
    <t>Brenda Hall</t>
  </si>
  <si>
    <t>TID000155</t>
  </si>
  <si>
    <t>Michelle Brown</t>
  </si>
  <si>
    <t>TID000156</t>
  </si>
  <si>
    <t>Joshua Perry</t>
  </si>
  <si>
    <t>TID000157</t>
  </si>
  <si>
    <t>Jason Stein</t>
  </si>
  <si>
    <t>TID000158</t>
  </si>
  <si>
    <t>Melissa Gates</t>
  </si>
  <si>
    <t>TID000159</t>
  </si>
  <si>
    <t>Jamie Smith</t>
  </si>
  <si>
    <t>EMP0012</t>
  </si>
  <si>
    <t>TID000160</t>
  </si>
  <si>
    <t>Paul Castaneda</t>
  </si>
  <si>
    <t>TID000161</t>
  </si>
  <si>
    <t>Jennifer Adkins</t>
  </si>
  <si>
    <t>TID000162</t>
  </si>
  <si>
    <t>Lindsey Walker</t>
  </si>
  <si>
    <t>EMP0024</t>
  </si>
  <si>
    <t>TID000163</t>
  </si>
  <si>
    <t>Jeffrey Johnson</t>
  </si>
  <si>
    <t>EMP0031</t>
  </si>
  <si>
    <t>TID000164</t>
  </si>
  <si>
    <t>Michael Powell</t>
  </si>
  <si>
    <t>TID000165</t>
  </si>
  <si>
    <t>John Anderson</t>
  </si>
  <si>
    <t>TID000166</t>
  </si>
  <si>
    <t>Alyssa Long</t>
  </si>
  <si>
    <t>TID000167</t>
  </si>
  <si>
    <t>Alyssa Day</t>
  </si>
  <si>
    <t>EMP0062</t>
  </si>
  <si>
    <t>TID000168</t>
  </si>
  <si>
    <t>Joel Williams</t>
  </si>
  <si>
    <t>TID000169</t>
  </si>
  <si>
    <t>Daniel Murphy</t>
  </si>
  <si>
    <t>TID000170</t>
  </si>
  <si>
    <t>Jamie Walton</t>
  </si>
  <si>
    <t>TID000171</t>
  </si>
  <si>
    <t>Darlene Miller</t>
  </si>
  <si>
    <t>TID000172</t>
  </si>
  <si>
    <t>Joshua Cooke</t>
  </si>
  <si>
    <t>TID000173</t>
  </si>
  <si>
    <t>Matthew Harrington</t>
  </si>
  <si>
    <t>TID000174</t>
  </si>
  <si>
    <t>Nicole Herring</t>
  </si>
  <si>
    <t>EMP0026</t>
  </si>
  <si>
    <t>TID000175</t>
  </si>
  <si>
    <t>Alex Hernandez</t>
  </si>
  <si>
    <t>TID000176</t>
  </si>
  <si>
    <t>Michael Elliott</t>
  </si>
  <si>
    <t>TID000177</t>
  </si>
  <si>
    <t>Michael Wang</t>
  </si>
  <si>
    <t>TID000178</t>
  </si>
  <si>
    <t>Lawrence Adkins</t>
  </si>
  <si>
    <t>TID000179</t>
  </si>
  <si>
    <t>Robert Oconnell</t>
  </si>
  <si>
    <t>EMP0030</t>
  </si>
  <si>
    <t>TID000180</t>
  </si>
  <si>
    <t>Alexander Collins</t>
  </si>
  <si>
    <t>EMP0029</t>
  </si>
  <si>
    <t>TID000181</t>
  </si>
  <si>
    <t>Tina Sanders</t>
  </si>
  <si>
    <t>TID000182</t>
  </si>
  <si>
    <t>Angela Vaughn</t>
  </si>
  <si>
    <t>TID000183</t>
  </si>
  <si>
    <t>Ashley Barton</t>
  </si>
  <si>
    <t>TID000184</t>
  </si>
  <si>
    <t>Lindsay Martinez</t>
  </si>
  <si>
    <t>TID000185</t>
  </si>
  <si>
    <t>Dr. Hannah Patterson</t>
  </si>
  <si>
    <t>EMP0057</t>
  </si>
  <si>
    <t>TID000186</t>
  </si>
  <si>
    <t>Jonathan Peterson</t>
  </si>
  <si>
    <t>TID000187</t>
  </si>
  <si>
    <t>Samantha Garcia</t>
  </si>
  <si>
    <t>TID000188</t>
  </si>
  <si>
    <t>Madison Poole</t>
  </si>
  <si>
    <t>EMP0043</t>
  </si>
  <si>
    <t>TID000189</t>
  </si>
  <si>
    <t>Jessica Gross</t>
  </si>
  <si>
    <t>TID000190</t>
  </si>
  <si>
    <t>Debra Morton</t>
  </si>
  <si>
    <t>TID000191</t>
  </si>
  <si>
    <t>Karen Graham</t>
  </si>
  <si>
    <t>TID000192</t>
  </si>
  <si>
    <t>Debra Christian</t>
  </si>
  <si>
    <t>TID000193</t>
  </si>
  <si>
    <t>Angelica Keith</t>
  </si>
  <si>
    <t>TID000194</t>
  </si>
  <si>
    <t>John Bishop</t>
  </si>
  <si>
    <t>TID000195</t>
  </si>
  <si>
    <t>Allen Rosales</t>
  </si>
  <si>
    <t>TID000196</t>
  </si>
  <si>
    <t>Daniel Salinas</t>
  </si>
  <si>
    <t>TID000197</t>
  </si>
  <si>
    <t>Spencer Haynes</t>
  </si>
  <si>
    <t>TID000198</t>
  </si>
  <si>
    <t>Adam Vaughan</t>
  </si>
  <si>
    <t>EMP0078</t>
  </si>
  <si>
    <t>TID000199</t>
  </si>
  <si>
    <t>Nathan Freeman</t>
  </si>
  <si>
    <t>EMP0092</t>
  </si>
  <si>
    <t>TID000200</t>
  </si>
  <si>
    <t>Melissa Brewer</t>
  </si>
  <si>
    <t>TID000201</t>
  </si>
  <si>
    <t>Ricky Davis II</t>
  </si>
  <si>
    <t>TID000202</t>
  </si>
  <si>
    <t>Elizabeth Perkins</t>
  </si>
  <si>
    <t>EMP0052</t>
  </si>
  <si>
    <t>TID000203</t>
  </si>
  <si>
    <t>Joseph Coleman</t>
  </si>
  <si>
    <t>TID000204</t>
  </si>
  <si>
    <t>Erin Warner</t>
  </si>
  <si>
    <t>TID000205</t>
  </si>
  <si>
    <t>David Martinez</t>
  </si>
  <si>
    <t>TID000206</t>
  </si>
  <si>
    <t>Bryan Herrera</t>
  </si>
  <si>
    <t>TID000207</t>
  </si>
  <si>
    <t>Cathy Robinson</t>
  </si>
  <si>
    <t>TID000208</t>
  </si>
  <si>
    <t>Dr. William Warren</t>
  </si>
  <si>
    <t>EMP0045</t>
  </si>
  <si>
    <t>TID000209</t>
  </si>
  <si>
    <t>Brian Lee</t>
  </si>
  <si>
    <t>TID000210</t>
  </si>
  <si>
    <t>Christopher Smith</t>
  </si>
  <si>
    <t>TID000211</t>
  </si>
  <si>
    <t>Denise Mccann</t>
  </si>
  <si>
    <t>TID000212</t>
  </si>
  <si>
    <t>Melissa Martinez</t>
  </si>
  <si>
    <t>TID000213</t>
  </si>
  <si>
    <t>Katherine Salas</t>
  </si>
  <si>
    <t>TID000214</t>
  </si>
  <si>
    <t>Julie Alexander</t>
  </si>
  <si>
    <t>TID000215</t>
  </si>
  <si>
    <t>Anthony Everett</t>
  </si>
  <si>
    <t>TID000216</t>
  </si>
  <si>
    <t>Rodney Morales</t>
  </si>
  <si>
    <t>TID000217</t>
  </si>
  <si>
    <t>Mark Brown</t>
  </si>
  <si>
    <t>TID000218</t>
  </si>
  <si>
    <t>Justin Torres</t>
  </si>
  <si>
    <t>TID000219</t>
  </si>
  <si>
    <t>Bailey Duran DDS</t>
  </si>
  <si>
    <t>TID000220</t>
  </si>
  <si>
    <t>Courtney Mills</t>
  </si>
  <si>
    <t>TID000221</t>
  </si>
  <si>
    <t>Jeremy Dalton</t>
  </si>
  <si>
    <t>TID000222</t>
  </si>
  <si>
    <t>Elizabeth Oliver DDS</t>
  </si>
  <si>
    <t>TID000223</t>
  </si>
  <si>
    <t>Theresa Clark</t>
  </si>
  <si>
    <t>TID000224</t>
  </si>
  <si>
    <t>Matthew Moore</t>
  </si>
  <si>
    <t>TID000225</t>
  </si>
  <si>
    <t>Benjamin Smith</t>
  </si>
  <si>
    <t>TID000226</t>
  </si>
  <si>
    <t>Kirk Carter</t>
  </si>
  <si>
    <t>TID000227</t>
  </si>
  <si>
    <t>Michael Warner</t>
  </si>
  <si>
    <t>TID000228</t>
  </si>
  <si>
    <t>Michael Bradshaw</t>
  </si>
  <si>
    <t>TID000229</t>
  </si>
  <si>
    <t>Lori Guerrero</t>
  </si>
  <si>
    <t>TID000230</t>
  </si>
  <si>
    <t>Jessica Stephens</t>
  </si>
  <si>
    <t>TID000231</t>
  </si>
  <si>
    <t>Susan Serrano</t>
  </si>
  <si>
    <t>TID000232</t>
  </si>
  <si>
    <t>Christopher Parker</t>
  </si>
  <si>
    <t>TID000233</t>
  </si>
  <si>
    <t>Laura Roberts</t>
  </si>
  <si>
    <t>TID000234</t>
  </si>
  <si>
    <t>Michael Lyons</t>
  </si>
  <si>
    <t>TID000235</t>
  </si>
  <si>
    <t>Kathryn Snyder</t>
  </si>
  <si>
    <t>EMP0065</t>
  </si>
  <si>
    <t>TID000236</t>
  </si>
  <si>
    <t>Andrew Reynolds</t>
  </si>
  <si>
    <t>TID000237</t>
  </si>
  <si>
    <t>David Davis</t>
  </si>
  <si>
    <t>TID000238</t>
  </si>
  <si>
    <t>Sara Johnston</t>
  </si>
  <si>
    <t>EMP0032</t>
  </si>
  <si>
    <t>TID000239</t>
  </si>
  <si>
    <t>Yvonne Chambers</t>
  </si>
  <si>
    <t>TID000240</t>
  </si>
  <si>
    <t>Andrew Avila</t>
  </si>
  <si>
    <t>TID000241</t>
  </si>
  <si>
    <t>Matthew Moon</t>
  </si>
  <si>
    <t>TID000242</t>
  </si>
  <si>
    <t>Kevin Walters</t>
  </si>
  <si>
    <t>TID000243</t>
  </si>
  <si>
    <t>Brandon Bailey MD</t>
  </si>
  <si>
    <t>TID000244</t>
  </si>
  <si>
    <t>Shannon Rivera</t>
  </si>
  <si>
    <t>TID000245</t>
  </si>
  <si>
    <t>Donna Landry</t>
  </si>
  <si>
    <t>TID000246</t>
  </si>
  <si>
    <t>Krista Gibson</t>
  </si>
  <si>
    <t>TID000247</t>
  </si>
  <si>
    <t>Frank Cordova</t>
  </si>
  <si>
    <t>TID000248</t>
  </si>
  <si>
    <t>Jose Travis</t>
  </si>
  <si>
    <t>TID000249</t>
  </si>
  <si>
    <t>Kimberly Gutierrez</t>
  </si>
  <si>
    <t>TID000250</t>
  </si>
  <si>
    <t>Isaiah Avila</t>
  </si>
  <si>
    <t>TID000251</t>
  </si>
  <si>
    <t>Olivia Harris</t>
  </si>
  <si>
    <t>TID000252</t>
  </si>
  <si>
    <t>Tanya Kim</t>
  </si>
  <si>
    <t>TID000253</t>
  </si>
  <si>
    <t>Barbara Dudley</t>
  </si>
  <si>
    <t>TID000254</t>
  </si>
  <si>
    <t>Cynthia Moore</t>
  </si>
  <si>
    <t>TID000255</t>
  </si>
  <si>
    <t>Kristen Davis</t>
  </si>
  <si>
    <t>TID000256</t>
  </si>
  <si>
    <t>Susan Murray MD</t>
  </si>
  <si>
    <t>TID000257</t>
  </si>
  <si>
    <t>Kathleen Moran</t>
  </si>
  <si>
    <t>EMP0051</t>
  </si>
  <si>
    <t>TID000258</t>
  </si>
  <si>
    <t>Denise Davenport</t>
  </si>
  <si>
    <t>TID000259</t>
  </si>
  <si>
    <t>Mrs. Kristen Reyes</t>
  </si>
  <si>
    <t>TID000260</t>
  </si>
  <si>
    <t>Katie Suarez</t>
  </si>
  <si>
    <t>TID000261</t>
  </si>
  <si>
    <t>Desiree Tyler</t>
  </si>
  <si>
    <t>TID000262</t>
  </si>
  <si>
    <t>Timothy Romero</t>
  </si>
  <si>
    <t>TID000263</t>
  </si>
  <si>
    <t>Diane Evans</t>
  </si>
  <si>
    <t>TID000264</t>
  </si>
  <si>
    <t>Yvonne Burns</t>
  </si>
  <si>
    <t>TID000265</t>
  </si>
  <si>
    <t>Joshua Reed</t>
  </si>
  <si>
    <t>TID000266</t>
  </si>
  <si>
    <t>Kimberly Gibson</t>
  </si>
  <si>
    <t>TID000267</t>
  </si>
  <si>
    <t>Colin Terry</t>
  </si>
  <si>
    <t>TID000268</t>
  </si>
  <si>
    <t>Cynthia Rowe</t>
  </si>
  <si>
    <t>TID000269</t>
  </si>
  <si>
    <t>Patrick Thornton</t>
  </si>
  <si>
    <t>TID000270</t>
  </si>
  <si>
    <t>Jasmin Alvarado</t>
  </si>
  <si>
    <t>TID000271</t>
  </si>
  <si>
    <t>Veronica Simpson</t>
  </si>
  <si>
    <t>TID000272</t>
  </si>
  <si>
    <t>Jonathan Lawrence</t>
  </si>
  <si>
    <t>TID000273</t>
  </si>
  <si>
    <t>Shelly Alexander</t>
  </si>
  <si>
    <t>TID000274</t>
  </si>
  <si>
    <t>Joyce Bowen</t>
  </si>
  <si>
    <t>TID000275</t>
  </si>
  <si>
    <t>TID000276</t>
  </si>
  <si>
    <t>Wayne Morgan</t>
  </si>
  <si>
    <t>TID000277</t>
  </si>
  <si>
    <t>Marie Christian</t>
  </si>
  <si>
    <t>TID000278</t>
  </si>
  <si>
    <t>Shannon James</t>
  </si>
  <si>
    <t>TID000279</t>
  </si>
  <si>
    <t>Nathan Malone</t>
  </si>
  <si>
    <t>TID000280</t>
  </si>
  <si>
    <t>Amanda Jones</t>
  </si>
  <si>
    <t>TID000281</t>
  </si>
  <si>
    <t>Tammie Bright</t>
  </si>
  <si>
    <t>TID000282</t>
  </si>
  <si>
    <t>Jessica Garcia</t>
  </si>
  <si>
    <t>TID000283</t>
  </si>
  <si>
    <t>Shelia Wallace</t>
  </si>
  <si>
    <t>TID000284</t>
  </si>
  <si>
    <t>Stephanie Williams</t>
  </si>
  <si>
    <t>EMP0068</t>
  </si>
  <si>
    <t>TID000285</t>
  </si>
  <si>
    <t>Elaine Brooks</t>
  </si>
  <si>
    <t>TID000286</t>
  </si>
  <si>
    <t>Joseph Knight</t>
  </si>
  <si>
    <t>TID000287</t>
  </si>
  <si>
    <t>Carolyn Miller</t>
  </si>
  <si>
    <t>EMP0063</t>
  </si>
  <si>
    <t>TID000288</t>
  </si>
  <si>
    <t>Lisa Allen</t>
  </si>
  <si>
    <t>TID000289</t>
  </si>
  <si>
    <t>Briana Murray</t>
  </si>
  <si>
    <t>TID000290</t>
  </si>
  <si>
    <t>David Smith</t>
  </si>
  <si>
    <t>TID000291</t>
  </si>
  <si>
    <t>Stephanie Byrd</t>
  </si>
  <si>
    <t>TID000292</t>
  </si>
  <si>
    <t>Jeremy Reed</t>
  </si>
  <si>
    <t>TID000293</t>
  </si>
  <si>
    <t>Margaret Coleman</t>
  </si>
  <si>
    <t>TID000294</t>
  </si>
  <si>
    <t>Ryan Gonzalez</t>
  </si>
  <si>
    <t>TID000295</t>
  </si>
  <si>
    <t>John Young</t>
  </si>
  <si>
    <t>TID000296</t>
  </si>
  <si>
    <t>Laura Haney</t>
  </si>
  <si>
    <t>TID000297</t>
  </si>
  <si>
    <t>William Barrett</t>
  </si>
  <si>
    <t>EMP0020</t>
  </si>
  <si>
    <t>TID000298</t>
  </si>
  <si>
    <t>Keith Jennings</t>
  </si>
  <si>
    <t>TID000299</t>
  </si>
  <si>
    <t>Amber Obrien</t>
  </si>
  <si>
    <t>TID000300</t>
  </si>
  <si>
    <t>Tanner Mitchell DDS</t>
  </si>
  <si>
    <t>TID000301</t>
  </si>
  <si>
    <t>Heather Fields</t>
  </si>
  <si>
    <t>TID000302</t>
  </si>
  <si>
    <t>Megan Le</t>
  </si>
  <si>
    <t>TID000303</t>
  </si>
  <si>
    <t>Sara Fuller</t>
  </si>
  <si>
    <t>TID000304</t>
  </si>
  <si>
    <t>Maria Parker</t>
  </si>
  <si>
    <t>TID000305</t>
  </si>
  <si>
    <t>Kevin Oconnor</t>
  </si>
  <si>
    <t>TID000306</t>
  </si>
  <si>
    <t>Edward Burgess</t>
  </si>
  <si>
    <t>TID000307</t>
  </si>
  <si>
    <t>Carlos Ryan</t>
  </si>
  <si>
    <t>TID000308</t>
  </si>
  <si>
    <t>Kiara Mcintyre</t>
  </si>
  <si>
    <t>TID000309</t>
  </si>
  <si>
    <t>Dawn Summers</t>
  </si>
  <si>
    <t>EMP0021</t>
  </si>
  <si>
    <t>TID000310</t>
  </si>
  <si>
    <t>Dr. Paul Morgan</t>
  </si>
  <si>
    <t>TID000311</t>
  </si>
  <si>
    <t>Victor Taylor</t>
  </si>
  <si>
    <t>TID000312</t>
  </si>
  <si>
    <t>Shannon Ramsey</t>
  </si>
  <si>
    <t>TID000313</t>
  </si>
  <si>
    <t>Tracy Ballard</t>
  </si>
  <si>
    <t>TID000314</t>
  </si>
  <si>
    <t>Richard Smith</t>
  </si>
  <si>
    <t>TID000315</t>
  </si>
  <si>
    <t>Jordan Chambers</t>
  </si>
  <si>
    <t>TID000316</t>
  </si>
  <si>
    <t>Lauren Carson</t>
  </si>
  <si>
    <t>TID000317</t>
  </si>
  <si>
    <t>Ashley Hall</t>
  </si>
  <si>
    <t>TID000318</t>
  </si>
  <si>
    <t>Stephen Hoffman</t>
  </si>
  <si>
    <t>TID000319</t>
  </si>
  <si>
    <t>Connie Brown</t>
  </si>
  <si>
    <t>TID000320</t>
  </si>
  <si>
    <t>Susan Turner</t>
  </si>
  <si>
    <t>TID000321</t>
  </si>
  <si>
    <t>Charles Shah</t>
  </si>
  <si>
    <t>TID000322</t>
  </si>
  <si>
    <t>Johnathan Davis</t>
  </si>
  <si>
    <t>TID000323</t>
  </si>
  <si>
    <t>Brandy Chavez</t>
  </si>
  <si>
    <t>TID000324</t>
  </si>
  <si>
    <t>Natalie Bautista</t>
  </si>
  <si>
    <t>TID000325</t>
  </si>
  <si>
    <t>Patrick Moore</t>
  </si>
  <si>
    <t>TID000326</t>
  </si>
  <si>
    <t>Brett Burns</t>
  </si>
  <si>
    <t>TID000327</t>
  </si>
  <si>
    <t>Trevor Johnson</t>
  </si>
  <si>
    <t>TID000328</t>
  </si>
  <si>
    <t>Jeremy Sampson</t>
  </si>
  <si>
    <t>TID000329</t>
  </si>
  <si>
    <t>Ariana Jennings</t>
  </si>
  <si>
    <t>TID000330</t>
  </si>
  <si>
    <t>Vanessa Howard</t>
  </si>
  <si>
    <t>TID000331</t>
  </si>
  <si>
    <t>Colton Martinez</t>
  </si>
  <si>
    <t>TID000332</t>
  </si>
  <si>
    <t>Jordan Bates</t>
  </si>
  <si>
    <t>TID000333</t>
  </si>
  <si>
    <t>Linda Smith</t>
  </si>
  <si>
    <t>TID000334</t>
  </si>
  <si>
    <t>Dana Martinez</t>
  </si>
  <si>
    <t>TID000335</t>
  </si>
  <si>
    <t>Andrea Hubbard</t>
  </si>
  <si>
    <t>TID000336</t>
  </si>
  <si>
    <t>Daniel Kane</t>
  </si>
  <si>
    <t>TID000337</t>
  </si>
  <si>
    <t>Charles Lester</t>
  </si>
  <si>
    <t>TID000338</t>
  </si>
  <si>
    <t>Scott Thomas</t>
  </si>
  <si>
    <t>TID000339</t>
  </si>
  <si>
    <t>David Thompson</t>
  </si>
  <si>
    <t>TID000340</t>
  </si>
  <si>
    <t>Allison Smith</t>
  </si>
  <si>
    <t>TID000341</t>
  </si>
  <si>
    <t>Cynthia Morris</t>
  </si>
  <si>
    <t>TID000342</t>
  </si>
  <si>
    <t>Anthony Harmon</t>
  </si>
  <si>
    <t>TID000343</t>
  </si>
  <si>
    <t>Nichole Alvarez</t>
  </si>
  <si>
    <t>TID000344</t>
  </si>
  <si>
    <t>Kayla Rodriguez</t>
  </si>
  <si>
    <t>TID000345</t>
  </si>
  <si>
    <t>Theresa Williams</t>
  </si>
  <si>
    <t>TID000346</t>
  </si>
  <si>
    <t>Sharon Boyd</t>
  </si>
  <si>
    <t>TID000347</t>
  </si>
  <si>
    <t>Victor Brown</t>
  </si>
  <si>
    <t>TID000348</t>
  </si>
  <si>
    <t>James Parks</t>
  </si>
  <si>
    <t>TID000349</t>
  </si>
  <si>
    <t>Theodore Jones Jr.</t>
  </si>
  <si>
    <t>TID000350</t>
  </si>
  <si>
    <t>Ana Hill</t>
  </si>
  <si>
    <t>TID000351</t>
  </si>
  <si>
    <t>Kimberly Nguyen</t>
  </si>
  <si>
    <t>TID000352</t>
  </si>
  <si>
    <t>Kerry Chavez DDS</t>
  </si>
  <si>
    <t>TID000353</t>
  </si>
  <si>
    <t>Michael Farrell</t>
  </si>
  <si>
    <t>TID000354</t>
  </si>
  <si>
    <t>Patricia Le</t>
  </si>
  <si>
    <t>TID000355</t>
  </si>
  <si>
    <t>Jesse Perez</t>
  </si>
  <si>
    <t>TID000356</t>
  </si>
  <si>
    <t>Jesse Perry</t>
  </si>
  <si>
    <t>TID000357</t>
  </si>
  <si>
    <t>Jeffery Ortega</t>
  </si>
  <si>
    <t>TID000358</t>
  </si>
  <si>
    <t>Christian Leblanc</t>
  </si>
  <si>
    <t>TID000359</t>
  </si>
  <si>
    <t>Ronald Davis</t>
  </si>
  <si>
    <t>TID000360</t>
  </si>
  <si>
    <t>Parker Cain</t>
  </si>
  <si>
    <t>TID000361</t>
  </si>
  <si>
    <t>Laurie Hoffman</t>
  </si>
  <si>
    <t>TID000362</t>
  </si>
  <si>
    <t>Bryan Gomez</t>
  </si>
  <si>
    <t>TID000363</t>
  </si>
  <si>
    <t>Nicole Parrish</t>
  </si>
  <si>
    <t>TID000364</t>
  </si>
  <si>
    <t>Tracy Burke</t>
  </si>
  <si>
    <t>TID000365</t>
  </si>
  <si>
    <t>Kenneth Lewis</t>
  </si>
  <si>
    <t>TID000366</t>
  </si>
  <si>
    <t>Courtney Rodriguez</t>
  </si>
  <si>
    <t>TID000367</t>
  </si>
  <si>
    <t>Holly Farmer</t>
  </si>
  <si>
    <t>TID000368</t>
  </si>
  <si>
    <t>Renee Bruce</t>
  </si>
  <si>
    <t>TID000369</t>
  </si>
  <si>
    <t>Sabrina Austin</t>
  </si>
  <si>
    <t>TID000370</t>
  </si>
  <si>
    <t>Allison Hickman</t>
  </si>
  <si>
    <t>TID000371</t>
  </si>
  <si>
    <t>Debra White</t>
  </si>
  <si>
    <t>TID000372</t>
  </si>
  <si>
    <t>Ellen Morgan</t>
  </si>
  <si>
    <t>TID000373</t>
  </si>
  <si>
    <t>Sergio Knight</t>
  </si>
  <si>
    <t>TID000374</t>
  </si>
  <si>
    <t>Charles Schultz</t>
  </si>
  <si>
    <t>TID000375</t>
  </si>
  <si>
    <t>Paul Lewis</t>
  </si>
  <si>
    <t>TID000376</t>
  </si>
  <si>
    <t>Glen Wood</t>
  </si>
  <si>
    <t>TID000377</t>
  </si>
  <si>
    <t>Paula Bradley</t>
  </si>
  <si>
    <t>TID000378</t>
  </si>
  <si>
    <t>Anthony Moore</t>
  </si>
  <si>
    <t>TID000379</t>
  </si>
  <si>
    <t>Megan Nelson</t>
  </si>
  <si>
    <t>TID000380</t>
  </si>
  <si>
    <t>Karla Ramos</t>
  </si>
  <si>
    <t>TID000381</t>
  </si>
  <si>
    <t>Paul Wilson</t>
  </si>
  <si>
    <t>TID000382</t>
  </si>
  <si>
    <t>Douglas Gregory</t>
  </si>
  <si>
    <t>TID000383</t>
  </si>
  <si>
    <t>Mr. Andrew Foster</t>
  </si>
  <si>
    <t>TID000384</t>
  </si>
  <si>
    <t>Aimee Turner</t>
  </si>
  <si>
    <t>TID000385</t>
  </si>
  <si>
    <t>Chad Scott</t>
  </si>
  <si>
    <t>TID000386</t>
  </si>
  <si>
    <t>Adam Burgess</t>
  </si>
  <si>
    <t>EMP0034</t>
  </si>
  <si>
    <t>TID000387</t>
  </si>
  <si>
    <t>James Padilla</t>
  </si>
  <si>
    <t>TID000388</t>
  </si>
  <si>
    <t>Sandra Drake</t>
  </si>
  <si>
    <t>TID000389</t>
  </si>
  <si>
    <t>Scott Williams</t>
  </si>
  <si>
    <t>TID000390</t>
  </si>
  <si>
    <t>Thomas Atkins</t>
  </si>
  <si>
    <t>TID000391</t>
  </si>
  <si>
    <t>Laura Mckinney</t>
  </si>
  <si>
    <t>TID000392</t>
  </si>
  <si>
    <t>Brian Smith</t>
  </si>
  <si>
    <t>TID000393</t>
  </si>
  <si>
    <t>Robert Montgomery</t>
  </si>
  <si>
    <t>TID000394</t>
  </si>
  <si>
    <t>Tamara Davis</t>
  </si>
  <si>
    <t>TID000395</t>
  </si>
  <si>
    <t>Dana Chapman</t>
  </si>
  <si>
    <t>TID000396</t>
  </si>
  <si>
    <t>Jennifer Collins</t>
  </si>
  <si>
    <t>TID000397</t>
  </si>
  <si>
    <t>Gary Jackson</t>
  </si>
  <si>
    <t>TID000398</t>
  </si>
  <si>
    <t>Ashley Hicks</t>
  </si>
  <si>
    <t>TID000399</t>
  </si>
  <si>
    <t>Hannah Luna</t>
  </si>
  <si>
    <t>TID000400</t>
  </si>
  <si>
    <t>Robin Young</t>
  </si>
  <si>
    <t>TID000401</t>
  </si>
  <si>
    <t>Craig Morrison</t>
  </si>
  <si>
    <t>TID000402</t>
  </si>
  <si>
    <t>Mary Thompson</t>
  </si>
  <si>
    <t>TID000403</t>
  </si>
  <si>
    <t>Kathleen Webster</t>
  </si>
  <si>
    <t>TID000404</t>
  </si>
  <si>
    <t>Joann Glass</t>
  </si>
  <si>
    <t>TID000405</t>
  </si>
  <si>
    <t>Madison Weber</t>
  </si>
  <si>
    <t>TID000406</t>
  </si>
  <si>
    <t>Lori Hernandez</t>
  </si>
  <si>
    <t>TID000407</t>
  </si>
  <si>
    <t>Jeremy Turner</t>
  </si>
  <si>
    <t>TID000408</t>
  </si>
  <si>
    <t>Anthony Romero</t>
  </si>
  <si>
    <t>TID000409</t>
  </si>
  <si>
    <t>Jesse Brown</t>
  </si>
  <si>
    <t>TID000410</t>
  </si>
  <si>
    <t>Angela Lin</t>
  </si>
  <si>
    <t>TID000411</t>
  </si>
  <si>
    <t>Lisa Hunter</t>
  </si>
  <si>
    <t>TID000412</t>
  </si>
  <si>
    <t>Julian Conner</t>
  </si>
  <si>
    <t>TID000413</t>
  </si>
  <si>
    <t>Joanna Pacheco</t>
  </si>
  <si>
    <t>TID000414</t>
  </si>
  <si>
    <t>Erica Alvarez</t>
  </si>
  <si>
    <t>TID000415</t>
  </si>
  <si>
    <t>Antonio Garcia</t>
  </si>
  <si>
    <t>TID000416</t>
  </si>
  <si>
    <t>Gwendolyn Klein</t>
  </si>
  <si>
    <t>TID000417</t>
  </si>
  <si>
    <t>Carrie Wright</t>
  </si>
  <si>
    <t>TID000418</t>
  </si>
  <si>
    <t>Jeffrey Mills</t>
  </si>
  <si>
    <t>TID000419</t>
  </si>
  <si>
    <t>Jake Campbell</t>
  </si>
  <si>
    <t>TID000420</t>
  </si>
  <si>
    <t>George Harper</t>
  </si>
  <si>
    <t>TID000421</t>
  </si>
  <si>
    <t>Maria Jones</t>
  </si>
  <si>
    <t>TID000422</t>
  </si>
  <si>
    <t>Michael Mitchell</t>
  </si>
  <si>
    <t>TID000423</t>
  </si>
  <si>
    <t>Mary Escobar</t>
  </si>
  <si>
    <t>TID000424</t>
  </si>
  <si>
    <t>Felicia Aguilar</t>
  </si>
  <si>
    <t>TID000425</t>
  </si>
  <si>
    <t>Gregory Ponce</t>
  </si>
  <si>
    <t>TID000426</t>
  </si>
  <si>
    <t>Jenna Larson</t>
  </si>
  <si>
    <t>TID000427</t>
  </si>
  <si>
    <t>Emily Bennett</t>
  </si>
  <si>
    <t>TID000428</t>
  </si>
  <si>
    <t>Robin Santiago</t>
  </si>
  <si>
    <t>TID000429</t>
  </si>
  <si>
    <t>Nancy Jennings</t>
  </si>
  <si>
    <t>TID000430</t>
  </si>
  <si>
    <t>Maria Henderson</t>
  </si>
  <si>
    <t>TID000431</t>
  </si>
  <si>
    <t>Jack White</t>
  </si>
  <si>
    <t>TID000432</t>
  </si>
  <si>
    <t>Travis Tucker</t>
  </si>
  <si>
    <t>TID000433</t>
  </si>
  <si>
    <t>Chad Jones</t>
  </si>
  <si>
    <t>TID000434</t>
  </si>
  <si>
    <t>Ashley Wise</t>
  </si>
  <si>
    <t>TID000435</t>
  </si>
  <si>
    <t>Sophia Johnson</t>
  </si>
  <si>
    <t>TID000436</t>
  </si>
  <si>
    <t>Ralph Anderson</t>
  </si>
  <si>
    <t>TID000437</t>
  </si>
  <si>
    <t>Christopher Guerra</t>
  </si>
  <si>
    <t>TID000438</t>
  </si>
  <si>
    <t>Rhonda Martin</t>
  </si>
  <si>
    <t>TID000439</t>
  </si>
  <si>
    <t>Jason Rhodes</t>
  </si>
  <si>
    <t>TID000440</t>
  </si>
  <si>
    <t>Jeremy Mitchell</t>
  </si>
  <si>
    <t>TID000441</t>
  </si>
  <si>
    <t>Joann Ferguson</t>
  </si>
  <si>
    <t>TID000442</t>
  </si>
  <si>
    <t>Robert Harrison</t>
  </si>
  <si>
    <t>TID000443</t>
  </si>
  <si>
    <t>Holly Valentine</t>
  </si>
  <si>
    <t>TID000444</t>
  </si>
  <si>
    <t>Mrs. Diane Reyes</t>
  </si>
  <si>
    <t>TID000445</t>
  </si>
  <si>
    <t>Tracy Montoya</t>
  </si>
  <si>
    <t>TID000446</t>
  </si>
  <si>
    <t>Brenda Wright</t>
  </si>
  <si>
    <t>TID000447</t>
  </si>
  <si>
    <t>Shelly Spencer</t>
  </si>
  <si>
    <t>TID000448</t>
  </si>
  <si>
    <t>Ryan Rosales</t>
  </si>
  <si>
    <t>TID000449</t>
  </si>
  <si>
    <t>Phillip Nelson</t>
  </si>
  <si>
    <t>TID000450</t>
  </si>
  <si>
    <t>Brittany Kim</t>
  </si>
  <si>
    <t>TID000451</t>
  </si>
  <si>
    <t>Courtney Hayes</t>
  </si>
  <si>
    <t>TID000452</t>
  </si>
  <si>
    <t>Alexander Brown</t>
  </si>
  <si>
    <t>TID000453</t>
  </si>
  <si>
    <t>Cynthia Vang</t>
  </si>
  <si>
    <t>TID000454</t>
  </si>
  <si>
    <t>Alfred Galvan</t>
  </si>
  <si>
    <t>TID000455</t>
  </si>
  <si>
    <t>Marie Moody</t>
  </si>
  <si>
    <t>TID000456</t>
  </si>
  <si>
    <t>Dustin Gallegos</t>
  </si>
  <si>
    <t>TID000457</t>
  </si>
  <si>
    <t>Brenda Thornton</t>
  </si>
  <si>
    <t>TID000458</t>
  </si>
  <si>
    <t>Aaron Miller</t>
  </si>
  <si>
    <t>TID000459</t>
  </si>
  <si>
    <t>Ruben Dunn</t>
  </si>
  <si>
    <t>TID000460</t>
  </si>
  <si>
    <t>Kelsey Rodriguez</t>
  </si>
  <si>
    <t>TID000461</t>
  </si>
  <si>
    <t>Eric Williams</t>
  </si>
  <si>
    <t>TID000462</t>
  </si>
  <si>
    <t>Riley Bryant</t>
  </si>
  <si>
    <t>TID000463</t>
  </si>
  <si>
    <t>Taylor Carlson</t>
  </si>
  <si>
    <t>TID000464</t>
  </si>
  <si>
    <t>Jose Allen</t>
  </si>
  <si>
    <t>TID000465</t>
  </si>
  <si>
    <t>Jeffrey Mendez</t>
  </si>
  <si>
    <t>TID000466</t>
  </si>
  <si>
    <t>Jason Beck</t>
  </si>
  <si>
    <t>TID000467</t>
  </si>
  <si>
    <t>William Jones</t>
  </si>
  <si>
    <t>TID000468</t>
  </si>
  <si>
    <t>Katie Mcneil</t>
  </si>
  <si>
    <t>TID000469</t>
  </si>
  <si>
    <t>Jeanette Harrison</t>
  </si>
  <si>
    <t>TID000470</t>
  </si>
  <si>
    <t>Veronica King</t>
  </si>
  <si>
    <t>TID000471</t>
  </si>
  <si>
    <t>Richard Cooper</t>
  </si>
  <si>
    <t>TID000472</t>
  </si>
  <si>
    <t>Lori Ingram</t>
  </si>
  <si>
    <t>TID000473</t>
  </si>
  <si>
    <t>Evelyn Williams</t>
  </si>
  <si>
    <t>TID000474</t>
  </si>
  <si>
    <t>Robin Thompson</t>
  </si>
  <si>
    <t>TID000475</t>
  </si>
  <si>
    <t>Julie Dominguez</t>
  </si>
  <si>
    <t>TID000476</t>
  </si>
  <si>
    <t>Robin Brown</t>
  </si>
  <si>
    <t>TID000477</t>
  </si>
  <si>
    <t>Judith Carter</t>
  </si>
  <si>
    <t>TID000478</t>
  </si>
  <si>
    <t>Curtis Williams</t>
  </si>
  <si>
    <t>TID000479</t>
  </si>
  <si>
    <t>Kaylee Hays</t>
  </si>
  <si>
    <t>TID000480</t>
  </si>
  <si>
    <t>Dawn Mullins</t>
  </si>
  <si>
    <t>TID000481</t>
  </si>
  <si>
    <t>Howard Norman</t>
  </si>
  <si>
    <t>TID000482</t>
  </si>
  <si>
    <t>Evelyn Martinez</t>
  </si>
  <si>
    <t>TID000483</t>
  </si>
  <si>
    <t>Steve Paul</t>
  </si>
  <si>
    <t>TID000484</t>
  </si>
  <si>
    <t>Jasmine Beltran</t>
  </si>
  <si>
    <t>TID000485</t>
  </si>
  <si>
    <t>Jonathan Glass MD</t>
  </si>
  <si>
    <t>TID000486</t>
  </si>
  <si>
    <t>Monica Miller</t>
  </si>
  <si>
    <t>TID000487</t>
  </si>
  <si>
    <t>Samantha Gardner</t>
  </si>
  <si>
    <t>TID000488</t>
  </si>
  <si>
    <t>Bobby Guerrero</t>
  </si>
  <si>
    <t>TID000489</t>
  </si>
  <si>
    <t>Lance Simmons</t>
  </si>
  <si>
    <t>TID000490</t>
  </si>
  <si>
    <t>Heather Williams</t>
  </si>
  <si>
    <t>TID000491</t>
  </si>
  <si>
    <t>Heather Bolton</t>
  </si>
  <si>
    <t>TID000492</t>
  </si>
  <si>
    <t>William Gould</t>
  </si>
  <si>
    <t>TID000493</t>
  </si>
  <si>
    <t>Mark Cox</t>
  </si>
  <si>
    <t>TID000494</t>
  </si>
  <si>
    <t>Meghan Cisneros</t>
  </si>
  <si>
    <t>TID000495</t>
  </si>
  <si>
    <t>Lawrence Harrington</t>
  </si>
  <si>
    <t>TID000496</t>
  </si>
  <si>
    <t>Austin Osborne</t>
  </si>
  <si>
    <t>TID000497</t>
  </si>
  <si>
    <t>James Bradley</t>
  </si>
  <si>
    <t>TID000498</t>
  </si>
  <si>
    <t>Meghan Rush</t>
  </si>
  <si>
    <t>TID000499</t>
  </si>
  <si>
    <t>Phillip Berry</t>
  </si>
  <si>
    <t>TID000500</t>
  </si>
  <si>
    <t>Jennifer Banks</t>
  </si>
  <si>
    <t>TID000501</t>
  </si>
  <si>
    <t>Brian Fitzgerald</t>
  </si>
  <si>
    <t>TID000502</t>
  </si>
  <si>
    <t>Mr. Justin Green III</t>
  </si>
  <si>
    <t>TID000503</t>
  </si>
  <si>
    <t>Zachary Mitchell</t>
  </si>
  <si>
    <t>TID000504</t>
  </si>
  <si>
    <t>Katherine Martinez</t>
  </si>
  <si>
    <t>TID000505</t>
  </si>
  <si>
    <t>Jodi Roach</t>
  </si>
  <si>
    <t>TID000506</t>
  </si>
  <si>
    <t>Brandon Fleming</t>
  </si>
  <si>
    <t>TID000507</t>
  </si>
  <si>
    <t>Emma Reed</t>
  </si>
  <si>
    <t>TID000508</t>
  </si>
  <si>
    <t>Joshua Vance</t>
  </si>
  <si>
    <t>TID000509</t>
  </si>
  <si>
    <t>Michelle Ho</t>
  </si>
  <si>
    <t>TID000510</t>
  </si>
  <si>
    <t>Rebecca Hicks</t>
  </si>
  <si>
    <t>TID000511</t>
  </si>
  <si>
    <t>Curtis Taylor</t>
  </si>
  <si>
    <t>TID000512</t>
  </si>
  <si>
    <t>Allison Spencer</t>
  </si>
  <si>
    <t>TID000513</t>
  </si>
  <si>
    <t>Robert Arnold</t>
  </si>
  <si>
    <t>TID000514</t>
  </si>
  <si>
    <t>Angelica Parker</t>
  </si>
  <si>
    <t>TID000515</t>
  </si>
  <si>
    <t>Dr. Kelly Hammond DVM</t>
  </si>
  <si>
    <t>TID000516</t>
  </si>
  <si>
    <t>William Day</t>
  </si>
  <si>
    <t>TID000517</t>
  </si>
  <si>
    <t>Michael Cooper</t>
  </si>
  <si>
    <t>TID000518</t>
  </si>
  <si>
    <t>Penny Bowman</t>
  </si>
  <si>
    <t>TID000519</t>
  </si>
  <si>
    <t>Vincent Reynolds</t>
  </si>
  <si>
    <t>TID000520</t>
  </si>
  <si>
    <t>Amy Martinez</t>
  </si>
  <si>
    <t>TID000521</t>
  </si>
  <si>
    <t>Christopher Morris</t>
  </si>
  <si>
    <t>TID000522</t>
  </si>
  <si>
    <t>Hannah Everett</t>
  </si>
  <si>
    <t>TID000523</t>
  </si>
  <si>
    <t>Sarah King</t>
  </si>
  <si>
    <t>TID000524</t>
  </si>
  <si>
    <t>Krista Martinez</t>
  </si>
  <si>
    <t>TID000525</t>
  </si>
  <si>
    <t>Joseph Shaw</t>
  </si>
  <si>
    <t>TID000526</t>
  </si>
  <si>
    <t>Todd Moore</t>
  </si>
  <si>
    <t>TID000527</t>
  </si>
  <si>
    <t>Michelle Jacobs</t>
  </si>
  <si>
    <t>TID000528</t>
  </si>
  <si>
    <t>Kristy Bryan</t>
  </si>
  <si>
    <t>TID000529</t>
  </si>
  <si>
    <t>Angel May</t>
  </si>
  <si>
    <t>TID000530</t>
  </si>
  <si>
    <t>Marilyn Wang</t>
  </si>
  <si>
    <t>TID000531</t>
  </si>
  <si>
    <t>Mark Jimenez</t>
  </si>
  <si>
    <t>TID000532</t>
  </si>
  <si>
    <t>Donna Frye</t>
  </si>
  <si>
    <t>TID000533</t>
  </si>
  <si>
    <t>Dr. Michael Evans</t>
  </si>
  <si>
    <t>TID000534</t>
  </si>
  <si>
    <t>Anthony Gonzales</t>
  </si>
  <si>
    <t>TID000535</t>
  </si>
  <si>
    <t>Mr. Lawrence Edwards</t>
  </si>
  <si>
    <t>TID000536</t>
  </si>
  <si>
    <t>Morgan Valencia</t>
  </si>
  <si>
    <t>TID000537</t>
  </si>
  <si>
    <t>Bianca Wood</t>
  </si>
  <si>
    <t>TID000538</t>
  </si>
  <si>
    <t>Emma Owens</t>
  </si>
  <si>
    <t>TID000539</t>
  </si>
  <si>
    <t>TID000540</t>
  </si>
  <si>
    <t>James Gilbert</t>
  </si>
  <si>
    <t>TID000541</t>
  </si>
  <si>
    <t>Sean Moore</t>
  </si>
  <si>
    <t>TID000542</t>
  </si>
  <si>
    <t>Kenneth Edwards</t>
  </si>
  <si>
    <t>TID000543</t>
  </si>
  <si>
    <t>Kathleen Robertson</t>
  </si>
  <si>
    <t>TID000544</t>
  </si>
  <si>
    <t>Mr. Alexander Landry MD</t>
  </si>
  <si>
    <t>TID000545</t>
  </si>
  <si>
    <t>Cindy Gomez</t>
  </si>
  <si>
    <t>TID000546</t>
  </si>
  <si>
    <t>Johnny Khan</t>
  </si>
  <si>
    <t>TID000547</t>
  </si>
  <si>
    <t>Julie Herrera</t>
  </si>
  <si>
    <t>TID000548</t>
  </si>
  <si>
    <t>Jessica Khan</t>
  </si>
  <si>
    <t>TID000549</t>
  </si>
  <si>
    <t>Pamela Diaz</t>
  </si>
  <si>
    <t>TID000550</t>
  </si>
  <si>
    <t>Kelly Lee</t>
  </si>
  <si>
    <t>TID000551</t>
  </si>
  <si>
    <t>Angel Gordon</t>
  </si>
  <si>
    <t>TID000552</t>
  </si>
  <si>
    <t>Diana Hays</t>
  </si>
  <si>
    <t>TID000553</t>
  </si>
  <si>
    <t>Barbara Hester</t>
  </si>
  <si>
    <t>TID000554</t>
  </si>
  <si>
    <t>Robert Morgan</t>
  </si>
  <si>
    <t>TID000555</t>
  </si>
  <si>
    <t>Nicole Gonzalez</t>
  </si>
  <si>
    <t>TID000556</t>
  </si>
  <si>
    <t>Kathryn Williams</t>
  </si>
  <si>
    <t>TID000557</t>
  </si>
  <si>
    <t>Gary Wells</t>
  </si>
  <si>
    <t>TID000558</t>
  </si>
  <si>
    <t>Larry Robertson</t>
  </si>
  <si>
    <t>TID000559</t>
  </si>
  <si>
    <t>Louis Martin</t>
  </si>
  <si>
    <t>TID000560</t>
  </si>
  <si>
    <t>Nancy Evans MD</t>
  </si>
  <si>
    <t>TID000561</t>
  </si>
  <si>
    <t>Kim Erickson</t>
  </si>
  <si>
    <t>TID000562</t>
  </si>
  <si>
    <t>Robert Richardson</t>
  </si>
  <si>
    <t>TID000563</t>
  </si>
  <si>
    <t>Veronica Silva</t>
  </si>
  <si>
    <t>TID000564</t>
  </si>
  <si>
    <t>Molly Watts</t>
  </si>
  <si>
    <t>TID000565</t>
  </si>
  <si>
    <t>John Coffey</t>
  </si>
  <si>
    <t>TID000566</t>
  </si>
  <si>
    <t>Paula Lane</t>
  </si>
  <si>
    <t>TID000567</t>
  </si>
  <si>
    <t>Lauren Jackson</t>
  </si>
  <si>
    <t>TID000568</t>
  </si>
  <si>
    <t>Lisa Randall</t>
  </si>
  <si>
    <t>TID000569</t>
  </si>
  <si>
    <t>Michael Johnson</t>
  </si>
  <si>
    <t>TID000570</t>
  </si>
  <si>
    <t>Ashley Smith</t>
  </si>
  <si>
    <t>TID000571</t>
  </si>
  <si>
    <t>Christian Vaughn</t>
  </si>
  <si>
    <t>TID000572</t>
  </si>
  <si>
    <t>Reginald Knapp</t>
  </si>
  <si>
    <t>TID000573</t>
  </si>
  <si>
    <t>Nancy Brown</t>
  </si>
  <si>
    <t>TID000574</t>
  </si>
  <si>
    <t>Daniel Nguyen</t>
  </si>
  <si>
    <t>TID000575</t>
  </si>
  <si>
    <t>Kelly Edwards</t>
  </si>
  <si>
    <t>TID000576</t>
  </si>
  <si>
    <t>Thomas Peterson</t>
  </si>
  <si>
    <t>TID000577</t>
  </si>
  <si>
    <t>Raymond Le</t>
  </si>
  <si>
    <t>TID000578</t>
  </si>
  <si>
    <t>Melissa Bishop</t>
  </si>
  <si>
    <t>TID000579</t>
  </si>
  <si>
    <t>David Grant</t>
  </si>
  <si>
    <t>TID000580</t>
  </si>
  <si>
    <t>William Evans</t>
  </si>
  <si>
    <t>TID000581</t>
  </si>
  <si>
    <t>Daniel Bush</t>
  </si>
  <si>
    <t>TID000582</t>
  </si>
  <si>
    <t>Gregory Peck</t>
  </si>
  <si>
    <t>TID000583</t>
  </si>
  <si>
    <t>Denise Martinez</t>
  </si>
  <si>
    <t>TID000584</t>
  </si>
  <si>
    <t>Jamie Baird</t>
  </si>
  <si>
    <t>TID000585</t>
  </si>
  <si>
    <t>Tina Ballard</t>
  </si>
  <si>
    <t>TID000586</t>
  </si>
  <si>
    <t>Dwayne Klein</t>
  </si>
  <si>
    <t>TID000587</t>
  </si>
  <si>
    <t>Jeremy Scott</t>
  </si>
  <si>
    <t>TID000588</t>
  </si>
  <si>
    <t>Dale Ryan</t>
  </si>
  <si>
    <t>TID000589</t>
  </si>
  <si>
    <t>Melissa Taylor</t>
  </si>
  <si>
    <t>TID000590</t>
  </si>
  <si>
    <t>Laurie Sanchez</t>
  </si>
  <si>
    <t>TID000591</t>
  </si>
  <si>
    <t>Kiara Little</t>
  </si>
  <si>
    <t>TID000592</t>
  </si>
  <si>
    <t>Jason Love</t>
  </si>
  <si>
    <t>TID000593</t>
  </si>
  <si>
    <t>Randy Smith</t>
  </si>
  <si>
    <t>TID000594</t>
  </si>
  <si>
    <t>Tanya Russell</t>
  </si>
  <si>
    <t>TID000595</t>
  </si>
  <si>
    <t>Sherry Woods</t>
  </si>
  <si>
    <t>TID000596</t>
  </si>
  <si>
    <t>Victor Morris</t>
  </si>
  <si>
    <t>TID000597</t>
  </si>
  <si>
    <t>Susan Davis</t>
  </si>
  <si>
    <t>TID000598</t>
  </si>
  <si>
    <t>Kimberly Sharp</t>
  </si>
  <si>
    <t>TID000599</t>
  </si>
  <si>
    <t>Susan Thompson</t>
  </si>
  <si>
    <t>TID000600</t>
  </si>
  <si>
    <t>Casey Gillespie</t>
  </si>
  <si>
    <t>TID000601</t>
  </si>
  <si>
    <t>Jennifer Simpson DVM</t>
  </si>
  <si>
    <t>TID000602</t>
  </si>
  <si>
    <t>Tammy Mcdowell</t>
  </si>
  <si>
    <t>TID000603</t>
  </si>
  <si>
    <t>Keith Rodriguez</t>
  </si>
  <si>
    <t>TID000604</t>
  </si>
  <si>
    <t>Mrs. Virginia Daniels</t>
  </si>
  <si>
    <t>TID000605</t>
  </si>
  <si>
    <t>Todd Rosales MD</t>
  </si>
  <si>
    <t>TID000606</t>
  </si>
  <si>
    <t>Brian Martin</t>
  </si>
  <si>
    <t>TID000607</t>
  </si>
  <si>
    <t>David Lopez</t>
  </si>
  <si>
    <t>TID000608</t>
  </si>
  <si>
    <t>Rachel Bradley</t>
  </si>
  <si>
    <t>TID000609</t>
  </si>
  <si>
    <t>Casey Chase</t>
  </si>
  <si>
    <t>TID000610</t>
  </si>
  <si>
    <t>Samantha Robertson</t>
  </si>
  <si>
    <t>TID000611</t>
  </si>
  <si>
    <t>Michael Lopez</t>
  </si>
  <si>
    <t>TID000612</t>
  </si>
  <si>
    <t>Franklin Wright</t>
  </si>
  <si>
    <t>TID000613</t>
  </si>
  <si>
    <t>David Molina</t>
  </si>
  <si>
    <t>TID000614</t>
  </si>
  <si>
    <t>Elizabeth Sharp</t>
  </si>
  <si>
    <t>TID000615</t>
  </si>
  <si>
    <t>Matthew Schwartz</t>
  </si>
  <si>
    <t>TID000616</t>
  </si>
  <si>
    <t>Bryan Parker</t>
  </si>
  <si>
    <t>TID000617</t>
  </si>
  <si>
    <t>Jonathan Jacobson</t>
  </si>
  <si>
    <t>TID000618</t>
  </si>
  <si>
    <t>Emily Wilson</t>
  </si>
  <si>
    <t>TID000619</t>
  </si>
  <si>
    <t>Elizabeth Mendez</t>
  </si>
  <si>
    <t>TID000620</t>
  </si>
  <si>
    <t>Casey Hernandez</t>
  </si>
  <si>
    <t>TID000621</t>
  </si>
  <si>
    <t>Lisa Perry</t>
  </si>
  <si>
    <t>TID000622</t>
  </si>
  <si>
    <t>Kaitlin Medina</t>
  </si>
  <si>
    <t>TID000623</t>
  </si>
  <si>
    <t>Colleen Wright</t>
  </si>
  <si>
    <t>TID000624</t>
  </si>
  <si>
    <t>Shelley Miller</t>
  </si>
  <si>
    <t>TID000625</t>
  </si>
  <si>
    <t>Michael Miller</t>
  </si>
  <si>
    <t>TID000626</t>
  </si>
  <si>
    <t>Amy Kelley</t>
  </si>
  <si>
    <t>TID000627</t>
  </si>
  <si>
    <t>Laura Hernandez</t>
  </si>
  <si>
    <t>TID000628</t>
  </si>
  <si>
    <t>Joseph Wilson</t>
  </si>
  <si>
    <t>TID000629</t>
  </si>
  <si>
    <t>Kevin Davis</t>
  </si>
  <si>
    <t>TID000630</t>
  </si>
  <si>
    <t>Rhonda Chavez</t>
  </si>
  <si>
    <t>TID000631</t>
  </si>
  <si>
    <t>Joyce Brown</t>
  </si>
  <si>
    <t>TID000632</t>
  </si>
  <si>
    <t>Robert Cummings</t>
  </si>
  <si>
    <t>TID000633</t>
  </si>
  <si>
    <t>Robert Reese</t>
  </si>
  <si>
    <t>TID000634</t>
  </si>
  <si>
    <t>Amber Cooper</t>
  </si>
  <si>
    <t>TID000635</t>
  </si>
  <si>
    <t>Zachary Michael</t>
  </si>
  <si>
    <t>TID000636</t>
  </si>
  <si>
    <t>Timothy Johnson</t>
  </si>
  <si>
    <t>TID000637</t>
  </si>
  <si>
    <t>Randy Cannon</t>
  </si>
  <si>
    <t>TID000638</t>
  </si>
  <si>
    <t>Maria Fisher</t>
  </si>
  <si>
    <t>TID000639</t>
  </si>
  <si>
    <t>Janet Kane DVM</t>
  </si>
  <si>
    <t>TID000640</t>
  </si>
  <si>
    <t>Michael Stanley</t>
  </si>
  <si>
    <t>TID000641</t>
  </si>
  <si>
    <t>Martha Bailey</t>
  </si>
  <si>
    <t>TID000642</t>
  </si>
  <si>
    <t>Joshua Rice</t>
  </si>
  <si>
    <t>TID000643</t>
  </si>
  <si>
    <t>Courtney Smith</t>
  </si>
  <si>
    <t>TID000644</t>
  </si>
  <si>
    <t>Edwin Nunez</t>
  </si>
  <si>
    <t>TID000645</t>
  </si>
  <si>
    <t>Kim Morrow</t>
  </si>
  <si>
    <t>TID000646</t>
  </si>
  <si>
    <t>Gregory Hill</t>
  </si>
  <si>
    <t>TID000647</t>
  </si>
  <si>
    <t>Molly Rodriguez</t>
  </si>
  <si>
    <t>TID000648</t>
  </si>
  <si>
    <t>Jennifer Miranda</t>
  </si>
  <si>
    <t>TID000649</t>
  </si>
  <si>
    <t>Alexis Harris</t>
  </si>
  <si>
    <t>TID000650</t>
  </si>
  <si>
    <t>Andrew Harper</t>
  </si>
  <si>
    <t>TID000651</t>
  </si>
  <si>
    <t>Amber Yang</t>
  </si>
  <si>
    <t>TID000652</t>
  </si>
  <si>
    <t>David Robinson</t>
  </si>
  <si>
    <t>TID000653</t>
  </si>
  <si>
    <t>Amy Gordon</t>
  </si>
  <si>
    <t>TID000654</t>
  </si>
  <si>
    <t>Robert Dennis</t>
  </si>
  <si>
    <t>TID000655</t>
  </si>
  <si>
    <t>Kyle Chambers</t>
  </si>
  <si>
    <t>TID000656</t>
  </si>
  <si>
    <t>Eric Thomas</t>
  </si>
  <si>
    <t>TID000657</t>
  </si>
  <si>
    <t>Connie Turner</t>
  </si>
  <si>
    <t>TID000658</t>
  </si>
  <si>
    <t>Travis Hobbs</t>
  </si>
  <si>
    <t>TID000659</t>
  </si>
  <si>
    <t>Lori Simmons</t>
  </si>
  <si>
    <t>TID000660</t>
  </si>
  <si>
    <t>William David DDS</t>
  </si>
  <si>
    <t>TID000661</t>
  </si>
  <si>
    <t>Emma Butler</t>
  </si>
  <si>
    <t>TID000662</t>
  </si>
  <si>
    <t>James Webster</t>
  </si>
  <si>
    <t>TID000663</t>
  </si>
  <si>
    <t>Samuel Turner</t>
  </si>
  <si>
    <t>TID000664</t>
  </si>
  <si>
    <t>Renee Melendez</t>
  </si>
  <si>
    <t>TID000665</t>
  </si>
  <si>
    <t>Tracy Grant</t>
  </si>
  <si>
    <t>TID000666</t>
  </si>
  <si>
    <t>David Harris</t>
  </si>
  <si>
    <t>TID000667</t>
  </si>
  <si>
    <t>Tammy Boone</t>
  </si>
  <si>
    <t>TID000668</t>
  </si>
  <si>
    <t>Nathaniel Lee</t>
  </si>
  <si>
    <t>TID000669</t>
  </si>
  <si>
    <t>Michael Morrison</t>
  </si>
  <si>
    <t>TID000670</t>
  </si>
  <si>
    <t>Chelsea Gill</t>
  </si>
  <si>
    <t>TID000671</t>
  </si>
  <si>
    <t>Kristin Mendoza</t>
  </si>
  <si>
    <t>TID000672</t>
  </si>
  <si>
    <t>Felicia Krueger</t>
  </si>
  <si>
    <t>TID000673</t>
  </si>
  <si>
    <t>Timothy Hayden</t>
  </si>
  <si>
    <t>TID000674</t>
  </si>
  <si>
    <t>Zachary Mendoza</t>
  </si>
  <si>
    <t>TID000675</t>
  </si>
  <si>
    <t>Larry Harris</t>
  </si>
  <si>
    <t>TID000676</t>
  </si>
  <si>
    <t>Kristen Rowe</t>
  </si>
  <si>
    <t>TID000677</t>
  </si>
  <si>
    <t>Joseph Howard</t>
  </si>
  <si>
    <t>TID000678</t>
  </si>
  <si>
    <t>Jose Crawford</t>
  </si>
  <si>
    <t>TID000679</t>
  </si>
  <si>
    <t>William Harrison</t>
  </si>
  <si>
    <t>TID000680</t>
  </si>
  <si>
    <t>Suzanne Wood</t>
  </si>
  <si>
    <t>TID000681</t>
  </si>
  <si>
    <t>Justin Walker</t>
  </si>
  <si>
    <t>TID000682</t>
  </si>
  <si>
    <t>Dean Donovan</t>
  </si>
  <si>
    <t>TID000683</t>
  </si>
  <si>
    <t>Jennifer Hernandez</t>
  </si>
  <si>
    <t>TID000684</t>
  </si>
  <si>
    <t>James Whitaker</t>
  </si>
  <si>
    <t>TID000685</t>
  </si>
  <si>
    <t>Mr. Michael Scott PhD</t>
  </si>
  <si>
    <t>TID000686</t>
  </si>
  <si>
    <t>Maria Henry</t>
  </si>
  <si>
    <t>TID000687</t>
  </si>
  <si>
    <t>Robert Jackson</t>
  </si>
  <si>
    <t>TID000688</t>
  </si>
  <si>
    <t>Katherine Stark</t>
  </si>
  <si>
    <t>TID000689</t>
  </si>
  <si>
    <t>Maria Brown</t>
  </si>
  <si>
    <t>TID000690</t>
  </si>
  <si>
    <t>Ryan Landry</t>
  </si>
  <si>
    <t>TID000691</t>
  </si>
  <si>
    <t>Pamela Gutierrez</t>
  </si>
  <si>
    <t>TID000692</t>
  </si>
  <si>
    <t>Crystal Mann</t>
  </si>
  <si>
    <t>TID000693</t>
  </si>
  <si>
    <t>Jonathan Brooks</t>
  </si>
  <si>
    <t>TID000694</t>
  </si>
  <si>
    <t>Mary Jensen</t>
  </si>
  <si>
    <t>TID000695</t>
  </si>
  <si>
    <t>Mr. Aaron Arnold</t>
  </si>
  <si>
    <t>TID000696</t>
  </si>
  <si>
    <t>Joseph Hill</t>
  </si>
  <si>
    <t>TID000697</t>
  </si>
  <si>
    <t>Alicia Li</t>
  </si>
  <si>
    <t>TID000698</t>
  </si>
  <si>
    <t>Renee Browning</t>
  </si>
  <si>
    <t>TID000699</t>
  </si>
  <si>
    <t>Brent Hernandez</t>
  </si>
  <si>
    <t>TID000700</t>
  </si>
  <si>
    <t>Joseph Ochoa</t>
  </si>
  <si>
    <t>TID000701</t>
  </si>
  <si>
    <t>James Watson</t>
  </si>
  <si>
    <t>TID000702</t>
  </si>
  <si>
    <t>Karl Branch</t>
  </si>
  <si>
    <t>TID000703</t>
  </si>
  <si>
    <t>Michael Abbott</t>
  </si>
  <si>
    <t>TID000704</t>
  </si>
  <si>
    <t>Shannon Malone</t>
  </si>
  <si>
    <t>TID000705</t>
  </si>
  <si>
    <t>James Tran</t>
  </si>
  <si>
    <t>TID000706</t>
  </si>
  <si>
    <t>Adam Jackson</t>
  </si>
  <si>
    <t>TID000707</t>
  </si>
  <si>
    <t>Mr. Richard Knight PhD</t>
  </si>
  <si>
    <t>TID000708</t>
  </si>
  <si>
    <t>Joseph Williams</t>
  </si>
  <si>
    <t>TID000709</t>
  </si>
  <si>
    <t>Sean Clay</t>
  </si>
  <si>
    <t>TID000710</t>
  </si>
  <si>
    <t>Anthony Jones</t>
  </si>
  <si>
    <t>TID000711</t>
  </si>
  <si>
    <t>Stephanie Elliott</t>
  </si>
  <si>
    <t>TID000712</t>
  </si>
  <si>
    <t>Timothy Edwards</t>
  </si>
  <si>
    <t>TID000713</t>
  </si>
  <si>
    <t>Laurie Goodwin</t>
  </si>
  <si>
    <t>TID000714</t>
  </si>
  <si>
    <t>Jennifer Jones</t>
  </si>
  <si>
    <t>TID000715</t>
  </si>
  <si>
    <t>David Davenport</t>
  </si>
  <si>
    <t>TID000716</t>
  </si>
  <si>
    <t>Steven Rivera</t>
  </si>
  <si>
    <t>TID000717</t>
  </si>
  <si>
    <t>Brenda Hinton</t>
  </si>
  <si>
    <t>TID000718</t>
  </si>
  <si>
    <t>Kathryn Mccann</t>
  </si>
  <si>
    <t>TID000719</t>
  </si>
  <si>
    <t>Jeffrey Roberson</t>
  </si>
  <si>
    <t>TID000720</t>
  </si>
  <si>
    <t>Randy Friedman</t>
  </si>
  <si>
    <t>TID000721</t>
  </si>
  <si>
    <t>Raymond Johnson</t>
  </si>
  <si>
    <t>TID000722</t>
  </si>
  <si>
    <t>Willie Henry</t>
  </si>
  <si>
    <t>TID000723</t>
  </si>
  <si>
    <t>Todd Reynolds</t>
  </si>
  <si>
    <t>TID000724</t>
  </si>
  <si>
    <t>Mary Miller</t>
  </si>
  <si>
    <t>TID000725</t>
  </si>
  <si>
    <t>Rebecca Marquez</t>
  </si>
  <si>
    <t>TID000726</t>
  </si>
  <si>
    <t>Christian Dawson</t>
  </si>
  <si>
    <t>TID000727</t>
  </si>
  <si>
    <t>Nancy Stewart</t>
  </si>
  <si>
    <t>TID000728</t>
  </si>
  <si>
    <t>Aaron Parker</t>
  </si>
  <si>
    <t>TID000729</t>
  </si>
  <si>
    <t>Derrick Anderson</t>
  </si>
  <si>
    <t>TID000730</t>
  </si>
  <si>
    <t>Jerry Peters</t>
  </si>
  <si>
    <t>TID000731</t>
  </si>
  <si>
    <t>Alexander Gomez</t>
  </si>
  <si>
    <t>TID000732</t>
  </si>
  <si>
    <t>Kyle Nguyen</t>
  </si>
  <si>
    <t>TID000733</t>
  </si>
  <si>
    <t>Edgar Hughes</t>
  </si>
  <si>
    <t>TID000734</t>
  </si>
  <si>
    <t>Steven Stein</t>
  </si>
  <si>
    <t>TID000735</t>
  </si>
  <si>
    <t>Laura Jackson</t>
  </si>
  <si>
    <t>TID000736</t>
  </si>
  <si>
    <t>Charles Turner</t>
  </si>
  <si>
    <t>TID000737</t>
  </si>
  <si>
    <t>Arthur Hamilton MD</t>
  </si>
  <si>
    <t>TID000738</t>
  </si>
  <si>
    <t>Mr. David Wright</t>
  </si>
  <si>
    <t>TID000739</t>
  </si>
  <si>
    <t>Linda Gonzalez</t>
  </si>
  <si>
    <t>TID000740</t>
  </si>
  <si>
    <t>Eric Rush</t>
  </si>
  <si>
    <t>TID000741</t>
  </si>
  <si>
    <t>Manuel Brock</t>
  </si>
  <si>
    <t>TID000742</t>
  </si>
  <si>
    <t>George Ochoa</t>
  </si>
  <si>
    <t>TID000743</t>
  </si>
  <si>
    <t>Valerie Taylor</t>
  </si>
  <si>
    <t>TID000744</t>
  </si>
  <si>
    <t>Travis Harris</t>
  </si>
  <si>
    <t>TID000745</t>
  </si>
  <si>
    <t>Vincent Novak</t>
  </si>
  <si>
    <t>TID000746</t>
  </si>
  <si>
    <t>Michael Henry</t>
  </si>
  <si>
    <t>TID000747</t>
  </si>
  <si>
    <t>Dana Bennett</t>
  </si>
  <si>
    <t>TID000748</t>
  </si>
  <si>
    <t>Jenna Wilson</t>
  </si>
  <si>
    <t>TID000749</t>
  </si>
  <si>
    <t>Leslie Gardner</t>
  </si>
  <si>
    <t>TID000750</t>
  </si>
  <si>
    <t>Krista Benton</t>
  </si>
  <si>
    <t>TID000751</t>
  </si>
  <si>
    <t>Michael Gonzales</t>
  </si>
  <si>
    <t>TID000752</t>
  </si>
  <si>
    <t>Michael Fuentes</t>
  </si>
  <si>
    <t>TID000753</t>
  </si>
  <si>
    <t>Jennifer Porter</t>
  </si>
  <si>
    <t>TID000754</t>
  </si>
  <si>
    <t>Dana Hopkins</t>
  </si>
  <si>
    <t>TID000755</t>
  </si>
  <si>
    <t>Rachel Jones</t>
  </si>
  <si>
    <t>TID000756</t>
  </si>
  <si>
    <t>Karen Morales DDS</t>
  </si>
  <si>
    <t>TID000757</t>
  </si>
  <si>
    <t>Melissa Stephens</t>
  </si>
  <si>
    <t>TID000758</t>
  </si>
  <si>
    <t>Heather Woodard</t>
  </si>
  <si>
    <t>TID000759</t>
  </si>
  <si>
    <t>Margaret Miller</t>
  </si>
  <si>
    <t>TID000760</t>
  </si>
  <si>
    <t>Mary Kelly</t>
  </si>
  <si>
    <t>TID000761</t>
  </si>
  <si>
    <t>Amanda Terrell</t>
  </si>
  <si>
    <t>TID000762</t>
  </si>
  <si>
    <t>Jennifer Goodwin</t>
  </si>
  <si>
    <t>TID000763</t>
  </si>
  <si>
    <t>TID000764</t>
  </si>
  <si>
    <t>Jorge Stone</t>
  </si>
  <si>
    <t>TID000765</t>
  </si>
  <si>
    <t>Laura Griffin</t>
  </si>
  <si>
    <t>TID000766</t>
  </si>
  <si>
    <t>Raymond Chapman</t>
  </si>
  <si>
    <t>TID000767</t>
  </si>
  <si>
    <t>Haley Johnson</t>
  </si>
  <si>
    <t>TID000768</t>
  </si>
  <si>
    <t>Jason Nixon</t>
  </si>
  <si>
    <t>TID000769</t>
  </si>
  <si>
    <t>Todd Thomas</t>
  </si>
  <si>
    <t>TID000770</t>
  </si>
  <si>
    <t>Jesse Clark</t>
  </si>
  <si>
    <t>TID000771</t>
  </si>
  <si>
    <t>Mr. Jeffrey Horton</t>
  </si>
  <si>
    <t>TID000772</t>
  </si>
  <si>
    <t>Eric Patrick</t>
  </si>
  <si>
    <t>TID000773</t>
  </si>
  <si>
    <t>Samuel Wong</t>
  </si>
  <si>
    <t>TID000774</t>
  </si>
  <si>
    <t>Carly Riggs</t>
  </si>
  <si>
    <t>TID000775</t>
  </si>
  <si>
    <t>Christopher Moore</t>
  </si>
  <si>
    <t>TID000776</t>
  </si>
  <si>
    <t>Tina Hall</t>
  </si>
  <si>
    <t>TID000777</t>
  </si>
  <si>
    <t>Cody Davidson</t>
  </si>
  <si>
    <t>TID000778</t>
  </si>
  <si>
    <t>Allen Mendez</t>
  </si>
  <si>
    <t>TID000779</t>
  </si>
  <si>
    <t>Kevin Price</t>
  </si>
  <si>
    <t>TID000780</t>
  </si>
  <si>
    <t>Christine Goodwin</t>
  </si>
  <si>
    <t>TID000781</t>
  </si>
  <si>
    <t>Amy Garcia</t>
  </si>
  <si>
    <t>TID000782</t>
  </si>
  <si>
    <t>Chelsea Nguyen</t>
  </si>
  <si>
    <t>TID000783</t>
  </si>
  <si>
    <t>Dennis Huffman</t>
  </si>
  <si>
    <t>TID000784</t>
  </si>
  <si>
    <t>Margaret Harper</t>
  </si>
  <si>
    <t>TID000785</t>
  </si>
  <si>
    <t>Laurie Bailey</t>
  </si>
  <si>
    <t>TID000786</t>
  </si>
  <si>
    <t>Lisa Cervantes</t>
  </si>
  <si>
    <t>TID000787</t>
  </si>
  <si>
    <t>TID000788</t>
  </si>
  <si>
    <t>Cesar Wilson</t>
  </si>
  <si>
    <t>TID000789</t>
  </si>
  <si>
    <t>Clayton Steele</t>
  </si>
  <si>
    <t>TID000790</t>
  </si>
  <si>
    <t>Jennifer Taylor</t>
  </si>
  <si>
    <t>TID000791</t>
  </si>
  <si>
    <t>Cody Reid</t>
  </si>
  <si>
    <t>TID000792</t>
  </si>
  <si>
    <t>Maria Cooke</t>
  </si>
  <si>
    <t>TID000793</t>
  </si>
  <si>
    <t>Katherine Taylor</t>
  </si>
  <si>
    <t>TID000794</t>
  </si>
  <si>
    <t>Jerry Brown</t>
  </si>
  <si>
    <t>TID000795</t>
  </si>
  <si>
    <t>Adam Taylor</t>
  </si>
  <si>
    <t>TID000796</t>
  </si>
  <si>
    <t>Tracey Wagner</t>
  </si>
  <si>
    <t>TID000797</t>
  </si>
  <si>
    <t>Michael Perry PhD</t>
  </si>
  <si>
    <t>TID000798</t>
  </si>
  <si>
    <t>Bradley Johnson DDS</t>
  </si>
  <si>
    <t>TID000799</t>
  </si>
  <si>
    <t>Donald Medina</t>
  </si>
  <si>
    <t>TID000800</t>
  </si>
  <si>
    <t>Jim Newton</t>
  </si>
  <si>
    <t>TID000801</t>
  </si>
  <si>
    <t>Krista Wilson</t>
  </si>
  <si>
    <t>TID000802</t>
  </si>
  <si>
    <t>Reginald Morrow</t>
  </si>
  <si>
    <t>TID000803</t>
  </si>
  <si>
    <t>Rodney Williams</t>
  </si>
  <si>
    <t>TID000804</t>
  </si>
  <si>
    <t>Kimberly Fritz</t>
  </si>
  <si>
    <t>TID000805</t>
  </si>
  <si>
    <t>Ronald Potter</t>
  </si>
  <si>
    <t>TID000806</t>
  </si>
  <si>
    <t>Zachary Cole</t>
  </si>
  <si>
    <t>TID000807</t>
  </si>
  <si>
    <t>Robert Gonzales</t>
  </si>
  <si>
    <t>TID000808</t>
  </si>
  <si>
    <t>Patricia Young PhD</t>
  </si>
  <si>
    <t>TID000809</t>
  </si>
  <si>
    <t>Heather Page</t>
  </si>
  <si>
    <t>TID000810</t>
  </si>
  <si>
    <t>Carol Taylor</t>
  </si>
  <si>
    <t>TID000811</t>
  </si>
  <si>
    <t>Daniel Brown</t>
  </si>
  <si>
    <t>TID000812</t>
  </si>
  <si>
    <t>Douglas Ryan</t>
  </si>
  <si>
    <t>TID000813</t>
  </si>
  <si>
    <t>Michael Roberts</t>
  </si>
  <si>
    <t>TID000814</t>
  </si>
  <si>
    <t>Scott Duke</t>
  </si>
  <si>
    <t>TID000815</t>
  </si>
  <si>
    <t>Anna Estes</t>
  </si>
  <si>
    <t>TID000816</t>
  </si>
  <si>
    <t>Tamara Riddle</t>
  </si>
  <si>
    <t>TID000817</t>
  </si>
  <si>
    <t>Beth Cline</t>
  </si>
  <si>
    <t>TID000818</t>
  </si>
  <si>
    <t>Michael Poole</t>
  </si>
  <si>
    <t>TID000819</t>
  </si>
  <si>
    <t>Megan Burns</t>
  </si>
  <si>
    <t>TID000820</t>
  </si>
  <si>
    <t>Debra Perry</t>
  </si>
  <si>
    <t>TID000821</t>
  </si>
  <si>
    <t>Mark Beard</t>
  </si>
  <si>
    <t>TID000822</t>
  </si>
  <si>
    <t>Jose Ramirez</t>
  </si>
  <si>
    <t>TID000823</t>
  </si>
  <si>
    <t>Jackie Clements</t>
  </si>
  <si>
    <t>TID000824</t>
  </si>
  <si>
    <t>Aaron Schroeder</t>
  </si>
  <si>
    <t>TID000825</t>
  </si>
  <si>
    <t>Monica Ellis</t>
  </si>
  <si>
    <t>TID000826</t>
  </si>
  <si>
    <t>Heather Brown</t>
  </si>
  <si>
    <t>TID000827</t>
  </si>
  <si>
    <t>Claudia Jordan</t>
  </si>
  <si>
    <t>TID000828</t>
  </si>
  <si>
    <t>Derrick Clayton</t>
  </si>
  <si>
    <t>TID000829</t>
  </si>
  <si>
    <t>Kenneth Knight</t>
  </si>
  <si>
    <t>TID000830</t>
  </si>
  <si>
    <t>Mr. Michael Williams</t>
  </si>
  <si>
    <t>TID000831</t>
  </si>
  <si>
    <t>Richard Stevens</t>
  </si>
  <si>
    <t>TID000832</t>
  </si>
  <si>
    <t>Scott Alexander</t>
  </si>
  <si>
    <t>TID000833</t>
  </si>
  <si>
    <t>Tyler Harris</t>
  </si>
  <si>
    <t>TID000834</t>
  </si>
  <si>
    <t>Bonnie Santos</t>
  </si>
  <si>
    <t>TID000835</t>
  </si>
  <si>
    <t>Timothy Hill</t>
  </si>
  <si>
    <t>TID000836</t>
  </si>
  <si>
    <t>Danielle Watson</t>
  </si>
  <si>
    <t>TID000837</t>
  </si>
  <si>
    <t>Carol Sanders</t>
  </si>
  <si>
    <t>TID000838</t>
  </si>
  <si>
    <t>Michael Young</t>
  </si>
  <si>
    <t>TID000839</t>
  </si>
  <si>
    <t>Michele Smith</t>
  </si>
  <si>
    <t>TID000840</t>
  </si>
  <si>
    <t>Casey Perez</t>
  </si>
  <si>
    <t>TID000841</t>
  </si>
  <si>
    <t>Alexandra Dominguez</t>
  </si>
  <si>
    <t>TID000842</t>
  </si>
  <si>
    <t>Virginia Henderson</t>
  </si>
  <si>
    <t>TID000843</t>
  </si>
  <si>
    <t>Benjamin Reyes</t>
  </si>
  <si>
    <t>TID000844</t>
  </si>
  <si>
    <t>Ashley Edwards</t>
  </si>
  <si>
    <t>TID000845</t>
  </si>
  <si>
    <t>Breanna Ayala</t>
  </si>
  <si>
    <t>TID000846</t>
  </si>
  <si>
    <t>Brandi Haney</t>
  </si>
  <si>
    <t>TID000847</t>
  </si>
  <si>
    <t>Joseph Smith</t>
  </si>
  <si>
    <t>TID000848</t>
  </si>
  <si>
    <t>Jessica Bowen</t>
  </si>
  <si>
    <t>TID000849</t>
  </si>
  <si>
    <t>Brittany Jenkins</t>
  </si>
  <si>
    <t>TID000850</t>
  </si>
  <si>
    <t>Shannon Miller</t>
  </si>
  <si>
    <t>TID000851</t>
  </si>
  <si>
    <t>Paul Lawrence</t>
  </si>
  <si>
    <t>TID000852</t>
  </si>
  <si>
    <t>Victor Edwards</t>
  </si>
  <si>
    <t>TID000853</t>
  </si>
  <si>
    <t>Donald Miller</t>
  </si>
  <si>
    <t>TID000854</t>
  </si>
  <si>
    <t>Lindsay Lawson</t>
  </si>
  <si>
    <t>TID000855</t>
  </si>
  <si>
    <t>Melissa Abbott</t>
  </si>
  <si>
    <t>TID000856</t>
  </si>
  <si>
    <t>Elizabeth Holmes</t>
  </si>
  <si>
    <t>TID000857</t>
  </si>
  <si>
    <t>Nicole Phillips</t>
  </si>
  <si>
    <t>TID000858</t>
  </si>
  <si>
    <t>Steven Blevins</t>
  </si>
  <si>
    <t>TID000859</t>
  </si>
  <si>
    <t>Brian Porter MD</t>
  </si>
  <si>
    <t>TID000860</t>
  </si>
  <si>
    <t>Vanessa Hatfield</t>
  </si>
  <si>
    <t>TID000861</t>
  </si>
  <si>
    <t>Bonnie Valencia</t>
  </si>
  <si>
    <t>TID000862</t>
  </si>
  <si>
    <t>Holly Vega</t>
  </si>
  <si>
    <t>TID000863</t>
  </si>
  <si>
    <t>Tiffany Townsend</t>
  </si>
  <si>
    <t>TID000864</t>
  </si>
  <si>
    <t>Austin Baker</t>
  </si>
  <si>
    <t>TID000865</t>
  </si>
  <si>
    <t>Antonio Mccormick</t>
  </si>
  <si>
    <t>TID000866</t>
  </si>
  <si>
    <t>Lori Mason</t>
  </si>
  <si>
    <t>TID000867</t>
  </si>
  <si>
    <t>TID000868</t>
  </si>
  <si>
    <t>Lisa Ramirez</t>
  </si>
  <si>
    <t>TID000869</t>
  </si>
  <si>
    <t>Jorge Harris</t>
  </si>
  <si>
    <t>TID000870</t>
  </si>
  <si>
    <t>Kimberly Myers</t>
  </si>
  <si>
    <t>TID000871</t>
  </si>
  <si>
    <t>Sandra Becker</t>
  </si>
  <si>
    <t>TID000872</t>
  </si>
  <si>
    <t>Michael Blair</t>
  </si>
  <si>
    <t>TID000873</t>
  </si>
  <si>
    <t>Amy Miller</t>
  </si>
  <si>
    <t>TID000874</t>
  </si>
  <si>
    <t>Jesse Lynch</t>
  </si>
  <si>
    <t>TID000875</t>
  </si>
  <si>
    <t>Patrick Yang</t>
  </si>
  <si>
    <t>TID000876</t>
  </si>
  <si>
    <t>Michael Miles</t>
  </si>
  <si>
    <t>TID000877</t>
  </si>
  <si>
    <t>Troy Mills</t>
  </si>
  <si>
    <t>TID000878</t>
  </si>
  <si>
    <t>Michelle Jackson</t>
  </si>
  <si>
    <t>TID000879</t>
  </si>
  <si>
    <t>Richard Adams</t>
  </si>
  <si>
    <t>TID000880</t>
  </si>
  <si>
    <t>Patricia Johnson</t>
  </si>
  <si>
    <t>TID000881</t>
  </si>
  <si>
    <t>Denise Brown</t>
  </si>
  <si>
    <t>TID000882</t>
  </si>
  <si>
    <t>Laura Jones</t>
  </si>
  <si>
    <t>TID000883</t>
  </si>
  <si>
    <t>Ian Porter</t>
  </si>
  <si>
    <t>TID000884</t>
  </si>
  <si>
    <t>Holly Scott</t>
  </si>
  <si>
    <t>TID000885</t>
  </si>
  <si>
    <t>Kenneth Sharp</t>
  </si>
  <si>
    <t>TID000886</t>
  </si>
  <si>
    <t>Jordan Williams</t>
  </si>
  <si>
    <t>TID000887</t>
  </si>
  <si>
    <t>Dana Ruiz</t>
  </si>
  <si>
    <t>TID000888</t>
  </si>
  <si>
    <t>Chris Velazquez</t>
  </si>
  <si>
    <t>TID000889</t>
  </si>
  <si>
    <t>Kristen Sloan</t>
  </si>
  <si>
    <t>TID000890</t>
  </si>
  <si>
    <t>Jennifer Morris</t>
  </si>
  <si>
    <t>TID000891</t>
  </si>
  <si>
    <t>Nathan Nelson</t>
  </si>
  <si>
    <t>TID000892</t>
  </si>
  <si>
    <t>Jake Shaw</t>
  </si>
  <si>
    <t>TID000893</t>
  </si>
  <si>
    <t>Cassie Brock</t>
  </si>
  <si>
    <t>TID000894</t>
  </si>
  <si>
    <t>Dr. Andrea Marshall</t>
  </si>
  <si>
    <t>TID000895</t>
  </si>
  <si>
    <t>Ryan Murphy</t>
  </si>
  <si>
    <t>TID000896</t>
  </si>
  <si>
    <t>Aimee Gonzalez</t>
  </si>
  <si>
    <t>TID000897</t>
  </si>
  <si>
    <t>Elizabeth Dean</t>
  </si>
  <si>
    <t>TID000898</t>
  </si>
  <si>
    <t>Kevin Snyder</t>
  </si>
  <si>
    <t>TID000899</t>
  </si>
  <si>
    <t>Christie Mccullough</t>
  </si>
  <si>
    <t>TID000900</t>
  </si>
  <si>
    <t>Danielle Smith</t>
  </si>
  <si>
    <t>TID000901</t>
  </si>
  <si>
    <t>David Reed</t>
  </si>
  <si>
    <t>TID000902</t>
  </si>
  <si>
    <t>Sherry Tapia</t>
  </si>
  <si>
    <t>TID000903</t>
  </si>
  <si>
    <t>Matthew Sweeney</t>
  </si>
  <si>
    <t>TID000904</t>
  </si>
  <si>
    <t>Ashley Moreno</t>
  </si>
  <si>
    <t>TID000905</t>
  </si>
  <si>
    <t>Johnathan Brown</t>
  </si>
  <si>
    <t>TID000906</t>
  </si>
  <si>
    <t>Michelle Davis DVM</t>
  </si>
  <si>
    <t>TID000907</t>
  </si>
  <si>
    <t>Kelly Haynes</t>
  </si>
  <si>
    <t>TID000908</t>
  </si>
  <si>
    <t>William Miller</t>
  </si>
  <si>
    <t>TID000909</t>
  </si>
  <si>
    <t>Casey Wilkins</t>
  </si>
  <si>
    <t>TID000910</t>
  </si>
  <si>
    <t>Keith Graham</t>
  </si>
  <si>
    <t>TID000911</t>
  </si>
  <si>
    <t>Cynthia Green</t>
  </si>
  <si>
    <t>TID000912</t>
  </si>
  <si>
    <t>Robert Haynes</t>
  </si>
  <si>
    <t>TID000913</t>
  </si>
  <si>
    <t>Emily Nelson</t>
  </si>
  <si>
    <t>TID000914</t>
  </si>
  <si>
    <t>Dale Chan</t>
  </si>
  <si>
    <t>TID000915</t>
  </si>
  <si>
    <t>Brittney Martin</t>
  </si>
  <si>
    <t>TID000916</t>
  </si>
  <si>
    <t>Jason Herrera</t>
  </si>
  <si>
    <t>TID000917</t>
  </si>
  <si>
    <t>Christine Parker</t>
  </si>
  <si>
    <t>TID000918</t>
  </si>
  <si>
    <t>Bryan Moore</t>
  </si>
  <si>
    <t>TID000919</t>
  </si>
  <si>
    <t>Samantha Terry</t>
  </si>
  <si>
    <t>TID000920</t>
  </si>
  <si>
    <t>Russell Murphy</t>
  </si>
  <si>
    <t>TID000921</t>
  </si>
  <si>
    <t>David Kelly</t>
  </si>
  <si>
    <t>TID000922</t>
  </si>
  <si>
    <t>Megan Green</t>
  </si>
  <si>
    <t>TID000923</t>
  </si>
  <si>
    <t>Amanda Sullivan MD</t>
  </si>
  <si>
    <t>TID000924</t>
  </si>
  <si>
    <t>Danielle Murray</t>
  </si>
  <si>
    <t>TID000925</t>
  </si>
  <si>
    <t>Brenda Smith</t>
  </si>
  <si>
    <t>TID000926</t>
  </si>
  <si>
    <t>Vickie Anderson</t>
  </si>
  <si>
    <t>TID000927</t>
  </si>
  <si>
    <t>Jacqueline Mccoy</t>
  </si>
  <si>
    <t>TID000928</t>
  </si>
  <si>
    <t>Lauren Green</t>
  </si>
  <si>
    <t>TID000929</t>
  </si>
  <si>
    <t>Alison Brown</t>
  </si>
  <si>
    <t>TID000930</t>
  </si>
  <si>
    <t>Jill Anderson</t>
  </si>
  <si>
    <t>TID000931</t>
  </si>
  <si>
    <t>Sandra Rivera</t>
  </si>
  <si>
    <t>TID000932</t>
  </si>
  <si>
    <t>Joel Jackson</t>
  </si>
  <si>
    <t>TID000933</t>
  </si>
  <si>
    <t>Samantha Foster</t>
  </si>
  <si>
    <t>TID000934</t>
  </si>
  <si>
    <t>Michael Thompson</t>
  </si>
  <si>
    <t>TID000935</t>
  </si>
  <si>
    <t>Cody Ramirez</t>
  </si>
  <si>
    <t>TID000936</t>
  </si>
  <si>
    <t>Amanda Harvey</t>
  </si>
  <si>
    <t>TID000937</t>
  </si>
  <si>
    <t>Edward Jenkins</t>
  </si>
  <si>
    <t>TID000938</t>
  </si>
  <si>
    <t>Amy Ramirez</t>
  </si>
  <si>
    <t>TID000939</t>
  </si>
  <si>
    <t>Curtis Wilkerson</t>
  </si>
  <si>
    <t>TID000940</t>
  </si>
  <si>
    <t>Lydia Pham</t>
  </si>
  <si>
    <t>TID000941</t>
  </si>
  <si>
    <t>Virginia Casey</t>
  </si>
  <si>
    <t>TID000942</t>
  </si>
  <si>
    <t>Joshua Washington</t>
  </si>
  <si>
    <t>TID000943</t>
  </si>
  <si>
    <t>Kathryn Price</t>
  </si>
  <si>
    <t>TID000944</t>
  </si>
  <si>
    <t>Francis Robinson</t>
  </si>
  <si>
    <t>TID000945</t>
  </si>
  <si>
    <t>Paula Brown</t>
  </si>
  <si>
    <t>TID000946</t>
  </si>
  <si>
    <t>Kendra Wang DVM</t>
  </si>
  <si>
    <t>TID000947</t>
  </si>
  <si>
    <t>Ariel Sandoval</t>
  </si>
  <si>
    <t>TID000948</t>
  </si>
  <si>
    <t>Robert Stark</t>
  </si>
  <si>
    <t>TID000949</t>
  </si>
  <si>
    <t>Zachary Robinson</t>
  </si>
  <si>
    <t>TID000950</t>
  </si>
  <si>
    <t>Rebecca Kelly</t>
  </si>
  <si>
    <t>TID000951</t>
  </si>
  <si>
    <t>Sarah Thompson</t>
  </si>
  <si>
    <t>TID000952</t>
  </si>
  <si>
    <t>Renee Wolfe</t>
  </si>
  <si>
    <t>TID000953</t>
  </si>
  <si>
    <t>Alyssa Haynes</t>
  </si>
  <si>
    <t>TID000954</t>
  </si>
  <si>
    <t>Kristy Hart</t>
  </si>
  <si>
    <t>TID000955</t>
  </si>
  <si>
    <t>William Keith</t>
  </si>
  <si>
    <t>TID000956</t>
  </si>
  <si>
    <t>Eric Henry Jr.</t>
  </si>
  <si>
    <t>TID000957</t>
  </si>
  <si>
    <t>Daniel Fox</t>
  </si>
  <si>
    <t>TID000958</t>
  </si>
  <si>
    <t>Thomas Harris</t>
  </si>
  <si>
    <t>TID000959</t>
  </si>
  <si>
    <t>Mitchell Sellers</t>
  </si>
  <si>
    <t>TID000960</t>
  </si>
  <si>
    <t>Erica Johnson</t>
  </si>
  <si>
    <t>TID000961</t>
  </si>
  <si>
    <t>Sylvia Schroeder</t>
  </si>
  <si>
    <t>TID000962</t>
  </si>
  <si>
    <t>Shannon Yu</t>
  </si>
  <si>
    <t>TID000963</t>
  </si>
  <si>
    <t>Tom Foster</t>
  </si>
  <si>
    <t>TID000964</t>
  </si>
  <si>
    <t>Eric Taylor</t>
  </si>
  <si>
    <t>TID000965</t>
  </si>
  <si>
    <t>Travis Conner</t>
  </si>
  <si>
    <t>TID000966</t>
  </si>
  <si>
    <t>Marie Thompson</t>
  </si>
  <si>
    <t>TID000967</t>
  </si>
  <si>
    <t>Melissa Mcfarland</t>
  </si>
  <si>
    <t>TID000968</t>
  </si>
  <si>
    <t>Courtney Chapman</t>
  </si>
  <si>
    <t>TID000969</t>
  </si>
  <si>
    <t>Eric Barker</t>
  </si>
  <si>
    <t>TID000970</t>
  </si>
  <si>
    <t>Nicholas Rush</t>
  </si>
  <si>
    <t>TID000971</t>
  </si>
  <si>
    <t>Jenna Gamble</t>
  </si>
  <si>
    <t>TID000972</t>
  </si>
  <si>
    <t>Amanda Guzman</t>
  </si>
  <si>
    <t>TID000973</t>
  </si>
  <si>
    <t>Tracy Walker</t>
  </si>
  <si>
    <t>TID000974</t>
  </si>
  <si>
    <t>Taylor Taylor</t>
  </si>
  <si>
    <t>TID000975</t>
  </si>
  <si>
    <t>Cynthia Haas</t>
  </si>
  <si>
    <t>TID000976</t>
  </si>
  <si>
    <t>Stephen Davis</t>
  </si>
  <si>
    <t>TID000977</t>
  </si>
  <si>
    <t>Margaret Tanner</t>
  </si>
  <si>
    <t>TID000978</t>
  </si>
  <si>
    <t>Derek Wright</t>
  </si>
  <si>
    <t>TID000979</t>
  </si>
  <si>
    <t>David Rodriguez</t>
  </si>
  <si>
    <t>TID000980</t>
  </si>
  <si>
    <t>James Oconnor</t>
  </si>
  <si>
    <t>TID000981</t>
  </si>
  <si>
    <t>Stacey Snyder</t>
  </si>
  <si>
    <t>TID000982</t>
  </si>
  <si>
    <t>Joshua Garcia</t>
  </si>
  <si>
    <t>TID000983</t>
  </si>
  <si>
    <t>Sean Curtis</t>
  </si>
  <si>
    <t>TID000984</t>
  </si>
  <si>
    <t>Carla Jones</t>
  </si>
  <si>
    <t>TID000985</t>
  </si>
  <si>
    <t>Elizabeth Flores</t>
  </si>
  <si>
    <t>TID000986</t>
  </si>
  <si>
    <t>Angela Jackson</t>
  </si>
  <si>
    <t>TID000987</t>
  </si>
  <si>
    <t>Nicholas Payne</t>
  </si>
  <si>
    <t>TID000988</t>
  </si>
  <si>
    <t>Anna Wheeler</t>
  </si>
  <si>
    <t>TID000989</t>
  </si>
  <si>
    <t>Karen Johnson</t>
  </si>
  <si>
    <t>TID000990</t>
  </si>
  <si>
    <t>Carmen Preston</t>
  </si>
  <si>
    <t>TID000991</t>
  </si>
  <si>
    <t>Brian Harris</t>
  </si>
  <si>
    <t>TID000992</t>
  </si>
  <si>
    <t>Michael Bowen</t>
  </si>
  <si>
    <t>TID000993</t>
  </si>
  <si>
    <t>Deborah Campbell</t>
  </si>
  <si>
    <t>TID000994</t>
  </si>
  <si>
    <t>Anthony Armstrong</t>
  </si>
  <si>
    <t>TID000995</t>
  </si>
  <si>
    <t>Brittany Ward</t>
  </si>
  <si>
    <t>TID000996</t>
  </si>
  <si>
    <t>Edward Stanley</t>
  </si>
  <si>
    <t>TID000997</t>
  </si>
  <si>
    <t>Christina Johnson</t>
  </si>
  <si>
    <t>TID000998</t>
  </si>
  <si>
    <t>Edgar Miller</t>
  </si>
  <si>
    <t>TID000999</t>
  </si>
  <si>
    <t>Elizabeth Sanders</t>
  </si>
  <si>
    <t>TID001000</t>
  </si>
  <si>
    <t>Matthew Davis MD</t>
  </si>
  <si>
    <t>TID001001</t>
  </si>
  <si>
    <t>Stephen Wood</t>
  </si>
  <si>
    <t>TID001002</t>
  </si>
  <si>
    <t>Dennis Marshall</t>
  </si>
  <si>
    <t>TID001003</t>
  </si>
  <si>
    <t>Derrick Brown</t>
  </si>
  <si>
    <t>TID001004</t>
  </si>
  <si>
    <t>TID001005</t>
  </si>
  <si>
    <t>Joshua Arellano</t>
  </si>
  <si>
    <t>TID001006</t>
  </si>
  <si>
    <t>Kristen Randall</t>
  </si>
  <si>
    <t>TID001007</t>
  </si>
  <si>
    <t>Jennifer Nichols</t>
  </si>
  <si>
    <t>TID001008</t>
  </si>
  <si>
    <t>Karen Keith</t>
  </si>
  <si>
    <t>TID001009</t>
  </si>
  <si>
    <t>Blake Orr</t>
  </si>
  <si>
    <t>TID001010</t>
  </si>
  <si>
    <t>Kathryn Lester</t>
  </si>
  <si>
    <t>TID001011</t>
  </si>
  <si>
    <t>Megan Oliver</t>
  </si>
  <si>
    <t>TID001012</t>
  </si>
  <si>
    <t>Peter Thompson</t>
  </si>
  <si>
    <t>TID001013</t>
  </si>
  <si>
    <t>Dr. Rhonda Martinez</t>
  </si>
  <si>
    <t>TID001014</t>
  </si>
  <si>
    <t>William Graham</t>
  </si>
  <si>
    <t>TID001015</t>
  </si>
  <si>
    <t>Lori Flowers MD</t>
  </si>
  <si>
    <t>TID001016</t>
  </si>
  <si>
    <t>Suzanne Jones</t>
  </si>
  <si>
    <t>TID001017</t>
  </si>
  <si>
    <t>James Nguyen</t>
  </si>
  <si>
    <t>TID001018</t>
  </si>
  <si>
    <t>Jimmy Marks</t>
  </si>
  <si>
    <t>TID001019</t>
  </si>
  <si>
    <t>Lisa Mills</t>
  </si>
  <si>
    <t>TID001020</t>
  </si>
  <si>
    <t>Jason Hernandez</t>
  </si>
  <si>
    <t>TID001021</t>
  </si>
  <si>
    <t>Olivia Ayers</t>
  </si>
  <si>
    <t>TID001022</t>
  </si>
  <si>
    <t>Kristine Garcia</t>
  </si>
  <si>
    <t>TID001023</t>
  </si>
  <si>
    <t>Joseph Cooper</t>
  </si>
  <si>
    <t>TID001024</t>
  </si>
  <si>
    <t>James Washington</t>
  </si>
  <si>
    <t>TID001025</t>
  </si>
  <si>
    <t>Amanda Hill</t>
  </si>
  <si>
    <t>TID001026</t>
  </si>
  <si>
    <t>Lee Steele</t>
  </si>
  <si>
    <t>TID001027</t>
  </si>
  <si>
    <t>Steve Rivera</t>
  </si>
  <si>
    <t>TID001028</t>
  </si>
  <si>
    <t>Patrick Mccall</t>
  </si>
  <si>
    <t>TID001029</t>
  </si>
  <si>
    <t>Alicia Roth</t>
  </si>
  <si>
    <t>TID001030</t>
  </si>
  <si>
    <t>Douglas Vasquez</t>
  </si>
  <si>
    <t>TID001031</t>
  </si>
  <si>
    <t>Annette Melton</t>
  </si>
  <si>
    <t>TID001032</t>
  </si>
  <si>
    <t>William Ramos</t>
  </si>
  <si>
    <t>TID001033</t>
  </si>
  <si>
    <t>Debra Butler</t>
  </si>
  <si>
    <t>TID001034</t>
  </si>
  <si>
    <t>Chelsea Lewis</t>
  </si>
  <si>
    <t>TID001035</t>
  </si>
  <si>
    <t>Natalie Malone</t>
  </si>
  <si>
    <t>TID001036</t>
  </si>
  <si>
    <t>TID001037</t>
  </si>
  <si>
    <t>Eric Hunter</t>
  </si>
  <si>
    <t>TID001038</t>
  </si>
  <si>
    <t>Samuel Suarez</t>
  </si>
  <si>
    <t>TID001039</t>
  </si>
  <si>
    <t>Corey Whitaker</t>
  </si>
  <si>
    <t>TID001040</t>
  </si>
  <si>
    <t>Danielle Bryant</t>
  </si>
  <si>
    <t>TID001041</t>
  </si>
  <si>
    <t>Michele Hill</t>
  </si>
  <si>
    <t>TID001042</t>
  </si>
  <si>
    <t>Kathy Reid</t>
  </si>
  <si>
    <t>TID001043</t>
  </si>
  <si>
    <t>Andre Watson</t>
  </si>
  <si>
    <t>TID001044</t>
  </si>
  <si>
    <t>Cassandra Harrell</t>
  </si>
  <si>
    <t>TID001045</t>
  </si>
  <si>
    <t>Hannah Martin</t>
  </si>
  <si>
    <t>TID001046</t>
  </si>
  <si>
    <t>Nicole Barker</t>
  </si>
  <si>
    <t>TID001047</t>
  </si>
  <si>
    <t>James Martin</t>
  </si>
  <si>
    <t>TID001048</t>
  </si>
  <si>
    <t>Traci Vincent</t>
  </si>
  <si>
    <t>TID001049</t>
  </si>
  <si>
    <t>Megan Adams</t>
  </si>
  <si>
    <t>TID001050</t>
  </si>
  <si>
    <t>Alejandro Deleon</t>
  </si>
  <si>
    <t>TID001051</t>
  </si>
  <si>
    <t>Alexa Buck</t>
  </si>
  <si>
    <t>TID001052</t>
  </si>
  <si>
    <t>Lindsay Smith</t>
  </si>
  <si>
    <t>TID001053</t>
  </si>
  <si>
    <t>Robert Torres</t>
  </si>
  <si>
    <t>TID001054</t>
  </si>
  <si>
    <t>Maria Coleman</t>
  </si>
  <si>
    <t>TID001055</t>
  </si>
  <si>
    <t>Gregory King</t>
  </si>
  <si>
    <t>TID001056</t>
  </si>
  <si>
    <t>Michael Holloway</t>
  </si>
  <si>
    <t>TID001057</t>
  </si>
  <si>
    <t>Brian Hunt</t>
  </si>
  <si>
    <t>TID001058</t>
  </si>
  <si>
    <t>Sarah Brooks</t>
  </si>
  <si>
    <t>TID001059</t>
  </si>
  <si>
    <t>Lisa Evans</t>
  </si>
  <si>
    <t>TID001060</t>
  </si>
  <si>
    <t>Arthur Mcneil</t>
  </si>
  <si>
    <t>TID001061</t>
  </si>
  <si>
    <t>Shannon Green</t>
  </si>
  <si>
    <t>TID001062</t>
  </si>
  <si>
    <t>Stephanie Evans</t>
  </si>
  <si>
    <t>TID001063</t>
  </si>
  <si>
    <t>Ralph Yoder</t>
  </si>
  <si>
    <t>TID001064</t>
  </si>
  <si>
    <t>Rebekah Greene</t>
  </si>
  <si>
    <t>TID001065</t>
  </si>
  <si>
    <t>Melanie Griffith</t>
  </si>
  <si>
    <t>TID001066</t>
  </si>
  <si>
    <t>Yolanda Green</t>
  </si>
  <si>
    <t>TID001067</t>
  </si>
  <si>
    <t>James Johnson</t>
  </si>
  <si>
    <t>TID001068</t>
  </si>
  <si>
    <t>Laura Lee</t>
  </si>
  <si>
    <t>TID001069</t>
  </si>
  <si>
    <t>Courtney Nichols</t>
  </si>
  <si>
    <t>TID001070</t>
  </si>
  <si>
    <t>Susan Powers</t>
  </si>
  <si>
    <t>TID001071</t>
  </si>
  <si>
    <t>Sarah Pittman</t>
  </si>
  <si>
    <t>TID001072</t>
  </si>
  <si>
    <t>Catherine Davis</t>
  </si>
  <si>
    <t>TID001073</t>
  </si>
  <si>
    <t>David Stokes</t>
  </si>
  <si>
    <t>TID001074</t>
  </si>
  <si>
    <t>Catherine Frazier</t>
  </si>
  <si>
    <t>TID001075</t>
  </si>
  <si>
    <t>Brandon Kelly</t>
  </si>
  <si>
    <t>TID001076</t>
  </si>
  <si>
    <t>Elizabeth French</t>
  </si>
  <si>
    <t>TID001077</t>
  </si>
  <si>
    <t>David Carter</t>
  </si>
  <si>
    <t>TID001078</t>
  </si>
  <si>
    <t>Julie Delacruz</t>
  </si>
  <si>
    <t>TID001079</t>
  </si>
  <si>
    <t>Terry Jones</t>
  </si>
  <si>
    <t>TID001080</t>
  </si>
  <si>
    <t>Kathryn Dillon</t>
  </si>
  <si>
    <t>TID001081</t>
  </si>
  <si>
    <t>Edwin Brown</t>
  </si>
  <si>
    <t>TID001082</t>
  </si>
  <si>
    <t>Brenda Gonzalez</t>
  </si>
  <si>
    <t>TID001083</t>
  </si>
  <si>
    <t>Keith Knox</t>
  </si>
  <si>
    <t>TID001084</t>
  </si>
  <si>
    <t>Eugene Baldwin</t>
  </si>
  <si>
    <t>TID001085</t>
  </si>
  <si>
    <t>Katherine Welch</t>
  </si>
  <si>
    <t>TID001086</t>
  </si>
  <si>
    <t>Mark Smith</t>
  </si>
  <si>
    <t>TID001087</t>
  </si>
  <si>
    <t>Philip Jackson</t>
  </si>
  <si>
    <t>TID001088</t>
  </si>
  <si>
    <t>Katherine Gallagher</t>
  </si>
  <si>
    <t>TID001089</t>
  </si>
  <si>
    <t>Lucas Schultz</t>
  </si>
  <si>
    <t>TID001090</t>
  </si>
  <si>
    <t>Vincent Reyes</t>
  </si>
  <si>
    <t>TID001091</t>
  </si>
  <si>
    <t>Curtis Watson</t>
  </si>
  <si>
    <t>TID001092</t>
  </si>
  <si>
    <t>Frank Whitaker</t>
  </si>
  <si>
    <t>TID001093</t>
  </si>
  <si>
    <t>Michael Sims</t>
  </si>
  <si>
    <t>TID001094</t>
  </si>
  <si>
    <t>TID001095</t>
  </si>
  <si>
    <t>James Chapman</t>
  </si>
  <si>
    <t>TID001096</t>
  </si>
  <si>
    <t>Rodney Evans</t>
  </si>
  <si>
    <t>TID001097</t>
  </si>
  <si>
    <t>Nicholas Carlson</t>
  </si>
  <si>
    <t>TID001098</t>
  </si>
  <si>
    <t>Stephen Cowan</t>
  </si>
  <si>
    <t>TID001099</t>
  </si>
  <si>
    <t>Steven Howard</t>
  </si>
  <si>
    <t>TID001100</t>
  </si>
  <si>
    <t>Travis Hull</t>
  </si>
  <si>
    <t>TID001101</t>
  </si>
  <si>
    <t>Darryl Acosta</t>
  </si>
  <si>
    <t>TID001102</t>
  </si>
  <si>
    <t>Nicholas Lawrence</t>
  </si>
  <si>
    <t>TID001103</t>
  </si>
  <si>
    <t>Jacob Santos</t>
  </si>
  <si>
    <t>TID001104</t>
  </si>
  <si>
    <t>Shawn Scott</t>
  </si>
  <si>
    <t>TID001105</t>
  </si>
  <si>
    <t>Amber Vang</t>
  </si>
  <si>
    <t>TID001106</t>
  </si>
  <si>
    <t>Martha Smith</t>
  </si>
  <si>
    <t>TID001107</t>
  </si>
  <si>
    <t>Jennifer James</t>
  </si>
  <si>
    <t>TID001108</t>
  </si>
  <si>
    <t>Kara Hernandez</t>
  </si>
  <si>
    <t>TID001109</t>
  </si>
  <si>
    <t>Lorraine Turner</t>
  </si>
  <si>
    <t>TID001110</t>
  </si>
  <si>
    <t>Mary Nelson</t>
  </si>
  <si>
    <t>TID001111</t>
  </si>
  <si>
    <t>Breanna Rivas</t>
  </si>
  <si>
    <t>TID001112</t>
  </si>
  <si>
    <t>Nathan Wilson</t>
  </si>
  <si>
    <t>TID001113</t>
  </si>
  <si>
    <t>Brian Gonzalez</t>
  </si>
  <si>
    <t>TID001114</t>
  </si>
  <si>
    <t>Dennis Mills</t>
  </si>
  <si>
    <t>TID001115</t>
  </si>
  <si>
    <t>Michael Phillips</t>
  </si>
  <si>
    <t>TID001116</t>
  </si>
  <si>
    <t>Jon Clark</t>
  </si>
  <si>
    <t>TID001117</t>
  </si>
  <si>
    <t>Erin Smith</t>
  </si>
  <si>
    <t>TID001118</t>
  </si>
  <si>
    <t>Susan Conley</t>
  </si>
  <si>
    <t>TID001119</t>
  </si>
  <si>
    <t>Brittany Davis</t>
  </si>
  <si>
    <t>TID001120</t>
  </si>
  <si>
    <t>Misty Garcia</t>
  </si>
  <si>
    <t>TID001121</t>
  </si>
  <si>
    <t>David Hinton</t>
  </si>
  <si>
    <t>TID001122</t>
  </si>
  <si>
    <t>John Garcia</t>
  </si>
  <si>
    <t>TID001123</t>
  </si>
  <si>
    <t>Andrew Roberts</t>
  </si>
  <si>
    <t>TID001124</t>
  </si>
  <si>
    <t>Emily Rodgers</t>
  </si>
  <si>
    <t>TID001125</t>
  </si>
  <si>
    <t>Peter Williams</t>
  </si>
  <si>
    <t>TID001126</t>
  </si>
  <si>
    <t>Mary Jackson</t>
  </si>
  <si>
    <t>TID001127</t>
  </si>
  <si>
    <t>Jeffrey Howell</t>
  </si>
  <si>
    <t>TID001128</t>
  </si>
  <si>
    <t>Anna Briggs</t>
  </si>
  <si>
    <t>TID001129</t>
  </si>
  <si>
    <t>James Rivers</t>
  </si>
  <si>
    <t>TID001130</t>
  </si>
  <si>
    <t>James Jefferson</t>
  </si>
  <si>
    <t>TID001131</t>
  </si>
  <si>
    <t>Mariah Robles</t>
  </si>
  <si>
    <t>TID001132</t>
  </si>
  <si>
    <t>Michael Brown</t>
  </si>
  <si>
    <t>TID001133</t>
  </si>
  <si>
    <t>Caitlin Perry</t>
  </si>
  <si>
    <t>TID001134</t>
  </si>
  <si>
    <t>Rebekah Gregory</t>
  </si>
  <si>
    <t>TID001135</t>
  </si>
  <si>
    <t>James Howard</t>
  </si>
  <si>
    <t>TID001136</t>
  </si>
  <si>
    <t>Michael Roberson</t>
  </si>
  <si>
    <t>TID001137</t>
  </si>
  <si>
    <t>Bianca Knapp</t>
  </si>
  <si>
    <t>TID001138</t>
  </si>
  <si>
    <t>Jason Williams</t>
  </si>
  <si>
    <t>TID001139</t>
  </si>
  <si>
    <t>Ernest Bush</t>
  </si>
  <si>
    <t>TID001140</t>
  </si>
  <si>
    <t>Patricia Ray</t>
  </si>
  <si>
    <t>TID001141</t>
  </si>
  <si>
    <t>Vanessa Santiago</t>
  </si>
  <si>
    <t>TID001142</t>
  </si>
  <si>
    <t>Joseph Haynes</t>
  </si>
  <si>
    <t>TID001143</t>
  </si>
  <si>
    <t>Matthew Wright</t>
  </si>
  <si>
    <t>TID001144</t>
  </si>
  <si>
    <t>Michael Cruz</t>
  </si>
  <si>
    <t>TID001145</t>
  </si>
  <si>
    <t>Kristin Huerta</t>
  </si>
  <si>
    <t>TID001146</t>
  </si>
  <si>
    <t>Mason Moore</t>
  </si>
  <si>
    <t>TID001147</t>
  </si>
  <si>
    <t>Sarah Booth</t>
  </si>
  <si>
    <t>TID001148</t>
  </si>
  <si>
    <t>John Allen</t>
  </si>
  <si>
    <t>TID001149</t>
  </si>
  <si>
    <t>Amber Walker</t>
  </si>
  <si>
    <t>TID001150</t>
  </si>
  <si>
    <t>Jennifer Young</t>
  </si>
  <si>
    <t>TID001151</t>
  </si>
  <si>
    <t>Robert West</t>
  </si>
  <si>
    <t>TID001152</t>
  </si>
  <si>
    <t>Jillian Wilson</t>
  </si>
  <si>
    <t>TID001153</t>
  </si>
  <si>
    <t>Matthew Garcia MD</t>
  </si>
  <si>
    <t>TID001154</t>
  </si>
  <si>
    <t>April Davis</t>
  </si>
  <si>
    <t>TID001155</t>
  </si>
  <si>
    <t>Lisa Torres</t>
  </si>
  <si>
    <t>TID001156</t>
  </si>
  <si>
    <t>Christine Powers</t>
  </si>
  <si>
    <t>TID001157</t>
  </si>
  <si>
    <t>Heidi Brown</t>
  </si>
  <si>
    <t>TID001158</t>
  </si>
  <si>
    <t>Jesse Castro</t>
  </si>
  <si>
    <t>TID001159</t>
  </si>
  <si>
    <t>Kara Sandoval</t>
  </si>
  <si>
    <t>TID001160</t>
  </si>
  <si>
    <t>Ashley Malone</t>
  </si>
  <si>
    <t>TID001161</t>
  </si>
  <si>
    <t>Glenn Gallegos</t>
  </si>
  <si>
    <t>TID001162</t>
  </si>
  <si>
    <t>Dorothy Boyd</t>
  </si>
  <si>
    <t>TID001163</t>
  </si>
  <si>
    <t>Amber Martin</t>
  </si>
  <si>
    <t>TID001164</t>
  </si>
  <si>
    <t>Mitchell Griffith</t>
  </si>
  <si>
    <t>TID001165</t>
  </si>
  <si>
    <t>Levi Lopez</t>
  </si>
  <si>
    <t>TID001166</t>
  </si>
  <si>
    <t>Jenna Bryant</t>
  </si>
  <si>
    <t>TID001167</t>
  </si>
  <si>
    <t>Michelle Rodriguez</t>
  </si>
  <si>
    <t>TID001168</t>
  </si>
  <si>
    <t>Timothy Monroe</t>
  </si>
  <si>
    <t>TID001169</t>
  </si>
  <si>
    <t>Patricia Hayes</t>
  </si>
  <si>
    <t>TID001170</t>
  </si>
  <si>
    <t>Tina Taylor</t>
  </si>
  <si>
    <t>TID001171</t>
  </si>
  <si>
    <t>Mr. Anthony Mcconnell PhD</t>
  </si>
  <si>
    <t>TID001172</t>
  </si>
  <si>
    <t>Mr. Thomas Thompson</t>
  </si>
  <si>
    <t>TID001173</t>
  </si>
  <si>
    <t>Monica Anderson</t>
  </si>
  <si>
    <t>TID001174</t>
  </si>
  <si>
    <t>Kyle Andrade</t>
  </si>
  <si>
    <t>TID001175</t>
  </si>
  <si>
    <t>Janice Petty</t>
  </si>
  <si>
    <t>TID001176</t>
  </si>
  <si>
    <t>Pamela Hill</t>
  </si>
  <si>
    <t>TID001177</t>
  </si>
  <si>
    <t>Tracy Chavez</t>
  </si>
  <si>
    <t>TID001178</t>
  </si>
  <si>
    <t>Jason Graves</t>
  </si>
  <si>
    <t>TID001179</t>
  </si>
  <si>
    <t>Elizabeth Miles</t>
  </si>
  <si>
    <t>TID001180</t>
  </si>
  <si>
    <t>Michelle Walls</t>
  </si>
  <si>
    <t>TID001181</t>
  </si>
  <si>
    <t>Christina Weber</t>
  </si>
  <si>
    <t>TID001182</t>
  </si>
  <si>
    <t>Gregory Chambers</t>
  </si>
  <si>
    <t>TID001183</t>
  </si>
  <si>
    <t>Miss Tina Gordon</t>
  </si>
  <si>
    <t>TID001184</t>
  </si>
  <si>
    <t>Erica Wilson</t>
  </si>
  <si>
    <t>TID001185</t>
  </si>
  <si>
    <t>John Duncan</t>
  </si>
  <si>
    <t>TID001186</t>
  </si>
  <si>
    <t>TID001187</t>
  </si>
  <si>
    <t>Donna Boone</t>
  </si>
  <si>
    <t>TID001188</t>
  </si>
  <si>
    <t>Kelly Johnson</t>
  </si>
  <si>
    <t>TID001189</t>
  </si>
  <si>
    <t>Michael Gonzalez</t>
  </si>
  <si>
    <t>TID001190</t>
  </si>
  <si>
    <t>Candace Mitchell</t>
  </si>
  <si>
    <t>TID001191</t>
  </si>
  <si>
    <t>Ryan Vaughn</t>
  </si>
  <si>
    <t>TID001192</t>
  </si>
  <si>
    <t>Paul Johnson</t>
  </si>
  <si>
    <t>TID001193</t>
  </si>
  <si>
    <t>Ashley Parrish</t>
  </si>
  <si>
    <t>TID001194</t>
  </si>
  <si>
    <t>Sharon Newton</t>
  </si>
  <si>
    <t>TID001195</t>
  </si>
  <si>
    <t>Cynthia Mueller</t>
  </si>
  <si>
    <t>TID001196</t>
  </si>
  <si>
    <t>Donna Beck</t>
  </si>
  <si>
    <t>TID001197</t>
  </si>
  <si>
    <t>Jasmine Frye</t>
  </si>
  <si>
    <t>TID001198</t>
  </si>
  <si>
    <t>Emily Arnold</t>
  </si>
  <si>
    <t>TID001199</t>
  </si>
  <si>
    <t>David Oliver</t>
  </si>
  <si>
    <t>TID001200</t>
  </si>
  <si>
    <t>Sheila Greer</t>
  </si>
  <si>
    <t>TID001201</t>
  </si>
  <si>
    <t>Michele Holland</t>
  </si>
  <si>
    <t>TID001202</t>
  </si>
  <si>
    <t>Kimberly Morrison</t>
  </si>
  <si>
    <t>TID001203</t>
  </si>
  <si>
    <t>Tracey Phillips</t>
  </si>
  <si>
    <t>TID001204</t>
  </si>
  <si>
    <t>TID001205</t>
  </si>
  <si>
    <t>Jose Bennett</t>
  </si>
  <si>
    <t>TID001206</t>
  </si>
  <si>
    <t>Justin Anderson</t>
  </si>
  <si>
    <t>TID001207</t>
  </si>
  <si>
    <t>Dawn Rivera</t>
  </si>
  <si>
    <t>TID001208</t>
  </si>
  <si>
    <t>Brittney Hernandez</t>
  </si>
  <si>
    <t>TID001209</t>
  </si>
  <si>
    <t>Anthony Randolph</t>
  </si>
  <si>
    <t>TID001210</t>
  </si>
  <si>
    <t>Mary Henry</t>
  </si>
  <si>
    <t>TID001211</t>
  </si>
  <si>
    <t>Heather Bowers</t>
  </si>
  <si>
    <t>TID001212</t>
  </si>
  <si>
    <t>Daniel White</t>
  </si>
  <si>
    <t>TID001213</t>
  </si>
  <si>
    <t>Jonathan Perry</t>
  </si>
  <si>
    <t>TID001214</t>
  </si>
  <si>
    <t>Anna Walker</t>
  </si>
  <si>
    <t>TID001215</t>
  </si>
  <si>
    <t>Gary Ward</t>
  </si>
  <si>
    <t>TID001216</t>
  </si>
  <si>
    <t>Paul Moreno</t>
  </si>
  <si>
    <t>TID001217</t>
  </si>
  <si>
    <t>Samantha Zavala MD</t>
  </si>
  <si>
    <t>TID001218</t>
  </si>
  <si>
    <t>Jill Conway</t>
  </si>
  <si>
    <t>TID001219</t>
  </si>
  <si>
    <t>Lisa Haley</t>
  </si>
  <si>
    <t>TID001220</t>
  </si>
  <si>
    <t>Erica Moon</t>
  </si>
  <si>
    <t>TID001221</t>
  </si>
  <si>
    <t>Janice Fernandez</t>
  </si>
  <si>
    <t>TID001222</t>
  </si>
  <si>
    <t>Thomas Short</t>
  </si>
  <si>
    <t>TID001223</t>
  </si>
  <si>
    <t>Robert Griffin</t>
  </si>
  <si>
    <t>TID001224</t>
  </si>
  <si>
    <t>Steven Lee</t>
  </si>
  <si>
    <t>TID001225</t>
  </si>
  <si>
    <t>Tiffany Jackson</t>
  </si>
  <si>
    <t>TID001226</t>
  </si>
  <si>
    <t>Kimberly Smith</t>
  </si>
  <si>
    <t>TID001227</t>
  </si>
  <si>
    <t>Michael Ayala</t>
  </si>
  <si>
    <t>TID001228</t>
  </si>
  <si>
    <t>TID001229</t>
  </si>
  <si>
    <t>Michele Cherry</t>
  </si>
  <si>
    <t>TID001230</t>
  </si>
  <si>
    <t>Maria Case</t>
  </si>
  <si>
    <t>TID001231</t>
  </si>
  <si>
    <t>Brittany Stevens</t>
  </si>
  <si>
    <t>TID001232</t>
  </si>
  <si>
    <t>Brandon Brown</t>
  </si>
  <si>
    <t>TID001233</t>
  </si>
  <si>
    <t>Kristin Andrews</t>
  </si>
  <si>
    <t>TID001234</t>
  </si>
  <si>
    <t>David Hughes</t>
  </si>
  <si>
    <t>TID001235</t>
  </si>
  <si>
    <t>TID001236</t>
  </si>
  <si>
    <t>Kimberly May</t>
  </si>
  <si>
    <t>TID001237</t>
  </si>
  <si>
    <t>Nicole Richards</t>
  </si>
  <si>
    <t>TID001238</t>
  </si>
  <si>
    <t>Angel Reilly</t>
  </si>
  <si>
    <t>TID001239</t>
  </si>
  <si>
    <t>Richard Turner</t>
  </si>
  <si>
    <t>TID001240</t>
  </si>
  <si>
    <t>Preston Kim</t>
  </si>
  <si>
    <t>TID001241</t>
  </si>
  <si>
    <t>Matthew Wells</t>
  </si>
  <si>
    <t>TID001242</t>
  </si>
  <si>
    <t>Brandy Myers</t>
  </si>
  <si>
    <t>TID001243</t>
  </si>
  <si>
    <t>Kimberly Choi</t>
  </si>
  <si>
    <t>TID001244</t>
  </si>
  <si>
    <t>Michael Sloan</t>
  </si>
  <si>
    <t>TID001245</t>
  </si>
  <si>
    <t>Monica Brooks</t>
  </si>
  <si>
    <t>TID001246</t>
  </si>
  <si>
    <t>Kristen Peters</t>
  </si>
  <si>
    <t>TID001247</t>
  </si>
  <si>
    <t>Aaron Carlson</t>
  </si>
  <si>
    <t>TID001248</t>
  </si>
  <si>
    <t>Theresa Torres</t>
  </si>
  <si>
    <t>TID001249</t>
  </si>
  <si>
    <t>Stephanie Cooper</t>
  </si>
  <si>
    <t>TID001250</t>
  </si>
  <si>
    <t>Matthew Hunt</t>
  </si>
  <si>
    <t>TID001251</t>
  </si>
  <si>
    <t>Daniel Davenport</t>
  </si>
  <si>
    <t>TID001252</t>
  </si>
  <si>
    <t>Christopher Marsh</t>
  </si>
  <si>
    <t>TID001253</t>
  </si>
  <si>
    <t>Sarah Randolph</t>
  </si>
  <si>
    <t>TID001254</t>
  </si>
  <si>
    <t>Julia Dunn MD</t>
  </si>
  <si>
    <t>TID001255</t>
  </si>
  <si>
    <t>Brett Swanson</t>
  </si>
  <si>
    <t>TID001256</t>
  </si>
  <si>
    <t>Mr. Carl Rios</t>
  </si>
  <si>
    <t>TID001257</t>
  </si>
  <si>
    <t>Manuel Mccullough</t>
  </si>
  <si>
    <t>TID001258</t>
  </si>
  <si>
    <t>Jerry Jensen</t>
  </si>
  <si>
    <t>TID001259</t>
  </si>
  <si>
    <t>Kevin Cunningham</t>
  </si>
  <si>
    <t>TID001260</t>
  </si>
  <si>
    <t>Eugene Patterson</t>
  </si>
  <si>
    <t>TID001261</t>
  </si>
  <si>
    <t>David Walker</t>
  </si>
  <si>
    <t>TID001262</t>
  </si>
  <si>
    <t>Jessica Larsen</t>
  </si>
  <si>
    <t>TID001263</t>
  </si>
  <si>
    <t>Nicholas Humphrey</t>
  </si>
  <si>
    <t>TID001264</t>
  </si>
  <si>
    <t>Ian Torres</t>
  </si>
  <si>
    <t>TID001265</t>
  </si>
  <si>
    <t>Casey Obrien</t>
  </si>
  <si>
    <t>TID001266</t>
  </si>
  <si>
    <t>Shannon Taylor</t>
  </si>
  <si>
    <t>TID001267</t>
  </si>
  <si>
    <t>Deborah Mercado</t>
  </si>
  <si>
    <t>TID001268</t>
  </si>
  <si>
    <t>Bernard Smith</t>
  </si>
  <si>
    <t>TID001269</t>
  </si>
  <si>
    <t>Amanda Perkins</t>
  </si>
  <si>
    <t>TID001270</t>
  </si>
  <si>
    <t>Kevin Escobar</t>
  </si>
  <si>
    <t>TID001271</t>
  </si>
  <si>
    <t>Kimberly Lutz</t>
  </si>
  <si>
    <t>TID001272</t>
  </si>
  <si>
    <t>Reginald Diaz</t>
  </si>
  <si>
    <t>TID001273</t>
  </si>
  <si>
    <t>Raymond Quinn</t>
  </si>
  <si>
    <t>TID001274</t>
  </si>
  <si>
    <t>John Dixon</t>
  </si>
  <si>
    <t>TID001275</t>
  </si>
  <si>
    <t>Jonathan Bates</t>
  </si>
  <si>
    <t>TID001276</t>
  </si>
  <si>
    <t>Renee Mendez</t>
  </si>
  <si>
    <t>TID001277</t>
  </si>
  <si>
    <t>Jose Griffin</t>
  </si>
  <si>
    <t>TID001278</t>
  </si>
  <si>
    <t>Travis Hopkins</t>
  </si>
  <si>
    <t>TID001279</t>
  </si>
  <si>
    <t>Nancy Webb</t>
  </si>
  <si>
    <t>TID001280</t>
  </si>
  <si>
    <t>Daniel Freeman</t>
  </si>
  <si>
    <t>TID001281</t>
  </si>
  <si>
    <t>Jacob Williams</t>
  </si>
  <si>
    <t>TID001282</t>
  </si>
  <si>
    <t>Terry Ward</t>
  </si>
  <si>
    <t>TID001283</t>
  </si>
  <si>
    <t>Jesse Williams</t>
  </si>
  <si>
    <t>TID001284</t>
  </si>
  <si>
    <t>Mrs. Michele Boyd</t>
  </si>
  <si>
    <t>TID001285</t>
  </si>
  <si>
    <t>Sandy Baker</t>
  </si>
  <si>
    <t>TID001286</t>
  </si>
  <si>
    <t>Carrie Valdez</t>
  </si>
  <si>
    <t>TID001287</t>
  </si>
  <si>
    <t>Matthew Houston</t>
  </si>
  <si>
    <t>TID001288</t>
  </si>
  <si>
    <t>Jamie Solomon</t>
  </si>
  <si>
    <t>TID001289</t>
  </si>
  <si>
    <t>Heather Parrish</t>
  </si>
  <si>
    <t>TID001290</t>
  </si>
  <si>
    <t>Mr. Larry Shaw</t>
  </si>
  <si>
    <t>TID001291</t>
  </si>
  <si>
    <t>Christopher Jones</t>
  </si>
  <si>
    <t>TID001292</t>
  </si>
  <si>
    <t>Christine Lopez</t>
  </si>
  <si>
    <t>TID001293</t>
  </si>
  <si>
    <t>Mitchell Wilson</t>
  </si>
  <si>
    <t>TID001294</t>
  </si>
  <si>
    <t>Robert Cortez</t>
  </si>
  <si>
    <t>TID001295</t>
  </si>
  <si>
    <t>Mr. Daniel Martin</t>
  </si>
  <si>
    <t>TID001296</t>
  </si>
  <si>
    <t>Alison Williams</t>
  </si>
  <si>
    <t>TID001297</t>
  </si>
  <si>
    <t>Candace Soto</t>
  </si>
  <si>
    <t>TID001298</t>
  </si>
  <si>
    <t>Kenneth Brown</t>
  </si>
  <si>
    <t>TID001299</t>
  </si>
  <si>
    <t>Christopher Mullen</t>
  </si>
  <si>
    <t>TID001300</t>
  </si>
  <si>
    <t>Kristy Smith</t>
  </si>
  <si>
    <t>TID001301</t>
  </si>
  <si>
    <t>Mary Campbell</t>
  </si>
  <si>
    <t>TID001302</t>
  </si>
  <si>
    <t>Jerry Haney</t>
  </si>
  <si>
    <t>TID001303</t>
  </si>
  <si>
    <t>Carolyn Greer</t>
  </si>
  <si>
    <t>TID001304</t>
  </si>
  <si>
    <t>Rebecca Hoover</t>
  </si>
  <si>
    <t>TID001305</t>
  </si>
  <si>
    <t>Matthew Baker</t>
  </si>
  <si>
    <t>TID001306</t>
  </si>
  <si>
    <t>Grace Chavez</t>
  </si>
  <si>
    <t>TID001307</t>
  </si>
  <si>
    <t>Crystal Cruz</t>
  </si>
  <si>
    <t>TID001308</t>
  </si>
  <si>
    <t>Dale Heath</t>
  </si>
  <si>
    <t>TID001309</t>
  </si>
  <si>
    <t>TID001310</t>
  </si>
  <si>
    <t>John Mendez</t>
  </si>
  <si>
    <t>TID001311</t>
  </si>
  <si>
    <t>Richard Gordon</t>
  </si>
  <si>
    <t>TID001312</t>
  </si>
  <si>
    <t>TID001313</t>
  </si>
  <si>
    <t>Samantha Prince</t>
  </si>
  <si>
    <t>TID001314</t>
  </si>
  <si>
    <t>Marie Boyd</t>
  </si>
  <si>
    <t>TID001315</t>
  </si>
  <si>
    <t>Andrew Moreno</t>
  </si>
  <si>
    <t>TID001316</t>
  </si>
  <si>
    <t>Robert Clarke</t>
  </si>
  <si>
    <t>TID001317</t>
  </si>
  <si>
    <t>Kevin Figueroa</t>
  </si>
  <si>
    <t>TID001318</t>
  </si>
  <si>
    <t>Melissa Davis</t>
  </si>
  <si>
    <t>TID001319</t>
  </si>
  <si>
    <t>John Hall</t>
  </si>
  <si>
    <t>TID001320</t>
  </si>
  <si>
    <t>Diane Mcdowell</t>
  </si>
  <si>
    <t>TID001321</t>
  </si>
  <si>
    <t>Colin Fletcher</t>
  </si>
  <si>
    <t>TID001322</t>
  </si>
  <si>
    <t>Laura Wilson</t>
  </si>
  <si>
    <t>TID001323</t>
  </si>
  <si>
    <t>Matthew Watts</t>
  </si>
  <si>
    <t>TID001324</t>
  </si>
  <si>
    <t>Jack Moore</t>
  </si>
  <si>
    <t>TID001325</t>
  </si>
  <si>
    <t>Dawn Wyatt</t>
  </si>
  <si>
    <t>TID001326</t>
  </si>
  <si>
    <t>Jacob Hill</t>
  </si>
  <si>
    <t>TID001327</t>
  </si>
  <si>
    <t>Nicole Gutierrez</t>
  </si>
  <si>
    <t>TID001328</t>
  </si>
  <si>
    <t>Karen Wood</t>
  </si>
  <si>
    <t>TID001329</t>
  </si>
  <si>
    <t>Dawn Parker</t>
  </si>
  <si>
    <t>TID001330</t>
  </si>
  <si>
    <t>Michael Fitzgerald</t>
  </si>
  <si>
    <t>TID001331</t>
  </si>
  <si>
    <t>Mary Adkins</t>
  </si>
  <si>
    <t>TID001332</t>
  </si>
  <si>
    <t>Michael Martin</t>
  </si>
  <si>
    <t>TID001333</t>
  </si>
  <si>
    <t>James Morgan</t>
  </si>
  <si>
    <t>TID001334</t>
  </si>
  <si>
    <t>Melissa Mann</t>
  </si>
  <si>
    <t>TID001335</t>
  </si>
  <si>
    <t>Vincent Smith</t>
  </si>
  <si>
    <t>TID001336</t>
  </si>
  <si>
    <t>Charles Frost</t>
  </si>
  <si>
    <t>TID001337</t>
  </si>
  <si>
    <t>Austin Walker</t>
  </si>
  <si>
    <t>TID001338</t>
  </si>
  <si>
    <t>Andrew Cruz</t>
  </si>
  <si>
    <t>TID001339</t>
  </si>
  <si>
    <t>Miss Kelly Dawson</t>
  </si>
  <si>
    <t>TID001340</t>
  </si>
  <si>
    <t>Theresa Wilkins</t>
  </si>
  <si>
    <t>TID001341</t>
  </si>
  <si>
    <t>Jessica Harris</t>
  </si>
  <si>
    <t>TID001342</t>
  </si>
  <si>
    <t>Regina Mitchell</t>
  </si>
  <si>
    <t>TID001343</t>
  </si>
  <si>
    <t>Kyle Black</t>
  </si>
  <si>
    <t>TID001344</t>
  </si>
  <si>
    <t>Christopher Johnson</t>
  </si>
  <si>
    <t>TID001345</t>
  </si>
  <si>
    <t>Aaron Moore</t>
  </si>
  <si>
    <t>TID001346</t>
  </si>
  <si>
    <t>Penny Gomez MD</t>
  </si>
  <si>
    <t>TID001347</t>
  </si>
  <si>
    <t>Kelly Mclaughlin</t>
  </si>
  <si>
    <t>TID001348</t>
  </si>
  <si>
    <t>Brandon Mitchell</t>
  </si>
  <si>
    <t>TID001349</t>
  </si>
  <si>
    <t>Suzanne Bailey</t>
  </si>
  <si>
    <t>TID001350</t>
  </si>
  <si>
    <t>Destiny Obrien</t>
  </si>
  <si>
    <t>TID001351</t>
  </si>
  <si>
    <t>Timothy Andrews</t>
  </si>
  <si>
    <t>TID001352</t>
  </si>
  <si>
    <t>Jason Rodriguez</t>
  </si>
  <si>
    <t>TID001353</t>
  </si>
  <si>
    <t>Edward Arroyo</t>
  </si>
  <si>
    <t>TID001354</t>
  </si>
  <si>
    <t>Tina Walter</t>
  </si>
  <si>
    <t>TID001355</t>
  </si>
  <si>
    <t>Laura Benson</t>
  </si>
  <si>
    <t>TID001356</t>
  </si>
  <si>
    <t>Kristine Carrillo</t>
  </si>
  <si>
    <t>TID001357</t>
  </si>
  <si>
    <t>Tonya Ellis</t>
  </si>
  <si>
    <t>TID001358</t>
  </si>
  <si>
    <t>Kevin Johnson</t>
  </si>
  <si>
    <t>TID001359</t>
  </si>
  <si>
    <t>Austin Schultz</t>
  </si>
  <si>
    <t>TID001360</t>
  </si>
  <si>
    <t>Megan Hall MD</t>
  </si>
  <si>
    <t>TID001361</t>
  </si>
  <si>
    <t>Kelli Smith</t>
  </si>
  <si>
    <t>TID001362</t>
  </si>
  <si>
    <t>Danielle Davis</t>
  </si>
  <si>
    <t>TID001363</t>
  </si>
  <si>
    <t>Samantha Jones</t>
  </si>
  <si>
    <t>TID001364</t>
  </si>
  <si>
    <t>Karen Gomez</t>
  </si>
  <si>
    <t>TID001365</t>
  </si>
  <si>
    <t>Debra Valentine</t>
  </si>
  <si>
    <t>TID001366</t>
  </si>
  <si>
    <t>Susan Porter</t>
  </si>
  <si>
    <t>TID001367</t>
  </si>
  <si>
    <t>Nicolas Salas</t>
  </si>
  <si>
    <t>TID001368</t>
  </si>
  <si>
    <t>Dale Wright</t>
  </si>
  <si>
    <t>TID001369</t>
  </si>
  <si>
    <t>Brittney Rodriguez</t>
  </si>
  <si>
    <t>TID001370</t>
  </si>
  <si>
    <t>Megan Alvarado</t>
  </si>
  <si>
    <t>TID001371</t>
  </si>
  <si>
    <t>Pamela Weaver</t>
  </si>
  <si>
    <t>TID001372</t>
  </si>
  <si>
    <t>John Oliver</t>
  </si>
  <si>
    <t>TID001373</t>
  </si>
  <si>
    <t>William Prince PhD</t>
  </si>
  <si>
    <t>TID001374</t>
  </si>
  <si>
    <t>William Moon IV</t>
  </si>
  <si>
    <t>TID001375</t>
  </si>
  <si>
    <t>TID001376</t>
  </si>
  <si>
    <t>Karen Fernandez</t>
  </si>
  <si>
    <t>TID001377</t>
  </si>
  <si>
    <t>Jennifer Parks</t>
  </si>
  <si>
    <t>TID001378</t>
  </si>
  <si>
    <t>William Wolfe</t>
  </si>
  <si>
    <t>TID001379</t>
  </si>
  <si>
    <t>Michael Smith</t>
  </si>
  <si>
    <t>TID001380</t>
  </si>
  <si>
    <t>Kevin Nguyen</t>
  </si>
  <si>
    <t>TID001381</t>
  </si>
  <si>
    <t>Debbie Dunn</t>
  </si>
  <si>
    <t>TID001382</t>
  </si>
  <si>
    <t>John Austin</t>
  </si>
  <si>
    <t>TID001383</t>
  </si>
  <si>
    <t>Jonathan Clark</t>
  </si>
  <si>
    <t>TID001384</t>
  </si>
  <si>
    <t>Jacqueline Dickerson</t>
  </si>
  <si>
    <t>TID001385</t>
  </si>
  <si>
    <t>Christopher Anderson</t>
  </si>
  <si>
    <t>TID001386</t>
  </si>
  <si>
    <t>Crystal Garcia</t>
  </si>
  <si>
    <t>TID001387</t>
  </si>
  <si>
    <t>David Reynolds</t>
  </si>
  <si>
    <t>TID001388</t>
  </si>
  <si>
    <t>Charles Haley</t>
  </si>
  <si>
    <t>TID001389</t>
  </si>
  <si>
    <t>Robert Thompson</t>
  </si>
  <si>
    <t>TID001390</t>
  </si>
  <si>
    <t>Dr. Samuel Holmes DDS</t>
  </si>
  <si>
    <t>TID001391</t>
  </si>
  <si>
    <t>Elizabeth Hart</t>
  </si>
  <si>
    <t>TID001392</t>
  </si>
  <si>
    <t>Jennifer Vaughn</t>
  </si>
  <si>
    <t>TID001393</t>
  </si>
  <si>
    <t>Robert Woods</t>
  </si>
  <si>
    <t>TID001394</t>
  </si>
  <si>
    <t>Joanna Cook</t>
  </si>
  <si>
    <t>TID001395</t>
  </si>
  <si>
    <t>Justin Frederick</t>
  </si>
  <si>
    <t>TID001396</t>
  </si>
  <si>
    <t>Alejandro Martinez</t>
  </si>
  <si>
    <t>TID001397</t>
  </si>
  <si>
    <t>Tracey Gonzalez</t>
  </si>
  <si>
    <t>TID001398</t>
  </si>
  <si>
    <t>Mariah Thompson</t>
  </si>
  <si>
    <t>TID001399</t>
  </si>
  <si>
    <t>Heather Nunez</t>
  </si>
  <si>
    <t>TID001400</t>
  </si>
  <si>
    <t>Dr. Steve James</t>
  </si>
  <si>
    <t>TID001401</t>
  </si>
  <si>
    <t>Mark Thomas</t>
  </si>
  <si>
    <t>TID001402</t>
  </si>
  <si>
    <t>Robert Rogers</t>
  </si>
  <si>
    <t>TID001403</t>
  </si>
  <si>
    <t>Laura Sweeney</t>
  </si>
  <si>
    <t>TID001404</t>
  </si>
  <si>
    <t>Christopher Perez</t>
  </si>
  <si>
    <t>TID001405</t>
  </si>
  <si>
    <t>Eddie Adams</t>
  </si>
  <si>
    <t>TID001406</t>
  </si>
  <si>
    <t>Denise Wallace</t>
  </si>
  <si>
    <t>TID001407</t>
  </si>
  <si>
    <t>Heidi Matthews</t>
  </si>
  <si>
    <t>TID001408</t>
  </si>
  <si>
    <t>Jennifer White</t>
  </si>
  <si>
    <t>TID001409</t>
  </si>
  <si>
    <t>Nicholas Stanley</t>
  </si>
  <si>
    <t>TID001410</t>
  </si>
  <si>
    <t>Mercedes Miller</t>
  </si>
  <si>
    <t>TID001411</t>
  </si>
  <si>
    <t>Brian Brown</t>
  </si>
  <si>
    <t>TID001412</t>
  </si>
  <si>
    <t>Kimberly Johnson</t>
  </si>
  <si>
    <t>TID001413</t>
  </si>
  <si>
    <t>Phillip Miller</t>
  </si>
  <si>
    <t>TID001414</t>
  </si>
  <si>
    <t>Christopher Pena</t>
  </si>
  <si>
    <t>TID001415</t>
  </si>
  <si>
    <t>Ellen Wright</t>
  </si>
  <si>
    <t>TID001416</t>
  </si>
  <si>
    <t>Mark Anderson</t>
  </si>
  <si>
    <t>TID001417</t>
  </si>
  <si>
    <t>Alyssa Alvarado</t>
  </si>
  <si>
    <t>TID001418</t>
  </si>
  <si>
    <t>Erika Alvarez</t>
  </si>
  <si>
    <t>TID001419</t>
  </si>
  <si>
    <t>Kimberly Nelson</t>
  </si>
  <si>
    <t>TID001420</t>
  </si>
  <si>
    <t>Wayne Wolfe</t>
  </si>
  <si>
    <t>TID001421</t>
  </si>
  <si>
    <t>Kyle Welch</t>
  </si>
  <si>
    <t>TID001422</t>
  </si>
  <si>
    <t>Kristy Mills</t>
  </si>
  <si>
    <t>TID001423</t>
  </si>
  <si>
    <t>Emily Reed</t>
  </si>
  <si>
    <t>TID001424</t>
  </si>
  <si>
    <t>Regina Ramos</t>
  </si>
  <si>
    <t>TID001425</t>
  </si>
  <si>
    <t>David Torres</t>
  </si>
  <si>
    <t>TID001426</t>
  </si>
  <si>
    <t>Robert Charles</t>
  </si>
  <si>
    <t>TID001427</t>
  </si>
  <si>
    <t>John Smith</t>
  </si>
  <si>
    <t>TID001428</t>
  </si>
  <si>
    <t>Theresa Woods</t>
  </si>
  <si>
    <t>TID001429</t>
  </si>
  <si>
    <t>Jeffrey Carter</t>
  </si>
  <si>
    <t>TID001430</t>
  </si>
  <si>
    <t>Adam Brooks</t>
  </si>
  <si>
    <t>TID001431</t>
  </si>
  <si>
    <t>Justin Foster</t>
  </si>
  <si>
    <t>TID001432</t>
  </si>
  <si>
    <t>Omar Price</t>
  </si>
  <si>
    <t>TID001433</t>
  </si>
  <si>
    <t>Dennis Henderson</t>
  </si>
  <si>
    <t>TID001434</t>
  </si>
  <si>
    <t>Phillip Kent</t>
  </si>
  <si>
    <t>TID001435</t>
  </si>
  <si>
    <t>Melinda Mitchell</t>
  </si>
  <si>
    <t>TID001436</t>
  </si>
  <si>
    <t>Rhonda Gutierrez</t>
  </si>
  <si>
    <t>TID001437</t>
  </si>
  <si>
    <t>Catherine Roberts</t>
  </si>
  <si>
    <t>TID001438</t>
  </si>
  <si>
    <t>Lisa Nelson</t>
  </si>
  <si>
    <t>TID001439</t>
  </si>
  <si>
    <t>Chelsea Smith</t>
  </si>
  <si>
    <t>TID001440</t>
  </si>
  <si>
    <t>Joseph Lopez</t>
  </si>
  <si>
    <t>TID001441</t>
  </si>
  <si>
    <t>Derrick Espinoza</t>
  </si>
  <si>
    <t>TID001442</t>
  </si>
  <si>
    <t>Crystal Hernandez</t>
  </si>
  <si>
    <t>TID001443</t>
  </si>
  <si>
    <t>Glenn Collins DDS</t>
  </si>
  <si>
    <t>TID001444</t>
  </si>
  <si>
    <t>Mrs. Raven Rivera DVM</t>
  </si>
  <si>
    <t>TID001445</t>
  </si>
  <si>
    <t>Amy Rowe</t>
  </si>
  <si>
    <t>TID001446</t>
  </si>
  <si>
    <t>John Lee</t>
  </si>
  <si>
    <t>TID001447</t>
  </si>
  <si>
    <t>Ruth Clayton</t>
  </si>
  <si>
    <t>TID001448</t>
  </si>
  <si>
    <t>Randy Wright</t>
  </si>
  <si>
    <t>TID001449</t>
  </si>
  <si>
    <t>Jessica Rojas</t>
  </si>
  <si>
    <t>TID001450</t>
  </si>
  <si>
    <t>Joel Wise</t>
  </si>
  <si>
    <t>TID001451</t>
  </si>
  <si>
    <t>Vickie Kennedy</t>
  </si>
  <si>
    <t>TID001452</t>
  </si>
  <si>
    <t>Emily Morris</t>
  </si>
  <si>
    <t>TID001453</t>
  </si>
  <si>
    <t>Amanda Pineda</t>
  </si>
  <si>
    <t>TID001454</t>
  </si>
  <si>
    <t>Dawn Little</t>
  </si>
  <si>
    <t>TID001455</t>
  </si>
  <si>
    <t>Stephen Boyer</t>
  </si>
  <si>
    <t>TID001456</t>
  </si>
  <si>
    <t>Brian Chen</t>
  </si>
  <si>
    <t>TID001457</t>
  </si>
  <si>
    <t>Christopher Hill</t>
  </si>
  <si>
    <t>TID001458</t>
  </si>
  <si>
    <t>TID001459</t>
  </si>
  <si>
    <t>Richard Alvarez</t>
  </si>
  <si>
    <t>TID001460</t>
  </si>
  <si>
    <t>Jacqueline Davis</t>
  </si>
  <si>
    <t>TID001461</t>
  </si>
  <si>
    <t>Brandon Montgomery</t>
  </si>
  <si>
    <t>TID001462</t>
  </si>
  <si>
    <t>Yolanda Garrett</t>
  </si>
  <si>
    <t>TID001463</t>
  </si>
  <si>
    <t>Matthew Miles</t>
  </si>
  <si>
    <t>TID001464</t>
  </si>
  <si>
    <t>Beth Hall</t>
  </si>
  <si>
    <t>TID001465</t>
  </si>
  <si>
    <t>Dr. Nicole Trujillo</t>
  </si>
  <si>
    <t>TID001466</t>
  </si>
  <si>
    <t>Corey Norris</t>
  </si>
  <si>
    <t>TID001467</t>
  </si>
  <si>
    <t>Chad Roach</t>
  </si>
  <si>
    <t>TID001468</t>
  </si>
  <si>
    <t>Mr. Edward Terry</t>
  </si>
  <si>
    <t>TID001469</t>
  </si>
  <si>
    <t>Cody Bailey</t>
  </si>
  <si>
    <t>TID001470</t>
  </si>
  <si>
    <t>Denise Guerra</t>
  </si>
  <si>
    <t>TID001471</t>
  </si>
  <si>
    <t>Kristen Jones</t>
  </si>
  <si>
    <t>TID001472</t>
  </si>
  <si>
    <t>Edward Baker</t>
  </si>
  <si>
    <t>TID001473</t>
  </si>
  <si>
    <t>Aaron Little</t>
  </si>
  <si>
    <t>TID001474</t>
  </si>
  <si>
    <t>Cody Smith</t>
  </si>
  <si>
    <t>TID001475</t>
  </si>
  <si>
    <t>Patty Allen</t>
  </si>
  <si>
    <t>TID001476</t>
  </si>
  <si>
    <t>Mary Ryan</t>
  </si>
  <si>
    <t>TID001477</t>
  </si>
  <si>
    <t>Joseph Jimenez</t>
  </si>
  <si>
    <t>TID001478</t>
  </si>
  <si>
    <t>Lisa Morris</t>
  </si>
  <si>
    <t>TID001479</t>
  </si>
  <si>
    <t>Ashley Mills</t>
  </si>
  <si>
    <t>TID001480</t>
  </si>
  <si>
    <t>Russell Anderson</t>
  </si>
  <si>
    <t>TID001481</t>
  </si>
  <si>
    <t>Christina Washington</t>
  </si>
  <si>
    <t>TID001482</t>
  </si>
  <si>
    <t>Kenneth Huff</t>
  </si>
  <si>
    <t>TID001483</t>
  </si>
  <si>
    <t>Kelly Miles</t>
  </si>
  <si>
    <t>TID001484</t>
  </si>
  <si>
    <t>Jacob Obrien</t>
  </si>
  <si>
    <t>TID001485</t>
  </si>
  <si>
    <t>Timothy Clark</t>
  </si>
  <si>
    <t>TID001486</t>
  </si>
  <si>
    <t>Steve Miller PhD</t>
  </si>
  <si>
    <t>TID001487</t>
  </si>
  <si>
    <t>Justin Hurley</t>
  </si>
  <si>
    <t>TID001488</t>
  </si>
  <si>
    <t>Jacob Erickson</t>
  </si>
  <si>
    <t>TID001489</t>
  </si>
  <si>
    <t>Deborah Williams</t>
  </si>
  <si>
    <t>TID001490</t>
  </si>
  <si>
    <t>Eric Blackburn</t>
  </si>
  <si>
    <t>TID001491</t>
  </si>
  <si>
    <t>Anne Hardy</t>
  </si>
  <si>
    <t>TID001492</t>
  </si>
  <si>
    <t>Chelsey Fox</t>
  </si>
  <si>
    <t>TID001493</t>
  </si>
  <si>
    <t>Mario White</t>
  </si>
  <si>
    <t>TID001494</t>
  </si>
  <si>
    <t>Jennifer Garcia</t>
  </si>
  <si>
    <t>TID001495</t>
  </si>
  <si>
    <t>Heather Ellis</t>
  </si>
  <si>
    <t>TID001496</t>
  </si>
  <si>
    <t>Sonya Jackson</t>
  </si>
  <si>
    <t>TID001497</t>
  </si>
  <si>
    <t>TID001498</t>
  </si>
  <si>
    <t>Zachary Ramos</t>
  </si>
  <si>
    <t>TID001499</t>
  </si>
  <si>
    <t>Ethan Frey</t>
  </si>
  <si>
    <t>TID001500</t>
  </si>
  <si>
    <t>Jacob Duran</t>
  </si>
  <si>
    <t>TID001501</t>
  </si>
  <si>
    <t>Nicholas Franklin</t>
  </si>
  <si>
    <t>TID001502</t>
  </si>
  <si>
    <t>Cindy Cannon</t>
  </si>
  <si>
    <t>TID001503</t>
  </si>
  <si>
    <t>Dawn Nixon</t>
  </si>
  <si>
    <t>TID001504</t>
  </si>
  <si>
    <t>James Barber</t>
  </si>
  <si>
    <t>TID001505</t>
  </si>
  <si>
    <t>Ms. Kelly Holder</t>
  </si>
  <si>
    <t>TID001506</t>
  </si>
  <si>
    <t>Eric Walker</t>
  </si>
  <si>
    <t>TID001507</t>
  </si>
  <si>
    <t>Alison Short</t>
  </si>
  <si>
    <t>TID001508</t>
  </si>
  <si>
    <t>Desiree Spencer</t>
  </si>
  <si>
    <t>TID001509</t>
  </si>
  <si>
    <t>Tammy Moore</t>
  </si>
  <si>
    <t>TID001510</t>
  </si>
  <si>
    <t>Henry Taylor</t>
  </si>
  <si>
    <t>TID001511</t>
  </si>
  <si>
    <t>Kevin Hall</t>
  </si>
  <si>
    <t>TID001512</t>
  </si>
  <si>
    <t>Anna Ross</t>
  </si>
  <si>
    <t>TID001513</t>
  </si>
  <si>
    <t>Morgan Cummings</t>
  </si>
  <si>
    <t>TID001514</t>
  </si>
  <si>
    <t>Carrie Petersen</t>
  </si>
  <si>
    <t>TID001515</t>
  </si>
  <si>
    <t>Laura Velez</t>
  </si>
  <si>
    <t>TID001516</t>
  </si>
  <si>
    <t>Elizabeth Cross</t>
  </si>
  <si>
    <t>TID001517</t>
  </si>
  <si>
    <t>Angela Brown</t>
  </si>
  <si>
    <t>TID001518</t>
  </si>
  <si>
    <t>Hannah Montoya</t>
  </si>
  <si>
    <t>TID001519</t>
  </si>
  <si>
    <t>Sean Kane</t>
  </si>
  <si>
    <t>TID001520</t>
  </si>
  <si>
    <t>Matthew Guzman</t>
  </si>
  <si>
    <t>TID001521</t>
  </si>
  <si>
    <t>Richard Reyes</t>
  </si>
  <si>
    <t>TID001522</t>
  </si>
  <si>
    <t>Andrew Fernandez</t>
  </si>
  <si>
    <t>TID001523</t>
  </si>
  <si>
    <t>Jonathan Walker</t>
  </si>
  <si>
    <t>TID001524</t>
  </si>
  <si>
    <t>Nicholas Long</t>
  </si>
  <si>
    <t>TID001525</t>
  </si>
  <si>
    <t>Kurt Wagner</t>
  </si>
  <si>
    <t>TID001526</t>
  </si>
  <si>
    <t>Dylan Foster</t>
  </si>
  <si>
    <t>TID001527</t>
  </si>
  <si>
    <t>Bradley Duncan</t>
  </si>
  <si>
    <t>TID001528</t>
  </si>
  <si>
    <t>James Miller</t>
  </si>
  <si>
    <t>TID001529</t>
  </si>
  <si>
    <t>Patricia Anderson</t>
  </si>
  <si>
    <t>TID001530</t>
  </si>
  <si>
    <t>Justin Freeman</t>
  </si>
  <si>
    <t>TID001531</t>
  </si>
  <si>
    <t>Christina Gilbert</t>
  </si>
  <si>
    <t>TID001532</t>
  </si>
  <si>
    <t>Danielle Jones</t>
  </si>
  <si>
    <t>TID001533</t>
  </si>
  <si>
    <t>Erica Glass</t>
  </si>
  <si>
    <t>TID001534</t>
  </si>
  <si>
    <t>Michael Henderson</t>
  </si>
  <si>
    <t>TID001535</t>
  </si>
  <si>
    <t>Frank Wheeler</t>
  </si>
  <si>
    <t>TID001536</t>
  </si>
  <si>
    <t>Eric Huerta</t>
  </si>
  <si>
    <t>TID001537</t>
  </si>
  <si>
    <t>Wanda Ramos</t>
  </si>
  <si>
    <t>TID001538</t>
  </si>
  <si>
    <t>Andrew Meyers</t>
  </si>
  <si>
    <t>TID001539</t>
  </si>
  <si>
    <t>James Todd</t>
  </si>
  <si>
    <t>TID001540</t>
  </si>
  <si>
    <t>Ashley Brown</t>
  </si>
  <si>
    <t>TID001541</t>
  </si>
  <si>
    <t>Tammy Melton</t>
  </si>
  <si>
    <t>TID001542</t>
  </si>
  <si>
    <t>Alexis Benson</t>
  </si>
  <si>
    <t>TID001543</t>
  </si>
  <si>
    <t>Jerry Johnson</t>
  </si>
  <si>
    <t>TID001544</t>
  </si>
  <si>
    <t>Joshua Harris</t>
  </si>
  <si>
    <t>TID001545</t>
  </si>
  <si>
    <t>Deanna Webb</t>
  </si>
  <si>
    <t>TID001546</t>
  </si>
  <si>
    <t>Brenda Hale</t>
  </si>
  <si>
    <t>TID001547</t>
  </si>
  <si>
    <t>Kevin Alvarado</t>
  </si>
  <si>
    <t>TID001548</t>
  </si>
  <si>
    <t>Christopher Campbell</t>
  </si>
  <si>
    <t>TID001549</t>
  </si>
  <si>
    <t>Lisa Brown</t>
  </si>
  <si>
    <t>TID001550</t>
  </si>
  <si>
    <t>Alejandra Price</t>
  </si>
  <si>
    <t>TID001551</t>
  </si>
  <si>
    <t>Samuel Keller</t>
  </si>
  <si>
    <t>TID001552</t>
  </si>
  <si>
    <t>Alicia Dillon</t>
  </si>
  <si>
    <t>TID001553</t>
  </si>
  <si>
    <t>Crystal James</t>
  </si>
  <si>
    <t>TID001554</t>
  </si>
  <si>
    <t>Ariana Stewart</t>
  </si>
  <si>
    <t>TID001555</t>
  </si>
  <si>
    <t>Kim Lopez</t>
  </si>
  <si>
    <t>TID001556</t>
  </si>
  <si>
    <t>Judith House</t>
  </si>
  <si>
    <t>TID001557</t>
  </si>
  <si>
    <t>David Moreno</t>
  </si>
  <si>
    <t>TID001558</t>
  </si>
  <si>
    <t>James Moore</t>
  </si>
  <si>
    <t>TID001559</t>
  </si>
  <si>
    <t>Harold Garrett</t>
  </si>
  <si>
    <t>TID001560</t>
  </si>
  <si>
    <t>William Mason</t>
  </si>
  <si>
    <t>TID001561</t>
  </si>
  <si>
    <t>Lori Johns</t>
  </si>
  <si>
    <t>TID001562</t>
  </si>
  <si>
    <t>Robin Johnson</t>
  </si>
  <si>
    <t>TID001563</t>
  </si>
  <si>
    <t>Diana Hernandez</t>
  </si>
  <si>
    <t>TID001564</t>
  </si>
  <si>
    <t>TID001565</t>
  </si>
  <si>
    <t>Tyler Salazar</t>
  </si>
  <si>
    <t>TID001566</t>
  </si>
  <si>
    <t>Crystal Allen</t>
  </si>
  <si>
    <t>TID001567</t>
  </si>
  <si>
    <t>Wesley Browning</t>
  </si>
  <si>
    <t>TID001568</t>
  </si>
  <si>
    <t>Joshua Clark</t>
  </si>
  <si>
    <t>TID001569</t>
  </si>
  <si>
    <t>Joshua Mcbride</t>
  </si>
  <si>
    <t>TID001570</t>
  </si>
  <si>
    <t>Ellen Thornton</t>
  </si>
  <si>
    <t>TID001571</t>
  </si>
  <si>
    <t>Brandy Forbes</t>
  </si>
  <si>
    <t>TID001572</t>
  </si>
  <si>
    <t>Brianna Fitzpatrick</t>
  </si>
  <si>
    <t>TID001573</t>
  </si>
  <si>
    <t>Emily Grant</t>
  </si>
  <si>
    <t>TID001574</t>
  </si>
  <si>
    <t>Bailey Stewart</t>
  </si>
  <si>
    <t>TID001575</t>
  </si>
  <si>
    <t>Monica Cannon</t>
  </si>
  <si>
    <t>TID001576</t>
  </si>
  <si>
    <t>Jennifer Jenkins</t>
  </si>
  <si>
    <t>TID001577</t>
  </si>
  <si>
    <t>Timothy Shannon</t>
  </si>
  <si>
    <t>TID001578</t>
  </si>
  <si>
    <t>Denise Maxwell</t>
  </si>
  <si>
    <t>TID001579</t>
  </si>
  <si>
    <t>Cody Farmer</t>
  </si>
  <si>
    <t>TID001580</t>
  </si>
  <si>
    <t>Debra Bradley</t>
  </si>
  <si>
    <t>TID001581</t>
  </si>
  <si>
    <t>David Mcdaniel</t>
  </si>
  <si>
    <t>TID001582</t>
  </si>
  <si>
    <t>Michael Woods</t>
  </si>
  <si>
    <t>TID001583</t>
  </si>
  <si>
    <t>Lisa Joseph</t>
  </si>
  <si>
    <t>TID001584</t>
  </si>
  <si>
    <t>Samuel Henry</t>
  </si>
  <si>
    <t>TID001585</t>
  </si>
  <si>
    <t>Corey Johnson</t>
  </si>
  <si>
    <t>TID001586</t>
  </si>
  <si>
    <t>Alexis Nelson</t>
  </si>
  <si>
    <t>TID001587</t>
  </si>
  <si>
    <t>Patrick Mcneil</t>
  </si>
  <si>
    <t>TID001588</t>
  </si>
  <si>
    <t>Andrea Ho</t>
  </si>
  <si>
    <t>TID001589</t>
  </si>
  <si>
    <t>Dr. Katherine Nguyen</t>
  </si>
  <si>
    <t>TID001590</t>
  </si>
  <si>
    <t>David Sullivan</t>
  </si>
  <si>
    <t>TID001591</t>
  </si>
  <si>
    <t>Nicolas James</t>
  </si>
  <si>
    <t>TID001592</t>
  </si>
  <si>
    <t>Logan Newton</t>
  </si>
  <si>
    <t>TID001593</t>
  </si>
  <si>
    <t>Kelly Liu</t>
  </si>
  <si>
    <t>TID001594</t>
  </si>
  <si>
    <t>Kelly Hayes</t>
  </si>
  <si>
    <t>TID001595</t>
  </si>
  <si>
    <t>Amanda Forbes</t>
  </si>
  <si>
    <t>TID001596</t>
  </si>
  <si>
    <t>Jennifer Moss</t>
  </si>
  <si>
    <t>TID001597</t>
  </si>
  <si>
    <t>Kelli Mccoy</t>
  </si>
  <si>
    <t>TID001598</t>
  </si>
  <si>
    <t>Eddie Sanders</t>
  </si>
  <si>
    <t>TID001599</t>
  </si>
  <si>
    <t>Ronald Murray</t>
  </si>
  <si>
    <t>TID001600</t>
  </si>
  <si>
    <t>Louis Brown</t>
  </si>
  <si>
    <t>TID001601</t>
  </si>
  <si>
    <t>Brenda Gallegos</t>
  </si>
  <si>
    <t>TID001602</t>
  </si>
  <si>
    <t>TID001603</t>
  </si>
  <si>
    <t>Teresa Horton</t>
  </si>
  <si>
    <t>TID001604</t>
  </si>
  <si>
    <t>Jason Hayes</t>
  </si>
  <si>
    <t>TID001605</t>
  </si>
  <si>
    <t>Kevin Marquez</t>
  </si>
  <si>
    <t>TID001606</t>
  </si>
  <si>
    <t>Jesse Wright</t>
  </si>
  <si>
    <t>TID001607</t>
  </si>
  <si>
    <t>Susan Hogan</t>
  </si>
  <si>
    <t>TID001608</t>
  </si>
  <si>
    <t>Becky Wilson</t>
  </si>
  <si>
    <t>TID001609</t>
  </si>
  <si>
    <t>Jack Mills</t>
  </si>
  <si>
    <t>TID001610</t>
  </si>
  <si>
    <t>Richard Hunt</t>
  </si>
  <si>
    <t>TID001611</t>
  </si>
  <si>
    <t>Jamie James</t>
  </si>
  <si>
    <t>TID001612</t>
  </si>
  <si>
    <t>Susan Cunningham</t>
  </si>
  <si>
    <t>TID001613</t>
  </si>
  <si>
    <t>Brittany Melton</t>
  </si>
  <si>
    <t>TID001614</t>
  </si>
  <si>
    <t>Michael Barnes</t>
  </si>
  <si>
    <t>TID001615</t>
  </si>
  <si>
    <t>Randy Griffin</t>
  </si>
  <si>
    <t>TID001616</t>
  </si>
  <si>
    <t>Autumn Anderson</t>
  </si>
  <si>
    <t>TID001617</t>
  </si>
  <si>
    <t>Marcus King</t>
  </si>
  <si>
    <t>TID001618</t>
  </si>
  <si>
    <t>Scott Stephens</t>
  </si>
  <si>
    <t>TID001619</t>
  </si>
  <si>
    <t>Stephen Young</t>
  </si>
  <si>
    <t>TID001620</t>
  </si>
  <si>
    <t>Karen Ortiz</t>
  </si>
  <si>
    <t>TID001621</t>
  </si>
  <si>
    <t>Kyle Sanchez</t>
  </si>
  <si>
    <t>TID001622</t>
  </si>
  <si>
    <t>Lisa Grant</t>
  </si>
  <si>
    <t>TID001623</t>
  </si>
  <si>
    <t>Amber Hernandez</t>
  </si>
  <si>
    <t>TID001624</t>
  </si>
  <si>
    <t>Amanda Nash</t>
  </si>
  <si>
    <t>TID001625</t>
  </si>
  <si>
    <t>Sara Evans</t>
  </si>
  <si>
    <t>TID001626</t>
  </si>
  <si>
    <t>Amber Butler</t>
  </si>
  <si>
    <t>TID001627</t>
  </si>
  <si>
    <t>Michael Carr</t>
  </si>
  <si>
    <t>TID001628</t>
  </si>
  <si>
    <t>Linda Cobb</t>
  </si>
  <si>
    <t>TID001629</t>
  </si>
  <si>
    <t>Jesse Riley</t>
  </si>
  <si>
    <t>TID001630</t>
  </si>
  <si>
    <t>Anna Evans</t>
  </si>
  <si>
    <t>TID001631</t>
  </si>
  <si>
    <t>James Jones</t>
  </si>
  <si>
    <t>TID001632</t>
  </si>
  <si>
    <t>Joshua Carter</t>
  </si>
  <si>
    <t>TID001633</t>
  </si>
  <si>
    <t>Michael Hill</t>
  </si>
  <si>
    <t>TID001634</t>
  </si>
  <si>
    <t>Kelly Dominguez</t>
  </si>
  <si>
    <t>TID001635</t>
  </si>
  <si>
    <t>Ashley Blair</t>
  </si>
  <si>
    <t>TID001636</t>
  </si>
  <si>
    <t>Victoria Webb</t>
  </si>
  <si>
    <t>TID001637</t>
  </si>
  <si>
    <t>Taylor Andersen</t>
  </si>
  <si>
    <t>TID001638</t>
  </si>
  <si>
    <t>Lee Stewart</t>
  </si>
  <si>
    <t>TID001639</t>
  </si>
  <si>
    <t>Whitney Gomez</t>
  </si>
  <si>
    <t>TID001640</t>
  </si>
  <si>
    <t>Justin Stone</t>
  </si>
  <si>
    <t>TID001641</t>
  </si>
  <si>
    <t>Katherine White</t>
  </si>
  <si>
    <t>TID001642</t>
  </si>
  <si>
    <t>Michelle Krause</t>
  </si>
  <si>
    <t>TID001643</t>
  </si>
  <si>
    <t>Alexander Garrett</t>
  </si>
  <si>
    <t>TID001644</t>
  </si>
  <si>
    <t>Ryan Marsh</t>
  </si>
  <si>
    <t>TID001645</t>
  </si>
  <si>
    <t>Mrs. Felicia Castro DDS</t>
  </si>
  <si>
    <t>TID001646</t>
  </si>
  <si>
    <t>Curtis Campbell</t>
  </si>
  <si>
    <t>TID001647</t>
  </si>
  <si>
    <t>Elizabeth Hunter</t>
  </si>
  <si>
    <t>TID001648</t>
  </si>
  <si>
    <t>Aaron Jennings</t>
  </si>
  <si>
    <t>TID001649</t>
  </si>
  <si>
    <t>Nathaniel Gilbert</t>
  </si>
  <si>
    <t>TID001650</t>
  </si>
  <si>
    <t>Christopher Rivera</t>
  </si>
  <si>
    <t>TID001651</t>
  </si>
  <si>
    <t>Michael Hendricks</t>
  </si>
  <si>
    <t>TID001652</t>
  </si>
  <si>
    <t>Maria Olson</t>
  </si>
  <si>
    <t>TID001653</t>
  </si>
  <si>
    <t>Stephanie Herrera</t>
  </si>
  <si>
    <t>TID001654</t>
  </si>
  <si>
    <t>Richard Gutierrez</t>
  </si>
  <si>
    <t>TID001655</t>
  </si>
  <si>
    <t>Sandy Evans</t>
  </si>
  <si>
    <t>TID001656</t>
  </si>
  <si>
    <t>Emily Herrera</t>
  </si>
  <si>
    <t>TID001657</t>
  </si>
  <si>
    <t>Michael Marsh</t>
  </si>
  <si>
    <t>TID001658</t>
  </si>
  <si>
    <t>Heather Montes</t>
  </si>
  <si>
    <t>TID001659</t>
  </si>
  <si>
    <t>Andre Terrell</t>
  </si>
  <si>
    <t>TID001660</t>
  </si>
  <si>
    <t>Sarah Duncan</t>
  </si>
  <si>
    <t>TID001661</t>
  </si>
  <si>
    <t>Kurt Hancock</t>
  </si>
  <si>
    <t>TID001662</t>
  </si>
  <si>
    <t>Michele Edwards</t>
  </si>
  <si>
    <t>TID001663</t>
  </si>
  <si>
    <t>Jason Crawford</t>
  </si>
  <si>
    <t>TID001664</t>
  </si>
  <si>
    <t>Jesse Sampson</t>
  </si>
  <si>
    <t>TID001665</t>
  </si>
  <si>
    <t>Eric Rodriguez</t>
  </si>
  <si>
    <t>TID001666</t>
  </si>
  <si>
    <t>Paula Gentry</t>
  </si>
  <si>
    <t>TID001667</t>
  </si>
  <si>
    <t>Alexander Webb</t>
  </si>
  <si>
    <t>TID001668</t>
  </si>
  <si>
    <t>Cheryl Mclean</t>
  </si>
  <si>
    <t>TID001669</t>
  </si>
  <si>
    <t>Kelly Rowe</t>
  </si>
  <si>
    <t>TID001670</t>
  </si>
  <si>
    <t>Shane Short</t>
  </si>
  <si>
    <t>TID001671</t>
  </si>
  <si>
    <t>Megan Anderson</t>
  </si>
  <si>
    <t>TID001672</t>
  </si>
  <si>
    <t>Julia Reeves</t>
  </si>
  <si>
    <t>TID001673</t>
  </si>
  <si>
    <t>April Randolph</t>
  </si>
  <si>
    <t>TID001674</t>
  </si>
  <si>
    <t>Linda Miller</t>
  </si>
  <si>
    <t>TID001675</t>
  </si>
  <si>
    <t>Angel Meyer</t>
  </si>
  <si>
    <t>TID001676</t>
  </si>
  <si>
    <t>Emily Lane</t>
  </si>
  <si>
    <t>TID001677</t>
  </si>
  <si>
    <t>Steven Flores</t>
  </si>
  <si>
    <t>TID001678</t>
  </si>
  <si>
    <t>Donald Flores</t>
  </si>
  <si>
    <t>TID001679</t>
  </si>
  <si>
    <t>Bruce Hernandez</t>
  </si>
  <si>
    <t>TID001680</t>
  </si>
  <si>
    <t>Adrian Dean</t>
  </si>
  <si>
    <t>TID001681</t>
  </si>
  <si>
    <t>Christine Bell</t>
  </si>
  <si>
    <t>TID001682</t>
  </si>
  <si>
    <t>Charles Bush</t>
  </si>
  <si>
    <t>TID001683</t>
  </si>
  <si>
    <t>David Jones</t>
  </si>
  <si>
    <t>TID001684</t>
  </si>
  <si>
    <t>Gina Wallace</t>
  </si>
  <si>
    <t>TID001685</t>
  </si>
  <si>
    <t>John Lowe</t>
  </si>
  <si>
    <t>TID001686</t>
  </si>
  <si>
    <t>Anthony Simmons</t>
  </si>
  <si>
    <t>TID001687</t>
  </si>
  <si>
    <t>Kyle Watkins</t>
  </si>
  <si>
    <t>TID001688</t>
  </si>
  <si>
    <t>Melissa Jensen</t>
  </si>
  <si>
    <t>TID001689</t>
  </si>
  <si>
    <t>Robert Marquez</t>
  </si>
  <si>
    <t>TID001690</t>
  </si>
  <si>
    <t>Kim Beltran</t>
  </si>
  <si>
    <t>TID001691</t>
  </si>
  <si>
    <t>Julie Anderson</t>
  </si>
  <si>
    <t>TID001692</t>
  </si>
  <si>
    <t>Tamara Mcdonald</t>
  </si>
  <si>
    <t>TID001693</t>
  </si>
  <si>
    <t>Michael Mckinney</t>
  </si>
  <si>
    <t>TID001694</t>
  </si>
  <si>
    <t>TID001695</t>
  </si>
  <si>
    <t>Lisa Durham</t>
  </si>
  <si>
    <t>TID001696</t>
  </si>
  <si>
    <t>Michael Ortega</t>
  </si>
  <si>
    <t>TID001697</t>
  </si>
  <si>
    <t>Sonya Chavez</t>
  </si>
  <si>
    <t>TID001698</t>
  </si>
  <si>
    <t>John Bell</t>
  </si>
  <si>
    <t>TID001699</t>
  </si>
  <si>
    <t>Christopher Tate</t>
  </si>
  <si>
    <t>TID001700</t>
  </si>
  <si>
    <t>Bethany Garcia</t>
  </si>
  <si>
    <t>TID001701</t>
  </si>
  <si>
    <t>Rebecca Nguyen</t>
  </si>
  <si>
    <t>TID001702</t>
  </si>
  <si>
    <t>Rebecca Patel</t>
  </si>
  <si>
    <t>TID001703</t>
  </si>
  <si>
    <t>Jason Oliver</t>
  </si>
  <si>
    <t>TID001704</t>
  </si>
  <si>
    <t>Valerie Reyes</t>
  </si>
  <si>
    <t>TID001705</t>
  </si>
  <si>
    <t>Robert Garza</t>
  </si>
  <si>
    <t>TID001706</t>
  </si>
  <si>
    <t>Jessica Cobb</t>
  </si>
  <si>
    <t>TID001707</t>
  </si>
  <si>
    <t>Cynthia Bates</t>
  </si>
  <si>
    <t>TID001708</t>
  </si>
  <si>
    <t>TID001709</t>
  </si>
  <si>
    <t>Mr. Joel Peters</t>
  </si>
  <si>
    <t>TID001710</t>
  </si>
  <si>
    <t>Casey Blanchard</t>
  </si>
  <si>
    <t>TID001711</t>
  </si>
  <si>
    <t>Brian Cervantes</t>
  </si>
  <si>
    <t>TID001712</t>
  </si>
  <si>
    <t>Jamie Snyder</t>
  </si>
  <si>
    <t>TID001713</t>
  </si>
  <si>
    <t>Ann Montoya</t>
  </si>
  <si>
    <t>TID001714</t>
  </si>
  <si>
    <t>Stephanie Fields</t>
  </si>
  <si>
    <t>TID001715</t>
  </si>
  <si>
    <t>Charles Hernandez</t>
  </si>
  <si>
    <t>TID001716</t>
  </si>
  <si>
    <t>Jean Lane</t>
  </si>
  <si>
    <t>TID001717</t>
  </si>
  <si>
    <t>Michael Stewart</t>
  </si>
  <si>
    <t>TID001718</t>
  </si>
  <si>
    <t>Susan Torres</t>
  </si>
  <si>
    <t>TID001719</t>
  </si>
  <si>
    <t>Jessica Haas</t>
  </si>
  <si>
    <t>TID001720</t>
  </si>
  <si>
    <t>Brandon Smith</t>
  </si>
  <si>
    <t>TID001721</t>
  </si>
  <si>
    <t>Mrs. Bethany Phillips</t>
  </si>
  <si>
    <t>TID001722</t>
  </si>
  <si>
    <t>Joshua Brown</t>
  </si>
  <si>
    <t>TID001723</t>
  </si>
  <si>
    <t>Samantha Howard</t>
  </si>
  <si>
    <t>TID001724</t>
  </si>
  <si>
    <t>Sharon Young</t>
  </si>
  <si>
    <t>TID001725</t>
  </si>
  <si>
    <t>Jennifer Flores</t>
  </si>
  <si>
    <t>TID001726</t>
  </si>
  <si>
    <t>James Gardner</t>
  </si>
  <si>
    <t>TID001727</t>
  </si>
  <si>
    <t>Karen Lopez</t>
  </si>
  <si>
    <t>TID001728</t>
  </si>
  <si>
    <t>Tim Larsen</t>
  </si>
  <si>
    <t>TID001729</t>
  </si>
  <si>
    <t>Zachary Santiago</t>
  </si>
  <si>
    <t>TID001730</t>
  </si>
  <si>
    <t>TID001731</t>
  </si>
  <si>
    <t>Katelyn Kim</t>
  </si>
  <si>
    <t>TID001732</t>
  </si>
  <si>
    <t>Angela May MD</t>
  </si>
  <si>
    <t>TID001733</t>
  </si>
  <si>
    <t>Richard Munoz</t>
  </si>
  <si>
    <t>TID001734</t>
  </si>
  <si>
    <t>Christopher Hicks</t>
  </si>
  <si>
    <t>TID001735</t>
  </si>
  <si>
    <t>Joanna Kelly</t>
  </si>
  <si>
    <t>TID001736</t>
  </si>
  <si>
    <t>Larry Lane</t>
  </si>
  <si>
    <t>TID001737</t>
  </si>
  <si>
    <t>Cynthia Shaw</t>
  </si>
  <si>
    <t>TID001738</t>
  </si>
  <si>
    <t>Joshua Richardson</t>
  </si>
  <si>
    <t>TID001739</t>
  </si>
  <si>
    <t>Laura Bush</t>
  </si>
  <si>
    <t>TID001740</t>
  </si>
  <si>
    <t>John Vaughn</t>
  </si>
  <si>
    <t>TID001741</t>
  </si>
  <si>
    <t>Nicholas Terrell</t>
  </si>
  <si>
    <t>TID001742</t>
  </si>
  <si>
    <t>Dr. Julie Miller</t>
  </si>
  <si>
    <t>TID001743</t>
  </si>
  <si>
    <t>Ann Kennedy</t>
  </si>
  <si>
    <t>TID001744</t>
  </si>
  <si>
    <t>Toni Miller</t>
  </si>
  <si>
    <t>TID001745</t>
  </si>
  <si>
    <t>Rebecca Edwards</t>
  </si>
  <si>
    <t>TID001746</t>
  </si>
  <si>
    <t>Greg Osborne</t>
  </si>
  <si>
    <t>TID001747</t>
  </si>
  <si>
    <t>Jose Harrison</t>
  </si>
  <si>
    <t>TID001748</t>
  </si>
  <si>
    <t>Jennifer Yu</t>
  </si>
  <si>
    <t>TID001749</t>
  </si>
  <si>
    <t>Donna Johnson</t>
  </si>
  <si>
    <t>TID001750</t>
  </si>
  <si>
    <t>Nicole Acosta</t>
  </si>
  <si>
    <t>TID001751</t>
  </si>
  <si>
    <t>Amy Kennedy</t>
  </si>
  <si>
    <t>TID001752</t>
  </si>
  <si>
    <t>Anthony Mooney</t>
  </si>
  <si>
    <t>TID001753</t>
  </si>
  <si>
    <t>Lori Mitchell</t>
  </si>
  <si>
    <t>TID001754</t>
  </si>
  <si>
    <t>Jonathan York</t>
  </si>
  <si>
    <t>TID001755</t>
  </si>
  <si>
    <t>Casey Campbell</t>
  </si>
  <si>
    <t>TID001756</t>
  </si>
  <si>
    <t>Alexis Rodriguez</t>
  </si>
  <si>
    <t>TID001757</t>
  </si>
  <si>
    <t>Kevin Hernandez</t>
  </si>
  <si>
    <t>TID001758</t>
  </si>
  <si>
    <t>Robert Green</t>
  </si>
  <si>
    <t>TID001759</t>
  </si>
  <si>
    <t>Kari Lloyd</t>
  </si>
  <si>
    <t>TID001760</t>
  </si>
  <si>
    <t>Grace Miller</t>
  </si>
  <si>
    <t>TID001761</t>
  </si>
  <si>
    <t>Timothy Moore</t>
  </si>
  <si>
    <t>TID001762</t>
  </si>
  <si>
    <t>Wyatt Townsend II</t>
  </si>
  <si>
    <t>TID001763</t>
  </si>
  <si>
    <t>Mark Clark</t>
  </si>
  <si>
    <t>TID001764</t>
  </si>
  <si>
    <t>Haley May</t>
  </si>
  <si>
    <t>TID001765</t>
  </si>
  <si>
    <t>Audrey Jackson</t>
  </si>
  <si>
    <t>TID001766</t>
  </si>
  <si>
    <t>Eric Reese</t>
  </si>
  <si>
    <t>TID001767</t>
  </si>
  <si>
    <t>Kim James</t>
  </si>
  <si>
    <t>TID001768</t>
  </si>
  <si>
    <t>Karen Thomas</t>
  </si>
  <si>
    <t>TID001769</t>
  </si>
  <si>
    <t>Alexandra Ho</t>
  </si>
  <si>
    <t>TID001770</t>
  </si>
  <si>
    <t>Michael Nixon</t>
  </si>
  <si>
    <t>TID001771</t>
  </si>
  <si>
    <t>Amanda Hardin</t>
  </si>
  <si>
    <t>TID001772</t>
  </si>
  <si>
    <t>Tina Reynolds</t>
  </si>
  <si>
    <t>TID001773</t>
  </si>
  <si>
    <t>Shannon Rogers</t>
  </si>
  <si>
    <t>TID001774</t>
  </si>
  <si>
    <t>Brett Pena</t>
  </si>
  <si>
    <t>TID001775</t>
  </si>
  <si>
    <t>Raymond Curry</t>
  </si>
  <si>
    <t>TID001776</t>
  </si>
  <si>
    <t>Leah Lee</t>
  </si>
  <si>
    <t>TID001777</t>
  </si>
  <si>
    <t>Michael White</t>
  </si>
  <si>
    <t>TID001778</t>
  </si>
  <si>
    <t>Megan Decker</t>
  </si>
  <si>
    <t>TID001779</t>
  </si>
  <si>
    <t>Brent Garcia</t>
  </si>
  <si>
    <t>TID001780</t>
  </si>
  <si>
    <t>Daniel Campbell</t>
  </si>
  <si>
    <t>TID001781</t>
  </si>
  <si>
    <t>Alexander Davis</t>
  </si>
  <si>
    <t>TID001782</t>
  </si>
  <si>
    <t>Mary Houston</t>
  </si>
  <si>
    <t>TID001783</t>
  </si>
  <si>
    <t>Margaret Erickson</t>
  </si>
  <si>
    <t>TID001784</t>
  </si>
  <si>
    <t>Scott Anderson</t>
  </si>
  <si>
    <t>TID001785</t>
  </si>
  <si>
    <t>Stephanie Knight</t>
  </si>
  <si>
    <t>TID001786</t>
  </si>
  <si>
    <t>Stephanie Dominguez</t>
  </si>
  <si>
    <t>TID001787</t>
  </si>
  <si>
    <t>John Mayer</t>
  </si>
  <si>
    <t>TID001788</t>
  </si>
  <si>
    <t>Tammy Hill</t>
  </si>
  <si>
    <t>TID001789</t>
  </si>
  <si>
    <t>Steven Carrillo</t>
  </si>
  <si>
    <t>TID001790</t>
  </si>
  <si>
    <t>TID001791</t>
  </si>
  <si>
    <t>Janet Cook</t>
  </si>
  <si>
    <t>TID001792</t>
  </si>
  <si>
    <t>Tyler Baker</t>
  </si>
  <si>
    <t>TID001793</t>
  </si>
  <si>
    <t>John Mcfarland</t>
  </si>
  <si>
    <t>TID001794</t>
  </si>
  <si>
    <t>Cassandra Vasquez</t>
  </si>
  <si>
    <t>TID001795</t>
  </si>
  <si>
    <t>Randy Robinson</t>
  </si>
  <si>
    <t>TID001796</t>
  </si>
  <si>
    <t>Susan Baldwin</t>
  </si>
  <si>
    <t>TID001797</t>
  </si>
  <si>
    <t>Benjamin Duncan</t>
  </si>
  <si>
    <t>TID001798</t>
  </si>
  <si>
    <t>Jeremy Mosley</t>
  </si>
  <si>
    <t>TID001799</t>
  </si>
  <si>
    <t>Martin Fitzpatrick</t>
  </si>
  <si>
    <t>TID001800</t>
  </si>
  <si>
    <t>Deborah Graves</t>
  </si>
  <si>
    <t>TID001801</t>
  </si>
  <si>
    <t>Laura Robertson</t>
  </si>
  <si>
    <t>TID001802</t>
  </si>
  <si>
    <t>Katherine Graham</t>
  </si>
  <si>
    <t>TID001803</t>
  </si>
  <si>
    <t>Priscilla Floyd</t>
  </si>
  <si>
    <t>TID001804</t>
  </si>
  <si>
    <t>April Finley</t>
  </si>
  <si>
    <t>TID001805</t>
  </si>
  <si>
    <t>Karen Bradley</t>
  </si>
  <si>
    <t>TID001806</t>
  </si>
  <si>
    <t>Heather Maldonado</t>
  </si>
  <si>
    <t>TID001807</t>
  </si>
  <si>
    <t>Mark Benjamin</t>
  </si>
  <si>
    <t>TID001808</t>
  </si>
  <si>
    <t>Joseph Woodward</t>
  </si>
  <si>
    <t>TID001809</t>
  </si>
  <si>
    <t>Joe Miranda</t>
  </si>
  <si>
    <t>TID001810</t>
  </si>
  <si>
    <t>Cassandra Williams</t>
  </si>
  <si>
    <t>TID001811</t>
  </si>
  <si>
    <t>Connor Dominguez</t>
  </si>
  <si>
    <t>TID001812</t>
  </si>
  <si>
    <t>Lydia Howard</t>
  </si>
  <si>
    <t>TID001813</t>
  </si>
  <si>
    <t>Mark Moss</t>
  </si>
  <si>
    <t>TID001814</t>
  </si>
  <si>
    <t>Corey Cortez</t>
  </si>
  <si>
    <t>TID001815</t>
  </si>
  <si>
    <t>Katherine Brown</t>
  </si>
  <si>
    <t>TID001816</t>
  </si>
  <si>
    <t>Elizabeth Ferguson</t>
  </si>
  <si>
    <t>TID001817</t>
  </si>
  <si>
    <t>Joann Forbes</t>
  </si>
  <si>
    <t>TID001818</t>
  </si>
  <si>
    <t>Anthony French</t>
  </si>
  <si>
    <t>TID001819</t>
  </si>
  <si>
    <t>Bruce Roman</t>
  </si>
  <si>
    <t>TID001820</t>
  </si>
  <si>
    <t>Judy Gregory</t>
  </si>
  <si>
    <t>TID001821</t>
  </si>
  <si>
    <t>Brittany Riley</t>
  </si>
  <si>
    <t>TID001822</t>
  </si>
  <si>
    <t>Amanda Thomas</t>
  </si>
  <si>
    <t>TID001823</t>
  </si>
  <si>
    <t>Kaitlin Hardin</t>
  </si>
  <si>
    <t>TID001824</t>
  </si>
  <si>
    <t>Michael Anderson</t>
  </si>
  <si>
    <t>TID001825</t>
  </si>
  <si>
    <t>Anthony Parker</t>
  </si>
  <si>
    <t>TID001826</t>
  </si>
  <si>
    <t>Joy Jackson</t>
  </si>
  <si>
    <t>TID001827</t>
  </si>
  <si>
    <t>Sabrina Rodriguez</t>
  </si>
  <si>
    <t>TID001828</t>
  </si>
  <si>
    <t>Robert Walker PhD</t>
  </si>
  <si>
    <t>TID001829</t>
  </si>
  <si>
    <t>Robert Hendrix</t>
  </si>
  <si>
    <t>TID001830</t>
  </si>
  <si>
    <t>Erika Daugherty</t>
  </si>
  <si>
    <t>TID001831</t>
  </si>
  <si>
    <t>Brenda Copeland</t>
  </si>
  <si>
    <t>TID001832</t>
  </si>
  <si>
    <t>Pamela Watkins</t>
  </si>
  <si>
    <t>TID001833</t>
  </si>
  <si>
    <t>Bryan Thomas</t>
  </si>
  <si>
    <t>TID001834</t>
  </si>
  <si>
    <t>Michael Tran</t>
  </si>
  <si>
    <t>TID001835</t>
  </si>
  <si>
    <t>Timothy Williams</t>
  </si>
  <si>
    <t>TID001836</t>
  </si>
  <si>
    <t>Ryan Salazar</t>
  </si>
  <si>
    <t>TID001837</t>
  </si>
  <si>
    <t>Alexis Tucker</t>
  </si>
  <si>
    <t>TID001838</t>
  </si>
  <si>
    <t>Christopher Davis</t>
  </si>
  <si>
    <t>TID001839</t>
  </si>
  <si>
    <t>Stacie Butler</t>
  </si>
  <si>
    <t>TID001840</t>
  </si>
  <si>
    <t>Patricia Schwartz</t>
  </si>
  <si>
    <t>TID001841</t>
  </si>
  <si>
    <t>Mark Mills</t>
  </si>
  <si>
    <t>TID001842</t>
  </si>
  <si>
    <t>Todd Bishop</t>
  </si>
  <si>
    <t>TID001843</t>
  </si>
  <si>
    <t>Christopher Porter</t>
  </si>
  <si>
    <t>TID001844</t>
  </si>
  <si>
    <t>Lori Patton</t>
  </si>
  <si>
    <t>TID001845</t>
  </si>
  <si>
    <t>Aaron Young</t>
  </si>
  <si>
    <t>TID001846</t>
  </si>
  <si>
    <t>Joseph Davis</t>
  </si>
  <si>
    <t>TID001847</t>
  </si>
  <si>
    <t>Philip Fernandez</t>
  </si>
  <si>
    <t>TID001848</t>
  </si>
  <si>
    <t>Randy Hopkins</t>
  </si>
  <si>
    <t>TID001849</t>
  </si>
  <si>
    <t>Cory Hogan</t>
  </si>
  <si>
    <t>TID001850</t>
  </si>
  <si>
    <t>Tracy Wells</t>
  </si>
  <si>
    <t>TID001851</t>
  </si>
  <si>
    <t>Michael Williams</t>
  </si>
  <si>
    <t>TID001852</t>
  </si>
  <si>
    <t>Dominique Hamilton</t>
  </si>
  <si>
    <t>TID001853</t>
  </si>
  <si>
    <t>Robert Chang</t>
  </si>
  <si>
    <t>TID001854</t>
  </si>
  <si>
    <t>Patrick Buckley</t>
  </si>
  <si>
    <t>TID001855</t>
  </si>
  <si>
    <t>Richard Washington</t>
  </si>
  <si>
    <t>TID001856</t>
  </si>
  <si>
    <t>Steven Griffith</t>
  </si>
  <si>
    <t>TID001857</t>
  </si>
  <si>
    <t>Erika Gonzalez</t>
  </si>
  <si>
    <t>TID001858</t>
  </si>
  <si>
    <t>Erika Maxwell</t>
  </si>
  <si>
    <t>TID001859</t>
  </si>
  <si>
    <t>Brent Rojas</t>
  </si>
  <si>
    <t>TID001860</t>
  </si>
  <si>
    <t>Jaime Walker</t>
  </si>
  <si>
    <t>TID001861</t>
  </si>
  <si>
    <t>John Zamora</t>
  </si>
  <si>
    <t>TID001862</t>
  </si>
  <si>
    <t>Timothy Gibson</t>
  </si>
  <si>
    <t>TID001863</t>
  </si>
  <si>
    <t>Chad Cortez</t>
  </si>
  <si>
    <t>TID001864</t>
  </si>
  <si>
    <t>Vanessa Harris</t>
  </si>
  <si>
    <t>TID001865</t>
  </si>
  <si>
    <t>TID001866</t>
  </si>
  <si>
    <t>Samuel Ellis</t>
  </si>
  <si>
    <t>TID001867</t>
  </si>
  <si>
    <t>Greg Tanner</t>
  </si>
  <si>
    <t>TID001868</t>
  </si>
  <si>
    <t>Rachel Little</t>
  </si>
  <si>
    <t>TID001869</t>
  </si>
  <si>
    <t>Carolyn Cordova</t>
  </si>
  <si>
    <t>TID001870</t>
  </si>
  <si>
    <t>Angelica Vincent</t>
  </si>
  <si>
    <t>TID001871</t>
  </si>
  <si>
    <t>Zachary Vargas PhD</t>
  </si>
  <si>
    <t>TID001872</t>
  </si>
  <si>
    <t>Nicholas Fitzgerald</t>
  </si>
  <si>
    <t>TID001873</t>
  </si>
  <si>
    <t>Garrett Riley</t>
  </si>
  <si>
    <t>TID001874</t>
  </si>
  <si>
    <t>Leslie Hernandez</t>
  </si>
  <si>
    <t>TID001875</t>
  </si>
  <si>
    <t>Abigail Baird</t>
  </si>
  <si>
    <t>TID001876</t>
  </si>
  <si>
    <t>John Mack</t>
  </si>
  <si>
    <t>TID001877</t>
  </si>
  <si>
    <t>Joseph Mendoza</t>
  </si>
  <si>
    <t>TID001878</t>
  </si>
  <si>
    <t>Samantha Chavez</t>
  </si>
  <si>
    <t>TID001879</t>
  </si>
  <si>
    <t>Justin Smith</t>
  </si>
  <si>
    <t>TID001880</t>
  </si>
  <si>
    <t>Tiffany Anderson</t>
  </si>
  <si>
    <t>TID001881</t>
  </si>
  <si>
    <t>Matthew Davis</t>
  </si>
  <si>
    <t>TID001882</t>
  </si>
  <si>
    <t>Eric Warner</t>
  </si>
  <si>
    <t>TID001883</t>
  </si>
  <si>
    <t>Nicole Johnson</t>
  </si>
  <si>
    <t>TID001884</t>
  </si>
  <si>
    <t>Raymond Sawyer</t>
  </si>
  <si>
    <t>TID001885</t>
  </si>
  <si>
    <t>Richard Wood</t>
  </si>
  <si>
    <t>TID001886</t>
  </si>
  <si>
    <t>Mark Dalton</t>
  </si>
  <si>
    <t>TID001887</t>
  </si>
  <si>
    <t>Steven Cook</t>
  </si>
  <si>
    <t>TID001888</t>
  </si>
  <si>
    <t>Jeffery Nelson</t>
  </si>
  <si>
    <t>TID001889</t>
  </si>
  <si>
    <t>Kimberly Norton</t>
  </si>
  <si>
    <t>TID001890</t>
  </si>
  <si>
    <t>Angela Gilmore</t>
  </si>
  <si>
    <t>TID001891</t>
  </si>
  <si>
    <t>Amy Dougherty</t>
  </si>
  <si>
    <t>TID001892</t>
  </si>
  <si>
    <t>Stacy Rodriguez</t>
  </si>
  <si>
    <t>TID001893</t>
  </si>
  <si>
    <t>Manuel Diaz</t>
  </si>
  <si>
    <t>TID001894</t>
  </si>
  <si>
    <t>Justin Jones</t>
  </si>
  <si>
    <t>TID001895</t>
  </si>
  <si>
    <t>Christine Zavala</t>
  </si>
  <si>
    <t>TID001896</t>
  </si>
  <si>
    <t>Brian Mendoza</t>
  </si>
  <si>
    <t>TID001897</t>
  </si>
  <si>
    <t>Lauren Haley</t>
  </si>
  <si>
    <t>TID001898</t>
  </si>
  <si>
    <t>Patrick Perez</t>
  </si>
  <si>
    <t>TID001899</t>
  </si>
  <si>
    <t>Derek Frazier</t>
  </si>
  <si>
    <t>TID001900</t>
  </si>
  <si>
    <t>Arthur Reed</t>
  </si>
  <si>
    <t>TID001901</t>
  </si>
  <si>
    <t>Mr. Bryan Mckinney</t>
  </si>
  <si>
    <t>TID001902</t>
  </si>
  <si>
    <t>Kim Carter</t>
  </si>
  <si>
    <t>TID001903</t>
  </si>
  <si>
    <t>Rebecca Dougherty</t>
  </si>
  <si>
    <t>TID001904</t>
  </si>
  <si>
    <t>Teresa Jones</t>
  </si>
  <si>
    <t>TID001905</t>
  </si>
  <si>
    <t>Judith Miller</t>
  </si>
  <si>
    <t>TID001906</t>
  </si>
  <si>
    <t>TID001907</t>
  </si>
  <si>
    <t>Donald Terry</t>
  </si>
  <si>
    <t>TID001908</t>
  </si>
  <si>
    <t>Shaun Meyer DDS</t>
  </si>
  <si>
    <t>TID001909</t>
  </si>
  <si>
    <t>Wayne Weaver</t>
  </si>
  <si>
    <t>TID001910</t>
  </si>
  <si>
    <t>Gregory Wallace</t>
  </si>
  <si>
    <t>TID001911</t>
  </si>
  <si>
    <t>Dorothy Brown</t>
  </si>
  <si>
    <t>TID001912</t>
  </si>
  <si>
    <t>Crystal Meza</t>
  </si>
  <si>
    <t>TID001913</t>
  </si>
  <si>
    <t>Jennifer Cooper</t>
  </si>
  <si>
    <t>TID001914</t>
  </si>
  <si>
    <t>Erin Watkins</t>
  </si>
  <si>
    <t>TID001915</t>
  </si>
  <si>
    <t>Sarah Wallace</t>
  </si>
  <si>
    <t>TID001916</t>
  </si>
  <si>
    <t>Carlos Clarke</t>
  </si>
  <si>
    <t>TID001917</t>
  </si>
  <si>
    <t>David Washington</t>
  </si>
  <si>
    <t>TID001918</t>
  </si>
  <si>
    <t>Patricia Williams</t>
  </si>
  <si>
    <t>TID001919</t>
  </si>
  <si>
    <t>Jesus Jackson</t>
  </si>
  <si>
    <t>TID001920</t>
  </si>
  <si>
    <t>Michelle Mitchell</t>
  </si>
  <si>
    <t>TID001921</t>
  </si>
  <si>
    <t>Sara Schwartz</t>
  </si>
  <si>
    <t>TID001922</t>
  </si>
  <si>
    <t>Brittany Young</t>
  </si>
  <si>
    <t>TID001923</t>
  </si>
  <si>
    <t>Eugene Martinez</t>
  </si>
  <si>
    <t>TID001924</t>
  </si>
  <si>
    <t>Cody Hart</t>
  </si>
  <si>
    <t>TID001925</t>
  </si>
  <si>
    <t>Evan Cooper</t>
  </si>
  <si>
    <t>TID001926</t>
  </si>
  <si>
    <t>Joshua Martin</t>
  </si>
  <si>
    <t>TID001927</t>
  </si>
  <si>
    <t>Thomas Sullivan</t>
  </si>
  <si>
    <t>TID001928</t>
  </si>
  <si>
    <t>Mr. Jimmy Flores Jr.</t>
  </si>
  <si>
    <t>TID001929</t>
  </si>
  <si>
    <t>Vanessa Rivera</t>
  </si>
  <si>
    <t>TID001930</t>
  </si>
  <si>
    <t>Kara Roberts</t>
  </si>
  <si>
    <t>TID001931</t>
  </si>
  <si>
    <t>Veronica Berry</t>
  </si>
  <si>
    <t>TID001932</t>
  </si>
  <si>
    <t>Keith Meadows</t>
  </si>
  <si>
    <t>TID001933</t>
  </si>
  <si>
    <t>Michael Dennis</t>
  </si>
  <si>
    <t>TID001934</t>
  </si>
  <si>
    <t>Brenda Pierce</t>
  </si>
  <si>
    <t>TID001935</t>
  </si>
  <si>
    <t>James Randall</t>
  </si>
  <si>
    <t>TID001936</t>
  </si>
  <si>
    <t>TID001937</t>
  </si>
  <si>
    <t>Lauren Walker</t>
  </si>
  <si>
    <t>TID001938</t>
  </si>
  <si>
    <t>Diana Johnson</t>
  </si>
  <si>
    <t>TID001939</t>
  </si>
  <si>
    <t>Jill Powers</t>
  </si>
  <si>
    <t>TID001940</t>
  </si>
  <si>
    <t>Jorge Lee</t>
  </si>
  <si>
    <t>TID001941</t>
  </si>
  <si>
    <t>Larry Harding</t>
  </si>
  <si>
    <t>TID001942</t>
  </si>
  <si>
    <t>Heather Hernandez</t>
  </si>
  <si>
    <t>TID001943</t>
  </si>
  <si>
    <t>Jaclyn Watson</t>
  </si>
  <si>
    <t>TID001944</t>
  </si>
  <si>
    <t>Gregory Madden</t>
  </si>
  <si>
    <t>TID001945</t>
  </si>
  <si>
    <t>Anita Luna</t>
  </si>
  <si>
    <t>TID001946</t>
  </si>
  <si>
    <t>Willie Lara</t>
  </si>
  <si>
    <t>TID001947</t>
  </si>
  <si>
    <t>Robert Waller</t>
  </si>
  <si>
    <t>TID001948</t>
  </si>
  <si>
    <t>Steven Taylor</t>
  </si>
  <si>
    <t>TID001949</t>
  </si>
  <si>
    <t>Angelica Clark</t>
  </si>
  <si>
    <t>TID001950</t>
  </si>
  <si>
    <t>Sean Hatfield</t>
  </si>
  <si>
    <t>TID001951</t>
  </si>
  <si>
    <t>Tyler Avila</t>
  </si>
  <si>
    <t>TID001952</t>
  </si>
  <si>
    <t>Jason Rocha</t>
  </si>
  <si>
    <t>TID001953</t>
  </si>
  <si>
    <t>Justin Page</t>
  </si>
  <si>
    <t>TID001954</t>
  </si>
  <si>
    <t>Breanna Lopez</t>
  </si>
  <si>
    <t>TID001955</t>
  </si>
  <si>
    <t>Julian Williams</t>
  </si>
  <si>
    <t>TID001956</t>
  </si>
  <si>
    <t>Sandra Torres</t>
  </si>
  <si>
    <t>TID001957</t>
  </si>
  <si>
    <t>Julie Johnson</t>
  </si>
  <si>
    <t>TID001958</t>
  </si>
  <si>
    <t>Dennis Blanchard</t>
  </si>
  <si>
    <t>TID001959</t>
  </si>
  <si>
    <t>Kaitlyn Valdez</t>
  </si>
  <si>
    <t>TID001960</t>
  </si>
  <si>
    <t>Jennifer Vasquez</t>
  </si>
  <si>
    <t>TID001961</t>
  </si>
  <si>
    <t>Danielle Wilson</t>
  </si>
  <si>
    <t>TID001962</t>
  </si>
  <si>
    <t>Zachary Jones</t>
  </si>
  <si>
    <t>TID001963</t>
  </si>
  <si>
    <t>Lauren Cunningham</t>
  </si>
  <si>
    <t>TID001964</t>
  </si>
  <si>
    <t>Lori Alvarez</t>
  </si>
  <si>
    <t>TID001965</t>
  </si>
  <si>
    <t>Barbara Hunt</t>
  </si>
  <si>
    <t>TID001966</t>
  </si>
  <si>
    <t>Sarah Martin</t>
  </si>
  <si>
    <t>TID001967</t>
  </si>
  <si>
    <t>Francisco Johns</t>
  </si>
  <si>
    <t>TID001968</t>
  </si>
  <si>
    <t>Christopher Nelson</t>
  </si>
  <si>
    <t>TID001969</t>
  </si>
  <si>
    <t>Thomas Kelly</t>
  </si>
  <si>
    <t>TID001970</t>
  </si>
  <si>
    <t>Joseph Mayer</t>
  </si>
  <si>
    <t>TID001971</t>
  </si>
  <si>
    <t>Pamela White</t>
  </si>
  <si>
    <t>TID001972</t>
  </si>
  <si>
    <t>Paul Stephens</t>
  </si>
  <si>
    <t>TID001973</t>
  </si>
  <si>
    <t>Samantha Cohen</t>
  </si>
  <si>
    <t>TID001974</t>
  </si>
  <si>
    <t>Michael Barker</t>
  </si>
  <si>
    <t>TID001975</t>
  </si>
  <si>
    <t>Kevin Morrow</t>
  </si>
  <si>
    <t>TID001976</t>
  </si>
  <si>
    <t>Joseph Watson</t>
  </si>
  <si>
    <t>TID001977</t>
  </si>
  <si>
    <t>Mr. Thomas Garcia</t>
  </si>
  <si>
    <t>TID001978</t>
  </si>
  <si>
    <t>Daniel Lopez</t>
  </si>
  <si>
    <t>TID001979</t>
  </si>
  <si>
    <t>Lisa Guerra</t>
  </si>
  <si>
    <t>TID001980</t>
  </si>
  <si>
    <t>Kim Arnold</t>
  </si>
  <si>
    <t>TID001981</t>
  </si>
  <si>
    <t>Ashley Stevens</t>
  </si>
  <si>
    <t>TID001982</t>
  </si>
  <si>
    <t>Robert Mclean</t>
  </si>
  <si>
    <t>TID001983</t>
  </si>
  <si>
    <t>Eric Cox</t>
  </si>
  <si>
    <t>TID001984</t>
  </si>
  <si>
    <t>Stacy Harper</t>
  </si>
  <si>
    <t>TID001985</t>
  </si>
  <si>
    <t>Gloria Mckinney</t>
  </si>
  <si>
    <t>TID001986</t>
  </si>
  <si>
    <t>Robert Walker</t>
  </si>
  <si>
    <t>TID001987</t>
  </si>
  <si>
    <t>Brenda Perez</t>
  </si>
  <si>
    <t>TID001988</t>
  </si>
  <si>
    <t>Carlos Miller</t>
  </si>
  <si>
    <t>TID001989</t>
  </si>
  <si>
    <t>TID001990</t>
  </si>
  <si>
    <t>Nicole Williams</t>
  </si>
  <si>
    <t>TID001991</t>
  </si>
  <si>
    <t>Ricky Palmer</t>
  </si>
  <si>
    <t>TID001992</t>
  </si>
  <si>
    <t>Bryan King</t>
  </si>
  <si>
    <t>TID001993</t>
  </si>
  <si>
    <t>Michael Webster</t>
  </si>
  <si>
    <t>TID001994</t>
  </si>
  <si>
    <t>Tamara Harris</t>
  </si>
  <si>
    <t>TID001995</t>
  </si>
  <si>
    <t>Cathy Bell</t>
  </si>
  <si>
    <t>TID001996</t>
  </si>
  <si>
    <t>Ryan Mcmahon</t>
  </si>
  <si>
    <t>TID001997</t>
  </si>
  <si>
    <t>TID001998</t>
  </si>
  <si>
    <t>Monica Allen</t>
  </si>
  <si>
    <t>TID001999</t>
  </si>
  <si>
    <t>Annette Lane</t>
  </si>
  <si>
    <t>TID002000</t>
  </si>
  <si>
    <t>Daniel Lee</t>
  </si>
  <si>
    <t>TID002001</t>
  </si>
  <si>
    <t>Steven Medina</t>
  </si>
  <si>
    <t>TID002002</t>
  </si>
  <si>
    <t>Annette Lewis</t>
  </si>
  <si>
    <t>TID002003</t>
  </si>
  <si>
    <t>Michelle Richardson</t>
  </si>
  <si>
    <t>TID002004</t>
  </si>
  <si>
    <t>Jessica Rosario</t>
  </si>
  <si>
    <t>TID002005</t>
  </si>
  <si>
    <t>Henry Gray</t>
  </si>
  <si>
    <t>TID002006</t>
  </si>
  <si>
    <t>Darren Rodriguez</t>
  </si>
  <si>
    <t>TID002007</t>
  </si>
  <si>
    <t>Mrs. Ashley Taylor</t>
  </si>
  <si>
    <t>TID002008</t>
  </si>
  <si>
    <t>Michele Hawkins</t>
  </si>
  <si>
    <t>TID002009</t>
  </si>
  <si>
    <t>Garrett Wilson</t>
  </si>
  <si>
    <t>TID002010</t>
  </si>
  <si>
    <t>Kyle Collins</t>
  </si>
  <si>
    <t>TID002011</t>
  </si>
  <si>
    <t>Jill Spencer</t>
  </si>
  <si>
    <t>TID002012</t>
  </si>
  <si>
    <t>Scott Lopez</t>
  </si>
  <si>
    <t>TID002013</t>
  </si>
  <si>
    <t>Ryan Alvarez</t>
  </si>
  <si>
    <t>TID002014</t>
  </si>
  <si>
    <t>Cassie Lutz</t>
  </si>
  <si>
    <t>TID002015</t>
  </si>
  <si>
    <t>Brian Kim DDS</t>
  </si>
  <si>
    <t>TID002016</t>
  </si>
  <si>
    <t>Charles Morales</t>
  </si>
  <si>
    <t>TID002017</t>
  </si>
  <si>
    <t>Ashley Schaefer</t>
  </si>
  <si>
    <t>TID002018</t>
  </si>
  <si>
    <t>Amy Hester</t>
  </si>
  <si>
    <t>TID002019</t>
  </si>
  <si>
    <t>Kurt Ewing</t>
  </si>
  <si>
    <t>TID002020</t>
  </si>
  <si>
    <t>Ryan Hardy</t>
  </si>
  <si>
    <t>TID002021</t>
  </si>
  <si>
    <t>Micheal Perkins</t>
  </si>
  <si>
    <t>TID002022</t>
  </si>
  <si>
    <t>Richard Schneider</t>
  </si>
  <si>
    <t>TID002023</t>
  </si>
  <si>
    <t>John Morrison</t>
  </si>
  <si>
    <t>TID002024</t>
  </si>
  <si>
    <t>John Ramirez</t>
  </si>
  <si>
    <t>TID002025</t>
  </si>
  <si>
    <t>Ashley King</t>
  </si>
  <si>
    <t>TID002026</t>
  </si>
  <si>
    <t>Mark Taylor Jr.</t>
  </si>
  <si>
    <t>TID002027</t>
  </si>
  <si>
    <t>Barry Gregory</t>
  </si>
  <si>
    <t>TID002028</t>
  </si>
  <si>
    <t>Janet Shelton</t>
  </si>
  <si>
    <t>TID002029</t>
  </si>
  <si>
    <t>Marco Davis</t>
  </si>
  <si>
    <t>TID002030</t>
  </si>
  <si>
    <t>Paul Saunders</t>
  </si>
  <si>
    <t>TID002031</t>
  </si>
  <si>
    <t>Christina Bates</t>
  </si>
  <si>
    <t>TID002032</t>
  </si>
  <si>
    <t>Dennis Cooper PhD</t>
  </si>
  <si>
    <t>TID002033</t>
  </si>
  <si>
    <t>Tiffany Johnson</t>
  </si>
  <si>
    <t>TID002034</t>
  </si>
  <si>
    <t>Thomas Reyes</t>
  </si>
  <si>
    <t>TID002035</t>
  </si>
  <si>
    <t>James Stevens</t>
  </si>
  <si>
    <t>TID002036</t>
  </si>
  <si>
    <t>Justin Dalton</t>
  </si>
  <si>
    <t>TID002037</t>
  </si>
  <si>
    <t>TID002038</t>
  </si>
  <si>
    <t>Mike Freeman</t>
  </si>
  <si>
    <t>TID002039</t>
  </si>
  <si>
    <t>Michael Keller</t>
  </si>
  <si>
    <t>TID002040</t>
  </si>
  <si>
    <t>Laura Alvarez</t>
  </si>
  <si>
    <t>TID002041</t>
  </si>
  <si>
    <t>Katie Myers</t>
  </si>
  <si>
    <t>TID002042</t>
  </si>
  <si>
    <t>Wesley Jensen MD</t>
  </si>
  <si>
    <t>TID002043</t>
  </si>
  <si>
    <t>TID002044</t>
  </si>
  <si>
    <t>Russell Bailey</t>
  </si>
  <si>
    <t>TID002045</t>
  </si>
  <si>
    <t>Alyssa Vance</t>
  </si>
  <si>
    <t>TID002046</t>
  </si>
  <si>
    <t>Brent Reed</t>
  </si>
  <si>
    <t>TID002047</t>
  </si>
  <si>
    <t>Gregory Stanley</t>
  </si>
  <si>
    <t>TID002048</t>
  </si>
  <si>
    <t>Matthew Watkins</t>
  </si>
  <si>
    <t>TID002049</t>
  </si>
  <si>
    <t>Ana Torres</t>
  </si>
  <si>
    <t>TID002050</t>
  </si>
  <si>
    <t>Alejandro Nguyen</t>
  </si>
  <si>
    <t>TID002051</t>
  </si>
  <si>
    <t>Scott Bradley</t>
  </si>
  <si>
    <t>TID002052</t>
  </si>
  <si>
    <t>Deborah Dominguez</t>
  </si>
  <si>
    <t>TID002053</t>
  </si>
  <si>
    <t>Victoria Gray</t>
  </si>
  <si>
    <t>TID002054</t>
  </si>
  <si>
    <t>Kenneth Stokes</t>
  </si>
  <si>
    <t>TID002055</t>
  </si>
  <si>
    <t>Michael Rogers</t>
  </si>
  <si>
    <t>TID002056</t>
  </si>
  <si>
    <t>Pamela Morgan</t>
  </si>
  <si>
    <t>TID002057</t>
  </si>
  <si>
    <t>Heidi Graham</t>
  </si>
  <si>
    <t>TID002058</t>
  </si>
  <si>
    <t>Ryan Cobb PhD</t>
  </si>
  <si>
    <t>TID002059</t>
  </si>
  <si>
    <t>Donna Williams</t>
  </si>
  <si>
    <t>TID002060</t>
  </si>
  <si>
    <t>Jennifer Perez PhD</t>
  </si>
  <si>
    <t>TID002061</t>
  </si>
  <si>
    <t>Ryan Davis</t>
  </si>
  <si>
    <t>TID002062</t>
  </si>
  <si>
    <t>Austin Solis</t>
  </si>
  <si>
    <t>TID002063</t>
  </si>
  <si>
    <t>Daniel Flynn</t>
  </si>
  <si>
    <t>TID002064</t>
  </si>
  <si>
    <t>Elizabeth Brock</t>
  </si>
  <si>
    <t>TID002065</t>
  </si>
  <si>
    <t>Joshua Gonzalez</t>
  </si>
  <si>
    <t>TID002066</t>
  </si>
  <si>
    <t>Mario Chavez</t>
  </si>
  <si>
    <t>TID002067</t>
  </si>
  <si>
    <t>Catherine Smith</t>
  </si>
  <si>
    <t>TID002068</t>
  </si>
  <si>
    <t>Shari Ray</t>
  </si>
  <si>
    <t>TID002069</t>
  </si>
  <si>
    <t>Victor Harmon</t>
  </si>
  <si>
    <t>TID002070</t>
  </si>
  <si>
    <t>Timothy Patel</t>
  </si>
  <si>
    <t>TID002071</t>
  </si>
  <si>
    <t>Patricia Hamilton</t>
  </si>
  <si>
    <t>TID002072</t>
  </si>
  <si>
    <t>Lori Boyd</t>
  </si>
  <si>
    <t>TID002073</t>
  </si>
  <si>
    <t>TID002074</t>
  </si>
  <si>
    <t>Elizabeth Graham</t>
  </si>
  <si>
    <t>TID002075</t>
  </si>
  <si>
    <t>Ronald Brown</t>
  </si>
  <si>
    <t>TID002076</t>
  </si>
  <si>
    <t>Jason Colon</t>
  </si>
  <si>
    <t>TID002077</t>
  </si>
  <si>
    <t>Dawn Burke</t>
  </si>
  <si>
    <t>TID002078</t>
  </si>
  <si>
    <t>TID002079</t>
  </si>
  <si>
    <t>Ronald Marshall</t>
  </si>
  <si>
    <t>TID002080</t>
  </si>
  <si>
    <t>Jessica Lucas</t>
  </si>
  <si>
    <t>TID002081</t>
  </si>
  <si>
    <t>Christopher Taylor</t>
  </si>
  <si>
    <t>TID002082</t>
  </si>
  <si>
    <t>Robert Hopkins</t>
  </si>
  <si>
    <t>TID002083</t>
  </si>
  <si>
    <t>Samuel Stuart</t>
  </si>
  <si>
    <t>TID002084</t>
  </si>
  <si>
    <t>Mr. Scott Miller</t>
  </si>
  <si>
    <t>TID002085</t>
  </si>
  <si>
    <t>Sharon Lester</t>
  </si>
  <si>
    <t>TID002086</t>
  </si>
  <si>
    <t>Jack Sandoval</t>
  </si>
  <si>
    <t>TID002087</t>
  </si>
  <si>
    <t>Tony Ramsey</t>
  </si>
  <si>
    <t>TID002088</t>
  </si>
  <si>
    <t>Brian Navarro</t>
  </si>
  <si>
    <t>TID002089</t>
  </si>
  <si>
    <t>Kelly Calderon</t>
  </si>
  <si>
    <t>TID002090</t>
  </si>
  <si>
    <t>Tara King</t>
  </si>
  <si>
    <t>TID002091</t>
  </si>
  <si>
    <t>Cynthia Martinez</t>
  </si>
  <si>
    <t>TID002092</t>
  </si>
  <si>
    <t>Erin Silva</t>
  </si>
  <si>
    <t>TID002093</t>
  </si>
  <si>
    <t>Paul Young</t>
  </si>
  <si>
    <t>TID002094</t>
  </si>
  <si>
    <t>Charles Thompson</t>
  </si>
  <si>
    <t>TID002095</t>
  </si>
  <si>
    <t>Jessica King</t>
  </si>
  <si>
    <t>TID002096</t>
  </si>
  <si>
    <t>Katherine Brooks</t>
  </si>
  <si>
    <t>TID002097</t>
  </si>
  <si>
    <t>Emily Coleman</t>
  </si>
  <si>
    <t>TID002098</t>
  </si>
  <si>
    <t>Tracey Suarez</t>
  </si>
  <si>
    <t>TID002099</t>
  </si>
  <si>
    <t>Heidi Baldwin</t>
  </si>
  <si>
    <t>TID002100</t>
  </si>
  <si>
    <t>Alisha Rasmussen</t>
  </si>
  <si>
    <t>TID002101</t>
  </si>
  <si>
    <t>Sarah Bates</t>
  </si>
  <si>
    <t>TID002102</t>
  </si>
  <si>
    <t>Melissa Mccormick</t>
  </si>
  <si>
    <t>TID002103</t>
  </si>
  <si>
    <t>Juan Parker</t>
  </si>
  <si>
    <t>TID002104</t>
  </si>
  <si>
    <t>Heidi Burnett</t>
  </si>
  <si>
    <t>TID002105</t>
  </si>
  <si>
    <t>Sean Mathews</t>
  </si>
  <si>
    <t>TID002106</t>
  </si>
  <si>
    <t>Theodore Long</t>
  </si>
  <si>
    <t>TID002107</t>
  </si>
  <si>
    <t>Dawn Davis</t>
  </si>
  <si>
    <t>TID002108</t>
  </si>
  <si>
    <t>Cynthia Clark</t>
  </si>
  <si>
    <t>TID002109</t>
  </si>
  <si>
    <t>Sydney Welch</t>
  </si>
  <si>
    <t>TID002110</t>
  </si>
  <si>
    <t>Pamela Sullivan</t>
  </si>
  <si>
    <t>TID002111</t>
  </si>
  <si>
    <t>Sean Morrow</t>
  </si>
  <si>
    <t>TID002112</t>
  </si>
  <si>
    <t>Kaitlin Gutierrez</t>
  </si>
  <si>
    <t>TID002113</t>
  </si>
  <si>
    <t>Michelle Mcdowell</t>
  </si>
  <si>
    <t>TID002114</t>
  </si>
  <si>
    <t>Samantha Hale</t>
  </si>
  <si>
    <t>TID002115</t>
  </si>
  <si>
    <t>Heather Guzman</t>
  </si>
  <si>
    <t>TID002116</t>
  </si>
  <si>
    <t>Nancy Chavez</t>
  </si>
  <si>
    <t>TID002117</t>
  </si>
  <si>
    <t>Anthony May</t>
  </si>
  <si>
    <t>TID002118</t>
  </si>
  <si>
    <t>Rachel Taylor</t>
  </si>
  <si>
    <t>TID002119</t>
  </si>
  <si>
    <t>Mark Edwards</t>
  </si>
  <si>
    <t>TID002120</t>
  </si>
  <si>
    <t>Christopher Black</t>
  </si>
  <si>
    <t>TID002121</t>
  </si>
  <si>
    <t>Sandra Hines</t>
  </si>
  <si>
    <t>TID002122</t>
  </si>
  <si>
    <t>Melissa Sparks</t>
  </si>
  <si>
    <t>TID002123</t>
  </si>
  <si>
    <t>John Moss</t>
  </si>
  <si>
    <t>TID002124</t>
  </si>
  <si>
    <t>Michael Serrano</t>
  </si>
  <si>
    <t>TID002125</t>
  </si>
  <si>
    <t>Christina Perry</t>
  </si>
  <si>
    <t>TID002126</t>
  </si>
  <si>
    <t>Shawn Duffy</t>
  </si>
  <si>
    <t>TID002127</t>
  </si>
  <si>
    <t>Courtney Vaughan</t>
  </si>
  <si>
    <t>TID002128</t>
  </si>
  <si>
    <t>Maria Sims</t>
  </si>
  <si>
    <t>TID002129</t>
  </si>
  <si>
    <t>Valerie Gonzalez</t>
  </si>
  <si>
    <t>TID002130</t>
  </si>
  <si>
    <t>Caroline Morales</t>
  </si>
  <si>
    <t>TID002131</t>
  </si>
  <si>
    <t>TID002132</t>
  </si>
  <si>
    <t>Travis Wilson</t>
  </si>
  <si>
    <t>TID002133</t>
  </si>
  <si>
    <t>Jessica Mora</t>
  </si>
  <si>
    <t>TID002134</t>
  </si>
  <si>
    <t>Michael Wilson</t>
  </si>
  <si>
    <t>TID002135</t>
  </si>
  <si>
    <t>Cheryl Atkins</t>
  </si>
  <si>
    <t>TID002136</t>
  </si>
  <si>
    <t>Donna Snyder</t>
  </si>
  <si>
    <t>TID002137</t>
  </si>
  <si>
    <t>Scott Greene</t>
  </si>
  <si>
    <t>TID002138</t>
  </si>
  <si>
    <t>Diane Byrd MD</t>
  </si>
  <si>
    <t>TID002139</t>
  </si>
  <si>
    <t>Charles Roberts</t>
  </si>
  <si>
    <t>TID002140</t>
  </si>
  <si>
    <t>Luke Solomon</t>
  </si>
  <si>
    <t>TID002141</t>
  </si>
  <si>
    <t>Michael Ellis</t>
  </si>
  <si>
    <t>TID002142</t>
  </si>
  <si>
    <t>Casey Morris</t>
  </si>
  <si>
    <t>TID002143</t>
  </si>
  <si>
    <t>Melissa Reeves</t>
  </si>
  <si>
    <t>TID002144</t>
  </si>
  <si>
    <t>Nancy Scott</t>
  </si>
  <si>
    <t>TID002145</t>
  </si>
  <si>
    <t>Anthony Cook</t>
  </si>
  <si>
    <t>TID002146</t>
  </si>
  <si>
    <t>Terry Barajas</t>
  </si>
  <si>
    <t>TID002147</t>
  </si>
  <si>
    <t>Tracy George</t>
  </si>
  <si>
    <t>TID002148</t>
  </si>
  <si>
    <t>Amber King</t>
  </si>
  <si>
    <t>TID002149</t>
  </si>
  <si>
    <t>Elizabeth Foster</t>
  </si>
  <si>
    <t>TID002150</t>
  </si>
  <si>
    <t>Walter Hansen</t>
  </si>
  <si>
    <t>TID002151</t>
  </si>
  <si>
    <t>Debbie Gordon</t>
  </si>
  <si>
    <t>TID002152</t>
  </si>
  <si>
    <t>Sherry Anderson</t>
  </si>
  <si>
    <t>TID002153</t>
  </si>
  <si>
    <t>Joseph Thomas</t>
  </si>
  <si>
    <t>TID002154</t>
  </si>
  <si>
    <t>Andrew Anderson</t>
  </si>
  <si>
    <t>TID002155</t>
  </si>
  <si>
    <t>Sandy Adkins</t>
  </si>
  <si>
    <t>TID002156</t>
  </si>
  <si>
    <t>TID002157</t>
  </si>
  <si>
    <t>Pam Baker</t>
  </si>
  <si>
    <t>TID002158</t>
  </si>
  <si>
    <t>Steven Stewart</t>
  </si>
  <si>
    <t>TID002159</t>
  </si>
  <si>
    <t>Pamela Hernandez DVM</t>
  </si>
  <si>
    <t>TID002160</t>
  </si>
  <si>
    <t>Rebecca Brown</t>
  </si>
  <si>
    <t>TID002161</t>
  </si>
  <si>
    <t>David Johnson</t>
  </si>
  <si>
    <t>TID002162</t>
  </si>
  <si>
    <t>Michael Graham</t>
  </si>
  <si>
    <t>TID002163</t>
  </si>
  <si>
    <t>Tammy Williams MD</t>
  </si>
  <si>
    <t>TID002164</t>
  </si>
  <si>
    <t>Karina Vasquez</t>
  </si>
  <si>
    <t>TID002165</t>
  </si>
  <si>
    <t>Sharon Martinez</t>
  </si>
  <si>
    <t>TID002166</t>
  </si>
  <si>
    <t>Sean White</t>
  </si>
  <si>
    <t>TID002167</t>
  </si>
  <si>
    <t>Jordan Nelson</t>
  </si>
  <si>
    <t>TID002168</t>
  </si>
  <si>
    <t>Laurie Silva</t>
  </si>
  <si>
    <t>TID002169</t>
  </si>
  <si>
    <t>Kelly Duncan</t>
  </si>
  <si>
    <t>TID002170</t>
  </si>
  <si>
    <t>Billy Tate</t>
  </si>
  <si>
    <t>TID002171</t>
  </si>
  <si>
    <t>Stacy Johnson</t>
  </si>
  <si>
    <t>TID002172</t>
  </si>
  <si>
    <t>Melanie Long</t>
  </si>
  <si>
    <t>TID002173</t>
  </si>
  <si>
    <t>Tiffany Hood</t>
  </si>
  <si>
    <t>TID002174</t>
  </si>
  <si>
    <t>Brad Rivas</t>
  </si>
  <si>
    <t>TID002175</t>
  </si>
  <si>
    <t>Jordan Moses</t>
  </si>
  <si>
    <t>TID002176</t>
  </si>
  <si>
    <t>Abigail Booker</t>
  </si>
  <si>
    <t>TID002177</t>
  </si>
  <si>
    <t>Tiffany Nguyen</t>
  </si>
  <si>
    <t>TID002178</t>
  </si>
  <si>
    <t>Morgan Bernard</t>
  </si>
  <si>
    <t>TID002179</t>
  </si>
  <si>
    <t>Christine Williams</t>
  </si>
  <si>
    <t>TID002180</t>
  </si>
  <si>
    <t>Erica Brown</t>
  </si>
  <si>
    <t>TID002181</t>
  </si>
  <si>
    <t>Trevor James</t>
  </si>
  <si>
    <t>TID002182</t>
  </si>
  <si>
    <t>Christopher Hanna</t>
  </si>
  <si>
    <t>TID002183</t>
  </si>
  <si>
    <t>Ann Phelps</t>
  </si>
  <si>
    <t>TID002184</t>
  </si>
  <si>
    <t>Richard Mitchell</t>
  </si>
  <si>
    <t>TID002185</t>
  </si>
  <si>
    <t>Martha Martinez</t>
  </si>
  <si>
    <t>TID002186</t>
  </si>
  <si>
    <t>Jeffrey Drake MD</t>
  </si>
  <si>
    <t>TID002187</t>
  </si>
  <si>
    <t>Bonnie Wade</t>
  </si>
  <si>
    <t>TID002188</t>
  </si>
  <si>
    <t>Kayla Burns</t>
  </si>
  <si>
    <t>TID002189</t>
  </si>
  <si>
    <t>Karen Hart</t>
  </si>
  <si>
    <t>TID002190</t>
  </si>
  <si>
    <t>Peter Shepherd</t>
  </si>
  <si>
    <t>TID002191</t>
  </si>
  <si>
    <t>Jessica Simmons</t>
  </si>
  <si>
    <t>TID002192</t>
  </si>
  <si>
    <t>Glenn Ford</t>
  </si>
  <si>
    <t>TID002193</t>
  </si>
  <si>
    <t>Michael Moore</t>
  </si>
  <si>
    <t>TID002194</t>
  </si>
  <si>
    <t>Mark Warren IV</t>
  </si>
  <si>
    <t>TID002195</t>
  </si>
  <si>
    <t>Terry Woods</t>
  </si>
  <si>
    <t>TID002196</t>
  </si>
  <si>
    <t>Carl Leach</t>
  </si>
  <si>
    <t>TID002197</t>
  </si>
  <si>
    <t>Kelly Phillips</t>
  </si>
  <si>
    <t>TID002198</t>
  </si>
  <si>
    <t>Billy Williams</t>
  </si>
  <si>
    <t>TID002199</t>
  </si>
  <si>
    <t>Jeffery Davis</t>
  </si>
  <si>
    <t>TID002200</t>
  </si>
  <si>
    <t>Laura King</t>
  </si>
  <si>
    <t>TID002201</t>
  </si>
  <si>
    <t>Brad Gordon</t>
  </si>
  <si>
    <t>TID002202</t>
  </si>
  <si>
    <t>Matthew White</t>
  </si>
  <si>
    <t>TID002203</t>
  </si>
  <si>
    <t>TID002204</t>
  </si>
  <si>
    <t>Elizabeth Matthews</t>
  </si>
  <si>
    <t>TID002205</t>
  </si>
  <si>
    <t>Michael Hanson</t>
  </si>
  <si>
    <t>TID002206</t>
  </si>
  <si>
    <t>Vincent Savage</t>
  </si>
  <si>
    <t>TID002207</t>
  </si>
  <si>
    <t>Cody Burgess</t>
  </si>
  <si>
    <t>TID002208</t>
  </si>
  <si>
    <t>Shelby Rodriguez</t>
  </si>
  <si>
    <t>TID002209</t>
  </si>
  <si>
    <t>Abigail Wilson</t>
  </si>
  <si>
    <t>TID002210</t>
  </si>
  <si>
    <t>John Holt</t>
  </si>
  <si>
    <t>TID002211</t>
  </si>
  <si>
    <t>Tracy Guzman</t>
  </si>
  <si>
    <t>TID002212</t>
  </si>
  <si>
    <t>Mr. William Ward</t>
  </si>
  <si>
    <t>TID002213</t>
  </si>
  <si>
    <t>Melissa Foster</t>
  </si>
  <si>
    <t>TID002214</t>
  </si>
  <si>
    <t>Calvin Smith</t>
  </si>
  <si>
    <t>TID002215</t>
  </si>
  <si>
    <t>Alan Waller</t>
  </si>
  <si>
    <t>TID002216</t>
  </si>
  <si>
    <t>Christine Wong</t>
  </si>
  <si>
    <t>TID002217</t>
  </si>
  <si>
    <t>Jessica Garrett</t>
  </si>
  <si>
    <t>TID002218</t>
  </si>
  <si>
    <t>Cheryl Turner</t>
  </si>
  <si>
    <t>TID002219</t>
  </si>
  <si>
    <t>John Johnson</t>
  </si>
  <si>
    <t>TID002220</t>
  </si>
  <si>
    <t>Christian Park</t>
  </si>
  <si>
    <t>TID002221</t>
  </si>
  <si>
    <t>Kaitlyn Heath</t>
  </si>
  <si>
    <t>TID002222</t>
  </si>
  <si>
    <t>Christina Hudson</t>
  </si>
  <si>
    <t>TID002223</t>
  </si>
  <si>
    <t>Amber Smith</t>
  </si>
  <si>
    <t>TID002224</t>
  </si>
  <si>
    <t>Michelle Petty</t>
  </si>
  <si>
    <t>TID002225</t>
  </si>
  <si>
    <t>Nancy Larson</t>
  </si>
  <si>
    <t>TID002226</t>
  </si>
  <si>
    <t>Donna Freeman</t>
  </si>
  <si>
    <t>TID002227</t>
  </si>
  <si>
    <t>Mr. Logan Gregory</t>
  </si>
  <si>
    <t>TID002228</t>
  </si>
  <si>
    <t>Katherine Klein</t>
  </si>
  <si>
    <t>TID002229</t>
  </si>
  <si>
    <t>Jennifer Stewart</t>
  </si>
  <si>
    <t>TID002230</t>
  </si>
  <si>
    <t>Steven Butler</t>
  </si>
  <si>
    <t>TID002231</t>
  </si>
  <si>
    <t>Johnny Mcmillan</t>
  </si>
  <si>
    <t>TID002232</t>
  </si>
  <si>
    <t>TID002233</t>
  </si>
  <si>
    <t>Corey Cooper</t>
  </si>
  <si>
    <t>TID002234</t>
  </si>
  <si>
    <t>Daniel Stout</t>
  </si>
  <si>
    <t>TID002235</t>
  </si>
  <si>
    <t>Lance Kirby</t>
  </si>
  <si>
    <t>TID002236</t>
  </si>
  <si>
    <t>Bonnie Carter</t>
  </si>
  <si>
    <t>TID002237</t>
  </si>
  <si>
    <t>Toni Whitaker</t>
  </si>
  <si>
    <t>TID002238</t>
  </si>
  <si>
    <t>Morgan Flynn</t>
  </si>
  <si>
    <t>TID002239</t>
  </si>
  <si>
    <t>Sarah Howell</t>
  </si>
  <si>
    <t>TID002240</t>
  </si>
  <si>
    <t>Paul Estrada</t>
  </si>
  <si>
    <t>TID002241</t>
  </si>
  <si>
    <t>Curtis Obrien</t>
  </si>
  <si>
    <t>TID002242</t>
  </si>
  <si>
    <t>Jason Chaney</t>
  </si>
  <si>
    <t>TID002243</t>
  </si>
  <si>
    <t>Daniel Williams</t>
  </si>
  <si>
    <t>TID002244</t>
  </si>
  <si>
    <t>Stanley Kelly</t>
  </si>
  <si>
    <t>TID002245</t>
  </si>
  <si>
    <t>Ronald Kline</t>
  </si>
  <si>
    <t>TID002246</t>
  </si>
  <si>
    <t>Arthur Jordan</t>
  </si>
  <si>
    <t>TID002247</t>
  </si>
  <si>
    <t>Barbara Walker</t>
  </si>
  <si>
    <t>TID002248</t>
  </si>
  <si>
    <t>Gerald Kelly</t>
  </si>
  <si>
    <t>TID002249</t>
  </si>
  <si>
    <t>Shawn Adams</t>
  </si>
  <si>
    <t>TID002250</t>
  </si>
  <si>
    <t>Michael Robertson</t>
  </si>
  <si>
    <t>TID002251</t>
  </si>
  <si>
    <t>Michelle House</t>
  </si>
  <si>
    <t>TID002252</t>
  </si>
  <si>
    <t>Jim Skinner</t>
  </si>
  <si>
    <t>TID002253</t>
  </si>
  <si>
    <t>Brian Bishop</t>
  </si>
  <si>
    <t>TID002254</t>
  </si>
  <si>
    <t>Theresa Colon</t>
  </si>
  <si>
    <t>TID002255</t>
  </si>
  <si>
    <t>Brian Soto</t>
  </si>
  <si>
    <t>TID002256</t>
  </si>
  <si>
    <t>Susan Moore</t>
  </si>
  <si>
    <t>TID002257</t>
  </si>
  <si>
    <t>Jeremy Hunter</t>
  </si>
  <si>
    <t>TID002258</t>
  </si>
  <si>
    <t>Annette Holland</t>
  </si>
  <si>
    <t>TID002259</t>
  </si>
  <si>
    <t>Chad Allison</t>
  </si>
  <si>
    <t>TID002260</t>
  </si>
  <si>
    <t>Jason Mack</t>
  </si>
  <si>
    <t>TID002261</t>
  </si>
  <si>
    <t>Robert Peterson</t>
  </si>
  <si>
    <t>TID002262</t>
  </si>
  <si>
    <t>Angela Watson</t>
  </si>
  <si>
    <t>TID002263</t>
  </si>
  <si>
    <t>Heather Ortega</t>
  </si>
  <si>
    <t>TID002264</t>
  </si>
  <si>
    <t>Paul Fisher</t>
  </si>
  <si>
    <t>TID002265</t>
  </si>
  <si>
    <t>Robert Gutierrez</t>
  </si>
  <si>
    <t>TID002266</t>
  </si>
  <si>
    <t>Jimmy Phelps</t>
  </si>
  <si>
    <t>TID002267</t>
  </si>
  <si>
    <t>Heidi Johnson</t>
  </si>
  <si>
    <t>TID002268</t>
  </si>
  <si>
    <t>Adam Drake</t>
  </si>
  <si>
    <t>TID002269</t>
  </si>
  <si>
    <t>Angela Edwards</t>
  </si>
  <si>
    <t>TID002270</t>
  </si>
  <si>
    <t>Mrs. Amy Malone</t>
  </si>
  <si>
    <t>TID002271</t>
  </si>
  <si>
    <t>Margaret Orr</t>
  </si>
  <si>
    <t>TID002272</t>
  </si>
  <si>
    <t>Mark Reeves</t>
  </si>
  <si>
    <t>TID002273</t>
  </si>
  <si>
    <t>TID002274</t>
  </si>
  <si>
    <t>Michael Spencer</t>
  </si>
  <si>
    <t>TID002275</t>
  </si>
  <si>
    <t>Patrick Blankenship</t>
  </si>
  <si>
    <t>TID002276</t>
  </si>
  <si>
    <t>Douglas Rose</t>
  </si>
  <si>
    <t>TID002277</t>
  </si>
  <si>
    <t>Melody Griffin</t>
  </si>
  <si>
    <t>TID002278</t>
  </si>
  <si>
    <t>Joshua Kramer</t>
  </si>
  <si>
    <t>TID002279</t>
  </si>
  <si>
    <t>Melissa Barron</t>
  </si>
  <si>
    <t>TID002280</t>
  </si>
  <si>
    <t>Jennifer Gonzalez</t>
  </si>
  <si>
    <t>TID002281</t>
  </si>
  <si>
    <t>Andrew Cook</t>
  </si>
  <si>
    <t>TID002282</t>
  </si>
  <si>
    <t>Natalie Martinez</t>
  </si>
  <si>
    <t>TID002283</t>
  </si>
  <si>
    <t>Diane Davis DDS</t>
  </si>
  <si>
    <t>TID002284</t>
  </si>
  <si>
    <t>Nicole Moore</t>
  </si>
  <si>
    <t>TID002285</t>
  </si>
  <si>
    <t>Robert Vargas</t>
  </si>
  <si>
    <t>TID002286</t>
  </si>
  <si>
    <t>Raymond Barber</t>
  </si>
  <si>
    <t>TID002287</t>
  </si>
  <si>
    <t>Mrs. Amy Watson</t>
  </si>
  <si>
    <t>TID002288</t>
  </si>
  <si>
    <t>TID002289</t>
  </si>
  <si>
    <t>Belinda Evans</t>
  </si>
  <si>
    <t>TID002290</t>
  </si>
  <si>
    <t>Jody Bird</t>
  </si>
  <si>
    <t>TID002291</t>
  </si>
  <si>
    <t>Virginia Cunningham</t>
  </si>
  <si>
    <t>TID002292</t>
  </si>
  <si>
    <t>Lori Ferguson</t>
  </si>
  <si>
    <t>TID002293</t>
  </si>
  <si>
    <t>Hayley Mitchell</t>
  </si>
  <si>
    <t>TID002294</t>
  </si>
  <si>
    <t>Michelle Chambers</t>
  </si>
  <si>
    <t>TID002295</t>
  </si>
  <si>
    <t>Kelly Wright</t>
  </si>
  <si>
    <t>TID002296</t>
  </si>
  <si>
    <t>Kevin Carson</t>
  </si>
  <si>
    <t>TID002297</t>
  </si>
  <si>
    <t>Brent Dawson</t>
  </si>
  <si>
    <t>TID002298</t>
  </si>
  <si>
    <t>TID002299</t>
  </si>
  <si>
    <t>Karen Griffin</t>
  </si>
  <si>
    <t>TID002300</t>
  </si>
  <si>
    <t>Joseph Chapman</t>
  </si>
  <si>
    <t>TID002301</t>
  </si>
  <si>
    <t>Jennifer Baker</t>
  </si>
  <si>
    <t>TID002302</t>
  </si>
  <si>
    <t>Mr. Jeremiah Galvan MD</t>
  </si>
  <si>
    <t>TID002303</t>
  </si>
  <si>
    <t>Samantha Thomas</t>
  </si>
  <si>
    <t>TID002304</t>
  </si>
  <si>
    <t>TID002305</t>
  </si>
  <si>
    <t>Sharon Wilson</t>
  </si>
  <si>
    <t>TID002306</t>
  </si>
  <si>
    <t>John Francis</t>
  </si>
  <si>
    <t>TID002307</t>
  </si>
  <si>
    <t>Jaclyn Crane</t>
  </si>
  <si>
    <t>TID002308</t>
  </si>
  <si>
    <t>Jennifer Martinez</t>
  </si>
  <si>
    <t>TID002309</t>
  </si>
  <si>
    <t>Amanda Hernandez</t>
  </si>
  <si>
    <t>TID002310</t>
  </si>
  <si>
    <t>William Turner</t>
  </si>
  <si>
    <t>TID002311</t>
  </si>
  <si>
    <t>Dr. Charles Lawrence</t>
  </si>
  <si>
    <t>TID002312</t>
  </si>
  <si>
    <t>Steven Small</t>
  </si>
  <si>
    <t>TID002313</t>
  </si>
  <si>
    <t>Robert Burns</t>
  </si>
  <si>
    <t>TID002314</t>
  </si>
  <si>
    <t>Gregory Harrell</t>
  </si>
  <si>
    <t>TID002315</t>
  </si>
  <si>
    <t>TID002316</t>
  </si>
  <si>
    <t>Rachael Alvarez</t>
  </si>
  <si>
    <t>TID002317</t>
  </si>
  <si>
    <t>Lisa Gill</t>
  </si>
  <si>
    <t>TID002318</t>
  </si>
  <si>
    <t>Julia Cole</t>
  </si>
  <si>
    <t>TID002319</t>
  </si>
  <si>
    <t>Sean Nguyen</t>
  </si>
  <si>
    <t>TID002320</t>
  </si>
  <si>
    <t>Mary Ortiz</t>
  </si>
  <si>
    <t>TID002321</t>
  </si>
  <si>
    <t>James Weaver</t>
  </si>
  <si>
    <t>TID002322</t>
  </si>
  <si>
    <t>Stacy Fitzgerald</t>
  </si>
  <si>
    <t>TID002323</t>
  </si>
  <si>
    <t>Sharon Mann</t>
  </si>
  <si>
    <t>TID002324</t>
  </si>
  <si>
    <t>Rebecca Zimmerman</t>
  </si>
  <si>
    <t>TID002325</t>
  </si>
  <si>
    <t>Becky Hansen</t>
  </si>
  <si>
    <t>TID002326</t>
  </si>
  <si>
    <t>Luke Ray</t>
  </si>
  <si>
    <t>TID002327</t>
  </si>
  <si>
    <t>Kelly Lopez</t>
  </si>
  <si>
    <t>TID002328</t>
  </si>
  <si>
    <t>Steven Martinez</t>
  </si>
  <si>
    <t>TID002329</t>
  </si>
  <si>
    <t>TID002330</t>
  </si>
  <si>
    <t>Danielle Thornton</t>
  </si>
  <si>
    <t>TID002331</t>
  </si>
  <si>
    <t>Jill Roman</t>
  </si>
  <si>
    <t>TID002332</t>
  </si>
  <si>
    <t>Jennifer Williams</t>
  </si>
  <si>
    <t>TID002333</t>
  </si>
  <si>
    <t>Allison Kim</t>
  </si>
  <si>
    <t>TID002334</t>
  </si>
  <si>
    <t>Scott Stewart</t>
  </si>
  <si>
    <t>TID002335</t>
  </si>
  <si>
    <t>Brian Garcia</t>
  </si>
  <si>
    <t>TID002336</t>
  </si>
  <si>
    <t>Charles Scott</t>
  </si>
  <si>
    <t>TID002337</t>
  </si>
  <si>
    <t>Eric Russell</t>
  </si>
  <si>
    <t>TID002338</t>
  </si>
  <si>
    <t>Lucas Nguyen</t>
  </si>
  <si>
    <t>TID002339</t>
  </si>
  <si>
    <t>Anthony Price</t>
  </si>
  <si>
    <t>TID002340</t>
  </si>
  <si>
    <t>Jason Nguyen</t>
  </si>
  <si>
    <t>TID002341</t>
  </si>
  <si>
    <t>Ronald Martinez</t>
  </si>
  <si>
    <t>TID002342</t>
  </si>
  <si>
    <t>Paul Willis</t>
  </si>
  <si>
    <t>TID002343</t>
  </si>
  <si>
    <t>Paul Cruz Jr.</t>
  </si>
  <si>
    <t>TID002344</t>
  </si>
  <si>
    <t>John Russell</t>
  </si>
  <si>
    <t>TID002345</t>
  </si>
  <si>
    <t>Mr. David Mercado</t>
  </si>
  <si>
    <t>TID002346</t>
  </si>
  <si>
    <t>Victor Leonard</t>
  </si>
  <si>
    <t>TID002347</t>
  </si>
  <si>
    <t>Justin Glover</t>
  </si>
  <si>
    <t>TID002348</t>
  </si>
  <si>
    <t>Jason Miller</t>
  </si>
  <si>
    <t>TID002349</t>
  </si>
  <si>
    <t>Christina Faulkner</t>
  </si>
  <si>
    <t>TID002350</t>
  </si>
  <si>
    <t>William Casey</t>
  </si>
  <si>
    <t>TID002351</t>
  </si>
  <si>
    <t>Jessica Buck</t>
  </si>
  <si>
    <t>TID002352</t>
  </si>
  <si>
    <t>Aaron Marshall</t>
  </si>
  <si>
    <t>TID002353</t>
  </si>
  <si>
    <t>Donna Stanton</t>
  </si>
  <si>
    <t>TID002354</t>
  </si>
  <si>
    <t>Timothy Olson</t>
  </si>
  <si>
    <t>TID002355</t>
  </si>
  <si>
    <t>Sara James</t>
  </si>
  <si>
    <t>TID002356</t>
  </si>
  <si>
    <t>Mark Richards</t>
  </si>
  <si>
    <t>TID002357</t>
  </si>
  <si>
    <t>Amber Stevenson</t>
  </si>
  <si>
    <t>TID002358</t>
  </si>
  <si>
    <t>TID002359</t>
  </si>
  <si>
    <t>Charles Hawkins</t>
  </si>
  <si>
    <t>TID002360</t>
  </si>
  <si>
    <t>Jeffrey Bishop</t>
  </si>
  <si>
    <t>TID002361</t>
  </si>
  <si>
    <t>Emily Fleming</t>
  </si>
  <si>
    <t>TID002362</t>
  </si>
  <si>
    <t>Dean Mullins</t>
  </si>
  <si>
    <t>TID002363</t>
  </si>
  <si>
    <t>David Bird</t>
  </si>
  <si>
    <t>TID002364</t>
  </si>
  <si>
    <t>Joe Greene</t>
  </si>
  <si>
    <t>TID002365</t>
  </si>
  <si>
    <t>Michael Lucas</t>
  </si>
  <si>
    <t>TID002366</t>
  </si>
  <si>
    <t>John Valenzuela</t>
  </si>
  <si>
    <t>TID002367</t>
  </si>
  <si>
    <t>Jennifer Woodard</t>
  </si>
  <si>
    <t>TID002368</t>
  </si>
  <si>
    <t>Pamela Medina</t>
  </si>
  <si>
    <t>TID002369</t>
  </si>
  <si>
    <t>Mariah Jones</t>
  </si>
  <si>
    <t>TID002370</t>
  </si>
  <si>
    <t>Ronnie Powers</t>
  </si>
  <si>
    <t>TID002371</t>
  </si>
  <si>
    <t>Heather Hess</t>
  </si>
  <si>
    <t>TID002372</t>
  </si>
  <si>
    <t>Heather Thompson</t>
  </si>
  <si>
    <t>TID002373</t>
  </si>
  <si>
    <t>Melissa Smith</t>
  </si>
  <si>
    <t>TID002374</t>
  </si>
  <si>
    <t>Timothy Wallace</t>
  </si>
  <si>
    <t>TID002375</t>
  </si>
  <si>
    <t>Alejandro Campbell</t>
  </si>
  <si>
    <t>TID002376</t>
  </si>
  <si>
    <t>Heather Davis</t>
  </si>
  <si>
    <t>TID002377</t>
  </si>
  <si>
    <t>Elizabeth Robbins</t>
  </si>
  <si>
    <t>TID002378</t>
  </si>
  <si>
    <t>Johnny Cox</t>
  </si>
  <si>
    <t>TID002379</t>
  </si>
  <si>
    <t>Tanner Mann</t>
  </si>
  <si>
    <t>TID002380</t>
  </si>
  <si>
    <t>Craig Nicholson</t>
  </si>
  <si>
    <t>TID002381</t>
  </si>
  <si>
    <t>Sergio Carroll</t>
  </si>
  <si>
    <t>TID002382</t>
  </si>
  <si>
    <t>Juan Keller MD</t>
  </si>
  <si>
    <t>TID002383</t>
  </si>
  <si>
    <t>Krystal Jones</t>
  </si>
  <si>
    <t>TID002384</t>
  </si>
  <si>
    <t>Austin Green</t>
  </si>
  <si>
    <t>TID002385</t>
  </si>
  <si>
    <t>Crystal Mills</t>
  </si>
  <si>
    <t>TID002386</t>
  </si>
  <si>
    <t>Cheryl Gregory</t>
  </si>
  <si>
    <t>TID002387</t>
  </si>
  <si>
    <t>Melissa Patel MD</t>
  </si>
  <si>
    <t>TID002388</t>
  </si>
  <si>
    <t>Jordan Pace</t>
  </si>
  <si>
    <t>TID002389</t>
  </si>
  <si>
    <t>Terri Williams</t>
  </si>
  <si>
    <t>TID002390</t>
  </si>
  <si>
    <t>Jessica Carney</t>
  </si>
  <si>
    <t>TID002391</t>
  </si>
  <si>
    <t>Michael Owens</t>
  </si>
  <si>
    <t>TID002392</t>
  </si>
  <si>
    <t>Peter Stephenson</t>
  </si>
  <si>
    <t>TID002393</t>
  </si>
  <si>
    <t>Donald Fisher</t>
  </si>
  <si>
    <t>TID002394</t>
  </si>
  <si>
    <t>Aaron Lee</t>
  </si>
  <si>
    <t>TID002395</t>
  </si>
  <si>
    <t>Kenneth Johnson</t>
  </si>
  <si>
    <t>TID002396</t>
  </si>
  <si>
    <t>Vanessa Coleman</t>
  </si>
  <si>
    <t>TID002397</t>
  </si>
  <si>
    <t>David Martin</t>
  </si>
  <si>
    <t>TID002398</t>
  </si>
  <si>
    <t>Mark Davis</t>
  </si>
  <si>
    <t>TID002399</t>
  </si>
  <si>
    <t>Robert Watkins</t>
  </si>
  <si>
    <t>TID002400</t>
  </si>
  <si>
    <t>Felicia Wright</t>
  </si>
  <si>
    <t>TID002401</t>
  </si>
  <si>
    <t>David Peterson</t>
  </si>
  <si>
    <t>TID002402</t>
  </si>
  <si>
    <t>Gavin Bauer</t>
  </si>
  <si>
    <t>TID002403</t>
  </si>
  <si>
    <t>Patricia Harvey</t>
  </si>
  <si>
    <t>TID002404</t>
  </si>
  <si>
    <t>Lori Riley</t>
  </si>
  <si>
    <t>TID002405</t>
  </si>
  <si>
    <t>Antonio Johnson</t>
  </si>
  <si>
    <t>TID002406</t>
  </si>
  <si>
    <t>Ryan Brown</t>
  </si>
  <si>
    <t>TID002407</t>
  </si>
  <si>
    <t>Thomas Ramos</t>
  </si>
  <si>
    <t>TID002408</t>
  </si>
  <si>
    <t>Mark Jones</t>
  </si>
  <si>
    <t>TID002409</t>
  </si>
  <si>
    <t>Kristin Phillips</t>
  </si>
  <si>
    <t>TID002410</t>
  </si>
  <si>
    <t>Brendan Walton</t>
  </si>
  <si>
    <t>TID002411</t>
  </si>
  <si>
    <t>Kyle Keller</t>
  </si>
  <si>
    <t>TID002412</t>
  </si>
  <si>
    <t>James Pope</t>
  </si>
  <si>
    <t>TID002413</t>
  </si>
  <si>
    <t>Lisa Morgan</t>
  </si>
  <si>
    <t>TID002414</t>
  </si>
  <si>
    <t>Rachel Gibson</t>
  </si>
  <si>
    <t>TID002415</t>
  </si>
  <si>
    <t>Corey Garcia</t>
  </si>
  <si>
    <t>TID002416</t>
  </si>
  <si>
    <t>Andrea Clarke</t>
  </si>
  <si>
    <t>TID002417</t>
  </si>
  <si>
    <t>Kenneth Walsh</t>
  </si>
  <si>
    <t>TID002418</t>
  </si>
  <si>
    <t>Jason Hardy</t>
  </si>
  <si>
    <t>TID002419</t>
  </si>
  <si>
    <t>David Robles</t>
  </si>
  <si>
    <t>TID002420</t>
  </si>
  <si>
    <t>Eric Graham</t>
  </si>
  <si>
    <t>TID002421</t>
  </si>
  <si>
    <t>Nicole Collins</t>
  </si>
  <si>
    <t>TID002422</t>
  </si>
  <si>
    <t>Patricia Hernandez</t>
  </si>
  <si>
    <t>TID002423</t>
  </si>
  <si>
    <t>Grant Wood</t>
  </si>
  <si>
    <t>TID002424</t>
  </si>
  <si>
    <t>Kevin Gregory</t>
  </si>
  <si>
    <t>TID002425</t>
  </si>
  <si>
    <t>Jonathon Conley</t>
  </si>
  <si>
    <t>TID002426</t>
  </si>
  <si>
    <t>TID002427</t>
  </si>
  <si>
    <t>Terry Glover</t>
  </si>
  <si>
    <t>TID002428</t>
  </si>
  <si>
    <t>Michael Neal</t>
  </si>
  <si>
    <t>TID002429</t>
  </si>
  <si>
    <t>Ms. Erin Lane</t>
  </si>
  <si>
    <t>TID002430</t>
  </si>
  <si>
    <t>TID002431</t>
  </si>
  <si>
    <t>Jesse Mccormick</t>
  </si>
  <si>
    <t>TID002432</t>
  </si>
  <si>
    <t>Daniel Smith</t>
  </si>
  <si>
    <t>TID002433</t>
  </si>
  <si>
    <t>David Hanson</t>
  </si>
  <si>
    <t>TID002434</t>
  </si>
  <si>
    <t>Nicholas Cisneros</t>
  </si>
  <si>
    <t>TID002435</t>
  </si>
  <si>
    <t>Patrick Harris</t>
  </si>
  <si>
    <t>TID002436</t>
  </si>
  <si>
    <t>William Cox</t>
  </si>
  <si>
    <t>TID002437</t>
  </si>
  <si>
    <t>Alvin Wilson</t>
  </si>
  <si>
    <t>TID002438</t>
  </si>
  <si>
    <t>Cory Willis</t>
  </si>
  <si>
    <t>TID002439</t>
  </si>
  <si>
    <t>Amanda Johnson</t>
  </si>
  <si>
    <t>TID002440</t>
  </si>
  <si>
    <t>Christopher Mcclure</t>
  </si>
  <si>
    <t>TID002441</t>
  </si>
  <si>
    <t>Gina Spencer</t>
  </si>
  <si>
    <t>TID002442</t>
  </si>
  <si>
    <t>Alex Cameron</t>
  </si>
  <si>
    <t>TID002443</t>
  </si>
  <si>
    <t>Alisha Byrd</t>
  </si>
  <si>
    <t>TID002444</t>
  </si>
  <si>
    <t>TID002445</t>
  </si>
  <si>
    <t>Elizabeth Allen</t>
  </si>
  <si>
    <t>TID002446</t>
  </si>
  <si>
    <t>Mary Pugh</t>
  </si>
  <si>
    <t>TID002447</t>
  </si>
  <si>
    <t>Yolanda Keith</t>
  </si>
  <si>
    <t>TID002448</t>
  </si>
  <si>
    <t>Ana Thomas</t>
  </si>
  <si>
    <t>TID002449</t>
  </si>
  <si>
    <t>Rebecca Lee</t>
  </si>
  <si>
    <t>TID002450</t>
  </si>
  <si>
    <t>James Greene</t>
  </si>
  <si>
    <t>TID002451</t>
  </si>
  <si>
    <t>Dana Williams</t>
  </si>
  <si>
    <t>TID002452</t>
  </si>
  <si>
    <t>Chelsea Nichols</t>
  </si>
  <si>
    <t>TID002453</t>
  </si>
  <si>
    <t>Erin Brown</t>
  </si>
  <si>
    <t>TID002454</t>
  </si>
  <si>
    <t>Shelley York</t>
  </si>
  <si>
    <t>TID002455</t>
  </si>
  <si>
    <t>Stacey Clark</t>
  </si>
  <si>
    <t>TID002456</t>
  </si>
  <si>
    <t>John Alvarado</t>
  </si>
  <si>
    <t>TID002457</t>
  </si>
  <si>
    <t>Jordan Potter</t>
  </si>
  <si>
    <t>TID002458</t>
  </si>
  <si>
    <t>Katrina Jimenez</t>
  </si>
  <si>
    <t>TID002459</t>
  </si>
  <si>
    <t>Frank Brooks</t>
  </si>
  <si>
    <t>TID002460</t>
  </si>
  <si>
    <t>Michelle Simpson</t>
  </si>
  <si>
    <t>TID002461</t>
  </si>
  <si>
    <t>James Morse</t>
  </si>
  <si>
    <t>TID002462</t>
  </si>
  <si>
    <t>Amanda Robinson</t>
  </si>
  <si>
    <t>TID002463</t>
  </si>
  <si>
    <t>Scott Foster</t>
  </si>
  <si>
    <t>TID002464</t>
  </si>
  <si>
    <t>Stephen Duncan</t>
  </si>
  <si>
    <t>TID002465</t>
  </si>
  <si>
    <t>Jacqueline Pierce</t>
  </si>
  <si>
    <t>TID002466</t>
  </si>
  <si>
    <t>Bradley Wallace</t>
  </si>
  <si>
    <t>TID002467</t>
  </si>
  <si>
    <t>Kevin Marshall</t>
  </si>
  <si>
    <t>TID002468</t>
  </si>
  <si>
    <t>Jessica Mcdonald</t>
  </si>
  <si>
    <t>TID002469</t>
  </si>
  <si>
    <t>Robert Stewart</t>
  </si>
  <si>
    <t>TID002470</t>
  </si>
  <si>
    <t>Christopher Hall</t>
  </si>
  <si>
    <t>TID002471</t>
  </si>
  <si>
    <t>Heather Miller</t>
  </si>
  <si>
    <t>TID002472</t>
  </si>
  <si>
    <t>Kayla Schneider</t>
  </si>
  <si>
    <t>TID002473</t>
  </si>
  <si>
    <t>Tammy Garcia</t>
  </si>
  <si>
    <t>TID002474</t>
  </si>
  <si>
    <t>Andrew Gonzalez</t>
  </si>
  <si>
    <t>TID002475</t>
  </si>
  <si>
    <t>Gary Turner</t>
  </si>
  <si>
    <t>TID002476</t>
  </si>
  <si>
    <t>Melinda Hill</t>
  </si>
  <si>
    <t>TID002477</t>
  </si>
  <si>
    <t>Yolanda Murillo</t>
  </si>
  <si>
    <t>TID002478</t>
  </si>
  <si>
    <t>Nancy Gaines</t>
  </si>
  <si>
    <t>TID002479</t>
  </si>
  <si>
    <t>Elijah Short</t>
  </si>
  <si>
    <t>TID002480</t>
  </si>
  <si>
    <t>Jennifer Sullivan</t>
  </si>
  <si>
    <t>TID002481</t>
  </si>
  <si>
    <t>Mary Kennedy</t>
  </si>
  <si>
    <t>TID002482</t>
  </si>
  <si>
    <t>Paige Hernandez</t>
  </si>
  <si>
    <t>TID002483</t>
  </si>
  <si>
    <t>Darrell Curry</t>
  </si>
  <si>
    <t>TID002484</t>
  </si>
  <si>
    <t>Jose Hartman</t>
  </si>
  <si>
    <t>TID002485</t>
  </si>
  <si>
    <t>Miranda Murray</t>
  </si>
  <si>
    <t>TID002486</t>
  </si>
  <si>
    <t>Emily Lopez</t>
  </si>
  <si>
    <t>TID002487</t>
  </si>
  <si>
    <t>Melissa Clark</t>
  </si>
  <si>
    <t>TID002488</t>
  </si>
  <si>
    <t>Justin Brooks</t>
  </si>
  <si>
    <t>TID002489</t>
  </si>
  <si>
    <t>Bethany Harding</t>
  </si>
  <si>
    <t>TID002490</t>
  </si>
  <si>
    <t>Robert Flowers</t>
  </si>
  <si>
    <t>TID002491</t>
  </si>
  <si>
    <t>Jason Jennings</t>
  </si>
  <si>
    <t>TID002492</t>
  </si>
  <si>
    <t>Richard Medina</t>
  </si>
  <si>
    <t>TID002493</t>
  </si>
  <si>
    <t>Alexander Floyd</t>
  </si>
  <si>
    <t>TID002494</t>
  </si>
  <si>
    <t>Brittany Cisneros</t>
  </si>
  <si>
    <t>TID002495</t>
  </si>
  <si>
    <t>Mark Morrison</t>
  </si>
  <si>
    <t>TID002496</t>
  </si>
  <si>
    <t>Sharon Baird</t>
  </si>
  <si>
    <t>TID002497</t>
  </si>
  <si>
    <t>James Ferguson</t>
  </si>
  <si>
    <t>TID002498</t>
  </si>
  <si>
    <t>Brian Hudson</t>
  </si>
  <si>
    <t>TID002499</t>
  </si>
  <si>
    <t>Steven Davis</t>
  </si>
  <si>
    <t>TID002500</t>
  </si>
  <si>
    <t>Juan Johnson</t>
  </si>
  <si>
    <t>TID002501</t>
  </si>
  <si>
    <t>Katherine Lopez</t>
  </si>
  <si>
    <t>TID002502</t>
  </si>
  <si>
    <t>Victor Campbell</t>
  </si>
  <si>
    <t>TID002503</t>
  </si>
  <si>
    <t>Matthew Jones</t>
  </si>
  <si>
    <t>TID002504</t>
  </si>
  <si>
    <t>Joseph Jackson</t>
  </si>
  <si>
    <t>TID002505</t>
  </si>
  <si>
    <t>Jennifer Moore</t>
  </si>
  <si>
    <t>TID002506</t>
  </si>
  <si>
    <t>Joshua Mendoza</t>
  </si>
  <si>
    <t>TID002507</t>
  </si>
  <si>
    <t>Troy Glenn</t>
  </si>
  <si>
    <t>TID002508</t>
  </si>
  <si>
    <t>Daniel Reynolds</t>
  </si>
  <si>
    <t>TID002509</t>
  </si>
  <si>
    <t>Karen Munoz</t>
  </si>
  <si>
    <t>TID002510</t>
  </si>
  <si>
    <t>Laurie Shaw</t>
  </si>
  <si>
    <t>TID002511</t>
  </si>
  <si>
    <t>Desiree Smith</t>
  </si>
  <si>
    <t>TID002512</t>
  </si>
  <si>
    <t>Austin Ross</t>
  </si>
  <si>
    <t>TID002513</t>
  </si>
  <si>
    <t>Kelly Kent</t>
  </si>
  <si>
    <t>TID002514</t>
  </si>
  <si>
    <t>Julia Johnston</t>
  </si>
  <si>
    <t>TID002515</t>
  </si>
  <si>
    <t>Donna Ibarra</t>
  </si>
  <si>
    <t>TID002516</t>
  </si>
  <si>
    <t>Michael Dawson</t>
  </si>
  <si>
    <t>TID002517</t>
  </si>
  <si>
    <t>Louis Patrick</t>
  </si>
  <si>
    <t>TID002518</t>
  </si>
  <si>
    <t>David Yoder</t>
  </si>
  <si>
    <t>TID002519</t>
  </si>
  <si>
    <t>Judith Bartlett</t>
  </si>
  <si>
    <t>TID002520</t>
  </si>
  <si>
    <t>Keith Long</t>
  </si>
  <si>
    <t>TID002521</t>
  </si>
  <si>
    <t>Cynthia Harrell</t>
  </si>
  <si>
    <t>TID002522</t>
  </si>
  <si>
    <t>Mark Carter</t>
  </si>
  <si>
    <t>TID002523</t>
  </si>
  <si>
    <t>Melissa Bowen</t>
  </si>
  <si>
    <t>TID002524</t>
  </si>
  <si>
    <t>Johnny Riddle</t>
  </si>
  <si>
    <t>TID002525</t>
  </si>
  <si>
    <t>Whitney Jones</t>
  </si>
  <si>
    <t>TID002526</t>
  </si>
  <si>
    <t>Randall Nguyen</t>
  </si>
  <si>
    <t>TID002527</t>
  </si>
  <si>
    <t>David Hunter</t>
  </si>
  <si>
    <t>TID002528</t>
  </si>
  <si>
    <t>Benjamin Neal</t>
  </si>
  <si>
    <t>TID002529</t>
  </si>
  <si>
    <t>Jane Reese</t>
  </si>
  <si>
    <t>TID002530</t>
  </si>
  <si>
    <t>Jennifer Smith</t>
  </si>
  <si>
    <t>TID002531</t>
  </si>
  <si>
    <t>Thomas Murphy</t>
  </si>
  <si>
    <t>TID002532</t>
  </si>
  <si>
    <t>Kari Jones</t>
  </si>
  <si>
    <t>TID002533</t>
  </si>
  <si>
    <t>Dana Dodson</t>
  </si>
  <si>
    <t>TID002534</t>
  </si>
  <si>
    <t>Robert Skinner</t>
  </si>
  <si>
    <t>TID002535</t>
  </si>
  <si>
    <t>Albert Garcia</t>
  </si>
  <si>
    <t>TID002536</t>
  </si>
  <si>
    <t>Joseph Myers</t>
  </si>
  <si>
    <t>TID002537</t>
  </si>
  <si>
    <t>Phillip Byrd</t>
  </si>
  <si>
    <t>TID002538</t>
  </si>
  <si>
    <t>Hunter Robinson</t>
  </si>
  <si>
    <t>TID002539</t>
  </si>
  <si>
    <t>Michael Robinson</t>
  </si>
  <si>
    <t>TID002540</t>
  </si>
  <si>
    <t>Sara Cain</t>
  </si>
  <si>
    <t>TID002541</t>
  </si>
  <si>
    <t>Michelle Prince</t>
  </si>
  <si>
    <t>TID002542</t>
  </si>
  <si>
    <t>TID002543</t>
  </si>
  <si>
    <t>Raymond Wang</t>
  </si>
  <si>
    <t>TID002544</t>
  </si>
  <si>
    <t>Jade Allen</t>
  </si>
  <si>
    <t>TID002545</t>
  </si>
  <si>
    <t>Javier Hays</t>
  </si>
  <si>
    <t>TID002546</t>
  </si>
  <si>
    <t>Corey Caldwell</t>
  </si>
  <si>
    <t>TID002547</t>
  </si>
  <si>
    <t>Stephen Robles</t>
  </si>
  <si>
    <t>TID002548</t>
  </si>
  <si>
    <t>Carol Jackson</t>
  </si>
  <si>
    <t>TID002549</t>
  </si>
  <si>
    <t>Brian Murphy</t>
  </si>
  <si>
    <t>TID002550</t>
  </si>
  <si>
    <t>Chelsey Clark</t>
  </si>
  <si>
    <t>TID002551</t>
  </si>
  <si>
    <t>Teresa Martinez</t>
  </si>
  <si>
    <t>TID002552</t>
  </si>
  <si>
    <t>Howard Thompson</t>
  </si>
  <si>
    <t>TID002553</t>
  </si>
  <si>
    <t>Eugene Price</t>
  </si>
  <si>
    <t>TID002554</t>
  </si>
  <si>
    <t>Austin Briggs</t>
  </si>
  <si>
    <t>TID002555</t>
  </si>
  <si>
    <t>Jackie Jones</t>
  </si>
  <si>
    <t>TID002556</t>
  </si>
  <si>
    <t>Eric George</t>
  </si>
  <si>
    <t>TID002557</t>
  </si>
  <si>
    <t>Mrs. Kimberly Mooney</t>
  </si>
  <si>
    <t>TID002558</t>
  </si>
  <si>
    <t>Carolyn Haley</t>
  </si>
  <si>
    <t>TID002559</t>
  </si>
  <si>
    <t>Vicki Horton</t>
  </si>
  <si>
    <t>TID002560</t>
  </si>
  <si>
    <t>Valerie Benson</t>
  </si>
  <si>
    <t>TID002561</t>
  </si>
  <si>
    <t>Mark Henson</t>
  </si>
  <si>
    <t>TID002562</t>
  </si>
  <si>
    <t>Samuel Olson</t>
  </si>
  <si>
    <t>TID002563</t>
  </si>
  <si>
    <t>Lee Richards</t>
  </si>
  <si>
    <t>TID002564</t>
  </si>
  <si>
    <t>Martin Hall</t>
  </si>
  <si>
    <t>TID002565</t>
  </si>
  <si>
    <t>Virginia Hall</t>
  </si>
  <si>
    <t>TID002566</t>
  </si>
  <si>
    <t>Stephanie Parker</t>
  </si>
  <si>
    <t>TID002567</t>
  </si>
  <si>
    <t>Nicole Harvey</t>
  </si>
  <si>
    <t>TID002568</t>
  </si>
  <si>
    <t>James Phillips</t>
  </si>
  <si>
    <t>TID002569</t>
  </si>
  <si>
    <t>Dan Johnson</t>
  </si>
  <si>
    <t>TID002570</t>
  </si>
  <si>
    <t>Linda Bautista</t>
  </si>
  <si>
    <t>TID002571</t>
  </si>
  <si>
    <t>Erin Ramirez</t>
  </si>
  <si>
    <t>TID002572</t>
  </si>
  <si>
    <t>Paige Meyer</t>
  </si>
  <si>
    <t>TID002573</t>
  </si>
  <si>
    <t>Maria Roberts</t>
  </si>
  <si>
    <t>TID002574</t>
  </si>
  <si>
    <t>Ryan Rivera</t>
  </si>
  <si>
    <t>TID002575</t>
  </si>
  <si>
    <t>Joshua Knox</t>
  </si>
  <si>
    <t>TID002576</t>
  </si>
  <si>
    <t>Danielle Mcdaniel</t>
  </si>
  <si>
    <t>TID002577</t>
  </si>
  <si>
    <t>Lisa James</t>
  </si>
  <si>
    <t>TID002578</t>
  </si>
  <si>
    <t>Jeremy Smith</t>
  </si>
  <si>
    <t>TID002579</t>
  </si>
  <si>
    <t>Andrea Lee</t>
  </si>
  <si>
    <t>TID002580</t>
  </si>
  <si>
    <t>Brenda Harris</t>
  </si>
  <si>
    <t>TID002581</t>
  </si>
  <si>
    <t>Kevin Guerra</t>
  </si>
  <si>
    <t>TID002582</t>
  </si>
  <si>
    <t>Cynthia Miller</t>
  </si>
  <si>
    <t>TID002583</t>
  </si>
  <si>
    <t>Emily Griffith</t>
  </si>
  <si>
    <t>TID002584</t>
  </si>
  <si>
    <t>Christopher Wright</t>
  </si>
  <si>
    <t>TID002585</t>
  </si>
  <si>
    <t>Jerome Reid</t>
  </si>
  <si>
    <t>TID002586</t>
  </si>
  <si>
    <t>Richard Miller</t>
  </si>
  <si>
    <t>TID002587</t>
  </si>
  <si>
    <t>Jennifer Jackson</t>
  </si>
  <si>
    <t>TID002588</t>
  </si>
  <si>
    <t>Jonathan Moss</t>
  </si>
  <si>
    <t>TID002589</t>
  </si>
  <si>
    <t>Sally Leon</t>
  </si>
  <si>
    <t>TID002590</t>
  </si>
  <si>
    <t>James Dickerson</t>
  </si>
  <si>
    <t>TID002591</t>
  </si>
  <si>
    <t>Tammy Larson</t>
  </si>
  <si>
    <t>TID002592</t>
  </si>
  <si>
    <t>Nicholas Scott</t>
  </si>
  <si>
    <t>TID002593</t>
  </si>
  <si>
    <t>Jesse Brooks</t>
  </si>
  <si>
    <t>TID002594</t>
  </si>
  <si>
    <t>Andrea Taylor</t>
  </si>
  <si>
    <t>TID002595</t>
  </si>
  <si>
    <t>Christopher Lopez</t>
  </si>
  <si>
    <t>TID002596</t>
  </si>
  <si>
    <t>Jonathan Swanson</t>
  </si>
  <si>
    <t>TID002597</t>
  </si>
  <si>
    <t>Timothy Bentley DVM</t>
  </si>
  <si>
    <t>TID002598</t>
  </si>
  <si>
    <t>John Davidson</t>
  </si>
  <si>
    <t>TID002599</t>
  </si>
  <si>
    <t>TID002600</t>
  </si>
  <si>
    <t>Janice Cunningham</t>
  </si>
  <si>
    <t>TID002601</t>
  </si>
  <si>
    <t>Jeffrey Scott</t>
  </si>
  <si>
    <t>TID002602</t>
  </si>
  <si>
    <t>Miranda Hicks</t>
  </si>
  <si>
    <t>TID002603</t>
  </si>
  <si>
    <t>Michael Horton DDS</t>
  </si>
  <si>
    <t>TID002604</t>
  </si>
  <si>
    <t>Nancy Allen</t>
  </si>
  <si>
    <t>TID002605</t>
  </si>
  <si>
    <t>Robert Mccoy</t>
  </si>
  <si>
    <t>TID002606</t>
  </si>
  <si>
    <t>TID002607</t>
  </si>
  <si>
    <t>Jesus Becker</t>
  </si>
  <si>
    <t>TID002608</t>
  </si>
  <si>
    <t>Lance Lynn</t>
  </si>
  <si>
    <t>TID002609</t>
  </si>
  <si>
    <t>Alexandria Wise</t>
  </si>
  <si>
    <t>TID002610</t>
  </si>
  <si>
    <t>Sydney Sanders</t>
  </si>
  <si>
    <t>TID002611</t>
  </si>
  <si>
    <t>Stephanie Stone</t>
  </si>
  <si>
    <t>TID002612</t>
  </si>
  <si>
    <t>Jay Gallegos</t>
  </si>
  <si>
    <t>TID002613</t>
  </si>
  <si>
    <t>Eric Ponce</t>
  </si>
  <si>
    <t>TID002614</t>
  </si>
  <si>
    <t>Janet Parker</t>
  </si>
  <si>
    <t>TID002615</t>
  </si>
  <si>
    <t>Shawn Luna</t>
  </si>
  <si>
    <t>TID002616</t>
  </si>
  <si>
    <t>Mark Frank</t>
  </si>
  <si>
    <t>TID002617</t>
  </si>
  <si>
    <t>Charles Goodman</t>
  </si>
  <si>
    <t>TID002618</t>
  </si>
  <si>
    <t>Jennifer Parker</t>
  </si>
  <si>
    <t>TID002619</t>
  </si>
  <si>
    <t>Dr. April Jones</t>
  </si>
  <si>
    <t>TID002620</t>
  </si>
  <si>
    <t>Kelly Pena</t>
  </si>
  <si>
    <t>TID002621</t>
  </si>
  <si>
    <t>Carolyn Brooks</t>
  </si>
  <si>
    <t>TID002622</t>
  </si>
  <si>
    <t>Christina White</t>
  </si>
  <si>
    <t>TID002623</t>
  </si>
  <si>
    <t>Joanne Olsen</t>
  </si>
  <si>
    <t>TID002624</t>
  </si>
  <si>
    <t>Anthony White</t>
  </si>
  <si>
    <t>TID002625</t>
  </si>
  <si>
    <t>Deanna Barrera</t>
  </si>
  <si>
    <t>TID002626</t>
  </si>
  <si>
    <t>Mark Weber</t>
  </si>
  <si>
    <t>TID002627</t>
  </si>
  <si>
    <t>Carol Carter</t>
  </si>
  <si>
    <t>TID002628</t>
  </si>
  <si>
    <t>Donald Peterson</t>
  </si>
  <si>
    <t>TID002629</t>
  </si>
  <si>
    <t>Karen Chambers</t>
  </si>
  <si>
    <t>TID002630</t>
  </si>
  <si>
    <t>Antonio Walton</t>
  </si>
  <si>
    <t>TID002631</t>
  </si>
  <si>
    <t>Kevin Huerta</t>
  </si>
  <si>
    <t>TID002632</t>
  </si>
  <si>
    <t>TID002633</t>
  </si>
  <si>
    <t>Victoria Juarez</t>
  </si>
  <si>
    <t>TID002634</t>
  </si>
  <si>
    <t>Kara Rogers</t>
  </si>
  <si>
    <t>TID002635</t>
  </si>
  <si>
    <t>Jacob Wu</t>
  </si>
  <si>
    <t>TID002636</t>
  </si>
  <si>
    <t>Dr. Teresa Ortega MD</t>
  </si>
  <si>
    <t>TID002637</t>
  </si>
  <si>
    <t>Henry Rivera</t>
  </si>
  <si>
    <t>TID002638</t>
  </si>
  <si>
    <t>Jesus Hale</t>
  </si>
  <si>
    <t>TID002639</t>
  </si>
  <si>
    <t>Stacy Taylor</t>
  </si>
  <si>
    <t>TID002640</t>
  </si>
  <si>
    <t>Sheila Ramirez</t>
  </si>
  <si>
    <t>TID002641</t>
  </si>
  <si>
    <t>Robin Richardson</t>
  </si>
  <si>
    <t>TID002642</t>
  </si>
  <si>
    <t>Mary Alvarez</t>
  </si>
  <si>
    <t>TID002643</t>
  </si>
  <si>
    <t>Cole Andersen</t>
  </si>
  <si>
    <t>TID002644</t>
  </si>
  <si>
    <t>Robin Smith</t>
  </si>
  <si>
    <t>TID002645</t>
  </si>
  <si>
    <t>Angel Aguirre</t>
  </si>
  <si>
    <t>TID002646</t>
  </si>
  <si>
    <t>Jeremy Lawson</t>
  </si>
  <si>
    <t>TID002647</t>
  </si>
  <si>
    <t>Lonnie Miller</t>
  </si>
  <si>
    <t>TID002648</t>
  </si>
  <si>
    <t>Timothy Galvan</t>
  </si>
  <si>
    <t>TID002649</t>
  </si>
  <si>
    <t>Dr. Susan Navarro</t>
  </si>
  <si>
    <t>TID002650</t>
  </si>
  <si>
    <t>Cory Thomas</t>
  </si>
  <si>
    <t>TID002651</t>
  </si>
  <si>
    <t>Laura Vincent</t>
  </si>
  <si>
    <t>TID002652</t>
  </si>
  <si>
    <t>Bethany Robles</t>
  </si>
  <si>
    <t>TID002653</t>
  </si>
  <si>
    <t>Michael Dunn</t>
  </si>
  <si>
    <t>TID002654</t>
  </si>
  <si>
    <t>Carol Griffin</t>
  </si>
  <si>
    <t>TID002655</t>
  </si>
  <si>
    <t>Matthew Allen</t>
  </si>
  <si>
    <t>TID002656</t>
  </si>
  <si>
    <t>Paul Keller</t>
  </si>
  <si>
    <t>TID002657</t>
  </si>
  <si>
    <t>Jeffrey Baldwin</t>
  </si>
  <si>
    <t>TID002658</t>
  </si>
  <si>
    <t>Timothy Orr</t>
  </si>
  <si>
    <t>TID002659</t>
  </si>
  <si>
    <t>Connie Scott</t>
  </si>
  <si>
    <t>TID002660</t>
  </si>
  <si>
    <t>TID002661</t>
  </si>
  <si>
    <t>Joseph Swanson</t>
  </si>
  <si>
    <t>TID002662</t>
  </si>
  <si>
    <t>Michael Wiggins</t>
  </si>
  <si>
    <t>TID002663</t>
  </si>
  <si>
    <t>Pamela Burke</t>
  </si>
  <si>
    <t>TID002664</t>
  </si>
  <si>
    <t>Jamie Love</t>
  </si>
  <si>
    <t>TID002665</t>
  </si>
  <si>
    <t>Jane May</t>
  </si>
  <si>
    <t>TID002666</t>
  </si>
  <si>
    <t>Savannah Stokes</t>
  </si>
  <si>
    <t>TID002667</t>
  </si>
  <si>
    <t>Brian Miller</t>
  </si>
  <si>
    <t>TID002668</t>
  </si>
  <si>
    <t>Patrick Pineda</t>
  </si>
  <si>
    <t>TID002669</t>
  </si>
  <si>
    <t>Audrey Richardson</t>
  </si>
  <si>
    <t>TID002670</t>
  </si>
  <si>
    <t>Tiffany Ray</t>
  </si>
  <si>
    <t>TID002671</t>
  </si>
  <si>
    <t>Antonio Nichols</t>
  </si>
  <si>
    <t>TID002672</t>
  </si>
  <si>
    <t>Veronica Flores</t>
  </si>
  <si>
    <t>TID002673</t>
  </si>
  <si>
    <t>Michael Hogan</t>
  </si>
  <si>
    <t>TID002674</t>
  </si>
  <si>
    <t>Lindsay Walker</t>
  </si>
  <si>
    <t>TID002675</t>
  </si>
  <si>
    <t>Joshua Murray</t>
  </si>
  <si>
    <t>TID002676</t>
  </si>
  <si>
    <t>Tommy Hood</t>
  </si>
  <si>
    <t>TID002677</t>
  </si>
  <si>
    <t>Mr. Kyle Thomas DDS</t>
  </si>
  <si>
    <t>TID002678</t>
  </si>
  <si>
    <t>Michele George</t>
  </si>
  <si>
    <t>TID002679</t>
  </si>
  <si>
    <t>William Martinez</t>
  </si>
  <si>
    <t>TID002680</t>
  </si>
  <si>
    <t>Michelle Mendoza DVM</t>
  </si>
  <si>
    <t>TID002681</t>
  </si>
  <si>
    <t>Michael Bennett DVM</t>
  </si>
  <si>
    <t>TID002682</t>
  </si>
  <si>
    <t>Ronald Clark</t>
  </si>
  <si>
    <t>TID002683</t>
  </si>
  <si>
    <t>Rita Graves</t>
  </si>
  <si>
    <t>TID002684</t>
  </si>
  <si>
    <t>TID002685</t>
  </si>
  <si>
    <t>Mr. William Hopkins</t>
  </si>
  <si>
    <t>TID002686</t>
  </si>
  <si>
    <t>Wendy Kelley</t>
  </si>
  <si>
    <t>TID002687</t>
  </si>
  <si>
    <t>Michael Mooney</t>
  </si>
  <si>
    <t>TID002688</t>
  </si>
  <si>
    <t>Jeanne Rose</t>
  </si>
  <si>
    <t>TID002689</t>
  </si>
  <si>
    <t>Michael Lee</t>
  </si>
  <si>
    <t>TID002690</t>
  </si>
  <si>
    <t>Jennifer Anderson</t>
  </si>
  <si>
    <t>TID002691</t>
  </si>
  <si>
    <t>Lauren Trujillo</t>
  </si>
  <si>
    <t>TID002692</t>
  </si>
  <si>
    <t>Michelle Ellis</t>
  </si>
  <si>
    <t>TID002693</t>
  </si>
  <si>
    <t>Chad Dominguez</t>
  </si>
  <si>
    <t>TID002694</t>
  </si>
  <si>
    <t>Charles Robinson</t>
  </si>
  <si>
    <t>TID002695</t>
  </si>
  <si>
    <t>Nancy Smith</t>
  </si>
  <si>
    <t>TID002696</t>
  </si>
  <si>
    <t>Laura Gregory</t>
  </si>
  <si>
    <t>TID002697</t>
  </si>
  <si>
    <t>Brittany Clements MD</t>
  </si>
  <si>
    <t>TID002698</t>
  </si>
  <si>
    <t>Tammy Davis</t>
  </si>
  <si>
    <t>TID002699</t>
  </si>
  <si>
    <t>Catherine Williams</t>
  </si>
  <si>
    <t>TID002700</t>
  </si>
  <si>
    <t>Miss Leslie Booker</t>
  </si>
  <si>
    <t>TID002701</t>
  </si>
  <si>
    <t>Jennifer Johnson</t>
  </si>
  <si>
    <t>TID002702</t>
  </si>
  <si>
    <t>John Watts</t>
  </si>
  <si>
    <t>TID002703</t>
  </si>
  <si>
    <t>Marissa Bennett</t>
  </si>
  <si>
    <t>TID002704</t>
  </si>
  <si>
    <t>Rebecca Barrett</t>
  </si>
  <si>
    <t>TID002705</t>
  </si>
  <si>
    <t>Sharon Santos</t>
  </si>
  <si>
    <t>TID002706</t>
  </si>
  <si>
    <t>Matthew Richardson</t>
  </si>
  <si>
    <t>TID002707</t>
  </si>
  <si>
    <t>Bradley Burns</t>
  </si>
  <si>
    <t>TID002708</t>
  </si>
  <si>
    <t>Katrina Johnson</t>
  </si>
  <si>
    <t>TID002709</t>
  </si>
  <si>
    <t>Laura Hill</t>
  </si>
  <si>
    <t>TID002710</t>
  </si>
  <si>
    <t>Rebecca White</t>
  </si>
  <si>
    <t>TID002711</t>
  </si>
  <si>
    <t>Mr. Jeffrey Duncan</t>
  </si>
  <si>
    <t>TID002712</t>
  </si>
  <si>
    <t>Arthur Stout</t>
  </si>
  <si>
    <t>TID002713</t>
  </si>
  <si>
    <t>Cathy Hess</t>
  </si>
  <si>
    <t>TID002714</t>
  </si>
  <si>
    <t>Justin Herrera</t>
  </si>
  <si>
    <t>TID002715</t>
  </si>
  <si>
    <t>Katherine Stone</t>
  </si>
  <si>
    <t>TID002716</t>
  </si>
  <si>
    <t>Michelle Tyler</t>
  </si>
  <si>
    <t>TID002717</t>
  </si>
  <si>
    <t>Paul Sheppard</t>
  </si>
  <si>
    <t>TID002718</t>
  </si>
  <si>
    <t>Catherine George</t>
  </si>
  <si>
    <t>TID002719</t>
  </si>
  <si>
    <t>Justin Mcbride</t>
  </si>
  <si>
    <t>TID002720</t>
  </si>
  <si>
    <t>Carl Harris</t>
  </si>
  <si>
    <t>TID002721</t>
  </si>
  <si>
    <t>Justin York</t>
  </si>
  <si>
    <t>TID002722</t>
  </si>
  <si>
    <t>William Hunter</t>
  </si>
  <si>
    <t>TID002723</t>
  </si>
  <si>
    <t>Joshua Henderson</t>
  </si>
  <si>
    <t>TID002724</t>
  </si>
  <si>
    <t>April Turner</t>
  </si>
  <si>
    <t>TID002725</t>
  </si>
  <si>
    <t>Kelly Patton</t>
  </si>
  <si>
    <t>TID002726</t>
  </si>
  <si>
    <t>Jill Ray</t>
  </si>
  <si>
    <t>TID002727</t>
  </si>
  <si>
    <t>Kelly Andersen</t>
  </si>
  <si>
    <t>TID002728</t>
  </si>
  <si>
    <t>TID002729</t>
  </si>
  <si>
    <t>Robert Young</t>
  </si>
  <si>
    <t>TID002730</t>
  </si>
  <si>
    <t>Elijah Wall</t>
  </si>
  <si>
    <t>TID002731</t>
  </si>
  <si>
    <t>Lindsey Robinson</t>
  </si>
  <si>
    <t>TID002732</t>
  </si>
  <si>
    <t>Carl Dean</t>
  </si>
  <si>
    <t>TID002733</t>
  </si>
  <si>
    <t>David James</t>
  </si>
  <si>
    <t>TID002734</t>
  </si>
  <si>
    <t>Jennifer Miller</t>
  </si>
  <si>
    <t>TID002735</t>
  </si>
  <si>
    <t>Jeffery Neal</t>
  </si>
  <si>
    <t>TID002736</t>
  </si>
  <si>
    <t>Andrea Oconnor</t>
  </si>
  <si>
    <t>TID002737</t>
  </si>
  <si>
    <t>Melissa Lee MD</t>
  </si>
  <si>
    <t>TID002738</t>
  </si>
  <si>
    <t>Samantha Jacobs</t>
  </si>
  <si>
    <t>TID002739</t>
  </si>
  <si>
    <t>Christian Riddle</t>
  </si>
  <si>
    <t>TID002740</t>
  </si>
  <si>
    <t>Alexander Munoz</t>
  </si>
  <si>
    <t>TID002741</t>
  </si>
  <si>
    <t>Caleb Rodriguez</t>
  </si>
  <si>
    <t>TID002742</t>
  </si>
  <si>
    <t>Andrea Bowman</t>
  </si>
  <si>
    <t>TID002743</t>
  </si>
  <si>
    <t>Gavin Nelson</t>
  </si>
  <si>
    <t>TID002744</t>
  </si>
  <si>
    <t>TID002745</t>
  </si>
  <si>
    <t>Wayne Gray</t>
  </si>
  <si>
    <t>TID002746</t>
  </si>
  <si>
    <t>Timothy Thompson</t>
  </si>
  <si>
    <t>TID002747</t>
  </si>
  <si>
    <t>Elizabeth Nicholson</t>
  </si>
  <si>
    <t>TID002748</t>
  </si>
  <si>
    <t>Joseph Graves PhD</t>
  </si>
  <si>
    <t>TID002749</t>
  </si>
  <si>
    <t>Lisa Mosley</t>
  </si>
  <si>
    <t>TID002750</t>
  </si>
  <si>
    <t>Travis Price</t>
  </si>
  <si>
    <t>TID002751</t>
  </si>
  <si>
    <t>Patrick Faulkner</t>
  </si>
  <si>
    <t>TID002752</t>
  </si>
  <si>
    <t>Linda Atkinson</t>
  </si>
  <si>
    <t>TID002753</t>
  </si>
  <si>
    <t>Cameron Smith</t>
  </si>
  <si>
    <t>TID002754</t>
  </si>
  <si>
    <t>Brittney Martinez</t>
  </si>
  <si>
    <t>TID002755</t>
  </si>
  <si>
    <t>Nicolas Brown</t>
  </si>
  <si>
    <t>TID002756</t>
  </si>
  <si>
    <t>Vanessa Zimmerman</t>
  </si>
  <si>
    <t>TID002757</t>
  </si>
  <si>
    <t>Lee Mann</t>
  </si>
  <si>
    <t>TID002758</t>
  </si>
  <si>
    <t>William Lindsey</t>
  </si>
  <si>
    <t>TID002759</t>
  </si>
  <si>
    <t>Desiree Patterson</t>
  </si>
  <si>
    <t>TID002760</t>
  </si>
  <si>
    <t>Sierra Cervantes</t>
  </si>
  <si>
    <t>TID002761</t>
  </si>
  <si>
    <t>Scott Meza</t>
  </si>
  <si>
    <t>TID002762</t>
  </si>
  <si>
    <t>Erik Davis</t>
  </si>
  <si>
    <t>TID002763</t>
  </si>
  <si>
    <t>Nicholas Duffy</t>
  </si>
  <si>
    <t>TID002764</t>
  </si>
  <si>
    <t>Anthony Paul</t>
  </si>
  <si>
    <t>TID002765</t>
  </si>
  <si>
    <t>Katherine Baxter</t>
  </si>
  <si>
    <t>TID002766</t>
  </si>
  <si>
    <t>Jessica Romero</t>
  </si>
  <si>
    <t>TID002767</t>
  </si>
  <si>
    <t>Karen Robertson</t>
  </si>
  <si>
    <t>TID002768</t>
  </si>
  <si>
    <t>Dr. Melissa Sullivan DDS</t>
  </si>
  <si>
    <t>TID002769</t>
  </si>
  <si>
    <t>Nichole Klein</t>
  </si>
  <si>
    <t>TID002770</t>
  </si>
  <si>
    <t>Nicole Sanchez</t>
  </si>
  <si>
    <t>TID002771</t>
  </si>
  <si>
    <t>Tiffany Morrow</t>
  </si>
  <si>
    <t>TID002772</t>
  </si>
  <si>
    <t>Kelsey Lynch</t>
  </si>
  <si>
    <t>TID002773</t>
  </si>
  <si>
    <t>Traci Craig</t>
  </si>
  <si>
    <t>TID002774</t>
  </si>
  <si>
    <t>Kelly Walker</t>
  </si>
  <si>
    <t>TID002775</t>
  </si>
  <si>
    <t>Ryan Palmer</t>
  </si>
  <si>
    <t>TID002776</t>
  </si>
  <si>
    <t>Jenny Gray</t>
  </si>
  <si>
    <t>TID002777</t>
  </si>
  <si>
    <t>Brian Sloan</t>
  </si>
  <si>
    <t>TID002778</t>
  </si>
  <si>
    <t>Joshua Miranda</t>
  </si>
  <si>
    <t>TID002779</t>
  </si>
  <si>
    <t>Edwin Carter</t>
  </si>
  <si>
    <t>TID002780</t>
  </si>
  <si>
    <t>Oscar Carroll</t>
  </si>
  <si>
    <t>TID002781</t>
  </si>
  <si>
    <t>Eric Fitzpatrick</t>
  </si>
  <si>
    <t>TID002782</t>
  </si>
  <si>
    <t>Samantha Johnson</t>
  </si>
  <si>
    <t>TID002783</t>
  </si>
  <si>
    <t>Luke Freeman</t>
  </si>
  <si>
    <t>TID002784</t>
  </si>
  <si>
    <t>Luis Murphy</t>
  </si>
  <si>
    <t>TID002785</t>
  </si>
  <si>
    <t>Aaron Zamora</t>
  </si>
  <si>
    <t>TID002786</t>
  </si>
  <si>
    <t>Henry Garcia</t>
  </si>
  <si>
    <t>TID002787</t>
  </si>
  <si>
    <t>Bradley Robertson Jr.</t>
  </si>
  <si>
    <t>TID002788</t>
  </si>
  <si>
    <t>John Moore</t>
  </si>
  <si>
    <t>TID002789</t>
  </si>
  <si>
    <t>Courtney Foster</t>
  </si>
  <si>
    <t>TID002790</t>
  </si>
  <si>
    <t>Jeffrey White</t>
  </si>
  <si>
    <t>TID002791</t>
  </si>
  <si>
    <t>Ashley Gonzales</t>
  </si>
  <si>
    <t>TID002792</t>
  </si>
  <si>
    <t>Candice Gomez</t>
  </si>
  <si>
    <t>TID002793</t>
  </si>
  <si>
    <t>Ian Harrell</t>
  </si>
  <si>
    <t>TID002794</t>
  </si>
  <si>
    <t>Colton Williams</t>
  </si>
  <si>
    <t>TID002795</t>
  </si>
  <si>
    <t>Patrick Santana</t>
  </si>
  <si>
    <t>TID002796</t>
  </si>
  <si>
    <t>Cristian Mendoza</t>
  </si>
  <si>
    <t>TID002797</t>
  </si>
  <si>
    <t>Deborah Fisher</t>
  </si>
  <si>
    <t>TID002798</t>
  </si>
  <si>
    <t>Rebecca Klein</t>
  </si>
  <si>
    <t>TID002799</t>
  </si>
  <si>
    <t>Phillip Macias</t>
  </si>
  <si>
    <t>TID002800</t>
  </si>
  <si>
    <t>Tammy Cameron</t>
  </si>
  <si>
    <t>TID002801</t>
  </si>
  <si>
    <t>TID002802</t>
  </si>
  <si>
    <t>TID002803</t>
  </si>
  <si>
    <t>Cynthia Gregory</t>
  </si>
  <si>
    <t>TID002804</t>
  </si>
  <si>
    <t>William Mclaughlin</t>
  </si>
  <si>
    <t>TID002805</t>
  </si>
  <si>
    <t>Dylan Tucker</t>
  </si>
  <si>
    <t>TID002806</t>
  </si>
  <si>
    <t>Danielle Hernandez</t>
  </si>
  <si>
    <t>TID002807</t>
  </si>
  <si>
    <t>Danielle Wang</t>
  </si>
  <si>
    <t>TID002808</t>
  </si>
  <si>
    <t>Wendy Wright</t>
  </si>
  <si>
    <t>TID002809</t>
  </si>
  <si>
    <t>Christina Mccarthy</t>
  </si>
  <si>
    <t>TID002810</t>
  </si>
  <si>
    <t>Meredith Shaw</t>
  </si>
  <si>
    <t>TID002811</t>
  </si>
  <si>
    <t>Willie Garza</t>
  </si>
  <si>
    <t>TID002812</t>
  </si>
  <si>
    <t>Crystal Anderson</t>
  </si>
  <si>
    <t>TID002813</t>
  </si>
  <si>
    <t>William Hickman</t>
  </si>
  <si>
    <t>TID002814</t>
  </si>
  <si>
    <t>Luis Davis</t>
  </si>
  <si>
    <t>TID002815</t>
  </si>
  <si>
    <t>Jason Torres</t>
  </si>
  <si>
    <t>TID002816</t>
  </si>
  <si>
    <t>Crystal Rogers</t>
  </si>
  <si>
    <t>TID002817</t>
  </si>
  <si>
    <t>Jordan Schneider</t>
  </si>
  <si>
    <t>TID002818</t>
  </si>
  <si>
    <t>Derrick Ramirez</t>
  </si>
  <si>
    <t>TID002819</t>
  </si>
  <si>
    <t>Jason Flores</t>
  </si>
  <si>
    <t>TID002820</t>
  </si>
  <si>
    <t>Andrew Williams</t>
  </si>
  <si>
    <t>TID002821</t>
  </si>
  <si>
    <t>Christy Kennedy</t>
  </si>
  <si>
    <t>TID002822</t>
  </si>
  <si>
    <t>Ashlee Lopez</t>
  </si>
  <si>
    <t>TID002823</t>
  </si>
  <si>
    <t>Heidi Torres</t>
  </si>
  <si>
    <t>TID002824</t>
  </si>
  <si>
    <t>Adam Arnold</t>
  </si>
  <si>
    <t>TID002825</t>
  </si>
  <si>
    <t>Erin Figueroa</t>
  </si>
  <si>
    <t>TID002826</t>
  </si>
  <si>
    <t>Richard Rice</t>
  </si>
  <si>
    <t>TID002827</t>
  </si>
  <si>
    <t>Matthew Clark</t>
  </si>
  <si>
    <t>TID002828</t>
  </si>
  <si>
    <t>Stephen Anderson</t>
  </si>
  <si>
    <t>TID002829</t>
  </si>
  <si>
    <t>Barbara Willis</t>
  </si>
  <si>
    <t>TID002830</t>
  </si>
  <si>
    <t>Martha Lee</t>
  </si>
  <si>
    <t>TID002831</t>
  </si>
  <si>
    <t>Tammy Jones</t>
  </si>
  <si>
    <t>TID002832</t>
  </si>
  <si>
    <t>Grace Swanson</t>
  </si>
  <si>
    <t>TID002833</t>
  </si>
  <si>
    <t>Christina Le MD</t>
  </si>
  <si>
    <t>TID002834</t>
  </si>
  <si>
    <t>Joshua King</t>
  </si>
  <si>
    <t>TID002835</t>
  </si>
  <si>
    <t>Sarah Meadows</t>
  </si>
  <si>
    <t>TID002836</t>
  </si>
  <si>
    <t>Stephanie West</t>
  </si>
  <si>
    <t>TID002837</t>
  </si>
  <si>
    <t>Susan Jones</t>
  </si>
  <si>
    <t>TID002838</t>
  </si>
  <si>
    <t>Timothy Gordon</t>
  </si>
  <si>
    <t>TID002839</t>
  </si>
  <si>
    <t>Kyle Horton</t>
  </si>
  <si>
    <t>TID002840</t>
  </si>
  <si>
    <t>Angel Knight</t>
  </si>
  <si>
    <t>TID002841</t>
  </si>
  <si>
    <t>Melissa Yang</t>
  </si>
  <si>
    <t>TID002842</t>
  </si>
  <si>
    <t>Michael Berg</t>
  </si>
  <si>
    <t>TID002843</t>
  </si>
  <si>
    <t>Carol Christensen</t>
  </si>
  <si>
    <t>TID002844</t>
  </si>
  <si>
    <t>Richard Morales</t>
  </si>
  <si>
    <t>TID002845</t>
  </si>
  <si>
    <t>Clinton Moore</t>
  </si>
  <si>
    <t>TID002846</t>
  </si>
  <si>
    <t>Michael Suarez</t>
  </si>
  <si>
    <t>TID002847</t>
  </si>
  <si>
    <t>Joy Zimmerman</t>
  </si>
  <si>
    <t>TID002848</t>
  </si>
  <si>
    <t>Elizabeth Robinson</t>
  </si>
  <si>
    <t>TID002849</t>
  </si>
  <si>
    <t>Kristen Jackson</t>
  </si>
  <si>
    <t>TID002850</t>
  </si>
  <si>
    <t>David Williams</t>
  </si>
  <si>
    <t>TID002851</t>
  </si>
  <si>
    <t>Stephen Ho</t>
  </si>
  <si>
    <t>TID002852</t>
  </si>
  <si>
    <t>Richard Day</t>
  </si>
  <si>
    <t>TID002853</t>
  </si>
  <si>
    <t>Rodney Nichols</t>
  </si>
  <si>
    <t>TID002854</t>
  </si>
  <si>
    <t>Gregory Jacobs</t>
  </si>
  <si>
    <t>TID002855</t>
  </si>
  <si>
    <t>Bradley Thornton</t>
  </si>
  <si>
    <t>TID002856</t>
  </si>
  <si>
    <t>Miranda Ortiz</t>
  </si>
  <si>
    <t>TID002857</t>
  </si>
  <si>
    <t>Erika Brown</t>
  </si>
  <si>
    <t>TID002858</t>
  </si>
  <si>
    <t>Samantha Robinson</t>
  </si>
  <si>
    <t>TID002859</t>
  </si>
  <si>
    <t>Cassandra Bonilla</t>
  </si>
  <si>
    <t>TID002860</t>
  </si>
  <si>
    <t>Veronica Osborne</t>
  </si>
  <si>
    <t>TID002861</t>
  </si>
  <si>
    <t>Ashley Reese</t>
  </si>
  <si>
    <t>TID002862</t>
  </si>
  <si>
    <t>Matthew Berg</t>
  </si>
  <si>
    <t>TID002863</t>
  </si>
  <si>
    <t>Kristen Montoya</t>
  </si>
  <si>
    <t>TID002864</t>
  </si>
  <si>
    <t>Derrick Perkins</t>
  </si>
  <si>
    <t>TID002865</t>
  </si>
  <si>
    <t>TID002866</t>
  </si>
  <si>
    <t>Nicholas Richardson</t>
  </si>
  <si>
    <t>TID002867</t>
  </si>
  <si>
    <t>Anna White</t>
  </si>
  <si>
    <t>TID002868</t>
  </si>
  <si>
    <t>TID002869</t>
  </si>
  <si>
    <t>Nicholas Holland Jr.</t>
  </si>
  <si>
    <t>TID002870</t>
  </si>
  <si>
    <t>Christopher Long</t>
  </si>
  <si>
    <t>TID002871</t>
  </si>
  <si>
    <t>Andrea Jones</t>
  </si>
  <si>
    <t>TID002872</t>
  </si>
  <si>
    <t>Terry Waller</t>
  </si>
  <si>
    <t>TID002873</t>
  </si>
  <si>
    <t>Joseph Acosta</t>
  </si>
  <si>
    <t>TID002874</t>
  </si>
  <si>
    <t>Lindsey Gray</t>
  </si>
  <si>
    <t>TID002875</t>
  </si>
  <si>
    <t>Ronald Hines</t>
  </si>
  <si>
    <t>TID002876</t>
  </si>
  <si>
    <t>Amanda Wright</t>
  </si>
  <si>
    <t>TID002877</t>
  </si>
  <si>
    <t>Charles Burton</t>
  </si>
  <si>
    <t>TID002878</t>
  </si>
  <si>
    <t>Vincent Rosario</t>
  </si>
  <si>
    <t>TID002879</t>
  </si>
  <si>
    <t>Noah Morgan</t>
  </si>
  <si>
    <t>TID002880</t>
  </si>
  <si>
    <t>Christina Castillo</t>
  </si>
  <si>
    <t>TID002881</t>
  </si>
  <si>
    <t>Jill Martin</t>
  </si>
  <si>
    <t>TID002882</t>
  </si>
  <si>
    <t>Christopher Brown</t>
  </si>
  <si>
    <t>TID002883</t>
  </si>
  <si>
    <t>Lori Martinez</t>
  </si>
  <si>
    <t>TID002884</t>
  </si>
  <si>
    <t>Ashley Phillips</t>
  </si>
  <si>
    <t>TID002885</t>
  </si>
  <si>
    <t>Sara Thomas</t>
  </si>
  <si>
    <t>TID002886</t>
  </si>
  <si>
    <t>Allison Simmons</t>
  </si>
  <si>
    <t>TID002887</t>
  </si>
  <si>
    <t>Matthew Perez</t>
  </si>
  <si>
    <t>TID002888</t>
  </si>
  <si>
    <t>Janice Henson</t>
  </si>
  <si>
    <t>TID002889</t>
  </si>
  <si>
    <t>Ashley Jackson</t>
  </si>
  <si>
    <t>TID002890</t>
  </si>
  <si>
    <t>Brian Sosa</t>
  </si>
  <si>
    <t>TID002891</t>
  </si>
  <si>
    <t>Luis Wilson</t>
  </si>
  <si>
    <t>TID002892</t>
  </si>
  <si>
    <t>Tamara Huang</t>
  </si>
  <si>
    <t>TID002893</t>
  </si>
  <si>
    <t>Cassandra Moreno</t>
  </si>
  <si>
    <t>TID002894</t>
  </si>
  <si>
    <t>Meghan Hernandez</t>
  </si>
  <si>
    <t>TID002895</t>
  </si>
  <si>
    <t>Elizabeth Roth</t>
  </si>
  <si>
    <t>TID002896</t>
  </si>
  <si>
    <t>Brian Hendricks</t>
  </si>
  <si>
    <t>TID002897</t>
  </si>
  <si>
    <t>Tasha Cochran</t>
  </si>
  <si>
    <t>TID002898</t>
  </si>
  <si>
    <t>Angela Smith</t>
  </si>
  <si>
    <t>TID002899</t>
  </si>
  <si>
    <t>Brittany Rios</t>
  </si>
  <si>
    <t>TID002900</t>
  </si>
  <si>
    <t>James Griffith</t>
  </si>
  <si>
    <t>TID002901</t>
  </si>
  <si>
    <t>Karen Jones</t>
  </si>
  <si>
    <t>TID002902</t>
  </si>
  <si>
    <t>Tina Ramirez</t>
  </si>
  <si>
    <t>TID002903</t>
  </si>
  <si>
    <t>Zachary White</t>
  </si>
  <si>
    <t>TID002904</t>
  </si>
  <si>
    <t>Francisco Coleman</t>
  </si>
  <si>
    <t>TID002905</t>
  </si>
  <si>
    <t>Jennifer Leon</t>
  </si>
  <si>
    <t>TID002906</t>
  </si>
  <si>
    <t>Robert Valdez</t>
  </si>
  <si>
    <t>TID002907</t>
  </si>
  <si>
    <t>TID002908</t>
  </si>
  <si>
    <t>Kim Underwood</t>
  </si>
  <si>
    <t>TID002909</t>
  </si>
  <si>
    <t>Kevin Fisher</t>
  </si>
  <si>
    <t>TID002910</t>
  </si>
  <si>
    <t>Melissa Goodman</t>
  </si>
  <si>
    <t>TID002911</t>
  </si>
  <si>
    <t>Cynthia Smith</t>
  </si>
  <si>
    <t>TID002912</t>
  </si>
  <si>
    <t>Alicia Grant DVM</t>
  </si>
  <si>
    <t>TID002913</t>
  </si>
  <si>
    <t>Amy Bailey</t>
  </si>
  <si>
    <t>TID002914</t>
  </si>
  <si>
    <t>Sharon Fuentes</t>
  </si>
  <si>
    <t>TID002915</t>
  </si>
  <si>
    <t>Charles Castaneda</t>
  </si>
  <si>
    <t>TID002916</t>
  </si>
  <si>
    <t>Susan Sanchez</t>
  </si>
  <si>
    <t>TID002917</t>
  </si>
  <si>
    <t>Amy Taylor</t>
  </si>
  <si>
    <t>TID002918</t>
  </si>
  <si>
    <t>Michele Bennett</t>
  </si>
  <si>
    <t>TID002919</t>
  </si>
  <si>
    <t>Vincent Watson</t>
  </si>
  <si>
    <t>TID002920</t>
  </si>
  <si>
    <t>Mary Jones</t>
  </si>
  <si>
    <t>TID002921</t>
  </si>
  <si>
    <t>Sheila Johnson</t>
  </si>
  <si>
    <t>TID002922</t>
  </si>
  <si>
    <t>Bob Jones</t>
  </si>
  <si>
    <t>TID002923</t>
  </si>
  <si>
    <t>Robin Hernandez</t>
  </si>
  <si>
    <t>TID002924</t>
  </si>
  <si>
    <t>Patrick Adkins</t>
  </si>
  <si>
    <t>TID002925</t>
  </si>
  <si>
    <t>Elizabeth Jenkins</t>
  </si>
  <si>
    <t>TID002926</t>
  </si>
  <si>
    <t>Richard Dominguez</t>
  </si>
  <si>
    <t>TID002927</t>
  </si>
  <si>
    <t>Christopher Ibarra</t>
  </si>
  <si>
    <t>TID002928</t>
  </si>
  <si>
    <t>Paul Gordon</t>
  </si>
  <si>
    <t>TID002929</t>
  </si>
  <si>
    <t>Ronnie Frazier</t>
  </si>
  <si>
    <t>TID002930</t>
  </si>
  <si>
    <t>Kristen Gallegos</t>
  </si>
  <si>
    <t>TID002931</t>
  </si>
  <si>
    <t>Kathryn Fletcher</t>
  </si>
  <si>
    <t>TID002932</t>
  </si>
  <si>
    <t>Christopher Dudley</t>
  </si>
  <si>
    <t>TID002933</t>
  </si>
  <si>
    <t>Vanessa Martinez</t>
  </si>
  <si>
    <t>TID002934</t>
  </si>
  <si>
    <t>Manuel Robinson</t>
  </si>
  <si>
    <t>TID002935</t>
  </si>
  <si>
    <t>Paul Hansen</t>
  </si>
  <si>
    <t>TID002936</t>
  </si>
  <si>
    <t>Rose Mcdonald</t>
  </si>
  <si>
    <t>TID002937</t>
  </si>
  <si>
    <t>Martin Wilcox</t>
  </si>
  <si>
    <t>TID002938</t>
  </si>
  <si>
    <t>Robert Lucas</t>
  </si>
  <si>
    <t>TID002939</t>
  </si>
  <si>
    <t>TID002940</t>
  </si>
  <si>
    <t>Sarah Johnson</t>
  </si>
  <si>
    <t>TID002941</t>
  </si>
  <si>
    <t>Joshua Jones</t>
  </si>
  <si>
    <t>TID002942</t>
  </si>
  <si>
    <t>Nicole Parker</t>
  </si>
  <si>
    <t>TID002943</t>
  </si>
  <si>
    <t>Margaret Johnson</t>
  </si>
  <si>
    <t>TID002944</t>
  </si>
  <si>
    <t>William Cunningham</t>
  </si>
  <si>
    <t>TID002945</t>
  </si>
  <si>
    <t>Rachel Williams</t>
  </si>
  <si>
    <t>TID002946</t>
  </si>
  <si>
    <t>Tony Smith</t>
  </si>
  <si>
    <t>TID002947</t>
  </si>
  <si>
    <t>Douglas Sanders</t>
  </si>
  <si>
    <t>TID002948</t>
  </si>
  <si>
    <t>Paul Swanson</t>
  </si>
  <si>
    <t>TID002949</t>
  </si>
  <si>
    <t>Michele Davis</t>
  </si>
  <si>
    <t>TID002950</t>
  </si>
  <si>
    <t>Patrick Garcia</t>
  </si>
  <si>
    <t>TID002951</t>
  </si>
  <si>
    <t>Brittany Matthews</t>
  </si>
  <si>
    <t>TID002952</t>
  </si>
  <si>
    <t>Kevin Christian</t>
  </si>
  <si>
    <t>TID002953</t>
  </si>
  <si>
    <t>Christian Ford</t>
  </si>
  <si>
    <t>TID002954</t>
  </si>
  <si>
    <t>Anna Higgins</t>
  </si>
  <si>
    <t>TID002955</t>
  </si>
  <si>
    <t>Rhonda Pena</t>
  </si>
  <si>
    <t>TID002956</t>
  </si>
  <si>
    <t>Candace Stuart</t>
  </si>
  <si>
    <t>TID002957</t>
  </si>
  <si>
    <t>Monica Curtis</t>
  </si>
  <si>
    <t>TID002958</t>
  </si>
  <si>
    <t>Gloria Floyd</t>
  </si>
  <si>
    <t>TID002959</t>
  </si>
  <si>
    <t>Isaac Chase</t>
  </si>
  <si>
    <t>TID002960</t>
  </si>
  <si>
    <t>Steven Schroeder</t>
  </si>
  <si>
    <t>TID002961</t>
  </si>
  <si>
    <t>Daniel Bishop</t>
  </si>
  <si>
    <t>TID002962</t>
  </si>
  <si>
    <t>Christian Burton</t>
  </si>
  <si>
    <t>TID002963</t>
  </si>
  <si>
    <t>Robert Thomas PhD</t>
  </si>
  <si>
    <t>TID002964</t>
  </si>
  <si>
    <t>Tracy Harrington</t>
  </si>
  <si>
    <t>TID002965</t>
  </si>
  <si>
    <t>Brandon Edwards</t>
  </si>
  <si>
    <t>TID002966</t>
  </si>
  <si>
    <t>Candice Ramirez</t>
  </si>
  <si>
    <t>TID002967</t>
  </si>
  <si>
    <t>Brandon White</t>
  </si>
  <si>
    <t>TID002968</t>
  </si>
  <si>
    <t>Deanna Kennedy</t>
  </si>
  <si>
    <t>TID002969</t>
  </si>
  <si>
    <t>Shawn Santos</t>
  </si>
  <si>
    <t>TID002970</t>
  </si>
  <si>
    <t>Caleb Carroll</t>
  </si>
  <si>
    <t>TID002971</t>
  </si>
  <si>
    <t>Scott Morales</t>
  </si>
  <si>
    <t>TID002972</t>
  </si>
  <si>
    <t>Sylvia Anderson</t>
  </si>
  <si>
    <t>TID002973</t>
  </si>
  <si>
    <t>Ryan Crane</t>
  </si>
  <si>
    <t>TID002974</t>
  </si>
  <si>
    <t>Michael Hunter</t>
  </si>
  <si>
    <t>TID002975</t>
  </si>
  <si>
    <t>Shawn Fleming</t>
  </si>
  <si>
    <t>TID002976</t>
  </si>
  <si>
    <t>Maria Figueroa</t>
  </si>
  <si>
    <t>TID002977</t>
  </si>
  <si>
    <t>Roberto Smith</t>
  </si>
  <si>
    <t>TID002978</t>
  </si>
  <si>
    <t>Donna Moore</t>
  </si>
  <si>
    <t>TID002979</t>
  </si>
  <si>
    <t>Benjamin Price</t>
  </si>
  <si>
    <t>TID002980</t>
  </si>
  <si>
    <t>Brandon Owens</t>
  </si>
  <si>
    <t>TID002981</t>
  </si>
  <si>
    <t>Stephanie Marshall</t>
  </si>
  <si>
    <t>TID002982</t>
  </si>
  <si>
    <t>Nicholas Lowery</t>
  </si>
  <si>
    <t>TID002983</t>
  </si>
  <si>
    <t>Patricia Gonzalez</t>
  </si>
  <si>
    <t>TID002984</t>
  </si>
  <si>
    <t>Evan Davies</t>
  </si>
  <si>
    <t>TID002985</t>
  </si>
  <si>
    <t>Dr. John Ramirez</t>
  </si>
  <si>
    <t>TID002986</t>
  </si>
  <si>
    <t>Christopher Harrison</t>
  </si>
  <si>
    <t>TID002987</t>
  </si>
  <si>
    <t>TID002988</t>
  </si>
  <si>
    <t>Jamie Mayer</t>
  </si>
  <si>
    <t>TID002989</t>
  </si>
  <si>
    <t>Jeffrey Kennedy</t>
  </si>
  <si>
    <t>TID002990</t>
  </si>
  <si>
    <t>Sean Cisneros</t>
  </si>
  <si>
    <t>TID002991</t>
  </si>
  <si>
    <t>Debra Reid</t>
  </si>
  <si>
    <t>TID002992</t>
  </si>
  <si>
    <t>Benjamin Sullivan</t>
  </si>
  <si>
    <t>TID002993</t>
  </si>
  <si>
    <t>Michael Savage</t>
  </si>
  <si>
    <t>TID002994</t>
  </si>
  <si>
    <t>Mckenzie Green</t>
  </si>
  <si>
    <t>TID002995</t>
  </si>
  <si>
    <t>Anna Valenzuela</t>
  </si>
  <si>
    <t>TID002996</t>
  </si>
  <si>
    <t>Paul Martin</t>
  </si>
  <si>
    <t>TID002997</t>
  </si>
  <si>
    <t>Jason Alvarez</t>
  </si>
  <si>
    <t>TID002998</t>
  </si>
  <si>
    <t>Caitlyn Horton</t>
  </si>
  <si>
    <t>TID002999</t>
  </si>
  <si>
    <t>Michael Price</t>
  </si>
  <si>
    <t>Revenue</t>
  </si>
  <si>
    <t>Day</t>
  </si>
  <si>
    <t>Year</t>
  </si>
  <si>
    <t>Month</t>
  </si>
  <si>
    <t>Row Labels</t>
  </si>
  <si>
    <t>Grand Total</t>
  </si>
  <si>
    <t>Count of Transaction_ID</t>
  </si>
  <si>
    <t>Sum of Quantity</t>
  </si>
  <si>
    <t>Sum of Revenue</t>
  </si>
  <si>
    <t>Jan</t>
  </si>
  <si>
    <t>Feb</t>
  </si>
  <si>
    <t>Mar</t>
  </si>
  <si>
    <t>Apr</t>
  </si>
  <si>
    <t>May</t>
  </si>
  <si>
    <t>Jul</t>
  </si>
  <si>
    <t>Aug</t>
  </si>
  <si>
    <t>Sep</t>
  </si>
  <si>
    <t>Oct</t>
  </si>
  <si>
    <t>Dec</t>
  </si>
  <si>
    <t>Jun</t>
  </si>
  <si>
    <t>Nov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</si>
</sst>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22" fontId="0" fillId="0" borderId="0" xfId="0" applyNumberFormat="1"/>
    <xf numFmtId="0" fontId="0" fillId="0" borderId="0" xfId="0" pivotButton="1"/>
    <xf numFmtId="0" fontId="0" fillId="0" borderId="0" xfId="0" applyAlignment="1">
      <alignment horizontal="left"/>
    </xf>
  </cellXfs>
  <cellStyles count="1">
    <cellStyle name="Normal" xfId="0" builtinId="0"/>
  </cellStyles>
  <dxfs count="12">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m/d/yyyy\ h:mm"/>
    </dxf>
    <dxf>
      <numFmt numFmtId="0" formatCode="General"/>
    </dxf>
  </dxfs>
  <tableStyles count="1" defaultTableStyle="TableStyleMedium2" defaultPivotStyle="PivotStyleLight16">
    <tableStyle name="Invisible" pivot="0" table="0" count="0" xr9:uid="{28257465-1BA6-4F04-B260-2EE238E02139}"/>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[Retail_Sale_Performance_insight.xlsx]charts!PivotTable6</c:name>
    <c:fmtId val="2"/>
  </c:pivotSource>
  <c:chart>
    <c:title>
      <c:tx>
        <c:rich>
          <a:bodyPr rot="0" spcFirstLastPara="1" vertOverflow="ellipsis" vert="horz" wrap="square" anchor="ctr" anchorCtr="1"/>
          <a:lstStyle/>
          <a:p>
            <a:pPr>
              <a:defRPr sz="1400" b="0" i="0" u="none" strike="noStrike" kern="1200" spc="0" baseline="0">
                <a:solidFill>
                  <a:schemeClr val="accent2">
                    <a:lumMod val="60000"/>
                    <a:lumOff val="40000"/>
                  </a:schemeClr>
                </a:solidFill>
                <a:latin typeface="+mn-lt"/>
                <a:ea typeface="+mn-ea"/>
                <a:cs typeface="+mn-cs"/>
              </a:defRPr>
            </a:pPr>
            <a:r>
              <a:rPr lang="en-US">
                <a:solidFill>
                  <a:schemeClr val="accent2">
                    <a:lumMod val="60000"/>
                    <a:lumOff val="40000"/>
                  </a:schemeClr>
                </a:solidFill>
              </a:rPr>
              <a:t>Top</a:t>
            </a:r>
            <a:r>
              <a:rPr lang="en-US" baseline="0">
                <a:solidFill>
                  <a:schemeClr val="accent2">
                    <a:lumMod val="60000"/>
                    <a:lumOff val="40000"/>
                  </a:schemeClr>
                </a:solidFill>
              </a:rPr>
              <a:t> 5 Cities By Revenue</a:t>
            </a:r>
            <a:endParaRPr lang="en-US">
              <a:solidFill>
                <a:schemeClr val="accent2">
                  <a:lumMod val="60000"/>
                  <a:lumOff val="4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2">
                  <a:lumMod val="60000"/>
                  <a:lumOff val="4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60000"/>
                      <a:lumOff val="4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charts!$B$2</c:f>
              <c:strCache>
                <c:ptCount val="1"/>
                <c:pt idx="0">
                  <c:v>Total</c:v>
                </c:pt>
              </c:strCache>
            </c:strRef>
          </c:tx>
          <c:spPr>
            <a:solidFill>
              <a:schemeClr val="accent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60000"/>
                        <a:lumOff val="4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charts!$A$3:$A$8</c:f>
              <c:strCache>
                <c:ptCount val="5"/>
                <c:pt idx="0">
                  <c:v>Cape Town</c:v>
                </c:pt>
                <c:pt idx="1">
                  <c:v>Paris</c:v>
                </c:pt>
                <c:pt idx="2">
                  <c:v>Sydney</c:v>
                </c:pt>
                <c:pt idx="3">
                  <c:v>Mumbai</c:v>
                </c:pt>
                <c:pt idx="4">
                  <c:v>London</c:v>
                </c:pt>
              </c:strCache>
            </c:strRef>
          </c:cat>
          <c:val>
            <c:numRef>
              <c:f>charts!$B$3:$B$8</c:f>
              <c:numCache>
                <c:formatCode>General</c:formatCode>
                <c:ptCount val="5"/>
                <c:pt idx="0">
                  <c:v>2417.099999999999</c:v>
                </c:pt>
                <c:pt idx="1">
                  <c:v>2417.2999999999993</c:v>
                </c:pt>
                <c:pt idx="2">
                  <c:v>2464.8999999999996</c:v>
                </c:pt>
                <c:pt idx="3">
                  <c:v>2698.4000000000005</c:v>
                </c:pt>
                <c:pt idx="4">
                  <c:v>2783.4999999999995</c:v>
                </c:pt>
              </c:numCache>
            </c:numRef>
          </c:val>
          <c:extLst>
            <c:ext xmlns:c16="http://schemas.microsoft.com/office/drawing/2014/chart" uri="{C3380CC4-5D6E-409C-BE32-E72D297353CC}">
              <c16:uniqueId val="{00000000-AA01-4342-9223-F5BA933CD950}"/>
            </c:ext>
          </c:extLst>
        </c:ser>
        <c:dLbls>
          <c:showLegendKey val="0"/>
          <c:showVal val="0"/>
          <c:showCatName val="0"/>
          <c:showSerName val="0"/>
          <c:showPercent val="0"/>
          <c:showBubbleSize val="0"/>
        </c:dLbls>
        <c:gapWidth val="182"/>
        <c:axId val="1727913135"/>
        <c:axId val="1600682031"/>
      </c:barChart>
      <c:catAx>
        <c:axId val="17279131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2">
                    <a:lumMod val="60000"/>
                    <a:lumOff val="40000"/>
                  </a:schemeClr>
                </a:solidFill>
                <a:latin typeface="+mn-lt"/>
                <a:ea typeface="+mn-ea"/>
                <a:cs typeface="+mn-cs"/>
              </a:defRPr>
            </a:pPr>
            <a:endParaRPr lang="en-US"/>
          </a:p>
        </c:txPr>
        <c:crossAx val="1600682031"/>
        <c:crosses val="autoZero"/>
        <c:auto val="1"/>
        <c:lblAlgn val="ctr"/>
        <c:lblOffset val="100"/>
        <c:noMultiLvlLbl val="0"/>
      </c:catAx>
      <c:valAx>
        <c:axId val="1600682031"/>
        <c:scaling>
          <c:orientation val="minMax"/>
        </c:scaling>
        <c:delete val="1"/>
        <c:axPos val="b"/>
        <c:numFmt formatCode="General" sourceLinked="1"/>
        <c:majorTickMark val="none"/>
        <c:minorTickMark val="none"/>
        <c:tickLblPos val="nextTo"/>
        <c:crossAx val="17279131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[Retail_Sale_Performance_insight.xlsx]charts!PivotTable9</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accent2">
                    <a:lumMod val="60000"/>
                    <a:lumOff val="40000"/>
                  </a:schemeClr>
                </a:solidFill>
              </a:rPr>
              <a:t>Monthly</a:t>
            </a:r>
            <a:r>
              <a:rPr lang="en-US" baseline="0">
                <a:solidFill>
                  <a:schemeClr val="accent2">
                    <a:lumMod val="60000"/>
                    <a:lumOff val="40000"/>
                  </a:schemeClr>
                </a:solidFill>
              </a:rPr>
              <a:t> Sales Trend</a:t>
            </a:r>
            <a:endParaRPr lang="en-US">
              <a:solidFill>
                <a:schemeClr val="accent2">
                  <a:lumMod val="60000"/>
                  <a:lumOff val="40000"/>
                </a:schemeClr>
              </a:solidFill>
            </a:endParaRPr>
          </a:p>
        </c:rich>
      </c:tx>
      <c:layout>
        <c:manualLayout>
          <c:xMode val="edge"/>
          <c:yMode val="edge"/>
          <c:x val="0.28613518197573662"/>
          <c:y val="4.056795131845841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60000"/>
                      <a:lumOff val="40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charts!$L$2</c:f>
              <c:strCache>
                <c:ptCount val="1"/>
                <c:pt idx="0">
                  <c:v>Total</c:v>
                </c:pt>
              </c:strCache>
            </c:strRef>
          </c:tx>
          <c:spPr>
            <a:ln w="28575" cap="rnd">
              <a:solidFill>
                <a:schemeClr val="accent2">
                  <a:lumMod val="60000"/>
                  <a:lumOff val="40000"/>
                </a:schemeClr>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60000"/>
                        <a:lumOff val="40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charts!$K$3:$K$15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charts!$L$3:$L$15</c:f>
              <c:numCache>
                <c:formatCode>General</c:formatCode>
                <c:ptCount val="12"/>
                <c:pt idx="0">
                  <c:v>2356.5999999999995</c:v>
                </c:pt>
                <c:pt idx="1">
                  <c:v>2059.2999999999993</c:v>
                </c:pt>
                <c:pt idx="2">
                  <c:v>2223</c:v>
                </c:pt>
                <c:pt idx="3">
                  <c:v>2112.6000000000004</c:v>
                </c:pt>
                <c:pt idx="4">
                  <c:v>2634.7000000000003</c:v>
                </c:pt>
                <c:pt idx="5">
                  <c:v>3148.7000000000003</c:v>
                </c:pt>
                <c:pt idx="6">
                  <c:v>3054.2000000000003</c:v>
                </c:pt>
                <c:pt idx="7">
                  <c:v>2939.1999999999994</c:v>
                </c:pt>
                <c:pt idx="8">
                  <c:v>2955.6999999999989</c:v>
                </c:pt>
                <c:pt idx="9">
                  <c:v>3438.6</c:v>
                </c:pt>
                <c:pt idx="10">
                  <c:v>2633.6999999999994</c:v>
                </c:pt>
                <c:pt idx="11">
                  <c:v>3280.9000000000005</c:v>
                </c:pt>
              </c:numCache>
            </c:numRef>
          </c:val>
          <c:smooth val="0"/>
          <c:extLst>
            <c:ext xmlns:c16="http://schemas.microsoft.com/office/drawing/2014/chart" uri="{C3380CC4-5D6E-409C-BE32-E72D297353CC}">
              <c16:uniqueId val="{00000000-E5E7-4411-A994-D83BDA4B4A5C}"/>
            </c:ext>
          </c:extLst>
        </c:ser>
        <c:dLbls>
          <c:dLblPos val="t"/>
          <c:showLegendKey val="0"/>
          <c:showVal val="1"/>
          <c:showCatName val="0"/>
          <c:showSerName val="0"/>
          <c:showPercent val="0"/>
          <c:showBubbleSize val="0"/>
        </c:dLbls>
        <c:smooth val="0"/>
        <c:axId val="733130111"/>
        <c:axId val="751162351"/>
      </c:lineChart>
      <c:catAx>
        <c:axId val="7331301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2">
                    <a:lumMod val="60000"/>
                    <a:lumOff val="40000"/>
                  </a:schemeClr>
                </a:solidFill>
                <a:latin typeface="+mn-lt"/>
                <a:ea typeface="+mn-ea"/>
                <a:cs typeface="+mn-cs"/>
              </a:defRPr>
            </a:pPr>
            <a:endParaRPr lang="en-US"/>
          </a:p>
        </c:txPr>
        <c:crossAx val="751162351"/>
        <c:crosses val="autoZero"/>
        <c:auto val="1"/>
        <c:lblAlgn val="ctr"/>
        <c:lblOffset val="100"/>
        <c:noMultiLvlLbl val="0"/>
      </c:catAx>
      <c:valAx>
        <c:axId val="751162351"/>
        <c:scaling>
          <c:orientation val="minMax"/>
        </c:scaling>
        <c:delete val="1"/>
        <c:axPos val="l"/>
        <c:numFmt formatCode="General" sourceLinked="1"/>
        <c:majorTickMark val="none"/>
        <c:minorTickMark val="none"/>
        <c:tickLblPos val="nextTo"/>
        <c:crossAx val="733130111"/>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[Retail_Sale_Performance_insight.xlsx]charts!PivotTable7</c:name>
    <c:fmtId val="11"/>
  </c:pivotSource>
  <c:chart>
    <c:title>
      <c:tx>
        <c:rich>
          <a:bodyPr rot="0" spcFirstLastPara="1" vertOverflow="ellipsis" vert="horz" wrap="square" anchor="ctr" anchorCtr="1"/>
          <a:lstStyle/>
          <a:p>
            <a:pPr algn="ctr">
              <a:defRPr sz="1400" b="0" i="0" u="none" strike="noStrike" kern="1200" spc="0" baseline="0">
                <a:solidFill>
                  <a:schemeClr val="accent2">
                    <a:lumMod val="60000"/>
                    <a:lumOff val="40000"/>
                  </a:schemeClr>
                </a:solidFill>
                <a:latin typeface="+mn-lt"/>
                <a:ea typeface="+mn-ea"/>
                <a:cs typeface="+mn-cs"/>
              </a:defRPr>
            </a:pPr>
            <a:r>
              <a:rPr lang="en-US"/>
              <a:t>Top 10 No.</a:t>
            </a:r>
            <a:r>
              <a:rPr lang="en-US" baseline="0"/>
              <a:t> Of Quantity Sold By Month</a:t>
            </a:r>
            <a:endParaRPr lang="en-US"/>
          </a:p>
        </c:rich>
      </c:tx>
      <c:overlay val="0"/>
      <c:spPr>
        <a:solidFill>
          <a:schemeClr val="tx1"/>
        </a:solidFill>
        <a:ln>
          <a:noFill/>
        </a:ln>
        <a:effectLst/>
      </c:spPr>
      <c:txPr>
        <a:bodyPr rot="0" spcFirstLastPara="1" vertOverflow="ellipsis" vert="horz" wrap="square" anchor="ctr" anchorCtr="1"/>
        <a:lstStyle/>
        <a:p>
          <a:pPr algn="ctr">
            <a:defRPr sz="1400" b="0" i="0" u="none" strike="noStrike" kern="1200" spc="0" baseline="0">
              <a:solidFill>
                <a:schemeClr val="accent2">
                  <a:lumMod val="60000"/>
                  <a:lumOff val="4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60000"/>
              <a:lumOff val="40000"/>
            </a:schemeClr>
          </a:solidFill>
          <a:ln>
            <a:solidFill>
              <a:schemeClr val="accent2">
                <a:lumMod val="60000"/>
                <a:lumOff val="4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60000"/>
                      <a:lumOff val="4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charts!$F$2</c:f>
              <c:strCache>
                <c:ptCount val="1"/>
                <c:pt idx="0">
                  <c:v>Total</c:v>
                </c:pt>
              </c:strCache>
            </c:strRef>
          </c:tx>
          <c:spPr>
            <a:solidFill>
              <a:schemeClr val="accent2">
                <a:lumMod val="60000"/>
                <a:lumOff val="40000"/>
              </a:schemeClr>
            </a:solidFill>
            <a:ln>
              <a:solidFill>
                <a:schemeClr val="accent2">
                  <a:lumMod val="60000"/>
                  <a:lumOff val="40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60000"/>
                        <a:lumOff val="4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charts!$E$3:$E$13</c:f>
              <c:strCache>
                <c:ptCount val="10"/>
                <c:pt idx="0">
                  <c:v>Jan</c:v>
                </c:pt>
                <c:pt idx="1">
                  <c:v>Feb</c:v>
                </c:pt>
                <c:pt idx="2">
                  <c:v>May</c:v>
                </c:pt>
                <c:pt idx="3">
                  <c:v>Jun</c:v>
                </c:pt>
                <c:pt idx="4">
                  <c:v>Jul</c:v>
                </c:pt>
                <c:pt idx="5">
                  <c:v>Aug</c:v>
                </c:pt>
                <c:pt idx="6">
                  <c:v>Sep</c:v>
                </c:pt>
                <c:pt idx="7">
                  <c:v>Oct</c:v>
                </c:pt>
                <c:pt idx="8">
                  <c:v>Nov</c:v>
                </c:pt>
                <c:pt idx="9">
                  <c:v>Dec</c:v>
                </c:pt>
              </c:strCache>
            </c:strRef>
          </c:cat>
          <c:val>
            <c:numRef>
              <c:f>charts!$F$3:$F$13</c:f>
              <c:numCache>
                <c:formatCode>General</c:formatCode>
                <c:ptCount val="10"/>
                <c:pt idx="0">
                  <c:v>778</c:v>
                </c:pt>
                <c:pt idx="1">
                  <c:v>755</c:v>
                </c:pt>
                <c:pt idx="2">
                  <c:v>920</c:v>
                </c:pt>
                <c:pt idx="3">
                  <c:v>1056</c:v>
                </c:pt>
                <c:pt idx="4">
                  <c:v>1062</c:v>
                </c:pt>
                <c:pt idx="5">
                  <c:v>1013</c:v>
                </c:pt>
                <c:pt idx="6">
                  <c:v>1047</c:v>
                </c:pt>
                <c:pt idx="7">
                  <c:v>1191</c:v>
                </c:pt>
                <c:pt idx="8">
                  <c:v>881</c:v>
                </c:pt>
                <c:pt idx="9">
                  <c:v>1123</c:v>
                </c:pt>
              </c:numCache>
            </c:numRef>
          </c:val>
          <c:extLst>
            <c:ext xmlns:c16="http://schemas.microsoft.com/office/drawing/2014/chart" uri="{C3380CC4-5D6E-409C-BE32-E72D297353CC}">
              <c16:uniqueId val="{00000000-2762-4ACA-9F3E-F1A3C36DC67F}"/>
            </c:ext>
          </c:extLst>
        </c:ser>
        <c:dLbls>
          <c:dLblPos val="outEnd"/>
          <c:showLegendKey val="0"/>
          <c:showVal val="1"/>
          <c:showCatName val="0"/>
          <c:showSerName val="0"/>
          <c:showPercent val="0"/>
          <c:showBubbleSize val="0"/>
        </c:dLbls>
        <c:gapWidth val="219"/>
        <c:overlap val="-27"/>
        <c:axId val="843009168"/>
        <c:axId val="323887088"/>
      </c:barChart>
      <c:catAx>
        <c:axId val="84300916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2">
                    <a:lumMod val="60000"/>
                    <a:lumOff val="40000"/>
                  </a:schemeClr>
                </a:solidFill>
                <a:latin typeface="+mn-lt"/>
                <a:ea typeface="+mn-ea"/>
                <a:cs typeface="+mn-cs"/>
              </a:defRPr>
            </a:pPr>
            <a:endParaRPr lang="en-US"/>
          </a:p>
        </c:txPr>
        <c:crossAx val="323887088"/>
        <c:crosses val="autoZero"/>
        <c:auto val="1"/>
        <c:lblAlgn val="ctr"/>
        <c:lblOffset val="100"/>
        <c:noMultiLvlLbl val="0"/>
      </c:catAx>
      <c:valAx>
        <c:axId val="323887088"/>
        <c:scaling>
          <c:orientation val="minMax"/>
        </c:scaling>
        <c:delete val="1"/>
        <c:axPos val="l"/>
        <c:numFmt formatCode="General" sourceLinked="1"/>
        <c:majorTickMark val="out"/>
        <c:minorTickMark val="none"/>
        <c:tickLblPos val="nextTo"/>
        <c:crossAx val="8430091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defRPr>
          <a:solidFill>
            <a:schemeClr val="accent2">
              <a:lumMod val="60000"/>
              <a:lumOff val="4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[Retail_Sale_Performance_insight.xlsx]charts!PivotTable1</c:name>
    <c:fmtId val="2"/>
  </c:pivotSource>
  <c:chart>
    <c:title>
      <c:tx>
        <c:rich>
          <a:bodyPr rot="0" spcFirstLastPara="1" vertOverflow="ellipsis" vert="horz" wrap="square" anchor="ctr" anchorCtr="1"/>
          <a:lstStyle/>
          <a:p>
            <a:pPr>
              <a:defRPr sz="1400" b="0" i="0" u="none" strike="noStrike" kern="1200" spc="0" baseline="0">
                <a:solidFill>
                  <a:schemeClr val="accent2">
                    <a:lumMod val="60000"/>
                    <a:lumOff val="40000"/>
                  </a:schemeClr>
                </a:solidFill>
                <a:latin typeface="+mn-lt"/>
                <a:ea typeface="+mn-ea"/>
                <a:cs typeface="+mn-cs"/>
              </a:defRPr>
            </a:pPr>
            <a:r>
              <a:rPr lang="en-US"/>
              <a:t>Top</a:t>
            </a:r>
            <a:r>
              <a:rPr lang="en-US" baseline="0"/>
              <a:t> 5 Product By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2">
                  <a:lumMod val="60000"/>
                  <a:lumOff val="4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60000"/>
              <a:lumOff val="40000"/>
            </a:schemeClr>
          </a:solidFill>
          <a:ln>
            <a:solidFill>
              <a:schemeClr val="accent2">
                <a:lumMod val="60000"/>
                <a:lumOff val="40000"/>
              </a:schemeClr>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2">
                      <a:lumMod val="60000"/>
                      <a:lumOff val="4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60000"/>
              <a:lumOff val="40000"/>
            </a:schemeClr>
          </a:solidFill>
          <a:ln>
            <a:solidFill>
              <a:schemeClr val="accent2">
                <a:lumMod val="60000"/>
                <a:lumOff val="4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60000"/>
                      <a:lumOff val="4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charts!$B$15</c:f>
              <c:strCache>
                <c:ptCount val="1"/>
                <c:pt idx="0">
                  <c:v>Total</c:v>
                </c:pt>
              </c:strCache>
            </c:strRef>
          </c:tx>
          <c:spPr>
            <a:solidFill>
              <a:schemeClr val="accent2">
                <a:lumMod val="60000"/>
                <a:lumOff val="40000"/>
              </a:schemeClr>
            </a:solidFill>
            <a:ln>
              <a:solidFill>
                <a:schemeClr val="accent2">
                  <a:lumMod val="60000"/>
                  <a:lumOff val="40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60000"/>
                        <a:lumOff val="4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charts!$A$16:$A$21</c:f>
              <c:strCache>
                <c:ptCount val="5"/>
                <c:pt idx="0">
                  <c:v>Shampoo</c:v>
                </c:pt>
                <c:pt idx="1">
                  <c:v>Cheese</c:v>
                </c:pt>
                <c:pt idx="2">
                  <c:v>Detergent</c:v>
                </c:pt>
                <c:pt idx="3">
                  <c:v>Beef (1kg)</c:v>
                </c:pt>
                <c:pt idx="4">
                  <c:v>Chicken (1kg)</c:v>
                </c:pt>
              </c:strCache>
            </c:strRef>
          </c:cat>
          <c:val>
            <c:numRef>
              <c:f>charts!$B$16:$B$21</c:f>
              <c:numCache>
                <c:formatCode>General</c:formatCode>
                <c:ptCount val="5"/>
                <c:pt idx="0">
                  <c:v>2216</c:v>
                </c:pt>
                <c:pt idx="1">
                  <c:v>2241</c:v>
                </c:pt>
                <c:pt idx="2">
                  <c:v>2800</c:v>
                </c:pt>
                <c:pt idx="3">
                  <c:v>3486</c:v>
                </c:pt>
                <c:pt idx="4">
                  <c:v>4130.5</c:v>
                </c:pt>
              </c:numCache>
            </c:numRef>
          </c:val>
          <c:extLst>
            <c:ext xmlns:c16="http://schemas.microsoft.com/office/drawing/2014/chart" uri="{C3380CC4-5D6E-409C-BE32-E72D297353CC}">
              <c16:uniqueId val="{00000001-9D5B-4C91-8482-7730C5A55620}"/>
            </c:ext>
          </c:extLst>
        </c:ser>
        <c:dLbls>
          <c:dLblPos val="outEnd"/>
          <c:showLegendKey val="0"/>
          <c:showVal val="1"/>
          <c:showCatName val="0"/>
          <c:showSerName val="0"/>
          <c:showPercent val="0"/>
          <c:showBubbleSize val="0"/>
        </c:dLbls>
        <c:gapWidth val="182"/>
        <c:axId val="823623775"/>
        <c:axId val="931162607"/>
      </c:barChart>
      <c:catAx>
        <c:axId val="82362377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2">
                    <a:lumMod val="60000"/>
                    <a:lumOff val="40000"/>
                  </a:schemeClr>
                </a:solidFill>
                <a:latin typeface="+mn-lt"/>
                <a:ea typeface="+mn-ea"/>
                <a:cs typeface="+mn-cs"/>
              </a:defRPr>
            </a:pPr>
            <a:endParaRPr lang="en-US"/>
          </a:p>
        </c:txPr>
        <c:crossAx val="931162607"/>
        <c:crosses val="autoZero"/>
        <c:auto val="1"/>
        <c:lblAlgn val="ctr"/>
        <c:lblOffset val="100"/>
        <c:noMultiLvlLbl val="0"/>
      </c:catAx>
      <c:valAx>
        <c:axId val="931162607"/>
        <c:scaling>
          <c:orientation val="minMax"/>
        </c:scaling>
        <c:delete val="1"/>
        <c:axPos val="b"/>
        <c:numFmt formatCode="General" sourceLinked="1"/>
        <c:majorTickMark val="out"/>
        <c:minorTickMark val="none"/>
        <c:tickLblPos val="nextTo"/>
        <c:crossAx val="8236237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defRPr>
          <a:solidFill>
            <a:schemeClr val="accent2">
              <a:lumMod val="60000"/>
              <a:lumOff val="4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19050</xdr:colOff>
      <xdr:row>3</xdr:row>
      <xdr:rowOff>25400</xdr:rowOff>
    </xdr:from>
    <xdr:to>
      <xdr:col>19</xdr:col>
      <xdr:colOff>254000</xdr:colOff>
      <xdr:row>26</xdr:row>
      <xdr:rowOff>19050</xdr:rowOff>
    </xdr:to>
    <xdr:sp macro="" textlink="">
      <xdr:nvSpPr>
        <xdr:cNvPr id="3" name="Rectangle 2">
          <a:extLst>
            <a:ext uri="{FF2B5EF4-FFF2-40B4-BE49-F238E27FC236}">
              <a16:creationId xmlns:a16="http://schemas.microsoft.com/office/drawing/2014/main" id="{3A7D2B61-60BF-DAB0-11A2-4B4696242A1E}"/>
            </a:ext>
          </a:extLst>
        </xdr:cNvPr>
        <xdr:cNvSpPr/>
      </xdr:nvSpPr>
      <xdr:spPr>
        <a:xfrm>
          <a:off x="19050" y="577850"/>
          <a:ext cx="11817350" cy="4229100"/>
        </a:xfrm>
        <a:prstGeom prst="rect">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0</xdr:row>
      <xdr:rowOff>12700</xdr:rowOff>
    </xdr:from>
    <xdr:to>
      <xdr:col>19</xdr:col>
      <xdr:colOff>234950</xdr:colOff>
      <xdr:row>3</xdr:row>
      <xdr:rowOff>101600</xdr:rowOff>
    </xdr:to>
    <xdr:sp macro="" textlink="">
      <xdr:nvSpPr>
        <xdr:cNvPr id="4" name="Rectangle 3">
          <a:extLst>
            <a:ext uri="{FF2B5EF4-FFF2-40B4-BE49-F238E27FC236}">
              <a16:creationId xmlns:a16="http://schemas.microsoft.com/office/drawing/2014/main" id="{D621A906-B1C3-2482-DE86-4C31FA4E6DD8}"/>
            </a:ext>
          </a:extLst>
        </xdr:cNvPr>
        <xdr:cNvSpPr/>
      </xdr:nvSpPr>
      <xdr:spPr>
        <a:xfrm>
          <a:off x="0" y="12700"/>
          <a:ext cx="11817350" cy="641350"/>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114300</xdr:colOff>
      <xdr:row>0</xdr:row>
      <xdr:rowOff>88900</xdr:rowOff>
    </xdr:from>
    <xdr:to>
      <xdr:col>12</xdr:col>
      <xdr:colOff>241300</xdr:colOff>
      <xdr:row>3</xdr:row>
      <xdr:rowOff>25400</xdr:rowOff>
    </xdr:to>
    <xdr:sp macro="" textlink="">
      <xdr:nvSpPr>
        <xdr:cNvPr id="5" name="TextBox 4">
          <a:extLst>
            <a:ext uri="{FF2B5EF4-FFF2-40B4-BE49-F238E27FC236}">
              <a16:creationId xmlns:a16="http://schemas.microsoft.com/office/drawing/2014/main" id="{53953839-B847-553E-651F-374824159060}"/>
            </a:ext>
          </a:extLst>
        </xdr:cNvPr>
        <xdr:cNvSpPr txBox="1"/>
      </xdr:nvSpPr>
      <xdr:spPr>
        <a:xfrm>
          <a:off x="3162300" y="88900"/>
          <a:ext cx="4394200" cy="488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800" b="1">
              <a:solidFill>
                <a:schemeClr val="accent2">
                  <a:lumMod val="60000"/>
                  <a:lumOff val="40000"/>
                </a:schemeClr>
              </a:solidFill>
            </a:rPr>
            <a:t>Prisca</a:t>
          </a:r>
          <a:r>
            <a:rPr lang="en-US" sz="2800" b="1" baseline="0">
              <a:solidFill>
                <a:schemeClr val="accent2">
                  <a:lumMod val="60000"/>
                  <a:lumOff val="40000"/>
                </a:schemeClr>
              </a:solidFill>
            </a:rPr>
            <a:t> Supermarket Report</a:t>
          </a:r>
          <a:endParaRPr lang="en-US" sz="2800" b="1">
            <a:solidFill>
              <a:schemeClr val="accent2">
                <a:lumMod val="60000"/>
                <a:lumOff val="40000"/>
              </a:schemeClr>
            </a:solidFill>
          </a:endParaRPr>
        </a:p>
      </xdr:txBody>
    </xdr:sp>
    <xdr:clientData/>
  </xdr:twoCellAnchor>
  <xdr:twoCellAnchor>
    <xdr:from>
      <xdr:col>3</xdr:col>
      <xdr:colOff>292100</xdr:colOff>
      <xdr:row>3</xdr:row>
      <xdr:rowOff>158750</xdr:rowOff>
    </xdr:from>
    <xdr:to>
      <xdr:col>5</xdr:col>
      <xdr:colOff>406400</xdr:colOff>
      <xdr:row>7</xdr:row>
      <xdr:rowOff>127000</xdr:rowOff>
    </xdr:to>
    <xdr:sp macro="" textlink="cards!C3">
      <xdr:nvSpPr>
        <xdr:cNvPr id="13" name="Rectangle: Rounded Corners 12">
          <a:extLst>
            <a:ext uri="{FF2B5EF4-FFF2-40B4-BE49-F238E27FC236}">
              <a16:creationId xmlns:a16="http://schemas.microsoft.com/office/drawing/2014/main" id="{3A42A1FD-7B9B-016E-744E-A48EF1BF2FE7}"/>
            </a:ext>
          </a:extLst>
        </xdr:cNvPr>
        <xdr:cNvSpPr/>
      </xdr:nvSpPr>
      <xdr:spPr>
        <a:xfrm>
          <a:off x="2120900" y="711200"/>
          <a:ext cx="1333500" cy="704850"/>
        </a:xfrm>
        <a:prstGeom prst="round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CF8FDF37-6964-44D0-A785-7829AFA557DF}" type="TxLink">
            <a:rPr lang="en-US" sz="1600" b="0" i="0" u="none" strike="noStrike">
              <a:solidFill>
                <a:schemeClr val="accent2">
                  <a:lumMod val="60000"/>
                  <a:lumOff val="40000"/>
                </a:schemeClr>
              </a:solidFill>
              <a:latin typeface="Calibri"/>
              <a:ea typeface="Calibri"/>
              <a:cs typeface="Calibri"/>
            </a:rPr>
            <a:pPr algn="ctr"/>
            <a:t>1964</a:t>
          </a:fld>
          <a:endParaRPr lang="en-US" sz="1600">
            <a:solidFill>
              <a:schemeClr val="accent2">
                <a:lumMod val="60000"/>
                <a:lumOff val="40000"/>
              </a:schemeClr>
            </a:solidFill>
          </a:endParaRPr>
        </a:p>
      </xdr:txBody>
    </xdr:sp>
    <xdr:clientData/>
  </xdr:twoCellAnchor>
  <xdr:twoCellAnchor>
    <xdr:from>
      <xdr:col>5</xdr:col>
      <xdr:colOff>501650</xdr:colOff>
      <xdr:row>3</xdr:row>
      <xdr:rowOff>158750</xdr:rowOff>
    </xdr:from>
    <xdr:to>
      <xdr:col>8</xdr:col>
      <xdr:colOff>6350</xdr:colOff>
      <xdr:row>7</xdr:row>
      <xdr:rowOff>127000</xdr:rowOff>
    </xdr:to>
    <xdr:sp macro="" textlink="cards!G3">
      <xdr:nvSpPr>
        <xdr:cNvPr id="14" name="Rectangle: Rounded Corners 13">
          <a:extLst>
            <a:ext uri="{FF2B5EF4-FFF2-40B4-BE49-F238E27FC236}">
              <a16:creationId xmlns:a16="http://schemas.microsoft.com/office/drawing/2014/main" id="{A9C90BE5-19FA-4B5E-85B9-86A96312C084}"/>
            </a:ext>
          </a:extLst>
        </xdr:cNvPr>
        <xdr:cNvSpPr/>
      </xdr:nvSpPr>
      <xdr:spPr>
        <a:xfrm>
          <a:off x="3549650" y="711200"/>
          <a:ext cx="1333500" cy="704850"/>
        </a:xfrm>
        <a:prstGeom prst="round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2C1B184-C68D-4703-BCF3-FD5A0F519029}" type="TxLink">
            <a:rPr lang="en-US" sz="1600" b="0" i="0" u="none" strike="noStrike">
              <a:solidFill>
                <a:schemeClr val="accent2">
                  <a:lumMod val="60000"/>
                  <a:lumOff val="40000"/>
                </a:schemeClr>
              </a:solidFill>
              <a:latin typeface="Calibri"/>
              <a:ea typeface="Calibri"/>
              <a:cs typeface="Calibri"/>
            </a:rPr>
            <a:pPr algn="ctr"/>
            <a:t>1988</a:t>
          </a:fld>
          <a:endParaRPr lang="en-US" sz="1600">
            <a:solidFill>
              <a:schemeClr val="accent2">
                <a:lumMod val="60000"/>
                <a:lumOff val="40000"/>
              </a:schemeClr>
            </a:solidFill>
          </a:endParaRPr>
        </a:p>
      </xdr:txBody>
    </xdr:sp>
    <xdr:clientData/>
  </xdr:twoCellAnchor>
  <xdr:twoCellAnchor>
    <xdr:from>
      <xdr:col>8</xdr:col>
      <xdr:colOff>127000</xdr:colOff>
      <xdr:row>3</xdr:row>
      <xdr:rowOff>158750</xdr:rowOff>
    </xdr:from>
    <xdr:to>
      <xdr:col>10</xdr:col>
      <xdr:colOff>241300</xdr:colOff>
      <xdr:row>7</xdr:row>
      <xdr:rowOff>127000</xdr:rowOff>
    </xdr:to>
    <xdr:sp macro="" textlink="cards!I3">
      <xdr:nvSpPr>
        <xdr:cNvPr id="15" name="Rectangle: Rounded Corners 14">
          <a:extLst>
            <a:ext uri="{FF2B5EF4-FFF2-40B4-BE49-F238E27FC236}">
              <a16:creationId xmlns:a16="http://schemas.microsoft.com/office/drawing/2014/main" id="{87AB5A1A-7758-4BC0-B9B5-CED872582339}"/>
            </a:ext>
          </a:extLst>
        </xdr:cNvPr>
        <xdr:cNvSpPr/>
      </xdr:nvSpPr>
      <xdr:spPr>
        <a:xfrm>
          <a:off x="5003800" y="711200"/>
          <a:ext cx="1333500" cy="704850"/>
        </a:xfrm>
        <a:prstGeom prst="round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DB6C206-7791-4A6C-9ADD-E0631EC0FC75}" type="TxLink">
            <a:rPr lang="en-US" sz="1600" b="0" i="0" u="none" strike="noStrike">
              <a:solidFill>
                <a:schemeClr val="accent2">
                  <a:lumMod val="60000"/>
                  <a:lumOff val="40000"/>
                </a:schemeClr>
              </a:solidFill>
              <a:latin typeface="Calibri"/>
              <a:ea typeface="Calibri"/>
              <a:cs typeface="Calibri"/>
            </a:rPr>
            <a:pPr algn="ctr"/>
            <a:t>32837.2</a:t>
          </a:fld>
          <a:endParaRPr lang="en-US" sz="1600">
            <a:solidFill>
              <a:schemeClr val="accent2">
                <a:lumMod val="60000"/>
                <a:lumOff val="40000"/>
              </a:schemeClr>
            </a:solidFill>
          </a:endParaRPr>
        </a:p>
      </xdr:txBody>
    </xdr:sp>
    <xdr:clientData/>
  </xdr:twoCellAnchor>
  <xdr:twoCellAnchor>
    <xdr:from>
      <xdr:col>10</xdr:col>
      <xdr:colOff>330200</xdr:colOff>
      <xdr:row>3</xdr:row>
      <xdr:rowOff>158750</xdr:rowOff>
    </xdr:from>
    <xdr:to>
      <xdr:col>12</xdr:col>
      <xdr:colOff>444500</xdr:colOff>
      <xdr:row>7</xdr:row>
      <xdr:rowOff>127000</xdr:rowOff>
    </xdr:to>
    <xdr:sp macro="" textlink="cards!K3">
      <xdr:nvSpPr>
        <xdr:cNvPr id="16" name="Rectangle: Rounded Corners 15">
          <a:extLst>
            <a:ext uri="{FF2B5EF4-FFF2-40B4-BE49-F238E27FC236}">
              <a16:creationId xmlns:a16="http://schemas.microsoft.com/office/drawing/2014/main" id="{4C96B723-58A4-4EBF-A9D3-DC31CEB26FFA}"/>
            </a:ext>
          </a:extLst>
        </xdr:cNvPr>
        <xdr:cNvSpPr/>
      </xdr:nvSpPr>
      <xdr:spPr>
        <a:xfrm>
          <a:off x="6426200" y="711200"/>
          <a:ext cx="1333500" cy="704850"/>
        </a:xfrm>
        <a:prstGeom prst="round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8914BBC-1FC0-4B67-AEC1-10D6E40626D2}" type="TxLink">
            <a:rPr lang="en-US" sz="1600" b="0" i="0" u="none" strike="noStrike">
              <a:solidFill>
                <a:schemeClr val="accent2">
                  <a:lumMod val="60000"/>
                  <a:lumOff val="40000"/>
                </a:schemeClr>
              </a:solidFill>
              <a:latin typeface="Calibri"/>
              <a:ea typeface="Calibri"/>
              <a:cs typeface="Calibri"/>
            </a:rPr>
            <a:pPr algn="ctr"/>
            <a:t>11198</a:t>
          </a:fld>
          <a:endParaRPr lang="en-US" sz="1600">
            <a:solidFill>
              <a:schemeClr val="accent2">
                <a:lumMod val="60000"/>
                <a:lumOff val="40000"/>
              </a:schemeClr>
            </a:solidFill>
          </a:endParaRPr>
        </a:p>
      </xdr:txBody>
    </xdr:sp>
    <xdr:clientData/>
  </xdr:twoCellAnchor>
  <xdr:twoCellAnchor>
    <xdr:from>
      <xdr:col>12</xdr:col>
      <xdr:colOff>527050</xdr:colOff>
      <xdr:row>3</xdr:row>
      <xdr:rowOff>158750</xdr:rowOff>
    </xdr:from>
    <xdr:to>
      <xdr:col>15</xdr:col>
      <xdr:colOff>31750</xdr:colOff>
      <xdr:row>7</xdr:row>
      <xdr:rowOff>127000</xdr:rowOff>
    </xdr:to>
    <xdr:sp macro="" textlink="cards!N3">
      <xdr:nvSpPr>
        <xdr:cNvPr id="17" name="Rectangle: Rounded Corners 16">
          <a:extLst>
            <a:ext uri="{FF2B5EF4-FFF2-40B4-BE49-F238E27FC236}">
              <a16:creationId xmlns:a16="http://schemas.microsoft.com/office/drawing/2014/main" id="{AD95428E-731F-457A-A47B-92833453500A}"/>
            </a:ext>
          </a:extLst>
        </xdr:cNvPr>
        <xdr:cNvSpPr/>
      </xdr:nvSpPr>
      <xdr:spPr>
        <a:xfrm>
          <a:off x="7842250" y="711200"/>
          <a:ext cx="1333500" cy="704850"/>
        </a:xfrm>
        <a:prstGeom prst="round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5DEC410-D423-4A55-B2A0-2D9CCC66E876}" type="TxLink">
            <a:rPr lang="en-US" sz="1600" b="0" i="0" u="none" strike="noStrike">
              <a:solidFill>
                <a:schemeClr val="accent2">
                  <a:lumMod val="60000"/>
                  <a:lumOff val="40000"/>
                </a:schemeClr>
              </a:solidFill>
              <a:latin typeface="Calibri"/>
              <a:ea typeface="Calibri"/>
              <a:cs typeface="Calibri"/>
            </a:rPr>
            <a:pPr algn="ctr"/>
            <a:t>15</a:t>
          </a:fld>
          <a:endParaRPr lang="en-US" sz="1600">
            <a:solidFill>
              <a:schemeClr val="accent2">
                <a:lumMod val="60000"/>
                <a:lumOff val="40000"/>
              </a:schemeClr>
            </a:solidFill>
          </a:endParaRPr>
        </a:p>
      </xdr:txBody>
    </xdr:sp>
    <xdr:clientData/>
  </xdr:twoCellAnchor>
  <xdr:twoCellAnchor>
    <xdr:from>
      <xdr:col>3</xdr:col>
      <xdr:colOff>419100</xdr:colOff>
      <xdr:row>3</xdr:row>
      <xdr:rowOff>165100</xdr:rowOff>
    </xdr:from>
    <xdr:to>
      <xdr:col>5</xdr:col>
      <xdr:colOff>393700</xdr:colOff>
      <xdr:row>5</xdr:row>
      <xdr:rowOff>38100</xdr:rowOff>
    </xdr:to>
    <xdr:sp macro="" textlink="">
      <xdr:nvSpPr>
        <xdr:cNvPr id="18" name="TextBox 17">
          <a:extLst>
            <a:ext uri="{FF2B5EF4-FFF2-40B4-BE49-F238E27FC236}">
              <a16:creationId xmlns:a16="http://schemas.microsoft.com/office/drawing/2014/main" id="{CB32FD7C-6A74-51F0-9D52-9825157BFE73}"/>
            </a:ext>
          </a:extLst>
        </xdr:cNvPr>
        <xdr:cNvSpPr txBox="1"/>
      </xdr:nvSpPr>
      <xdr:spPr>
        <a:xfrm>
          <a:off x="2247900" y="717550"/>
          <a:ext cx="1193800" cy="241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accent2">
                  <a:lumMod val="60000"/>
                  <a:lumOff val="40000"/>
                </a:schemeClr>
              </a:solidFill>
            </a:rPr>
            <a:t>Total</a:t>
          </a:r>
          <a:r>
            <a:rPr lang="en-US" sz="1100" baseline="0">
              <a:solidFill>
                <a:schemeClr val="accent2">
                  <a:lumMod val="60000"/>
                  <a:lumOff val="40000"/>
                </a:schemeClr>
              </a:solidFill>
            </a:rPr>
            <a:t> Customers</a:t>
          </a:r>
          <a:endParaRPr lang="en-US" sz="1100">
            <a:solidFill>
              <a:schemeClr val="accent2">
                <a:lumMod val="60000"/>
                <a:lumOff val="40000"/>
              </a:schemeClr>
            </a:solidFill>
          </a:endParaRPr>
        </a:p>
      </xdr:txBody>
    </xdr:sp>
    <xdr:clientData/>
  </xdr:twoCellAnchor>
  <xdr:twoCellAnchor>
    <xdr:from>
      <xdr:col>5</xdr:col>
      <xdr:colOff>501650</xdr:colOff>
      <xdr:row>3</xdr:row>
      <xdr:rowOff>158750</xdr:rowOff>
    </xdr:from>
    <xdr:to>
      <xdr:col>7</xdr:col>
      <xdr:colOff>546100</xdr:colOff>
      <xdr:row>5</xdr:row>
      <xdr:rowOff>114300</xdr:rowOff>
    </xdr:to>
    <xdr:sp macro="" textlink="">
      <xdr:nvSpPr>
        <xdr:cNvPr id="20" name="TextBox 19">
          <a:extLst>
            <a:ext uri="{FF2B5EF4-FFF2-40B4-BE49-F238E27FC236}">
              <a16:creationId xmlns:a16="http://schemas.microsoft.com/office/drawing/2014/main" id="{E9F5E1FE-0D8C-47F7-A841-6EA8A9C38AF1}"/>
            </a:ext>
          </a:extLst>
        </xdr:cNvPr>
        <xdr:cNvSpPr txBox="1"/>
      </xdr:nvSpPr>
      <xdr:spPr>
        <a:xfrm>
          <a:off x="3549650" y="711200"/>
          <a:ext cx="1263650"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accent2">
                  <a:lumMod val="60000"/>
                  <a:lumOff val="40000"/>
                </a:schemeClr>
              </a:solidFill>
            </a:rPr>
            <a:t>Total</a:t>
          </a:r>
          <a:r>
            <a:rPr lang="en-US" sz="1100" baseline="0">
              <a:solidFill>
                <a:schemeClr val="accent2">
                  <a:lumMod val="60000"/>
                  <a:lumOff val="40000"/>
                </a:schemeClr>
              </a:solidFill>
            </a:rPr>
            <a:t> Transactions</a:t>
          </a:r>
          <a:endParaRPr lang="en-US" sz="1100">
            <a:solidFill>
              <a:schemeClr val="accent2">
                <a:lumMod val="60000"/>
                <a:lumOff val="40000"/>
              </a:schemeClr>
            </a:solidFill>
          </a:endParaRPr>
        </a:p>
      </xdr:txBody>
    </xdr:sp>
    <xdr:clientData/>
  </xdr:twoCellAnchor>
  <xdr:twoCellAnchor>
    <xdr:from>
      <xdr:col>8</xdr:col>
      <xdr:colOff>279400</xdr:colOff>
      <xdr:row>3</xdr:row>
      <xdr:rowOff>139700</xdr:rowOff>
    </xdr:from>
    <xdr:to>
      <xdr:col>10</xdr:col>
      <xdr:colOff>254000</xdr:colOff>
      <xdr:row>5</xdr:row>
      <xdr:rowOff>12700</xdr:rowOff>
    </xdr:to>
    <xdr:sp macro="" textlink="">
      <xdr:nvSpPr>
        <xdr:cNvPr id="21" name="TextBox 20">
          <a:extLst>
            <a:ext uri="{FF2B5EF4-FFF2-40B4-BE49-F238E27FC236}">
              <a16:creationId xmlns:a16="http://schemas.microsoft.com/office/drawing/2014/main" id="{E42327D0-0E62-4600-9BA8-703CADD49B93}"/>
            </a:ext>
          </a:extLst>
        </xdr:cNvPr>
        <xdr:cNvSpPr txBox="1"/>
      </xdr:nvSpPr>
      <xdr:spPr>
        <a:xfrm>
          <a:off x="5156200" y="692150"/>
          <a:ext cx="1193800" cy="241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accent2">
                  <a:lumMod val="60000"/>
                  <a:lumOff val="40000"/>
                </a:schemeClr>
              </a:solidFill>
            </a:rPr>
            <a:t>Total</a:t>
          </a:r>
          <a:r>
            <a:rPr lang="en-US" sz="1100" baseline="0">
              <a:solidFill>
                <a:schemeClr val="accent2">
                  <a:lumMod val="60000"/>
                  <a:lumOff val="40000"/>
                </a:schemeClr>
              </a:solidFill>
            </a:rPr>
            <a:t> Revenue</a:t>
          </a:r>
          <a:endParaRPr lang="en-US" sz="1100">
            <a:solidFill>
              <a:schemeClr val="accent2">
                <a:lumMod val="60000"/>
                <a:lumOff val="40000"/>
              </a:schemeClr>
            </a:solidFill>
          </a:endParaRPr>
        </a:p>
      </xdr:txBody>
    </xdr:sp>
    <xdr:clientData/>
  </xdr:twoCellAnchor>
  <xdr:twoCellAnchor>
    <xdr:from>
      <xdr:col>10</xdr:col>
      <xdr:colOff>495300</xdr:colOff>
      <xdr:row>3</xdr:row>
      <xdr:rowOff>146050</xdr:rowOff>
    </xdr:from>
    <xdr:to>
      <xdr:col>12</xdr:col>
      <xdr:colOff>469900</xdr:colOff>
      <xdr:row>5</xdr:row>
      <xdr:rowOff>19050</xdr:rowOff>
    </xdr:to>
    <xdr:sp macro="" textlink="">
      <xdr:nvSpPr>
        <xdr:cNvPr id="22" name="TextBox 21">
          <a:extLst>
            <a:ext uri="{FF2B5EF4-FFF2-40B4-BE49-F238E27FC236}">
              <a16:creationId xmlns:a16="http://schemas.microsoft.com/office/drawing/2014/main" id="{C917C59D-A956-44B8-9378-65DD848D2B93}"/>
            </a:ext>
          </a:extLst>
        </xdr:cNvPr>
        <xdr:cNvSpPr txBox="1"/>
      </xdr:nvSpPr>
      <xdr:spPr>
        <a:xfrm>
          <a:off x="6591300" y="698500"/>
          <a:ext cx="1193800" cy="241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accent2">
                  <a:lumMod val="60000"/>
                  <a:lumOff val="40000"/>
                </a:schemeClr>
              </a:solidFill>
            </a:rPr>
            <a:t>Quantity</a:t>
          </a:r>
          <a:r>
            <a:rPr lang="en-US" sz="1100" baseline="0">
              <a:solidFill>
                <a:schemeClr val="accent2">
                  <a:lumMod val="60000"/>
                  <a:lumOff val="40000"/>
                </a:schemeClr>
              </a:solidFill>
            </a:rPr>
            <a:t> sold</a:t>
          </a:r>
          <a:endParaRPr lang="en-US" sz="1100">
            <a:solidFill>
              <a:schemeClr val="accent2">
                <a:lumMod val="60000"/>
                <a:lumOff val="40000"/>
              </a:schemeClr>
            </a:solidFill>
          </a:endParaRPr>
        </a:p>
      </xdr:txBody>
    </xdr:sp>
    <xdr:clientData/>
  </xdr:twoCellAnchor>
  <xdr:twoCellAnchor>
    <xdr:from>
      <xdr:col>13</xdr:col>
      <xdr:colOff>152400</xdr:colOff>
      <xdr:row>3</xdr:row>
      <xdr:rowOff>146050</xdr:rowOff>
    </xdr:from>
    <xdr:to>
      <xdr:col>15</xdr:col>
      <xdr:colOff>127000</xdr:colOff>
      <xdr:row>5</xdr:row>
      <xdr:rowOff>19050</xdr:rowOff>
    </xdr:to>
    <xdr:sp macro="" textlink="">
      <xdr:nvSpPr>
        <xdr:cNvPr id="23" name="TextBox 22">
          <a:extLst>
            <a:ext uri="{FF2B5EF4-FFF2-40B4-BE49-F238E27FC236}">
              <a16:creationId xmlns:a16="http://schemas.microsoft.com/office/drawing/2014/main" id="{F8C8EF3B-9AA0-440A-9C0D-50C88E47BCD9}"/>
            </a:ext>
          </a:extLst>
        </xdr:cNvPr>
        <xdr:cNvSpPr txBox="1"/>
      </xdr:nvSpPr>
      <xdr:spPr>
        <a:xfrm>
          <a:off x="8077200" y="698500"/>
          <a:ext cx="1193800" cy="241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accent2">
                  <a:lumMod val="60000"/>
                  <a:lumOff val="40000"/>
                </a:schemeClr>
              </a:solidFill>
            </a:rPr>
            <a:t>Total</a:t>
          </a:r>
          <a:r>
            <a:rPr lang="en-US" sz="1100" baseline="0">
              <a:solidFill>
                <a:schemeClr val="accent2">
                  <a:lumMod val="60000"/>
                  <a:lumOff val="40000"/>
                </a:schemeClr>
              </a:solidFill>
            </a:rPr>
            <a:t> Cities</a:t>
          </a:r>
          <a:endParaRPr lang="en-US" sz="1100">
            <a:solidFill>
              <a:schemeClr val="accent2">
                <a:lumMod val="60000"/>
                <a:lumOff val="40000"/>
              </a:schemeClr>
            </a:solidFill>
          </a:endParaRPr>
        </a:p>
      </xdr:txBody>
    </xdr:sp>
    <xdr:clientData/>
  </xdr:twoCellAnchor>
  <xdr:twoCellAnchor>
    <xdr:from>
      <xdr:col>4</xdr:col>
      <xdr:colOff>171450</xdr:colOff>
      <xdr:row>13</xdr:row>
      <xdr:rowOff>177800</xdr:rowOff>
    </xdr:from>
    <xdr:to>
      <xdr:col>8</xdr:col>
      <xdr:colOff>31750</xdr:colOff>
      <xdr:row>23</xdr:row>
      <xdr:rowOff>63500</xdr:rowOff>
    </xdr:to>
    <xdr:graphicFrame macro="">
      <xdr:nvGraphicFramePr>
        <xdr:cNvPr id="6" name="Chart 5">
          <a:extLst>
            <a:ext uri="{FF2B5EF4-FFF2-40B4-BE49-F238E27FC236}">
              <a16:creationId xmlns:a16="http://schemas.microsoft.com/office/drawing/2014/main" id="{C0C9489C-1120-4B41-8BD5-0AC56FD396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6350</xdr:colOff>
      <xdr:row>10</xdr:row>
      <xdr:rowOff>6350</xdr:rowOff>
    </xdr:from>
    <xdr:to>
      <xdr:col>19</xdr:col>
      <xdr:colOff>120650</xdr:colOff>
      <xdr:row>23</xdr:row>
      <xdr:rowOff>57150</xdr:rowOff>
    </xdr:to>
    <xdr:graphicFrame macro="">
      <xdr:nvGraphicFramePr>
        <xdr:cNvPr id="9" name="Chart 8">
          <a:extLst>
            <a:ext uri="{FF2B5EF4-FFF2-40B4-BE49-F238E27FC236}">
              <a16:creationId xmlns:a16="http://schemas.microsoft.com/office/drawing/2014/main" id="{ED882D52-6D2B-4683-BE81-A7A9A8915A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25400</xdr:colOff>
      <xdr:row>11</xdr:row>
      <xdr:rowOff>0</xdr:rowOff>
    </xdr:from>
    <xdr:to>
      <xdr:col>4</xdr:col>
      <xdr:colOff>158750</xdr:colOff>
      <xdr:row>23</xdr:row>
      <xdr:rowOff>63500</xdr:rowOff>
    </xdr:to>
    <xdr:graphicFrame macro="">
      <xdr:nvGraphicFramePr>
        <xdr:cNvPr id="2" name="Chart 1">
          <a:extLst>
            <a:ext uri="{FF2B5EF4-FFF2-40B4-BE49-F238E27FC236}">
              <a16:creationId xmlns:a16="http://schemas.microsoft.com/office/drawing/2014/main" id="{E09CA414-8A6A-4A27-A929-D9686FE838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82550</xdr:colOff>
      <xdr:row>14</xdr:row>
      <xdr:rowOff>0</xdr:rowOff>
    </xdr:from>
    <xdr:to>
      <xdr:col>11</xdr:col>
      <xdr:colOff>577850</xdr:colOff>
      <xdr:row>23</xdr:row>
      <xdr:rowOff>63500</xdr:rowOff>
    </xdr:to>
    <xdr:graphicFrame macro="">
      <xdr:nvGraphicFramePr>
        <xdr:cNvPr id="7" name="Chart 6">
          <a:extLst>
            <a:ext uri="{FF2B5EF4-FFF2-40B4-BE49-F238E27FC236}">
              <a16:creationId xmlns:a16="http://schemas.microsoft.com/office/drawing/2014/main" id="{3EB64B57-33E7-4167-BC21-0B53C9B169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9</xdr:col>
      <xdr:colOff>298450</xdr:colOff>
      <xdr:row>7</xdr:row>
      <xdr:rowOff>171451</xdr:rowOff>
    </xdr:from>
    <xdr:to>
      <xdr:col>11</xdr:col>
      <xdr:colOff>571500</xdr:colOff>
      <xdr:row>13</xdr:row>
      <xdr:rowOff>31751</xdr:rowOff>
    </xdr:to>
    <mc:AlternateContent xmlns:mc="http://schemas.openxmlformats.org/markup-compatibility/2006" xmlns:a14="http://schemas.microsoft.com/office/drawing/2010/main">
      <mc:Choice Requires="a14">
        <xdr:graphicFrame macro="">
          <xdr:nvGraphicFramePr>
            <xdr:cNvPr id="10" name="Year">
              <a:extLst>
                <a:ext uri="{FF2B5EF4-FFF2-40B4-BE49-F238E27FC236}">
                  <a16:creationId xmlns:a16="http://schemas.microsoft.com/office/drawing/2014/main" id="{CF21ABFB-97EE-B686-8592-F967019099D9}"/>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5784850" y="1460500"/>
              <a:ext cx="1492250" cy="11207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31750</xdr:colOff>
      <xdr:row>7</xdr:row>
      <xdr:rowOff>171450</xdr:rowOff>
    </xdr:from>
    <xdr:to>
      <xdr:col>9</xdr:col>
      <xdr:colOff>234950</xdr:colOff>
      <xdr:row>13</xdr:row>
      <xdr:rowOff>25400</xdr:rowOff>
    </xdr:to>
    <mc:AlternateContent xmlns:mc="http://schemas.openxmlformats.org/markup-compatibility/2006" xmlns:a14="http://schemas.microsoft.com/office/drawing/2010/main">
      <mc:Choice Requires="a14">
        <xdr:graphicFrame macro="">
          <xdr:nvGraphicFramePr>
            <xdr:cNvPr id="11" name="City">
              <a:extLst>
                <a:ext uri="{FF2B5EF4-FFF2-40B4-BE49-F238E27FC236}">
                  <a16:creationId xmlns:a16="http://schemas.microsoft.com/office/drawing/2014/main" id="{EB320351-9239-E1EC-A7D2-88FAB543FB63}"/>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4298950" y="1460500"/>
              <a:ext cx="1422400" cy="1092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omePC" refreshedDate="46266.571995833336" createdVersion="8" refreshedVersion="8" minRefreshableVersion="3" recordCount="3000" xr:uid="{8FBA53F0-7C03-41F2-AAE0-192383BF1AD4}">
  <cacheSource type="worksheet">
    <worksheetSource name="Pqp_supermarket_data"/>
  </cacheSource>
  <cacheFields count="14">
    <cacheField name="Transaction_ID" numFmtId="0">
      <sharedItems count="3000">
        <s v="TID000000"/>
        <s v="TID000001"/>
        <s v="TID000002"/>
        <s v="TID000003"/>
        <s v="TID000004"/>
        <s v="TID000005"/>
        <s v="TID000006"/>
        <s v="TID000007"/>
        <s v="TID000008"/>
        <s v="TID000009"/>
        <s v="TID000010"/>
        <s v="TID000011"/>
        <s v="TID000012"/>
        <s v="TID000013"/>
        <s v="TID000014"/>
        <s v="TID000015"/>
        <s v="TID000016"/>
        <s v="TID000017"/>
        <s v="TID000018"/>
        <s v="TID000019"/>
        <s v="TID000020"/>
        <s v="TID000021"/>
        <s v="TID000022"/>
        <s v="TID000023"/>
        <s v="TID000024"/>
        <s v="TID000025"/>
        <s v="TID000026"/>
        <s v="TID000027"/>
        <s v="TID000028"/>
        <s v="TID000029"/>
        <s v="TID000030"/>
        <s v="TID000031"/>
        <s v="TID000032"/>
        <s v="TID000033"/>
        <s v="TID000034"/>
        <s v="TID000035"/>
        <s v="TID000036"/>
        <s v="TID000037"/>
        <s v="TID000038"/>
        <s v="TID000039"/>
        <s v="TID000040"/>
        <s v="TID000041"/>
        <s v="TID000042"/>
        <s v="TID000043"/>
        <s v="TID000044"/>
        <s v="TID000045"/>
        <s v="TID000046"/>
        <s v="TID000047"/>
        <s v="TID000048"/>
        <s v="TID000049"/>
        <s v="TID000050"/>
        <s v="TID000051"/>
        <s v="TID000052"/>
        <s v="TID000053"/>
        <s v="TID000054"/>
        <s v="TID000055"/>
        <s v="TID000056"/>
        <s v="TID000057"/>
        <s v="TID000058"/>
        <s v="TID000059"/>
        <s v="TID000060"/>
        <s v="TID000061"/>
        <s v="TID000062"/>
        <s v="TID000063"/>
        <s v="TID000064"/>
        <s v="TID000065"/>
        <s v="TID000066"/>
        <s v="TID000067"/>
        <s v="TID000068"/>
        <s v="TID000069"/>
        <s v="TID000070"/>
        <s v="TID000071"/>
        <s v="TID000072"/>
        <s v="TID000073"/>
        <s v="TID000074"/>
        <s v="TID000075"/>
        <s v="TID000076"/>
        <s v="TID000077"/>
        <s v="TID000078"/>
        <s v="TID000079"/>
        <s v="TID000080"/>
        <s v="TID000081"/>
        <s v="TID000082"/>
        <s v="TID000083"/>
        <s v="TID000084"/>
        <s v="TID000085"/>
        <s v="TID000086"/>
        <s v="TID000087"/>
        <s v="TID000088"/>
        <s v="TID000089"/>
        <s v="TID000090"/>
        <s v="TID000091"/>
        <s v="TID000092"/>
        <s v="TID000093"/>
        <s v="TID000094"/>
        <s v="TID000095"/>
        <s v="TID000096"/>
        <s v="TID000097"/>
        <s v="TID000098"/>
        <s v="TID000099"/>
        <s v="TID000100"/>
        <s v="TID000101"/>
        <s v="TID000102"/>
        <s v="TID000103"/>
        <s v="TID000104"/>
        <s v="TID000105"/>
        <s v="TID000106"/>
        <s v="TID000107"/>
        <s v="TID000108"/>
        <s v="TID000109"/>
        <s v="TID000110"/>
        <s v="TID000111"/>
        <s v="TID000112"/>
        <s v="TID000113"/>
        <s v="TID000114"/>
        <s v="TID000115"/>
        <s v="TID000116"/>
        <s v="TID000117"/>
        <s v="TID000118"/>
        <s v="TID000119"/>
        <s v="TID000120"/>
        <s v="TID000121"/>
        <s v="TID000122"/>
        <s v="TID000123"/>
        <s v="TID000124"/>
        <s v="TID000125"/>
        <s v="TID000126"/>
        <s v="TID000127"/>
        <s v="TID000128"/>
        <s v="TID000129"/>
        <s v="TID000130"/>
        <s v="TID000131"/>
        <s v="TID000132"/>
        <s v="TID000133"/>
        <s v="TID000134"/>
        <s v="TID000135"/>
        <s v="TID000136"/>
        <s v="TID000137"/>
        <s v="TID000138"/>
        <s v="TID000139"/>
        <s v="TID000140"/>
        <s v="TID000141"/>
        <s v="TID000142"/>
        <s v="TID000143"/>
        <s v="TID000144"/>
        <s v="TID000145"/>
        <s v="TID000146"/>
        <s v="TID000147"/>
        <s v="TID000148"/>
        <s v="TID000149"/>
        <s v="TID000150"/>
        <s v="TID000151"/>
        <s v="TID000152"/>
        <s v="TID000153"/>
        <s v="TID000154"/>
        <s v="TID000155"/>
        <s v="TID000156"/>
        <s v="TID000157"/>
        <s v="TID000158"/>
        <s v="TID000159"/>
        <s v="TID000160"/>
        <s v="TID000161"/>
        <s v="TID000162"/>
        <s v="TID000163"/>
        <s v="TID000164"/>
        <s v="TID000165"/>
        <s v="TID000166"/>
        <s v="TID000167"/>
        <s v="TID000168"/>
        <s v="TID000169"/>
        <s v="TID000170"/>
        <s v="TID000171"/>
        <s v="TID000172"/>
        <s v="TID000173"/>
        <s v="TID000174"/>
        <s v="TID000175"/>
        <s v="TID000176"/>
        <s v="TID000177"/>
        <s v="TID000178"/>
        <s v="TID000179"/>
        <s v="TID000180"/>
        <s v="TID000181"/>
        <s v="TID000182"/>
        <s v="TID000183"/>
        <s v="TID000184"/>
        <s v="TID000185"/>
        <s v="TID000186"/>
        <s v="TID000187"/>
        <s v="TID000188"/>
        <s v="TID000189"/>
        <s v="TID000190"/>
        <s v="TID000191"/>
        <s v="TID000192"/>
        <s v="TID000193"/>
        <s v="TID000194"/>
        <s v="TID000195"/>
        <s v="TID000196"/>
        <s v="TID000197"/>
        <s v="TID000198"/>
        <s v="TID000199"/>
        <s v="TID000200"/>
        <s v="TID000201"/>
        <s v="TID000202"/>
        <s v="TID000203"/>
        <s v="TID000204"/>
        <s v="TID000205"/>
        <s v="TID000206"/>
        <s v="TID000207"/>
        <s v="TID000208"/>
        <s v="TID000209"/>
        <s v="TID000210"/>
        <s v="TID000211"/>
        <s v="TID000212"/>
        <s v="TID000213"/>
        <s v="TID000214"/>
        <s v="TID000215"/>
        <s v="TID000216"/>
        <s v="TID000217"/>
        <s v="TID000218"/>
        <s v="TID000219"/>
        <s v="TID000220"/>
        <s v="TID000221"/>
        <s v="TID000222"/>
        <s v="TID000223"/>
        <s v="TID000224"/>
        <s v="TID000225"/>
        <s v="TID000226"/>
        <s v="TID000227"/>
        <s v="TID000228"/>
        <s v="TID000229"/>
        <s v="TID000230"/>
        <s v="TID000231"/>
        <s v="TID000232"/>
        <s v="TID000233"/>
        <s v="TID000234"/>
        <s v="TID000235"/>
        <s v="TID000236"/>
        <s v="TID000237"/>
        <s v="TID000238"/>
        <s v="TID000239"/>
        <s v="TID000240"/>
        <s v="TID000241"/>
        <s v="TID000242"/>
        <s v="TID000243"/>
        <s v="TID000244"/>
        <s v="TID000245"/>
        <s v="TID000246"/>
        <s v="TID000247"/>
        <s v="TID000248"/>
        <s v="TID000249"/>
        <s v="TID000250"/>
        <s v="TID000251"/>
        <s v="TID000252"/>
        <s v="TID000253"/>
        <s v="TID000254"/>
        <s v="TID000255"/>
        <s v="TID000256"/>
        <s v="TID000257"/>
        <s v="TID000258"/>
        <s v="TID000259"/>
        <s v="TID000260"/>
        <s v="TID000261"/>
        <s v="TID000262"/>
        <s v="TID000263"/>
        <s v="TID000264"/>
        <s v="TID000265"/>
        <s v="TID000266"/>
        <s v="TID000267"/>
        <s v="TID000268"/>
        <s v="TID000269"/>
        <s v="TID000270"/>
        <s v="TID000271"/>
        <s v="TID000272"/>
        <s v="TID000273"/>
        <s v="TID000274"/>
        <s v="TID000275"/>
        <s v="TID000276"/>
        <s v="TID000277"/>
        <s v="TID000278"/>
        <s v="TID000279"/>
        <s v="TID000280"/>
        <s v="TID000281"/>
        <s v="TID000282"/>
        <s v="TID000283"/>
        <s v="TID000284"/>
        <s v="TID000285"/>
        <s v="TID000286"/>
        <s v="TID000287"/>
        <s v="TID000288"/>
        <s v="TID000289"/>
        <s v="TID000290"/>
        <s v="TID000291"/>
        <s v="TID000292"/>
        <s v="TID000293"/>
        <s v="TID000294"/>
        <s v="TID000295"/>
        <s v="TID000296"/>
        <s v="TID000297"/>
        <s v="TID000298"/>
        <s v="TID000299"/>
        <s v="TID000300"/>
        <s v="TID000301"/>
        <s v="TID000302"/>
        <s v="TID000303"/>
        <s v="TID000304"/>
        <s v="TID000305"/>
        <s v="TID000306"/>
        <s v="TID000307"/>
        <s v="TID000308"/>
        <s v="TID000309"/>
        <s v="TID000310"/>
        <s v="TID000311"/>
        <s v="TID000312"/>
        <s v="TID000313"/>
        <s v="TID000314"/>
        <s v="TID000315"/>
        <s v="TID000316"/>
        <s v="TID000317"/>
        <s v="TID000318"/>
        <s v="TID000319"/>
        <s v="TID000320"/>
        <s v="TID000321"/>
        <s v="TID000322"/>
        <s v="TID000323"/>
        <s v="TID000324"/>
        <s v="TID000325"/>
        <s v="TID000326"/>
        <s v="TID000327"/>
        <s v="TID000328"/>
        <s v="TID000329"/>
        <s v="TID000330"/>
        <s v="TID000331"/>
        <s v="TID000332"/>
        <s v="TID000333"/>
        <s v="TID000334"/>
        <s v="TID000335"/>
        <s v="TID000336"/>
        <s v="TID000337"/>
        <s v="TID000338"/>
        <s v="TID000339"/>
        <s v="TID000340"/>
        <s v="TID000341"/>
        <s v="TID000342"/>
        <s v="TID000343"/>
        <s v="TID000344"/>
        <s v="TID000345"/>
        <s v="TID000346"/>
        <s v="TID000347"/>
        <s v="TID000348"/>
        <s v="TID000349"/>
        <s v="TID000350"/>
        <s v="TID000351"/>
        <s v="TID000352"/>
        <s v="TID000353"/>
        <s v="TID000354"/>
        <s v="TID000355"/>
        <s v="TID000356"/>
        <s v="TID000357"/>
        <s v="TID000358"/>
        <s v="TID000359"/>
        <s v="TID000360"/>
        <s v="TID000361"/>
        <s v="TID000362"/>
        <s v="TID000363"/>
        <s v="TID000364"/>
        <s v="TID000365"/>
        <s v="TID000366"/>
        <s v="TID000367"/>
        <s v="TID000368"/>
        <s v="TID000369"/>
        <s v="TID000370"/>
        <s v="TID000371"/>
        <s v="TID000372"/>
        <s v="TID000373"/>
        <s v="TID000374"/>
        <s v="TID000375"/>
        <s v="TID000376"/>
        <s v="TID000377"/>
        <s v="TID000378"/>
        <s v="TID000379"/>
        <s v="TID000380"/>
        <s v="TID000381"/>
        <s v="TID000382"/>
        <s v="TID000383"/>
        <s v="TID000384"/>
        <s v="TID000385"/>
        <s v="TID000386"/>
        <s v="TID000387"/>
        <s v="TID000388"/>
        <s v="TID000389"/>
        <s v="TID000390"/>
        <s v="TID000391"/>
        <s v="TID000392"/>
        <s v="TID000393"/>
        <s v="TID000394"/>
        <s v="TID000395"/>
        <s v="TID000396"/>
        <s v="TID000397"/>
        <s v="TID000398"/>
        <s v="TID000399"/>
        <s v="TID000400"/>
        <s v="TID000401"/>
        <s v="TID000402"/>
        <s v="TID000403"/>
        <s v="TID000404"/>
        <s v="TID000405"/>
        <s v="TID000406"/>
        <s v="TID000407"/>
        <s v="TID000408"/>
        <s v="TID000409"/>
        <s v="TID000410"/>
        <s v="TID000411"/>
        <s v="TID000412"/>
        <s v="TID000413"/>
        <s v="TID000414"/>
        <s v="TID000415"/>
        <s v="TID000416"/>
        <s v="TID000417"/>
        <s v="TID000418"/>
        <s v="TID000419"/>
        <s v="TID000420"/>
        <s v="TID000421"/>
        <s v="TID000422"/>
        <s v="TID000423"/>
        <s v="TID000424"/>
        <s v="TID000425"/>
        <s v="TID000426"/>
        <s v="TID000427"/>
        <s v="TID000428"/>
        <s v="TID000429"/>
        <s v="TID000430"/>
        <s v="TID000431"/>
        <s v="TID000432"/>
        <s v="TID000433"/>
        <s v="TID000434"/>
        <s v="TID000435"/>
        <s v="TID000436"/>
        <s v="TID000437"/>
        <s v="TID000438"/>
        <s v="TID000439"/>
        <s v="TID000440"/>
        <s v="TID000441"/>
        <s v="TID000442"/>
        <s v="TID000443"/>
        <s v="TID000444"/>
        <s v="TID000445"/>
        <s v="TID000446"/>
        <s v="TID000447"/>
        <s v="TID000448"/>
        <s v="TID000449"/>
        <s v="TID000450"/>
        <s v="TID000451"/>
        <s v="TID000452"/>
        <s v="TID000453"/>
        <s v="TID000454"/>
        <s v="TID000455"/>
        <s v="TID000456"/>
        <s v="TID000457"/>
        <s v="TID000458"/>
        <s v="TID000459"/>
        <s v="TID000460"/>
        <s v="TID000461"/>
        <s v="TID000462"/>
        <s v="TID000463"/>
        <s v="TID000464"/>
        <s v="TID000465"/>
        <s v="TID000466"/>
        <s v="TID000467"/>
        <s v="TID000468"/>
        <s v="TID000469"/>
        <s v="TID000470"/>
        <s v="TID000471"/>
        <s v="TID000472"/>
        <s v="TID000473"/>
        <s v="TID000474"/>
        <s v="TID000475"/>
        <s v="TID000476"/>
        <s v="TID000477"/>
        <s v="TID000478"/>
        <s v="TID000479"/>
        <s v="TID000480"/>
        <s v="TID000481"/>
        <s v="TID000482"/>
        <s v="TID000483"/>
        <s v="TID000484"/>
        <s v="TID000485"/>
        <s v="TID000486"/>
        <s v="TID000487"/>
        <s v="TID000488"/>
        <s v="TID000489"/>
        <s v="TID000490"/>
        <s v="TID000491"/>
        <s v="TID000492"/>
        <s v="TID000493"/>
        <s v="TID000494"/>
        <s v="TID000495"/>
        <s v="TID000496"/>
        <s v="TID000497"/>
        <s v="TID000498"/>
        <s v="TID000499"/>
        <s v="TID000500"/>
        <s v="TID000501"/>
        <s v="TID000502"/>
        <s v="TID000503"/>
        <s v="TID000504"/>
        <s v="TID000505"/>
        <s v="TID000506"/>
        <s v="TID000507"/>
        <s v="TID000508"/>
        <s v="TID000509"/>
        <s v="TID000510"/>
        <s v="TID000511"/>
        <s v="TID000512"/>
        <s v="TID000513"/>
        <s v="TID000514"/>
        <s v="TID000515"/>
        <s v="TID000516"/>
        <s v="TID000517"/>
        <s v="TID000518"/>
        <s v="TID000519"/>
        <s v="TID000520"/>
        <s v="TID000521"/>
        <s v="TID000522"/>
        <s v="TID000523"/>
        <s v="TID000524"/>
        <s v="TID000525"/>
        <s v="TID000526"/>
        <s v="TID000527"/>
        <s v="TID000528"/>
        <s v="TID000529"/>
        <s v="TID000530"/>
        <s v="TID000531"/>
        <s v="TID000532"/>
        <s v="TID000533"/>
        <s v="TID000534"/>
        <s v="TID000535"/>
        <s v="TID000536"/>
        <s v="TID000537"/>
        <s v="TID000538"/>
        <s v="TID000539"/>
        <s v="TID000540"/>
        <s v="TID000541"/>
        <s v="TID000542"/>
        <s v="TID000543"/>
        <s v="TID000544"/>
        <s v="TID000545"/>
        <s v="TID000546"/>
        <s v="TID000547"/>
        <s v="TID000548"/>
        <s v="TID000549"/>
        <s v="TID000550"/>
        <s v="TID000551"/>
        <s v="TID000552"/>
        <s v="TID000553"/>
        <s v="TID000554"/>
        <s v="TID000555"/>
        <s v="TID000556"/>
        <s v="TID000557"/>
        <s v="TID000558"/>
        <s v="TID000559"/>
        <s v="TID000560"/>
        <s v="TID000561"/>
        <s v="TID000562"/>
        <s v="TID000563"/>
        <s v="TID000564"/>
        <s v="TID000565"/>
        <s v="TID000566"/>
        <s v="TID000567"/>
        <s v="TID000568"/>
        <s v="TID000569"/>
        <s v="TID000570"/>
        <s v="TID000571"/>
        <s v="TID000572"/>
        <s v="TID000573"/>
        <s v="TID000574"/>
        <s v="TID000575"/>
        <s v="TID000576"/>
        <s v="TID000577"/>
        <s v="TID000578"/>
        <s v="TID000579"/>
        <s v="TID000580"/>
        <s v="TID000581"/>
        <s v="TID000582"/>
        <s v="TID000583"/>
        <s v="TID000584"/>
        <s v="TID000585"/>
        <s v="TID000586"/>
        <s v="TID000587"/>
        <s v="TID000588"/>
        <s v="TID000589"/>
        <s v="TID000590"/>
        <s v="TID000591"/>
        <s v="TID000592"/>
        <s v="TID000593"/>
        <s v="TID000594"/>
        <s v="TID000595"/>
        <s v="TID000596"/>
        <s v="TID000597"/>
        <s v="TID000598"/>
        <s v="TID000599"/>
        <s v="TID000600"/>
        <s v="TID000601"/>
        <s v="TID000602"/>
        <s v="TID000603"/>
        <s v="TID000604"/>
        <s v="TID000605"/>
        <s v="TID000606"/>
        <s v="TID000607"/>
        <s v="TID000608"/>
        <s v="TID000609"/>
        <s v="TID000610"/>
        <s v="TID000611"/>
        <s v="TID000612"/>
        <s v="TID000613"/>
        <s v="TID000614"/>
        <s v="TID000615"/>
        <s v="TID000616"/>
        <s v="TID000617"/>
        <s v="TID000618"/>
        <s v="TID000619"/>
        <s v="TID000620"/>
        <s v="TID000621"/>
        <s v="TID000622"/>
        <s v="TID000623"/>
        <s v="TID000624"/>
        <s v="TID000625"/>
        <s v="TID000626"/>
        <s v="TID000627"/>
        <s v="TID000628"/>
        <s v="TID000629"/>
        <s v="TID000630"/>
        <s v="TID000631"/>
        <s v="TID000632"/>
        <s v="TID000633"/>
        <s v="TID000634"/>
        <s v="TID000635"/>
        <s v="TID000636"/>
        <s v="TID000637"/>
        <s v="TID000638"/>
        <s v="TID000639"/>
        <s v="TID000640"/>
        <s v="TID000641"/>
        <s v="TID000642"/>
        <s v="TID000643"/>
        <s v="TID000644"/>
        <s v="TID000645"/>
        <s v="TID000646"/>
        <s v="TID000647"/>
        <s v="TID000648"/>
        <s v="TID000649"/>
        <s v="TID000650"/>
        <s v="TID000651"/>
        <s v="TID000652"/>
        <s v="TID000653"/>
        <s v="TID000654"/>
        <s v="TID000655"/>
        <s v="TID000656"/>
        <s v="TID000657"/>
        <s v="TID000658"/>
        <s v="TID000659"/>
        <s v="TID000660"/>
        <s v="TID000661"/>
        <s v="TID000662"/>
        <s v="TID000663"/>
        <s v="TID000664"/>
        <s v="TID000665"/>
        <s v="TID000666"/>
        <s v="TID000667"/>
        <s v="TID000668"/>
        <s v="TID000669"/>
        <s v="TID000670"/>
        <s v="TID000671"/>
        <s v="TID000672"/>
        <s v="TID000673"/>
        <s v="TID000674"/>
        <s v="TID000675"/>
        <s v="TID000676"/>
        <s v="TID000677"/>
        <s v="TID000678"/>
        <s v="TID000679"/>
        <s v="TID000680"/>
        <s v="TID000681"/>
        <s v="TID000682"/>
        <s v="TID000683"/>
        <s v="TID000684"/>
        <s v="TID000685"/>
        <s v="TID000686"/>
        <s v="TID000687"/>
        <s v="TID000688"/>
        <s v="TID000689"/>
        <s v="TID000690"/>
        <s v="TID000691"/>
        <s v="TID000692"/>
        <s v="TID000693"/>
        <s v="TID000694"/>
        <s v="TID000695"/>
        <s v="TID000696"/>
        <s v="TID000697"/>
        <s v="TID000698"/>
        <s v="TID000699"/>
        <s v="TID000700"/>
        <s v="TID000701"/>
        <s v="TID000702"/>
        <s v="TID000703"/>
        <s v="TID000704"/>
        <s v="TID000705"/>
        <s v="TID000706"/>
        <s v="TID000707"/>
        <s v="TID000708"/>
        <s v="TID000709"/>
        <s v="TID000710"/>
        <s v="TID000711"/>
        <s v="TID000712"/>
        <s v="TID000713"/>
        <s v="TID000714"/>
        <s v="TID000715"/>
        <s v="TID000716"/>
        <s v="TID000717"/>
        <s v="TID000718"/>
        <s v="TID000719"/>
        <s v="TID000720"/>
        <s v="TID000721"/>
        <s v="TID000722"/>
        <s v="TID000723"/>
        <s v="TID000724"/>
        <s v="TID000725"/>
        <s v="TID000726"/>
        <s v="TID000727"/>
        <s v="TID000728"/>
        <s v="TID000729"/>
        <s v="TID000730"/>
        <s v="TID000731"/>
        <s v="TID000732"/>
        <s v="TID000733"/>
        <s v="TID000734"/>
        <s v="TID000735"/>
        <s v="TID000736"/>
        <s v="TID000737"/>
        <s v="TID000738"/>
        <s v="TID000739"/>
        <s v="TID000740"/>
        <s v="TID000741"/>
        <s v="TID000742"/>
        <s v="TID000743"/>
        <s v="TID000744"/>
        <s v="TID000745"/>
        <s v="TID000746"/>
        <s v="TID000747"/>
        <s v="TID000748"/>
        <s v="TID000749"/>
        <s v="TID000750"/>
        <s v="TID000751"/>
        <s v="TID000752"/>
        <s v="TID000753"/>
        <s v="TID000754"/>
        <s v="TID000755"/>
        <s v="TID000756"/>
        <s v="TID000757"/>
        <s v="TID000758"/>
        <s v="TID000759"/>
        <s v="TID000760"/>
        <s v="TID000761"/>
        <s v="TID000762"/>
        <s v="TID000763"/>
        <s v="TID000764"/>
        <s v="TID000765"/>
        <s v="TID000766"/>
        <s v="TID000767"/>
        <s v="TID000768"/>
        <s v="TID000769"/>
        <s v="TID000770"/>
        <s v="TID000771"/>
        <s v="TID000772"/>
        <s v="TID000773"/>
        <s v="TID000774"/>
        <s v="TID000775"/>
        <s v="TID000776"/>
        <s v="TID000777"/>
        <s v="TID000778"/>
        <s v="TID000779"/>
        <s v="TID000780"/>
        <s v="TID000781"/>
        <s v="TID000782"/>
        <s v="TID000783"/>
        <s v="TID000784"/>
        <s v="TID000785"/>
        <s v="TID000786"/>
        <s v="TID000787"/>
        <s v="TID000788"/>
        <s v="TID000789"/>
        <s v="TID000790"/>
        <s v="TID000791"/>
        <s v="TID000792"/>
        <s v="TID000793"/>
        <s v="TID000794"/>
        <s v="TID000795"/>
        <s v="TID000796"/>
        <s v="TID000797"/>
        <s v="TID000798"/>
        <s v="TID000799"/>
        <s v="TID000800"/>
        <s v="TID000801"/>
        <s v="TID000802"/>
        <s v="TID000803"/>
        <s v="TID000804"/>
        <s v="TID000805"/>
        <s v="TID000806"/>
        <s v="TID000807"/>
        <s v="TID000808"/>
        <s v="TID000809"/>
        <s v="TID000810"/>
        <s v="TID000811"/>
        <s v="TID000812"/>
        <s v="TID000813"/>
        <s v="TID000814"/>
        <s v="TID000815"/>
        <s v="TID000816"/>
        <s v="TID000817"/>
        <s v="TID000818"/>
        <s v="TID000819"/>
        <s v="TID000820"/>
        <s v="TID000821"/>
        <s v="TID000822"/>
        <s v="TID000823"/>
        <s v="TID000824"/>
        <s v="TID000825"/>
        <s v="TID000826"/>
        <s v="TID000827"/>
        <s v="TID000828"/>
        <s v="TID000829"/>
        <s v="TID000830"/>
        <s v="TID000831"/>
        <s v="TID000832"/>
        <s v="TID000833"/>
        <s v="TID000834"/>
        <s v="TID000835"/>
        <s v="TID000836"/>
        <s v="TID000837"/>
        <s v="TID000838"/>
        <s v="TID000839"/>
        <s v="TID000840"/>
        <s v="TID000841"/>
        <s v="TID000842"/>
        <s v="TID000843"/>
        <s v="TID000844"/>
        <s v="TID000845"/>
        <s v="TID000846"/>
        <s v="TID000847"/>
        <s v="TID000848"/>
        <s v="TID000849"/>
        <s v="TID000850"/>
        <s v="TID000851"/>
        <s v="TID000852"/>
        <s v="TID000853"/>
        <s v="TID000854"/>
        <s v="TID000855"/>
        <s v="TID000856"/>
        <s v="TID000857"/>
        <s v="TID000858"/>
        <s v="TID000859"/>
        <s v="TID000860"/>
        <s v="TID000861"/>
        <s v="TID000862"/>
        <s v="TID000863"/>
        <s v="TID000864"/>
        <s v="TID000865"/>
        <s v="TID000866"/>
        <s v="TID000867"/>
        <s v="TID000868"/>
        <s v="TID000869"/>
        <s v="TID000870"/>
        <s v="TID000871"/>
        <s v="TID000872"/>
        <s v="TID000873"/>
        <s v="TID000874"/>
        <s v="TID000875"/>
        <s v="TID000876"/>
        <s v="TID000877"/>
        <s v="TID000878"/>
        <s v="TID000879"/>
        <s v="TID000880"/>
        <s v="TID000881"/>
        <s v="TID000882"/>
        <s v="TID000883"/>
        <s v="TID000884"/>
        <s v="TID000885"/>
        <s v="TID000886"/>
        <s v="TID000887"/>
        <s v="TID000888"/>
        <s v="TID000889"/>
        <s v="TID000890"/>
        <s v="TID000891"/>
        <s v="TID000892"/>
        <s v="TID000893"/>
        <s v="TID000894"/>
        <s v="TID000895"/>
        <s v="TID000896"/>
        <s v="TID000897"/>
        <s v="TID000898"/>
        <s v="TID000899"/>
        <s v="TID000900"/>
        <s v="TID000901"/>
        <s v="TID000902"/>
        <s v="TID000903"/>
        <s v="TID000904"/>
        <s v="TID000905"/>
        <s v="TID000906"/>
        <s v="TID000907"/>
        <s v="TID000908"/>
        <s v="TID000909"/>
        <s v="TID000910"/>
        <s v="TID000911"/>
        <s v="TID000912"/>
        <s v="TID000913"/>
        <s v="TID000914"/>
        <s v="TID000915"/>
        <s v="TID000916"/>
        <s v="TID000917"/>
        <s v="TID000918"/>
        <s v="TID000919"/>
        <s v="TID000920"/>
        <s v="TID000921"/>
        <s v="TID000922"/>
        <s v="TID000923"/>
        <s v="TID000924"/>
        <s v="TID000925"/>
        <s v="TID000926"/>
        <s v="TID000927"/>
        <s v="TID000928"/>
        <s v="TID000929"/>
        <s v="TID000930"/>
        <s v="TID000931"/>
        <s v="TID000932"/>
        <s v="TID000933"/>
        <s v="TID000934"/>
        <s v="TID000935"/>
        <s v="TID000936"/>
        <s v="TID000937"/>
        <s v="TID000938"/>
        <s v="TID000939"/>
        <s v="TID000940"/>
        <s v="TID000941"/>
        <s v="TID000942"/>
        <s v="TID000943"/>
        <s v="TID000944"/>
        <s v="TID000945"/>
        <s v="TID000946"/>
        <s v="TID000947"/>
        <s v="TID000948"/>
        <s v="TID000949"/>
        <s v="TID000950"/>
        <s v="TID000951"/>
        <s v="TID000952"/>
        <s v="TID000953"/>
        <s v="TID000954"/>
        <s v="TID000955"/>
        <s v="TID000956"/>
        <s v="TID000957"/>
        <s v="TID000958"/>
        <s v="TID000959"/>
        <s v="TID000960"/>
        <s v="TID000961"/>
        <s v="TID000962"/>
        <s v="TID000963"/>
        <s v="TID000964"/>
        <s v="TID000965"/>
        <s v="TID000966"/>
        <s v="TID000967"/>
        <s v="TID000968"/>
        <s v="TID000969"/>
        <s v="TID000970"/>
        <s v="TID000971"/>
        <s v="TID000972"/>
        <s v="TID000973"/>
        <s v="TID000974"/>
        <s v="TID000975"/>
        <s v="TID000976"/>
        <s v="TID000977"/>
        <s v="TID000978"/>
        <s v="TID000979"/>
        <s v="TID000980"/>
        <s v="TID000981"/>
        <s v="TID000982"/>
        <s v="TID000983"/>
        <s v="TID000984"/>
        <s v="TID000985"/>
        <s v="TID000986"/>
        <s v="TID000987"/>
        <s v="TID000988"/>
        <s v="TID000989"/>
        <s v="TID000990"/>
        <s v="TID000991"/>
        <s v="TID000992"/>
        <s v="TID000993"/>
        <s v="TID000994"/>
        <s v="TID000995"/>
        <s v="TID000996"/>
        <s v="TID000997"/>
        <s v="TID000998"/>
        <s v="TID000999"/>
        <s v="TID001000"/>
        <s v="TID001001"/>
        <s v="TID001002"/>
        <s v="TID001003"/>
        <s v="TID001004"/>
        <s v="TID001005"/>
        <s v="TID001006"/>
        <s v="TID001007"/>
        <s v="TID001008"/>
        <s v="TID001009"/>
        <s v="TID001010"/>
        <s v="TID001011"/>
        <s v="TID001012"/>
        <s v="TID001013"/>
        <s v="TID001014"/>
        <s v="TID001015"/>
        <s v="TID001016"/>
        <s v="TID001017"/>
        <s v="TID001018"/>
        <s v="TID001019"/>
        <s v="TID001020"/>
        <s v="TID001021"/>
        <s v="TID001022"/>
        <s v="TID001023"/>
        <s v="TID001024"/>
        <s v="TID001025"/>
        <s v="TID001026"/>
        <s v="TID001027"/>
        <s v="TID001028"/>
        <s v="TID001029"/>
        <s v="TID001030"/>
        <s v="TID001031"/>
        <s v="TID001032"/>
        <s v="TID001033"/>
        <s v="TID001034"/>
        <s v="TID001035"/>
        <s v="TID001036"/>
        <s v="TID001037"/>
        <s v="TID001038"/>
        <s v="TID001039"/>
        <s v="TID001040"/>
        <s v="TID001041"/>
        <s v="TID001042"/>
        <s v="TID001043"/>
        <s v="TID001044"/>
        <s v="TID001045"/>
        <s v="TID001046"/>
        <s v="TID001047"/>
        <s v="TID001048"/>
        <s v="TID001049"/>
        <s v="TID001050"/>
        <s v="TID001051"/>
        <s v="TID001052"/>
        <s v="TID001053"/>
        <s v="TID001054"/>
        <s v="TID001055"/>
        <s v="TID001056"/>
        <s v="TID001057"/>
        <s v="TID001058"/>
        <s v="TID001059"/>
        <s v="TID001060"/>
        <s v="TID001061"/>
        <s v="TID001062"/>
        <s v="TID001063"/>
        <s v="TID001064"/>
        <s v="TID001065"/>
        <s v="TID001066"/>
        <s v="TID001067"/>
        <s v="TID001068"/>
        <s v="TID001069"/>
        <s v="TID001070"/>
        <s v="TID001071"/>
        <s v="TID001072"/>
        <s v="TID001073"/>
        <s v="TID001074"/>
        <s v="TID001075"/>
        <s v="TID001076"/>
        <s v="TID001077"/>
        <s v="TID001078"/>
        <s v="TID001079"/>
        <s v="TID001080"/>
        <s v="TID001081"/>
        <s v="TID001082"/>
        <s v="TID001083"/>
        <s v="TID001084"/>
        <s v="TID001085"/>
        <s v="TID001086"/>
        <s v="TID001087"/>
        <s v="TID001088"/>
        <s v="TID001089"/>
        <s v="TID001090"/>
        <s v="TID001091"/>
        <s v="TID001092"/>
        <s v="TID001093"/>
        <s v="TID001094"/>
        <s v="TID001095"/>
        <s v="TID001096"/>
        <s v="TID001097"/>
        <s v="TID001098"/>
        <s v="TID001099"/>
        <s v="TID001100"/>
        <s v="TID001101"/>
        <s v="TID001102"/>
        <s v="TID001103"/>
        <s v="TID001104"/>
        <s v="TID001105"/>
        <s v="TID001106"/>
        <s v="TID001107"/>
        <s v="TID001108"/>
        <s v="TID001109"/>
        <s v="TID001110"/>
        <s v="TID001111"/>
        <s v="TID001112"/>
        <s v="TID001113"/>
        <s v="TID001114"/>
        <s v="TID001115"/>
        <s v="TID001116"/>
        <s v="TID001117"/>
        <s v="TID001118"/>
        <s v="TID001119"/>
        <s v="TID001120"/>
        <s v="TID001121"/>
        <s v="TID001122"/>
        <s v="TID001123"/>
        <s v="TID001124"/>
        <s v="TID001125"/>
        <s v="TID001126"/>
        <s v="TID001127"/>
        <s v="TID001128"/>
        <s v="TID001129"/>
        <s v="TID001130"/>
        <s v="TID001131"/>
        <s v="TID001132"/>
        <s v="TID001133"/>
        <s v="TID001134"/>
        <s v="TID001135"/>
        <s v="TID001136"/>
        <s v="TID001137"/>
        <s v="TID001138"/>
        <s v="TID001139"/>
        <s v="TID001140"/>
        <s v="TID001141"/>
        <s v="TID001142"/>
        <s v="TID001143"/>
        <s v="TID001144"/>
        <s v="TID001145"/>
        <s v="TID001146"/>
        <s v="TID001147"/>
        <s v="TID001148"/>
        <s v="TID001149"/>
        <s v="TID001150"/>
        <s v="TID001151"/>
        <s v="TID001152"/>
        <s v="TID001153"/>
        <s v="TID001154"/>
        <s v="TID001155"/>
        <s v="TID001156"/>
        <s v="TID001157"/>
        <s v="TID001158"/>
        <s v="TID001159"/>
        <s v="TID001160"/>
        <s v="TID001161"/>
        <s v="TID001162"/>
        <s v="TID001163"/>
        <s v="TID001164"/>
        <s v="TID001165"/>
        <s v="TID001166"/>
        <s v="TID001167"/>
        <s v="TID001168"/>
        <s v="TID001169"/>
        <s v="TID001170"/>
        <s v="TID001171"/>
        <s v="TID001172"/>
        <s v="TID001173"/>
        <s v="TID001174"/>
        <s v="TID001175"/>
        <s v="TID001176"/>
        <s v="TID001177"/>
        <s v="TID001178"/>
        <s v="TID001179"/>
        <s v="TID001180"/>
        <s v="TID001181"/>
        <s v="TID001182"/>
        <s v="TID001183"/>
        <s v="TID001184"/>
        <s v="TID001185"/>
        <s v="TID001186"/>
        <s v="TID001187"/>
        <s v="TID001188"/>
        <s v="TID001189"/>
        <s v="TID001190"/>
        <s v="TID001191"/>
        <s v="TID001192"/>
        <s v="TID001193"/>
        <s v="TID001194"/>
        <s v="TID001195"/>
        <s v="TID001196"/>
        <s v="TID001197"/>
        <s v="TID001198"/>
        <s v="TID001199"/>
        <s v="TID001200"/>
        <s v="TID001201"/>
        <s v="TID001202"/>
        <s v="TID001203"/>
        <s v="TID001204"/>
        <s v="TID001205"/>
        <s v="TID001206"/>
        <s v="TID001207"/>
        <s v="TID001208"/>
        <s v="TID001209"/>
        <s v="TID001210"/>
        <s v="TID001211"/>
        <s v="TID001212"/>
        <s v="TID001213"/>
        <s v="TID001214"/>
        <s v="TID001215"/>
        <s v="TID001216"/>
        <s v="TID001217"/>
        <s v="TID001218"/>
        <s v="TID001219"/>
        <s v="TID001220"/>
        <s v="TID001221"/>
        <s v="TID001222"/>
        <s v="TID001223"/>
        <s v="TID001224"/>
        <s v="TID001225"/>
        <s v="TID001226"/>
        <s v="TID001227"/>
        <s v="TID001228"/>
        <s v="TID001229"/>
        <s v="TID001230"/>
        <s v="TID001231"/>
        <s v="TID001232"/>
        <s v="TID001233"/>
        <s v="TID001234"/>
        <s v="TID001235"/>
        <s v="TID001236"/>
        <s v="TID001237"/>
        <s v="TID001238"/>
        <s v="TID001239"/>
        <s v="TID001240"/>
        <s v="TID001241"/>
        <s v="TID001242"/>
        <s v="TID001243"/>
        <s v="TID001244"/>
        <s v="TID001245"/>
        <s v="TID001246"/>
        <s v="TID001247"/>
        <s v="TID001248"/>
        <s v="TID001249"/>
        <s v="TID001250"/>
        <s v="TID001251"/>
        <s v="TID001252"/>
        <s v="TID001253"/>
        <s v="TID001254"/>
        <s v="TID001255"/>
        <s v="TID001256"/>
        <s v="TID001257"/>
        <s v="TID001258"/>
        <s v="TID001259"/>
        <s v="TID001260"/>
        <s v="TID001261"/>
        <s v="TID001262"/>
        <s v="TID001263"/>
        <s v="TID001264"/>
        <s v="TID001265"/>
        <s v="TID001266"/>
        <s v="TID001267"/>
        <s v="TID001268"/>
        <s v="TID001269"/>
        <s v="TID001270"/>
        <s v="TID001271"/>
        <s v="TID001272"/>
        <s v="TID001273"/>
        <s v="TID001274"/>
        <s v="TID001275"/>
        <s v="TID001276"/>
        <s v="TID001277"/>
        <s v="TID001278"/>
        <s v="TID001279"/>
        <s v="TID001280"/>
        <s v="TID001281"/>
        <s v="TID001282"/>
        <s v="TID001283"/>
        <s v="TID001284"/>
        <s v="TID001285"/>
        <s v="TID001286"/>
        <s v="TID001287"/>
        <s v="TID001288"/>
        <s v="TID001289"/>
        <s v="TID001290"/>
        <s v="TID001291"/>
        <s v="TID001292"/>
        <s v="TID001293"/>
        <s v="TID001294"/>
        <s v="TID001295"/>
        <s v="TID001296"/>
        <s v="TID001297"/>
        <s v="TID001298"/>
        <s v="TID001299"/>
        <s v="TID001300"/>
        <s v="TID001301"/>
        <s v="TID001302"/>
        <s v="TID001303"/>
        <s v="TID001304"/>
        <s v="TID001305"/>
        <s v="TID001306"/>
        <s v="TID001307"/>
        <s v="TID001308"/>
        <s v="TID001309"/>
        <s v="TID001310"/>
        <s v="TID001311"/>
        <s v="TID001312"/>
        <s v="TID001313"/>
        <s v="TID001314"/>
        <s v="TID001315"/>
        <s v="TID001316"/>
        <s v="TID001317"/>
        <s v="TID001318"/>
        <s v="TID001319"/>
        <s v="TID001320"/>
        <s v="TID001321"/>
        <s v="TID001322"/>
        <s v="TID001323"/>
        <s v="TID001324"/>
        <s v="TID001325"/>
        <s v="TID001326"/>
        <s v="TID001327"/>
        <s v="TID001328"/>
        <s v="TID001329"/>
        <s v="TID001330"/>
        <s v="TID001331"/>
        <s v="TID001332"/>
        <s v="TID001333"/>
        <s v="TID001334"/>
        <s v="TID001335"/>
        <s v="TID001336"/>
        <s v="TID001337"/>
        <s v="TID001338"/>
        <s v="TID001339"/>
        <s v="TID001340"/>
        <s v="TID001341"/>
        <s v="TID001342"/>
        <s v="TID001343"/>
        <s v="TID001344"/>
        <s v="TID001345"/>
        <s v="TID001346"/>
        <s v="TID001347"/>
        <s v="TID001348"/>
        <s v="TID001349"/>
        <s v="TID001350"/>
        <s v="TID001351"/>
        <s v="TID001352"/>
        <s v="TID001353"/>
        <s v="TID001354"/>
        <s v="TID001355"/>
        <s v="TID001356"/>
        <s v="TID001357"/>
        <s v="TID001358"/>
        <s v="TID001359"/>
        <s v="TID001360"/>
        <s v="TID001361"/>
        <s v="TID001362"/>
        <s v="TID001363"/>
        <s v="TID001364"/>
        <s v="TID001365"/>
        <s v="TID001366"/>
        <s v="TID001367"/>
        <s v="TID001368"/>
        <s v="TID001369"/>
        <s v="TID001370"/>
        <s v="TID001371"/>
        <s v="TID001372"/>
        <s v="TID001373"/>
        <s v="TID001374"/>
        <s v="TID001375"/>
        <s v="TID001376"/>
        <s v="TID001377"/>
        <s v="TID001378"/>
        <s v="TID001379"/>
        <s v="TID001380"/>
        <s v="TID001381"/>
        <s v="TID001382"/>
        <s v="TID001383"/>
        <s v="TID001384"/>
        <s v="TID001385"/>
        <s v="TID001386"/>
        <s v="TID001387"/>
        <s v="TID001388"/>
        <s v="TID001389"/>
        <s v="TID001390"/>
        <s v="TID001391"/>
        <s v="TID001392"/>
        <s v="TID001393"/>
        <s v="TID001394"/>
        <s v="TID001395"/>
        <s v="TID001396"/>
        <s v="TID001397"/>
        <s v="TID001398"/>
        <s v="TID001399"/>
        <s v="TID001400"/>
        <s v="TID001401"/>
        <s v="TID001402"/>
        <s v="TID001403"/>
        <s v="TID001404"/>
        <s v="TID001405"/>
        <s v="TID001406"/>
        <s v="TID001407"/>
        <s v="TID001408"/>
        <s v="TID001409"/>
        <s v="TID001410"/>
        <s v="TID001411"/>
        <s v="TID001412"/>
        <s v="TID001413"/>
        <s v="TID001414"/>
        <s v="TID001415"/>
        <s v="TID001416"/>
        <s v="TID001417"/>
        <s v="TID001418"/>
        <s v="TID001419"/>
        <s v="TID001420"/>
        <s v="TID001421"/>
        <s v="TID001422"/>
        <s v="TID001423"/>
        <s v="TID001424"/>
        <s v="TID001425"/>
        <s v="TID001426"/>
        <s v="TID001427"/>
        <s v="TID001428"/>
        <s v="TID001429"/>
        <s v="TID001430"/>
        <s v="TID001431"/>
        <s v="TID001432"/>
        <s v="TID001433"/>
        <s v="TID001434"/>
        <s v="TID001435"/>
        <s v="TID001436"/>
        <s v="TID001437"/>
        <s v="TID001438"/>
        <s v="TID001439"/>
        <s v="TID001440"/>
        <s v="TID001441"/>
        <s v="TID001442"/>
        <s v="TID001443"/>
        <s v="TID001444"/>
        <s v="TID001445"/>
        <s v="TID001446"/>
        <s v="TID001447"/>
        <s v="TID001448"/>
        <s v="TID001449"/>
        <s v="TID001450"/>
        <s v="TID001451"/>
        <s v="TID001452"/>
        <s v="TID001453"/>
        <s v="TID001454"/>
        <s v="TID001455"/>
        <s v="TID001456"/>
        <s v="TID001457"/>
        <s v="TID001458"/>
        <s v="TID001459"/>
        <s v="TID001460"/>
        <s v="TID001461"/>
        <s v="TID001462"/>
        <s v="TID001463"/>
        <s v="TID001464"/>
        <s v="TID001465"/>
        <s v="TID001466"/>
        <s v="TID001467"/>
        <s v="TID001468"/>
        <s v="TID001469"/>
        <s v="TID001470"/>
        <s v="TID001471"/>
        <s v="TID001472"/>
        <s v="TID001473"/>
        <s v="TID001474"/>
        <s v="TID001475"/>
        <s v="TID001476"/>
        <s v="TID001477"/>
        <s v="TID001478"/>
        <s v="TID001479"/>
        <s v="TID001480"/>
        <s v="TID001481"/>
        <s v="TID001482"/>
        <s v="TID001483"/>
        <s v="TID001484"/>
        <s v="TID001485"/>
        <s v="TID001486"/>
        <s v="TID001487"/>
        <s v="TID001488"/>
        <s v="TID001489"/>
        <s v="TID001490"/>
        <s v="TID001491"/>
        <s v="TID001492"/>
        <s v="TID001493"/>
        <s v="TID001494"/>
        <s v="TID001495"/>
        <s v="TID001496"/>
        <s v="TID001497"/>
        <s v="TID001498"/>
        <s v="TID001499"/>
        <s v="TID001500"/>
        <s v="TID001501"/>
        <s v="TID001502"/>
        <s v="TID001503"/>
        <s v="TID001504"/>
        <s v="TID001505"/>
        <s v="TID001506"/>
        <s v="TID001507"/>
        <s v="TID001508"/>
        <s v="TID001509"/>
        <s v="TID001510"/>
        <s v="TID001511"/>
        <s v="TID001512"/>
        <s v="TID001513"/>
        <s v="TID001514"/>
        <s v="TID001515"/>
        <s v="TID001516"/>
        <s v="TID001517"/>
        <s v="TID001518"/>
        <s v="TID001519"/>
        <s v="TID001520"/>
        <s v="TID001521"/>
        <s v="TID001522"/>
        <s v="TID001523"/>
        <s v="TID001524"/>
        <s v="TID001525"/>
        <s v="TID001526"/>
        <s v="TID001527"/>
        <s v="TID001528"/>
        <s v="TID001529"/>
        <s v="TID001530"/>
        <s v="TID001531"/>
        <s v="TID001532"/>
        <s v="TID001533"/>
        <s v="TID001534"/>
        <s v="TID001535"/>
        <s v="TID001536"/>
        <s v="TID001537"/>
        <s v="TID001538"/>
        <s v="TID001539"/>
        <s v="TID001540"/>
        <s v="TID001541"/>
        <s v="TID001542"/>
        <s v="TID001543"/>
        <s v="TID001544"/>
        <s v="TID001545"/>
        <s v="TID001546"/>
        <s v="TID001547"/>
        <s v="TID001548"/>
        <s v="TID001549"/>
        <s v="TID001550"/>
        <s v="TID001551"/>
        <s v="TID001552"/>
        <s v="TID001553"/>
        <s v="TID001554"/>
        <s v="TID001555"/>
        <s v="TID001556"/>
        <s v="TID001557"/>
        <s v="TID001558"/>
        <s v="TID001559"/>
        <s v="TID001560"/>
        <s v="TID001561"/>
        <s v="TID001562"/>
        <s v="TID001563"/>
        <s v="TID001564"/>
        <s v="TID001565"/>
        <s v="TID001566"/>
        <s v="TID001567"/>
        <s v="TID001568"/>
        <s v="TID001569"/>
        <s v="TID001570"/>
        <s v="TID001571"/>
        <s v="TID001572"/>
        <s v="TID001573"/>
        <s v="TID001574"/>
        <s v="TID001575"/>
        <s v="TID001576"/>
        <s v="TID001577"/>
        <s v="TID001578"/>
        <s v="TID001579"/>
        <s v="TID001580"/>
        <s v="TID001581"/>
        <s v="TID001582"/>
        <s v="TID001583"/>
        <s v="TID001584"/>
        <s v="TID001585"/>
        <s v="TID001586"/>
        <s v="TID001587"/>
        <s v="TID001588"/>
        <s v="TID001589"/>
        <s v="TID001590"/>
        <s v="TID001591"/>
        <s v="TID001592"/>
        <s v="TID001593"/>
        <s v="TID001594"/>
        <s v="TID001595"/>
        <s v="TID001596"/>
        <s v="TID001597"/>
        <s v="TID001598"/>
        <s v="TID001599"/>
        <s v="TID001600"/>
        <s v="TID001601"/>
        <s v="TID001602"/>
        <s v="TID001603"/>
        <s v="TID001604"/>
        <s v="TID001605"/>
        <s v="TID001606"/>
        <s v="TID001607"/>
        <s v="TID001608"/>
        <s v="TID001609"/>
        <s v="TID001610"/>
        <s v="TID001611"/>
        <s v="TID001612"/>
        <s v="TID001613"/>
        <s v="TID001614"/>
        <s v="TID001615"/>
        <s v="TID001616"/>
        <s v="TID001617"/>
        <s v="TID001618"/>
        <s v="TID001619"/>
        <s v="TID001620"/>
        <s v="TID001621"/>
        <s v="TID001622"/>
        <s v="TID001623"/>
        <s v="TID001624"/>
        <s v="TID001625"/>
        <s v="TID001626"/>
        <s v="TID001627"/>
        <s v="TID001628"/>
        <s v="TID001629"/>
        <s v="TID001630"/>
        <s v="TID001631"/>
        <s v="TID001632"/>
        <s v="TID001633"/>
        <s v="TID001634"/>
        <s v="TID001635"/>
        <s v="TID001636"/>
        <s v="TID001637"/>
        <s v="TID001638"/>
        <s v="TID001639"/>
        <s v="TID001640"/>
        <s v="TID001641"/>
        <s v="TID001642"/>
        <s v="TID001643"/>
        <s v="TID001644"/>
        <s v="TID001645"/>
        <s v="TID001646"/>
        <s v="TID001647"/>
        <s v="TID001648"/>
        <s v="TID001649"/>
        <s v="TID001650"/>
        <s v="TID001651"/>
        <s v="TID001652"/>
        <s v="TID001653"/>
        <s v="TID001654"/>
        <s v="TID001655"/>
        <s v="TID001656"/>
        <s v="TID001657"/>
        <s v="TID001658"/>
        <s v="TID001659"/>
        <s v="TID001660"/>
        <s v="TID001661"/>
        <s v="TID001662"/>
        <s v="TID001663"/>
        <s v="TID001664"/>
        <s v="TID001665"/>
        <s v="TID001666"/>
        <s v="TID001667"/>
        <s v="TID001668"/>
        <s v="TID001669"/>
        <s v="TID001670"/>
        <s v="TID001671"/>
        <s v="TID001672"/>
        <s v="TID001673"/>
        <s v="TID001674"/>
        <s v="TID001675"/>
        <s v="TID001676"/>
        <s v="TID001677"/>
        <s v="TID001678"/>
        <s v="TID001679"/>
        <s v="TID001680"/>
        <s v="TID001681"/>
        <s v="TID001682"/>
        <s v="TID001683"/>
        <s v="TID001684"/>
        <s v="TID001685"/>
        <s v="TID001686"/>
        <s v="TID001687"/>
        <s v="TID001688"/>
        <s v="TID001689"/>
        <s v="TID001690"/>
        <s v="TID001691"/>
        <s v="TID001692"/>
        <s v="TID001693"/>
        <s v="TID001694"/>
        <s v="TID001695"/>
        <s v="TID001696"/>
        <s v="TID001697"/>
        <s v="TID001698"/>
        <s v="TID001699"/>
        <s v="TID001700"/>
        <s v="TID001701"/>
        <s v="TID001702"/>
        <s v="TID001703"/>
        <s v="TID001704"/>
        <s v="TID001705"/>
        <s v="TID001706"/>
        <s v="TID001707"/>
        <s v="TID001708"/>
        <s v="TID001709"/>
        <s v="TID001710"/>
        <s v="TID001711"/>
        <s v="TID001712"/>
        <s v="TID001713"/>
        <s v="TID001714"/>
        <s v="TID001715"/>
        <s v="TID001716"/>
        <s v="TID001717"/>
        <s v="TID001718"/>
        <s v="TID001719"/>
        <s v="TID001720"/>
        <s v="TID001721"/>
        <s v="TID001722"/>
        <s v="TID001723"/>
        <s v="TID001724"/>
        <s v="TID001725"/>
        <s v="TID001726"/>
        <s v="TID001727"/>
        <s v="TID001728"/>
        <s v="TID001729"/>
        <s v="TID001730"/>
        <s v="TID001731"/>
        <s v="TID001732"/>
        <s v="TID001733"/>
        <s v="TID001734"/>
        <s v="TID001735"/>
        <s v="TID001736"/>
        <s v="TID001737"/>
        <s v="TID001738"/>
        <s v="TID001739"/>
        <s v="TID001740"/>
        <s v="TID001741"/>
        <s v="TID001742"/>
        <s v="TID001743"/>
        <s v="TID001744"/>
        <s v="TID001745"/>
        <s v="TID001746"/>
        <s v="TID001747"/>
        <s v="TID001748"/>
        <s v="TID001749"/>
        <s v="TID001750"/>
        <s v="TID001751"/>
        <s v="TID001752"/>
        <s v="TID001753"/>
        <s v="TID001754"/>
        <s v="TID001755"/>
        <s v="TID001756"/>
        <s v="TID001757"/>
        <s v="TID001758"/>
        <s v="TID001759"/>
        <s v="TID001760"/>
        <s v="TID001761"/>
        <s v="TID001762"/>
        <s v="TID001763"/>
        <s v="TID001764"/>
        <s v="TID001765"/>
        <s v="TID001766"/>
        <s v="TID001767"/>
        <s v="TID001768"/>
        <s v="TID001769"/>
        <s v="TID001770"/>
        <s v="TID001771"/>
        <s v="TID001772"/>
        <s v="TID001773"/>
        <s v="TID001774"/>
        <s v="TID001775"/>
        <s v="TID001776"/>
        <s v="TID001777"/>
        <s v="TID001778"/>
        <s v="TID001779"/>
        <s v="TID001780"/>
        <s v="TID001781"/>
        <s v="TID001782"/>
        <s v="TID001783"/>
        <s v="TID001784"/>
        <s v="TID001785"/>
        <s v="TID001786"/>
        <s v="TID001787"/>
        <s v="TID001788"/>
        <s v="TID001789"/>
        <s v="TID001790"/>
        <s v="TID001791"/>
        <s v="TID001792"/>
        <s v="TID001793"/>
        <s v="TID001794"/>
        <s v="TID001795"/>
        <s v="TID001796"/>
        <s v="TID001797"/>
        <s v="TID001798"/>
        <s v="TID001799"/>
        <s v="TID001800"/>
        <s v="TID001801"/>
        <s v="TID001802"/>
        <s v="TID001803"/>
        <s v="TID001804"/>
        <s v="TID001805"/>
        <s v="TID001806"/>
        <s v="TID001807"/>
        <s v="TID001808"/>
        <s v="TID001809"/>
        <s v="TID001810"/>
        <s v="TID001811"/>
        <s v="TID001812"/>
        <s v="TID001813"/>
        <s v="TID001814"/>
        <s v="TID001815"/>
        <s v="TID001816"/>
        <s v="TID001817"/>
        <s v="TID001818"/>
        <s v="TID001819"/>
        <s v="TID001820"/>
        <s v="TID001821"/>
        <s v="TID001822"/>
        <s v="TID001823"/>
        <s v="TID001824"/>
        <s v="TID001825"/>
        <s v="TID001826"/>
        <s v="TID001827"/>
        <s v="TID001828"/>
        <s v="TID001829"/>
        <s v="TID001830"/>
        <s v="TID001831"/>
        <s v="TID001832"/>
        <s v="TID001833"/>
        <s v="TID001834"/>
        <s v="TID001835"/>
        <s v="TID001836"/>
        <s v="TID001837"/>
        <s v="TID001838"/>
        <s v="TID001839"/>
        <s v="TID001840"/>
        <s v="TID001841"/>
        <s v="TID001842"/>
        <s v="TID001843"/>
        <s v="TID001844"/>
        <s v="TID001845"/>
        <s v="TID001846"/>
        <s v="TID001847"/>
        <s v="TID001848"/>
        <s v="TID001849"/>
        <s v="TID001850"/>
        <s v="TID001851"/>
        <s v="TID001852"/>
        <s v="TID001853"/>
        <s v="TID001854"/>
        <s v="TID001855"/>
        <s v="TID001856"/>
        <s v="TID001857"/>
        <s v="TID001858"/>
        <s v="TID001859"/>
        <s v="TID001860"/>
        <s v="TID001861"/>
        <s v="TID001862"/>
        <s v="TID001863"/>
        <s v="TID001864"/>
        <s v="TID001865"/>
        <s v="TID001866"/>
        <s v="TID001867"/>
        <s v="TID001868"/>
        <s v="TID001869"/>
        <s v="TID001870"/>
        <s v="TID001871"/>
        <s v="TID001872"/>
        <s v="TID001873"/>
        <s v="TID001874"/>
        <s v="TID001875"/>
        <s v="TID001876"/>
        <s v="TID001877"/>
        <s v="TID001878"/>
        <s v="TID001879"/>
        <s v="TID001880"/>
        <s v="TID001881"/>
        <s v="TID001882"/>
        <s v="TID001883"/>
        <s v="TID001884"/>
        <s v="TID001885"/>
        <s v="TID001886"/>
        <s v="TID001887"/>
        <s v="TID001888"/>
        <s v="TID001889"/>
        <s v="TID001890"/>
        <s v="TID001891"/>
        <s v="TID001892"/>
        <s v="TID001893"/>
        <s v="TID001894"/>
        <s v="TID001895"/>
        <s v="TID001896"/>
        <s v="TID001897"/>
        <s v="TID001898"/>
        <s v="TID001899"/>
        <s v="TID001900"/>
        <s v="TID001901"/>
        <s v="TID001902"/>
        <s v="TID001903"/>
        <s v="TID001904"/>
        <s v="TID001905"/>
        <s v="TID001906"/>
        <s v="TID001907"/>
        <s v="TID001908"/>
        <s v="TID001909"/>
        <s v="TID001910"/>
        <s v="TID001911"/>
        <s v="TID001912"/>
        <s v="TID001913"/>
        <s v="TID001914"/>
        <s v="TID001915"/>
        <s v="TID001916"/>
        <s v="TID001917"/>
        <s v="TID001918"/>
        <s v="TID001919"/>
        <s v="TID001920"/>
        <s v="TID001921"/>
        <s v="TID001922"/>
        <s v="TID001923"/>
        <s v="TID001924"/>
        <s v="TID001925"/>
        <s v="TID001926"/>
        <s v="TID001927"/>
        <s v="TID001928"/>
        <s v="TID001929"/>
        <s v="TID001930"/>
        <s v="TID001931"/>
        <s v="TID001932"/>
        <s v="TID001933"/>
        <s v="TID001934"/>
        <s v="TID001935"/>
        <s v="TID001936"/>
        <s v="TID001937"/>
        <s v="TID001938"/>
        <s v="TID001939"/>
        <s v="TID001940"/>
        <s v="TID001941"/>
        <s v="TID001942"/>
        <s v="TID001943"/>
        <s v="TID001944"/>
        <s v="TID001945"/>
        <s v="TID001946"/>
        <s v="TID001947"/>
        <s v="TID001948"/>
        <s v="TID001949"/>
        <s v="TID001950"/>
        <s v="TID001951"/>
        <s v="TID001952"/>
        <s v="TID001953"/>
        <s v="TID001954"/>
        <s v="TID001955"/>
        <s v="TID001956"/>
        <s v="TID001957"/>
        <s v="TID001958"/>
        <s v="TID001959"/>
        <s v="TID001960"/>
        <s v="TID001961"/>
        <s v="TID001962"/>
        <s v="TID001963"/>
        <s v="TID001964"/>
        <s v="TID001965"/>
        <s v="TID001966"/>
        <s v="TID001967"/>
        <s v="TID001968"/>
        <s v="TID001969"/>
        <s v="TID001970"/>
        <s v="TID001971"/>
        <s v="TID001972"/>
        <s v="TID001973"/>
        <s v="TID001974"/>
        <s v="TID001975"/>
        <s v="TID001976"/>
        <s v="TID001977"/>
        <s v="TID001978"/>
        <s v="TID001979"/>
        <s v="TID001980"/>
        <s v="TID001981"/>
        <s v="TID001982"/>
        <s v="TID001983"/>
        <s v="TID001984"/>
        <s v="TID001985"/>
        <s v="TID001986"/>
        <s v="TID001987"/>
        <s v="TID001988"/>
        <s v="TID001989"/>
        <s v="TID001990"/>
        <s v="TID001991"/>
        <s v="TID001992"/>
        <s v="TID001993"/>
        <s v="TID001994"/>
        <s v="TID001995"/>
        <s v="TID001996"/>
        <s v="TID001997"/>
        <s v="TID001998"/>
        <s v="TID001999"/>
        <s v="TID002000"/>
        <s v="TID002001"/>
        <s v="TID002002"/>
        <s v="TID002003"/>
        <s v="TID002004"/>
        <s v="TID002005"/>
        <s v="TID002006"/>
        <s v="TID002007"/>
        <s v="TID002008"/>
        <s v="TID002009"/>
        <s v="TID002010"/>
        <s v="TID002011"/>
        <s v="TID002012"/>
        <s v="TID002013"/>
        <s v="TID002014"/>
        <s v="TID002015"/>
        <s v="TID002016"/>
        <s v="TID002017"/>
        <s v="TID002018"/>
        <s v="TID002019"/>
        <s v="TID002020"/>
        <s v="TID002021"/>
        <s v="TID002022"/>
        <s v="TID002023"/>
        <s v="TID002024"/>
        <s v="TID002025"/>
        <s v="TID002026"/>
        <s v="TID002027"/>
        <s v="TID002028"/>
        <s v="TID002029"/>
        <s v="TID002030"/>
        <s v="TID002031"/>
        <s v="TID002032"/>
        <s v="TID002033"/>
        <s v="TID002034"/>
        <s v="TID002035"/>
        <s v="TID002036"/>
        <s v="TID002037"/>
        <s v="TID002038"/>
        <s v="TID002039"/>
        <s v="TID002040"/>
        <s v="TID002041"/>
        <s v="TID002042"/>
        <s v="TID002043"/>
        <s v="TID002044"/>
        <s v="TID002045"/>
        <s v="TID002046"/>
        <s v="TID002047"/>
        <s v="TID002048"/>
        <s v="TID002049"/>
        <s v="TID002050"/>
        <s v="TID002051"/>
        <s v="TID002052"/>
        <s v="TID002053"/>
        <s v="TID002054"/>
        <s v="TID002055"/>
        <s v="TID002056"/>
        <s v="TID002057"/>
        <s v="TID002058"/>
        <s v="TID002059"/>
        <s v="TID002060"/>
        <s v="TID002061"/>
        <s v="TID002062"/>
        <s v="TID002063"/>
        <s v="TID002064"/>
        <s v="TID002065"/>
        <s v="TID002066"/>
        <s v="TID002067"/>
        <s v="TID002068"/>
        <s v="TID002069"/>
        <s v="TID002070"/>
        <s v="TID002071"/>
        <s v="TID002072"/>
        <s v="TID002073"/>
        <s v="TID002074"/>
        <s v="TID002075"/>
        <s v="TID002076"/>
        <s v="TID002077"/>
        <s v="TID002078"/>
        <s v="TID002079"/>
        <s v="TID002080"/>
        <s v="TID002081"/>
        <s v="TID002082"/>
        <s v="TID002083"/>
        <s v="TID002084"/>
        <s v="TID002085"/>
        <s v="TID002086"/>
        <s v="TID002087"/>
        <s v="TID002088"/>
        <s v="TID002089"/>
        <s v="TID002090"/>
        <s v="TID002091"/>
        <s v="TID002092"/>
        <s v="TID002093"/>
        <s v="TID002094"/>
        <s v="TID002095"/>
        <s v="TID002096"/>
        <s v="TID002097"/>
        <s v="TID002098"/>
        <s v="TID002099"/>
        <s v="TID002100"/>
        <s v="TID002101"/>
        <s v="TID002102"/>
        <s v="TID002103"/>
        <s v="TID002104"/>
        <s v="TID002105"/>
        <s v="TID002106"/>
        <s v="TID002107"/>
        <s v="TID002108"/>
        <s v="TID002109"/>
        <s v="TID002110"/>
        <s v="TID002111"/>
        <s v="TID002112"/>
        <s v="TID002113"/>
        <s v="TID002114"/>
        <s v="TID002115"/>
        <s v="TID002116"/>
        <s v="TID002117"/>
        <s v="TID002118"/>
        <s v="TID002119"/>
        <s v="TID002120"/>
        <s v="TID002121"/>
        <s v="TID002122"/>
        <s v="TID002123"/>
        <s v="TID002124"/>
        <s v="TID002125"/>
        <s v="TID002126"/>
        <s v="TID002127"/>
        <s v="TID002128"/>
        <s v="TID002129"/>
        <s v="TID002130"/>
        <s v="TID002131"/>
        <s v="TID002132"/>
        <s v="TID002133"/>
        <s v="TID002134"/>
        <s v="TID002135"/>
        <s v="TID002136"/>
        <s v="TID002137"/>
        <s v="TID002138"/>
        <s v="TID002139"/>
        <s v="TID002140"/>
        <s v="TID002141"/>
        <s v="TID002142"/>
        <s v="TID002143"/>
        <s v="TID002144"/>
        <s v="TID002145"/>
        <s v="TID002146"/>
        <s v="TID002147"/>
        <s v="TID002148"/>
        <s v="TID002149"/>
        <s v="TID002150"/>
        <s v="TID002151"/>
        <s v="TID002152"/>
        <s v="TID002153"/>
        <s v="TID002154"/>
        <s v="TID002155"/>
        <s v="TID002156"/>
        <s v="TID002157"/>
        <s v="TID002158"/>
        <s v="TID002159"/>
        <s v="TID002160"/>
        <s v="TID002161"/>
        <s v="TID002162"/>
        <s v="TID002163"/>
        <s v="TID002164"/>
        <s v="TID002165"/>
        <s v="TID002166"/>
        <s v="TID002167"/>
        <s v="TID002168"/>
        <s v="TID002169"/>
        <s v="TID002170"/>
        <s v="TID002171"/>
        <s v="TID002172"/>
        <s v="TID002173"/>
        <s v="TID002174"/>
        <s v="TID002175"/>
        <s v="TID002176"/>
        <s v="TID002177"/>
        <s v="TID002178"/>
        <s v="TID002179"/>
        <s v="TID002180"/>
        <s v="TID002181"/>
        <s v="TID002182"/>
        <s v="TID002183"/>
        <s v="TID002184"/>
        <s v="TID002185"/>
        <s v="TID002186"/>
        <s v="TID002187"/>
        <s v="TID002188"/>
        <s v="TID002189"/>
        <s v="TID002190"/>
        <s v="TID002191"/>
        <s v="TID002192"/>
        <s v="TID002193"/>
        <s v="TID002194"/>
        <s v="TID002195"/>
        <s v="TID002196"/>
        <s v="TID002197"/>
        <s v="TID002198"/>
        <s v="TID002199"/>
        <s v="TID002200"/>
        <s v="TID002201"/>
        <s v="TID002202"/>
        <s v="TID002203"/>
        <s v="TID002204"/>
        <s v="TID002205"/>
        <s v="TID002206"/>
        <s v="TID002207"/>
        <s v="TID002208"/>
        <s v="TID002209"/>
        <s v="TID002210"/>
        <s v="TID002211"/>
        <s v="TID002212"/>
        <s v="TID002213"/>
        <s v="TID002214"/>
        <s v="TID002215"/>
        <s v="TID002216"/>
        <s v="TID002217"/>
        <s v="TID002218"/>
        <s v="TID002219"/>
        <s v="TID002220"/>
        <s v="TID002221"/>
        <s v="TID002222"/>
        <s v="TID002223"/>
        <s v="TID002224"/>
        <s v="TID002225"/>
        <s v="TID002226"/>
        <s v="TID002227"/>
        <s v="TID002228"/>
        <s v="TID002229"/>
        <s v="TID002230"/>
        <s v="TID002231"/>
        <s v="TID002232"/>
        <s v="TID002233"/>
        <s v="TID002234"/>
        <s v="TID002235"/>
        <s v="TID002236"/>
        <s v="TID002237"/>
        <s v="TID002238"/>
        <s v="TID002239"/>
        <s v="TID002240"/>
        <s v="TID002241"/>
        <s v="TID002242"/>
        <s v="TID002243"/>
        <s v="TID002244"/>
        <s v="TID002245"/>
        <s v="TID002246"/>
        <s v="TID002247"/>
        <s v="TID002248"/>
        <s v="TID002249"/>
        <s v="TID002250"/>
        <s v="TID002251"/>
        <s v="TID002252"/>
        <s v="TID002253"/>
        <s v="TID002254"/>
        <s v="TID002255"/>
        <s v="TID002256"/>
        <s v="TID002257"/>
        <s v="TID002258"/>
        <s v="TID002259"/>
        <s v="TID002260"/>
        <s v="TID002261"/>
        <s v="TID002262"/>
        <s v="TID002263"/>
        <s v="TID002264"/>
        <s v="TID002265"/>
        <s v="TID002266"/>
        <s v="TID002267"/>
        <s v="TID002268"/>
        <s v="TID002269"/>
        <s v="TID002270"/>
        <s v="TID002271"/>
        <s v="TID002272"/>
        <s v="TID002273"/>
        <s v="TID002274"/>
        <s v="TID002275"/>
        <s v="TID002276"/>
        <s v="TID002277"/>
        <s v="TID002278"/>
        <s v="TID002279"/>
        <s v="TID002280"/>
        <s v="TID002281"/>
        <s v="TID002282"/>
        <s v="TID002283"/>
        <s v="TID002284"/>
        <s v="TID002285"/>
        <s v="TID002286"/>
        <s v="TID002287"/>
        <s v="TID002288"/>
        <s v="TID002289"/>
        <s v="TID002290"/>
        <s v="TID002291"/>
        <s v="TID002292"/>
        <s v="TID002293"/>
        <s v="TID002294"/>
        <s v="TID002295"/>
        <s v="TID002296"/>
        <s v="TID002297"/>
        <s v="TID002298"/>
        <s v="TID002299"/>
        <s v="TID002300"/>
        <s v="TID002301"/>
        <s v="TID002302"/>
        <s v="TID002303"/>
        <s v="TID002304"/>
        <s v="TID002305"/>
        <s v="TID002306"/>
        <s v="TID002307"/>
        <s v="TID002308"/>
        <s v="TID002309"/>
        <s v="TID002310"/>
        <s v="TID002311"/>
        <s v="TID002312"/>
        <s v="TID002313"/>
        <s v="TID002314"/>
        <s v="TID002315"/>
        <s v="TID002316"/>
        <s v="TID002317"/>
        <s v="TID002318"/>
        <s v="TID002319"/>
        <s v="TID002320"/>
        <s v="TID002321"/>
        <s v="TID002322"/>
        <s v="TID002323"/>
        <s v="TID002324"/>
        <s v="TID002325"/>
        <s v="TID002326"/>
        <s v="TID002327"/>
        <s v="TID002328"/>
        <s v="TID002329"/>
        <s v="TID002330"/>
        <s v="TID002331"/>
        <s v="TID002332"/>
        <s v="TID002333"/>
        <s v="TID002334"/>
        <s v="TID002335"/>
        <s v="TID002336"/>
        <s v="TID002337"/>
        <s v="TID002338"/>
        <s v="TID002339"/>
        <s v="TID002340"/>
        <s v="TID002341"/>
        <s v="TID002342"/>
        <s v="TID002343"/>
        <s v="TID002344"/>
        <s v="TID002345"/>
        <s v="TID002346"/>
        <s v="TID002347"/>
        <s v="TID002348"/>
        <s v="TID002349"/>
        <s v="TID002350"/>
        <s v="TID002351"/>
        <s v="TID002352"/>
        <s v="TID002353"/>
        <s v="TID002354"/>
        <s v="TID002355"/>
        <s v="TID002356"/>
        <s v="TID002357"/>
        <s v="TID002358"/>
        <s v="TID002359"/>
        <s v="TID002360"/>
        <s v="TID002361"/>
        <s v="TID002362"/>
        <s v="TID002363"/>
        <s v="TID002364"/>
        <s v="TID002365"/>
        <s v="TID002366"/>
        <s v="TID002367"/>
        <s v="TID002368"/>
        <s v="TID002369"/>
        <s v="TID002370"/>
        <s v="TID002371"/>
        <s v="TID002372"/>
        <s v="TID002373"/>
        <s v="TID002374"/>
        <s v="TID002375"/>
        <s v="TID002376"/>
        <s v="TID002377"/>
        <s v="TID002378"/>
        <s v="TID002379"/>
        <s v="TID002380"/>
        <s v="TID002381"/>
        <s v="TID002382"/>
        <s v="TID002383"/>
        <s v="TID002384"/>
        <s v="TID002385"/>
        <s v="TID002386"/>
        <s v="TID002387"/>
        <s v="TID002388"/>
        <s v="TID002389"/>
        <s v="TID002390"/>
        <s v="TID002391"/>
        <s v="TID002392"/>
        <s v="TID002393"/>
        <s v="TID002394"/>
        <s v="TID002395"/>
        <s v="TID002396"/>
        <s v="TID002397"/>
        <s v="TID002398"/>
        <s v="TID002399"/>
        <s v="TID002400"/>
        <s v="TID002401"/>
        <s v="TID002402"/>
        <s v="TID002403"/>
        <s v="TID002404"/>
        <s v="TID002405"/>
        <s v="TID002406"/>
        <s v="TID002407"/>
        <s v="TID002408"/>
        <s v="TID002409"/>
        <s v="TID002410"/>
        <s v="TID002411"/>
        <s v="TID002412"/>
        <s v="TID002413"/>
        <s v="TID002414"/>
        <s v="TID002415"/>
        <s v="TID002416"/>
        <s v="TID002417"/>
        <s v="TID002418"/>
        <s v="TID002419"/>
        <s v="TID002420"/>
        <s v="TID002421"/>
        <s v="TID002422"/>
        <s v="TID002423"/>
        <s v="TID002424"/>
        <s v="TID002425"/>
        <s v="TID002426"/>
        <s v="TID002427"/>
        <s v="TID002428"/>
        <s v="TID002429"/>
        <s v="TID002430"/>
        <s v="TID002431"/>
        <s v="TID002432"/>
        <s v="TID002433"/>
        <s v="TID002434"/>
        <s v="TID002435"/>
        <s v="TID002436"/>
        <s v="TID002437"/>
        <s v="TID002438"/>
        <s v="TID002439"/>
        <s v="TID002440"/>
        <s v="TID002441"/>
        <s v="TID002442"/>
        <s v="TID002443"/>
        <s v="TID002444"/>
        <s v="TID002445"/>
        <s v="TID002446"/>
        <s v="TID002447"/>
        <s v="TID002448"/>
        <s v="TID002449"/>
        <s v="TID002450"/>
        <s v="TID002451"/>
        <s v="TID002452"/>
        <s v="TID002453"/>
        <s v="TID002454"/>
        <s v="TID002455"/>
        <s v="TID002456"/>
        <s v="TID002457"/>
        <s v="TID002458"/>
        <s v="TID002459"/>
        <s v="TID002460"/>
        <s v="TID002461"/>
        <s v="TID002462"/>
        <s v="TID002463"/>
        <s v="TID002464"/>
        <s v="TID002465"/>
        <s v="TID002466"/>
        <s v="TID002467"/>
        <s v="TID002468"/>
        <s v="TID002469"/>
        <s v="TID002470"/>
        <s v="TID002471"/>
        <s v="TID002472"/>
        <s v="TID002473"/>
        <s v="TID002474"/>
        <s v="TID002475"/>
        <s v="TID002476"/>
        <s v="TID002477"/>
        <s v="TID002478"/>
        <s v="TID002479"/>
        <s v="TID002480"/>
        <s v="TID002481"/>
        <s v="TID002482"/>
        <s v="TID002483"/>
        <s v="TID002484"/>
        <s v="TID002485"/>
        <s v="TID002486"/>
        <s v="TID002487"/>
        <s v="TID002488"/>
        <s v="TID002489"/>
        <s v="TID002490"/>
        <s v="TID002491"/>
        <s v="TID002492"/>
        <s v="TID002493"/>
        <s v="TID002494"/>
        <s v="TID002495"/>
        <s v="TID002496"/>
        <s v="TID002497"/>
        <s v="TID002498"/>
        <s v="TID002499"/>
        <s v="TID002500"/>
        <s v="TID002501"/>
        <s v="TID002502"/>
        <s v="TID002503"/>
        <s v="TID002504"/>
        <s v="TID002505"/>
        <s v="TID002506"/>
        <s v="TID002507"/>
        <s v="TID002508"/>
        <s v="TID002509"/>
        <s v="TID002510"/>
        <s v="TID002511"/>
        <s v="TID002512"/>
        <s v="TID002513"/>
        <s v="TID002514"/>
        <s v="TID002515"/>
        <s v="TID002516"/>
        <s v="TID002517"/>
        <s v="TID002518"/>
        <s v="TID002519"/>
        <s v="TID002520"/>
        <s v="TID002521"/>
        <s v="TID002522"/>
        <s v="TID002523"/>
        <s v="TID002524"/>
        <s v="TID002525"/>
        <s v="TID002526"/>
        <s v="TID002527"/>
        <s v="TID002528"/>
        <s v="TID002529"/>
        <s v="TID002530"/>
        <s v="TID002531"/>
        <s v="TID002532"/>
        <s v="TID002533"/>
        <s v="TID002534"/>
        <s v="TID002535"/>
        <s v="TID002536"/>
        <s v="TID002537"/>
        <s v="TID002538"/>
        <s v="TID002539"/>
        <s v="TID002540"/>
        <s v="TID002541"/>
        <s v="TID002542"/>
        <s v="TID002543"/>
        <s v="TID002544"/>
        <s v="TID002545"/>
        <s v="TID002546"/>
        <s v="TID002547"/>
        <s v="TID002548"/>
        <s v="TID002549"/>
        <s v="TID002550"/>
        <s v="TID002551"/>
        <s v="TID002552"/>
        <s v="TID002553"/>
        <s v="TID002554"/>
        <s v="TID002555"/>
        <s v="TID002556"/>
        <s v="TID002557"/>
        <s v="TID002558"/>
        <s v="TID002559"/>
        <s v="TID002560"/>
        <s v="TID002561"/>
        <s v="TID002562"/>
        <s v="TID002563"/>
        <s v="TID002564"/>
        <s v="TID002565"/>
        <s v="TID002566"/>
        <s v="TID002567"/>
        <s v="TID002568"/>
        <s v="TID002569"/>
        <s v="TID002570"/>
        <s v="TID002571"/>
        <s v="TID002572"/>
        <s v="TID002573"/>
        <s v="TID002574"/>
        <s v="TID002575"/>
        <s v="TID002576"/>
        <s v="TID002577"/>
        <s v="TID002578"/>
        <s v="TID002579"/>
        <s v="TID002580"/>
        <s v="TID002581"/>
        <s v="TID002582"/>
        <s v="TID002583"/>
        <s v="TID002584"/>
        <s v="TID002585"/>
        <s v="TID002586"/>
        <s v="TID002587"/>
        <s v="TID002588"/>
        <s v="TID002589"/>
        <s v="TID002590"/>
        <s v="TID002591"/>
        <s v="TID002592"/>
        <s v="TID002593"/>
        <s v="TID002594"/>
        <s v="TID002595"/>
        <s v="TID002596"/>
        <s v="TID002597"/>
        <s v="TID002598"/>
        <s v="TID002599"/>
        <s v="TID002600"/>
        <s v="TID002601"/>
        <s v="TID002602"/>
        <s v="TID002603"/>
        <s v="TID002604"/>
        <s v="TID002605"/>
        <s v="TID002606"/>
        <s v="TID002607"/>
        <s v="TID002608"/>
        <s v="TID002609"/>
        <s v="TID002610"/>
        <s v="TID002611"/>
        <s v="TID002612"/>
        <s v="TID002613"/>
        <s v="TID002614"/>
        <s v="TID002615"/>
        <s v="TID002616"/>
        <s v="TID002617"/>
        <s v="TID002618"/>
        <s v="TID002619"/>
        <s v="TID002620"/>
        <s v="TID002621"/>
        <s v="TID002622"/>
        <s v="TID002623"/>
        <s v="TID002624"/>
        <s v="TID002625"/>
        <s v="TID002626"/>
        <s v="TID002627"/>
        <s v="TID002628"/>
        <s v="TID002629"/>
        <s v="TID002630"/>
        <s v="TID002631"/>
        <s v="TID002632"/>
        <s v="TID002633"/>
        <s v="TID002634"/>
        <s v="TID002635"/>
        <s v="TID002636"/>
        <s v="TID002637"/>
        <s v="TID002638"/>
        <s v="TID002639"/>
        <s v="TID002640"/>
        <s v="TID002641"/>
        <s v="TID002642"/>
        <s v="TID002643"/>
        <s v="TID002644"/>
        <s v="TID002645"/>
        <s v="TID002646"/>
        <s v="TID002647"/>
        <s v="TID002648"/>
        <s v="TID002649"/>
        <s v="TID002650"/>
        <s v="TID002651"/>
        <s v="TID002652"/>
        <s v="TID002653"/>
        <s v="TID002654"/>
        <s v="TID002655"/>
        <s v="TID002656"/>
        <s v="TID002657"/>
        <s v="TID002658"/>
        <s v="TID002659"/>
        <s v="TID002660"/>
        <s v="TID002661"/>
        <s v="TID002662"/>
        <s v="TID002663"/>
        <s v="TID002664"/>
        <s v="TID002665"/>
        <s v="TID002666"/>
        <s v="TID002667"/>
        <s v="TID002668"/>
        <s v="TID002669"/>
        <s v="TID002670"/>
        <s v="TID002671"/>
        <s v="TID002672"/>
        <s v="TID002673"/>
        <s v="TID002674"/>
        <s v="TID002675"/>
        <s v="TID002676"/>
        <s v="TID002677"/>
        <s v="TID002678"/>
        <s v="TID002679"/>
        <s v="TID002680"/>
        <s v="TID002681"/>
        <s v="TID002682"/>
        <s v="TID002683"/>
        <s v="TID002684"/>
        <s v="TID002685"/>
        <s v="TID002686"/>
        <s v="TID002687"/>
        <s v="TID002688"/>
        <s v="TID002689"/>
        <s v="TID002690"/>
        <s v="TID002691"/>
        <s v="TID002692"/>
        <s v="TID002693"/>
        <s v="TID002694"/>
        <s v="TID002695"/>
        <s v="TID002696"/>
        <s v="TID002697"/>
        <s v="TID002698"/>
        <s v="TID002699"/>
        <s v="TID002700"/>
        <s v="TID002701"/>
        <s v="TID002702"/>
        <s v="TID002703"/>
        <s v="TID002704"/>
        <s v="TID002705"/>
        <s v="TID002706"/>
        <s v="TID002707"/>
        <s v="TID002708"/>
        <s v="TID002709"/>
        <s v="TID002710"/>
        <s v="TID002711"/>
        <s v="TID002712"/>
        <s v="TID002713"/>
        <s v="TID002714"/>
        <s v="TID002715"/>
        <s v="TID002716"/>
        <s v="TID002717"/>
        <s v="TID002718"/>
        <s v="TID002719"/>
        <s v="TID002720"/>
        <s v="TID002721"/>
        <s v="TID002722"/>
        <s v="TID002723"/>
        <s v="TID002724"/>
        <s v="TID002725"/>
        <s v="TID002726"/>
        <s v="TID002727"/>
        <s v="TID002728"/>
        <s v="TID002729"/>
        <s v="TID002730"/>
        <s v="TID002731"/>
        <s v="TID002732"/>
        <s v="TID002733"/>
        <s v="TID002734"/>
        <s v="TID002735"/>
        <s v="TID002736"/>
        <s v="TID002737"/>
        <s v="TID002738"/>
        <s v="TID002739"/>
        <s v="TID002740"/>
        <s v="TID002741"/>
        <s v="TID002742"/>
        <s v="TID002743"/>
        <s v="TID002744"/>
        <s v="TID002745"/>
        <s v="TID002746"/>
        <s v="TID002747"/>
        <s v="TID002748"/>
        <s v="TID002749"/>
        <s v="TID002750"/>
        <s v="TID002751"/>
        <s v="TID002752"/>
        <s v="TID002753"/>
        <s v="TID002754"/>
        <s v="TID002755"/>
        <s v="TID002756"/>
        <s v="TID002757"/>
        <s v="TID002758"/>
        <s v="TID002759"/>
        <s v="TID002760"/>
        <s v="TID002761"/>
        <s v="TID002762"/>
        <s v="TID002763"/>
        <s v="TID002764"/>
        <s v="TID002765"/>
        <s v="TID002766"/>
        <s v="TID002767"/>
        <s v="TID002768"/>
        <s v="TID002769"/>
        <s v="TID002770"/>
        <s v="TID002771"/>
        <s v="TID002772"/>
        <s v="TID002773"/>
        <s v="TID002774"/>
        <s v="TID002775"/>
        <s v="TID002776"/>
        <s v="TID002777"/>
        <s v="TID002778"/>
        <s v="TID002779"/>
        <s v="TID002780"/>
        <s v="TID002781"/>
        <s v="TID002782"/>
        <s v="TID002783"/>
        <s v="TID002784"/>
        <s v="TID002785"/>
        <s v="TID002786"/>
        <s v="TID002787"/>
        <s v="TID002788"/>
        <s v="TID002789"/>
        <s v="TID002790"/>
        <s v="TID002791"/>
        <s v="TID002792"/>
        <s v="TID002793"/>
        <s v="TID002794"/>
        <s v="TID002795"/>
        <s v="TID002796"/>
        <s v="TID002797"/>
        <s v="TID002798"/>
        <s v="TID002799"/>
        <s v="TID002800"/>
        <s v="TID002801"/>
        <s v="TID002802"/>
        <s v="TID002803"/>
        <s v="TID002804"/>
        <s v="TID002805"/>
        <s v="TID002806"/>
        <s v="TID002807"/>
        <s v="TID002808"/>
        <s v="TID002809"/>
        <s v="TID002810"/>
        <s v="TID002811"/>
        <s v="TID002812"/>
        <s v="TID002813"/>
        <s v="TID002814"/>
        <s v="TID002815"/>
        <s v="TID002816"/>
        <s v="TID002817"/>
        <s v="TID002818"/>
        <s v="TID002819"/>
        <s v="TID002820"/>
        <s v="TID002821"/>
        <s v="TID002822"/>
        <s v="TID002823"/>
        <s v="TID002824"/>
        <s v="TID002825"/>
        <s v="TID002826"/>
        <s v="TID002827"/>
        <s v="TID002828"/>
        <s v="TID002829"/>
        <s v="TID002830"/>
        <s v="TID002831"/>
        <s v="TID002832"/>
        <s v="TID002833"/>
        <s v="TID002834"/>
        <s v="TID002835"/>
        <s v="TID002836"/>
        <s v="TID002837"/>
        <s v="TID002838"/>
        <s v="TID002839"/>
        <s v="TID002840"/>
        <s v="TID002841"/>
        <s v="TID002842"/>
        <s v="TID002843"/>
        <s v="TID002844"/>
        <s v="TID002845"/>
        <s v="TID002846"/>
        <s v="TID002847"/>
        <s v="TID002848"/>
        <s v="TID002849"/>
        <s v="TID002850"/>
        <s v="TID002851"/>
        <s v="TID002852"/>
        <s v="TID002853"/>
        <s v="TID002854"/>
        <s v="TID002855"/>
        <s v="TID002856"/>
        <s v="TID002857"/>
        <s v="TID002858"/>
        <s v="TID002859"/>
        <s v="TID002860"/>
        <s v="TID002861"/>
        <s v="TID002862"/>
        <s v="TID002863"/>
        <s v="TID002864"/>
        <s v="TID002865"/>
        <s v="TID002866"/>
        <s v="TID002867"/>
        <s v="TID002868"/>
        <s v="TID002869"/>
        <s v="TID002870"/>
        <s v="TID002871"/>
        <s v="TID002872"/>
        <s v="TID002873"/>
        <s v="TID002874"/>
        <s v="TID002875"/>
        <s v="TID002876"/>
        <s v="TID002877"/>
        <s v="TID002878"/>
        <s v="TID002879"/>
        <s v="TID002880"/>
        <s v="TID002881"/>
        <s v="TID002882"/>
        <s v="TID002883"/>
        <s v="TID002884"/>
        <s v="TID002885"/>
        <s v="TID002886"/>
        <s v="TID002887"/>
        <s v="TID002888"/>
        <s v="TID002889"/>
        <s v="TID002890"/>
        <s v="TID002891"/>
        <s v="TID002892"/>
        <s v="TID002893"/>
        <s v="TID002894"/>
        <s v="TID002895"/>
        <s v="TID002896"/>
        <s v="TID002897"/>
        <s v="TID002898"/>
        <s v="TID002899"/>
        <s v="TID002900"/>
        <s v="TID002901"/>
        <s v="TID002902"/>
        <s v="TID002903"/>
        <s v="TID002904"/>
        <s v="TID002905"/>
        <s v="TID002906"/>
        <s v="TID002907"/>
        <s v="TID002908"/>
        <s v="TID002909"/>
        <s v="TID002910"/>
        <s v="TID002911"/>
        <s v="TID002912"/>
        <s v="TID002913"/>
        <s v="TID002914"/>
        <s v="TID002915"/>
        <s v="TID002916"/>
        <s v="TID002917"/>
        <s v="TID002918"/>
        <s v="TID002919"/>
        <s v="TID002920"/>
        <s v="TID002921"/>
        <s v="TID002922"/>
        <s v="TID002923"/>
        <s v="TID002924"/>
        <s v="TID002925"/>
        <s v="TID002926"/>
        <s v="TID002927"/>
        <s v="TID002928"/>
        <s v="TID002929"/>
        <s v="TID002930"/>
        <s v="TID002931"/>
        <s v="TID002932"/>
        <s v="TID002933"/>
        <s v="TID002934"/>
        <s v="TID002935"/>
        <s v="TID002936"/>
        <s v="TID002937"/>
        <s v="TID002938"/>
        <s v="TID002939"/>
        <s v="TID002940"/>
        <s v="TID002941"/>
        <s v="TID002942"/>
        <s v="TID002943"/>
        <s v="TID002944"/>
        <s v="TID002945"/>
        <s v="TID002946"/>
        <s v="TID002947"/>
        <s v="TID002948"/>
        <s v="TID002949"/>
        <s v="TID002950"/>
        <s v="TID002951"/>
        <s v="TID002952"/>
        <s v="TID002953"/>
        <s v="TID002954"/>
        <s v="TID002955"/>
        <s v="TID002956"/>
        <s v="TID002957"/>
        <s v="TID002958"/>
        <s v="TID002959"/>
        <s v="TID002960"/>
        <s v="TID002961"/>
        <s v="TID002962"/>
        <s v="TID002963"/>
        <s v="TID002964"/>
        <s v="TID002965"/>
        <s v="TID002966"/>
        <s v="TID002967"/>
        <s v="TID002968"/>
        <s v="TID002969"/>
        <s v="TID002970"/>
        <s v="TID002971"/>
        <s v="TID002972"/>
        <s v="TID002973"/>
        <s v="TID002974"/>
        <s v="TID002975"/>
        <s v="TID002976"/>
        <s v="TID002977"/>
        <s v="TID002978"/>
        <s v="TID002979"/>
        <s v="TID002980"/>
        <s v="TID002981"/>
        <s v="TID002982"/>
        <s v="TID002983"/>
        <s v="TID002984"/>
        <s v="TID002985"/>
        <s v="TID002986"/>
        <s v="TID002987"/>
        <s v="TID002988"/>
        <s v="TID002989"/>
        <s v="TID002990"/>
        <s v="TID002991"/>
        <s v="TID002992"/>
        <s v="TID002993"/>
        <s v="TID002994"/>
        <s v="TID002995"/>
        <s v="TID002996"/>
        <s v="TID002997"/>
        <s v="TID002998"/>
        <s v="TID002999"/>
      </sharedItems>
    </cacheField>
    <cacheField name="DateTime" numFmtId="22">
      <sharedItems containsSemiMixedTypes="0" containsNonDate="0" containsDate="1" containsString="0" minDate="2021-05-09T15:30:04" maxDate="2025-05-09T08:21:03"/>
    </cacheField>
    <cacheField name="Customer_Name" numFmtId="0">
      <sharedItems count="2939">
        <s v="Allison Hill"/>
        <s v="Noah Rhodes"/>
        <s v="Angie Henderson"/>
        <s v="Daniel Wagner"/>
        <s v="Cristian Santos"/>
        <s v="Connie Lawrence"/>
        <s v="Abigail Shaffer"/>
        <s v="Gina Moore"/>
        <s v="Gabrielle Davis"/>
        <s v="Ryan Munoz"/>
        <s v="Monica Herrera"/>
        <s v="Jamie Arnold"/>
        <s v="Lisa Hensley"/>
        <s v="Michele Williams"/>
        <s v="Dylan Miller"/>
        <s v="Brian Ramirez"/>
        <s v="Holly Wood"/>
        <s v="Derek Zuniga"/>
        <s v="Lisa Jackson"/>
        <s v="Carla Gray"/>
        <s v="Margaret Hawkins DDS"/>
        <s v="Patty Perez"/>
        <s v="Ethan Adams"/>
        <s v="Tommy Walter"/>
        <s v="Matthew Foster"/>
        <s v="Judy Baker"/>
        <s v="Justin Baker"/>
        <s v="Stephanie Ross"/>
        <s v="Zachary Hicks"/>
        <s v="Anthony Rodriguez"/>
        <s v="Rebecca Henderson"/>
        <s v="James Ferrell"/>
        <s v="Tricia Valencia"/>
        <s v="Nathan Maldonado"/>
        <s v="Debra Davidson"/>
        <s v="Jeffrey Chavez"/>
        <s v="Sherri Baker"/>
        <s v="Cassandra Gaines"/>
        <s v="Elizabeth Fowler"/>
        <s v="Brittany Farmer"/>
        <s v="Paula Moreno"/>
        <s v="Fred Smith"/>
        <s v="Sherry Decker"/>
        <s v="Anthony Humphrey"/>
        <s v="Angelica Tucker"/>
        <s v="Philip Cannon"/>
        <s v="John Pierce"/>
        <s v="Shane Henderson"/>
        <s v="Joshua Blair"/>
        <s v="Eric Carney"/>
        <s v="Jessica Holmes"/>
        <s v="Danny Morgan"/>
        <s v="Crystal Robinson"/>
        <s v="Mark Perez"/>
        <s v="Shannon Jones"/>
        <s v="Michael Lewis"/>
        <s v="Timothy Duncan"/>
        <s v="Richard Aguirre"/>
        <s v="Brent Jordan"/>
        <s v="John Daniel"/>
        <s v="Victoria Garcia"/>
        <s v="Gerald Hensley"/>
        <s v="Connor West"/>
        <s v="Donald Wright"/>
        <s v="Jessica Callahan"/>
        <s v="Amber Kidd"/>
        <s v="Tracy House"/>
        <s v="Carol Tucker"/>
        <s v="James Brown"/>
        <s v="William Baker"/>
        <s v="Jordan Henderson"/>
        <s v="Whitney Peters"/>
        <s v="Brittney Phillips"/>
        <s v="Lauren Daniels"/>
        <s v="Amy Silva"/>
        <s v="Sarah Moore"/>
        <s v="Angela Lopez"/>
        <s v="Megan Young"/>
        <s v="Steve Sanchez"/>
        <s v="Lisa Barnes"/>
        <s v="Kelly Donovan"/>
        <s v="Mike Allen"/>
        <s v="Michael Evans"/>
        <s v="Paul Jones"/>
        <s v="Zachary Ferrell"/>
        <s v="Daniel Baker"/>
        <s v="Shirley Suarez"/>
        <s v="Christopher Bass"/>
        <s v="Lisa Archer"/>
        <s v="Aimee Montoya"/>
        <s v="Matthew Mcmillan"/>
        <s v="Brian Rodriguez"/>
        <s v="Denise Jacobs"/>
        <s v="Christina Walters"/>
        <s v="John Whitehead"/>
        <s v="Anna Henderson"/>
        <s v="Aaron Wise"/>
        <s v="Deborah Figueroa"/>
        <s v="Jessica Smith"/>
        <s v="Stephen Mckee"/>
        <s v="Sandra Aguilar"/>
        <s v="Cameron Parker"/>
        <s v="Rebecca Valencia"/>
        <s v="Christine Wright"/>
        <s v="Richard Henson"/>
        <s v="Marc Moore"/>
        <s v="Sharon Cherry"/>
        <s v="Sierra Johnson"/>
        <s v="Evelyn Galvan"/>
        <s v="Sharon Cochran"/>
        <s v="Richard Rodriguez"/>
        <s v="Shannon Walker"/>
        <s v="Julia Torres"/>
        <s v="Crystal Johnson"/>
        <s v="Garrett Lin"/>
        <s v="Diana May"/>
        <s v="William Herrera"/>
        <s v="Ashley Waller"/>
        <s v="Victor Baker"/>
        <s v="Jeffrey Chandler"/>
        <s v="Larry Dixon"/>
        <s v="Kenneth Scott"/>
        <s v="April Frost"/>
        <s v="Michelle Harmon"/>
        <s v="Helen Jones"/>
        <s v="Erin Edwards"/>
        <s v="Michelle Evans"/>
        <s v="Jason Powell"/>
        <s v="Cameron Fisher"/>
        <s v="Megan Orr"/>
        <s v="Elizabeth Kelley"/>
        <s v="Dustin Jordan"/>
        <s v="Mary Marshall"/>
        <s v="Daniel Kennedy"/>
        <s v="Rebecca Jackson"/>
        <s v="Jose Schultz"/>
        <s v="Robert Potter"/>
        <s v="Courtney Gonzalez"/>
        <s v="David Alvarez"/>
        <s v="Angel Perry"/>
        <s v="Cheyenne Horton"/>
        <s v="David Douglas Jr."/>
        <s v="Patricia Rodriguez"/>
        <s v="Christopher Rubio"/>
        <s v="Amber Wright"/>
        <s v="Joyce Solis"/>
        <s v="Victoria Larson"/>
        <s v="Stephanie Salazar"/>
        <s v="Kathy Rivas"/>
        <s v="Stephanie Manning"/>
        <s v="David Wright"/>
        <s v="Pamela Boyd"/>
        <s v="Denise Jones"/>
        <s v="Devon Flores"/>
        <s v="Brenda Hall"/>
        <s v="Michelle Brown"/>
        <s v="Joshua Perry"/>
        <s v="Jason Stein"/>
        <s v="Melissa Gates"/>
        <s v="Jamie Smith"/>
        <s v="Paul Castaneda"/>
        <s v="Jennifer Adkins"/>
        <s v="Lindsey Walker"/>
        <s v="Jeffrey Johnson"/>
        <s v="Michael Powell"/>
        <s v="John Anderson"/>
        <s v="Alyssa Long"/>
        <s v="Alyssa Day"/>
        <s v="Joel Williams"/>
        <s v="Daniel Murphy"/>
        <s v="Jamie Walton"/>
        <s v="Darlene Miller"/>
        <s v="Joshua Cooke"/>
        <s v="Matthew Harrington"/>
        <s v="Nicole Herring"/>
        <s v="Alex Hernandez"/>
        <s v="Michael Elliott"/>
        <s v="Michael Wang"/>
        <s v="Lawrence Adkins"/>
        <s v="Robert Oconnell"/>
        <s v="Alexander Collins"/>
        <s v="Tina Sanders"/>
        <s v="Angela Vaughn"/>
        <s v="Ashley Barton"/>
        <s v="Lindsay Martinez"/>
        <s v="Dr. Hannah Patterson"/>
        <s v="Jonathan Peterson"/>
        <s v="Samantha Garcia"/>
        <s v="Madison Poole"/>
        <s v="Jessica Gross"/>
        <s v="Debra Morton"/>
        <s v="Karen Graham"/>
        <s v="Debra Christian"/>
        <s v="Angelica Keith"/>
        <s v="John Bishop"/>
        <s v="Allen Rosales"/>
        <s v="Daniel Salinas"/>
        <s v="Spencer Haynes"/>
        <s v="Adam Vaughan"/>
        <s v="Nathan Freeman"/>
        <s v="Melissa Brewer"/>
        <s v="Ricky Davis II"/>
        <s v="Elizabeth Perkins"/>
        <s v="Joseph Coleman"/>
        <s v="Erin Warner"/>
        <s v="David Martinez"/>
        <s v="Bryan Herrera"/>
        <s v="Cathy Robinson"/>
        <s v="Dr. William Warren"/>
        <s v="Brian Lee"/>
        <s v="Christopher Smith"/>
        <s v="Denise Mccann"/>
        <s v="Melissa Martinez"/>
        <s v="Katherine Salas"/>
        <s v="Julie Alexander"/>
        <s v="Anthony Everett"/>
        <s v="Rodney Morales"/>
        <s v="Mark Brown"/>
        <s v="Justin Torres"/>
        <s v="Bailey Duran DDS"/>
        <s v="Courtney Mills"/>
        <s v="Jeremy Dalton"/>
        <s v="Elizabeth Oliver DDS"/>
        <s v="Theresa Clark"/>
        <s v="Matthew Moore"/>
        <s v="Benjamin Smith"/>
        <s v="Kirk Carter"/>
        <s v="Michael Warner"/>
        <s v="Michael Bradshaw"/>
        <s v="Lori Guerrero"/>
        <s v="Jessica Stephens"/>
        <s v="Susan Serrano"/>
        <s v="Christopher Parker"/>
        <s v="Laura Roberts"/>
        <s v="Michael Lyons"/>
        <s v="Kathryn Snyder"/>
        <s v="Andrew Reynolds"/>
        <s v="David Davis"/>
        <s v="Sara Johnston"/>
        <s v="Yvonne Chambers"/>
        <s v="Andrew Avila"/>
        <s v="Matthew Moon"/>
        <s v="Kevin Walters"/>
        <s v="Brandon Bailey MD"/>
        <s v="Shannon Rivera"/>
        <s v="Donna Landry"/>
        <s v="Krista Gibson"/>
        <s v="Frank Cordova"/>
        <s v="Jose Travis"/>
        <s v="Kimberly Gutierrez"/>
        <s v="Isaiah Avila"/>
        <s v="Olivia Harris"/>
        <s v="Tanya Kim"/>
        <s v="Barbara Dudley"/>
        <s v="Cynthia Moore"/>
        <s v="Kristen Davis"/>
        <s v="Susan Murray MD"/>
        <s v="Kathleen Moran"/>
        <s v="Denise Davenport"/>
        <s v="Mrs. Kristen Reyes"/>
        <s v="Katie Suarez"/>
        <s v="Desiree Tyler"/>
        <s v="Timothy Romero"/>
        <s v="Diane Evans"/>
        <s v="Yvonne Burns"/>
        <s v="Joshua Reed"/>
        <s v="Kimberly Gibson"/>
        <s v="Colin Terry"/>
        <s v="Cynthia Rowe"/>
        <s v="Patrick Thornton"/>
        <s v="Jasmin Alvarado"/>
        <s v="Veronica Simpson"/>
        <s v="Jonathan Lawrence"/>
        <s v="Shelly Alexander"/>
        <s v="Joyce Bowen"/>
        <s v="Wayne Morgan"/>
        <s v="Marie Christian"/>
        <s v="Shannon James"/>
        <s v="Nathan Malone"/>
        <s v="Amanda Jones"/>
        <s v="Tammie Bright"/>
        <s v="Jessica Garcia"/>
        <s v="Shelia Wallace"/>
        <s v="Stephanie Williams"/>
        <s v="Elaine Brooks"/>
        <s v="Joseph Knight"/>
        <s v="Carolyn Miller"/>
        <s v="Lisa Allen"/>
        <s v="Briana Murray"/>
        <s v="David Smith"/>
        <s v="Stephanie Byrd"/>
        <s v="Jeremy Reed"/>
        <s v="Margaret Coleman"/>
        <s v="Ryan Gonzalez"/>
        <s v="John Young"/>
        <s v="Laura Haney"/>
        <s v="William Barrett"/>
        <s v="Keith Jennings"/>
        <s v="Amber Obrien"/>
        <s v="Tanner Mitchell DDS"/>
        <s v="Heather Fields"/>
        <s v="Megan Le"/>
        <s v="Sara Fuller"/>
        <s v="Maria Parker"/>
        <s v="Kevin Oconnor"/>
        <s v="Edward Burgess"/>
        <s v="Carlos Ryan"/>
        <s v="Kiara Mcintyre"/>
        <s v="Dawn Summers"/>
        <s v="Dr. Paul Morgan"/>
        <s v="Victor Taylor"/>
        <s v="Shannon Ramsey"/>
        <s v="Tracy Ballard"/>
        <s v="Richard Smith"/>
        <s v="Jordan Chambers"/>
        <s v="Lauren Carson"/>
        <s v="Ashley Hall"/>
        <s v="Stephen Hoffman"/>
        <s v="Connie Brown"/>
        <s v="Susan Turner"/>
        <s v="Charles Shah"/>
        <s v="Johnathan Davis"/>
        <s v="Brandy Chavez"/>
        <s v="Natalie Bautista"/>
        <s v="Patrick Moore"/>
        <s v="Brett Burns"/>
        <s v="Trevor Johnson"/>
        <s v="Jeremy Sampson"/>
        <s v="Ariana Jennings"/>
        <s v="Vanessa Howard"/>
        <s v="Colton Martinez"/>
        <s v="Jordan Bates"/>
        <s v="Linda Smith"/>
        <s v="Dana Martinez"/>
        <s v="Andrea Hubbard"/>
        <s v="Daniel Kane"/>
        <s v="Charles Lester"/>
        <s v="Scott Thomas"/>
        <s v="David Thompson"/>
        <s v="Allison Smith"/>
        <s v="Cynthia Morris"/>
        <s v="Anthony Harmon"/>
        <s v="Nichole Alvarez"/>
        <s v="Kayla Rodriguez"/>
        <s v="Theresa Williams"/>
        <s v="Sharon Boyd"/>
        <s v="Victor Brown"/>
        <s v="James Parks"/>
        <s v="Theodore Jones Jr."/>
        <s v="Ana Hill"/>
        <s v="Kimberly Nguyen"/>
        <s v="Kerry Chavez DDS"/>
        <s v="Michael Farrell"/>
        <s v="Patricia Le"/>
        <s v="Jesse Perez"/>
        <s v="Jesse Perry"/>
        <s v="Jeffery Ortega"/>
        <s v="Christian Leblanc"/>
        <s v="Ronald Davis"/>
        <s v="Parker Cain"/>
        <s v="Laurie Hoffman"/>
        <s v="Bryan Gomez"/>
        <s v="Nicole Parrish"/>
        <s v="Tracy Burke"/>
        <s v="Kenneth Lewis"/>
        <s v="Courtney Rodriguez"/>
        <s v="Holly Farmer"/>
        <s v="Renee Bruce"/>
        <s v="Sabrina Austin"/>
        <s v="Allison Hickman"/>
        <s v="Debra White"/>
        <s v="Ellen Morgan"/>
        <s v="Sergio Knight"/>
        <s v="Charles Schultz"/>
        <s v="Paul Lewis"/>
        <s v="Glen Wood"/>
        <s v="Paula Bradley"/>
        <s v="Anthony Moore"/>
        <s v="Megan Nelson"/>
        <s v="Karla Ramos"/>
        <s v="Paul Wilson"/>
        <s v="Douglas Gregory"/>
        <s v="Mr. Andrew Foster"/>
        <s v="Aimee Turner"/>
        <s v="Chad Scott"/>
        <s v="Adam Burgess"/>
        <s v="James Padilla"/>
        <s v="Sandra Drake"/>
        <s v="Scott Williams"/>
        <s v="Thomas Atkins"/>
        <s v="Laura Mckinney"/>
        <s v="Brian Smith"/>
        <s v="Robert Montgomery"/>
        <s v="Tamara Davis"/>
        <s v="Dana Chapman"/>
        <s v="Jennifer Collins"/>
        <s v="Gary Jackson"/>
        <s v="Ashley Hicks"/>
        <s v="Hannah Luna"/>
        <s v="Robin Young"/>
        <s v="Craig Morrison"/>
        <s v="Mary Thompson"/>
        <s v="Kathleen Webster"/>
        <s v="Joann Glass"/>
        <s v="Madison Weber"/>
        <s v="Lori Hernandez"/>
        <s v="Jeremy Turner"/>
        <s v="Anthony Romero"/>
        <s v="Jesse Brown"/>
        <s v="Angela Lin"/>
        <s v="Lisa Hunter"/>
        <s v="Julian Conner"/>
        <s v="Joanna Pacheco"/>
        <s v="Erica Alvarez"/>
        <s v="Antonio Garcia"/>
        <s v="Gwendolyn Klein"/>
        <s v="Carrie Wright"/>
        <s v="Jeffrey Mills"/>
        <s v="Jake Campbell"/>
        <s v="George Harper"/>
        <s v="Maria Jones"/>
        <s v="Michael Mitchell"/>
        <s v="Mary Escobar"/>
        <s v="Felicia Aguilar"/>
        <s v="Gregory Ponce"/>
        <s v="Jenna Larson"/>
        <s v="Emily Bennett"/>
        <s v="Robin Santiago"/>
        <s v="Nancy Jennings"/>
        <s v="Maria Henderson"/>
        <s v="Jack White"/>
        <s v="Travis Tucker"/>
        <s v="Chad Jones"/>
        <s v="Ashley Wise"/>
        <s v="Sophia Johnson"/>
        <s v="Ralph Anderson"/>
        <s v="Christopher Guerra"/>
        <s v="Rhonda Martin"/>
        <s v="Jason Rhodes"/>
        <s v="Jeremy Mitchell"/>
        <s v="Joann Ferguson"/>
        <s v="Robert Harrison"/>
        <s v="Holly Valentine"/>
        <s v="Mrs. Diane Reyes"/>
        <s v="Tracy Montoya"/>
        <s v="Brenda Wright"/>
        <s v="Shelly Spencer"/>
        <s v="Ryan Rosales"/>
        <s v="Phillip Nelson"/>
        <s v="Brittany Kim"/>
        <s v="Courtney Hayes"/>
        <s v="Alexander Brown"/>
        <s v="Cynthia Vang"/>
        <s v="Alfred Galvan"/>
        <s v="Marie Moody"/>
        <s v="Dustin Gallegos"/>
        <s v="Brenda Thornton"/>
        <s v="Aaron Miller"/>
        <s v="Ruben Dunn"/>
        <s v="Kelsey Rodriguez"/>
        <s v="Eric Williams"/>
        <s v="Riley Bryant"/>
        <s v="Taylor Carlson"/>
        <s v="Jose Allen"/>
        <s v="Jeffrey Mendez"/>
        <s v="Jason Beck"/>
        <s v="William Jones"/>
        <s v="Katie Mcneil"/>
        <s v="Jeanette Harrison"/>
        <s v="Veronica King"/>
        <s v="Richard Cooper"/>
        <s v="Lori Ingram"/>
        <s v="Evelyn Williams"/>
        <s v="Robin Thompson"/>
        <s v="Julie Dominguez"/>
        <s v="Robin Brown"/>
        <s v="Judith Carter"/>
        <s v="Curtis Williams"/>
        <s v="Kaylee Hays"/>
        <s v="Dawn Mullins"/>
        <s v="Howard Norman"/>
        <s v="Evelyn Martinez"/>
        <s v="Steve Paul"/>
        <s v="Jasmine Beltran"/>
        <s v="Jonathan Glass MD"/>
        <s v="Monica Miller"/>
        <s v="Samantha Gardner"/>
        <s v="Bobby Guerrero"/>
        <s v="Lance Simmons"/>
        <s v="Heather Williams"/>
        <s v="Heather Bolton"/>
        <s v="William Gould"/>
        <s v="Mark Cox"/>
        <s v="Meghan Cisneros"/>
        <s v="Lawrence Harrington"/>
        <s v="Austin Osborne"/>
        <s v="James Bradley"/>
        <s v="Meghan Rush"/>
        <s v="Phillip Berry"/>
        <s v="Jennifer Banks"/>
        <s v="Brian Fitzgerald"/>
        <s v="Mr. Justin Green III"/>
        <s v="Zachary Mitchell"/>
        <s v="Katherine Martinez"/>
        <s v="Jodi Roach"/>
        <s v="Brandon Fleming"/>
        <s v="Emma Reed"/>
        <s v="Joshua Vance"/>
        <s v="Michelle Ho"/>
        <s v="Rebecca Hicks"/>
        <s v="Curtis Taylor"/>
        <s v="Allison Spencer"/>
        <s v="Robert Arnold"/>
        <s v="Angelica Parker"/>
        <s v="Dr. Kelly Hammond DVM"/>
        <s v="William Day"/>
        <s v="Michael Cooper"/>
        <s v="Penny Bowman"/>
        <s v="Vincent Reynolds"/>
        <s v="Amy Martinez"/>
        <s v="Christopher Morris"/>
        <s v="Hannah Everett"/>
        <s v="Sarah King"/>
        <s v="Krista Martinez"/>
        <s v="Joseph Shaw"/>
        <s v="Todd Moore"/>
        <s v="Michelle Jacobs"/>
        <s v="Kristy Bryan"/>
        <s v="Angel May"/>
        <s v="Marilyn Wang"/>
        <s v="Mark Jimenez"/>
        <s v="Donna Frye"/>
        <s v="Dr. Michael Evans"/>
        <s v="Anthony Gonzales"/>
        <s v="Mr. Lawrence Edwards"/>
        <s v="Morgan Valencia"/>
        <s v="Bianca Wood"/>
        <s v="Emma Owens"/>
        <s v="James Gilbert"/>
        <s v="Sean Moore"/>
        <s v="Kenneth Edwards"/>
        <s v="Kathleen Robertson"/>
        <s v="Mr. Alexander Landry MD"/>
        <s v="Cindy Gomez"/>
        <s v="Johnny Khan"/>
        <s v="Julie Herrera"/>
        <s v="Jessica Khan"/>
        <s v="Pamela Diaz"/>
        <s v="Kelly Lee"/>
        <s v="Angel Gordon"/>
        <s v="Diana Hays"/>
        <s v="Barbara Hester"/>
        <s v="Robert Morgan"/>
        <s v="Nicole Gonzalez"/>
        <s v="Kathryn Williams"/>
        <s v="Gary Wells"/>
        <s v="Larry Robertson"/>
        <s v="Louis Martin"/>
        <s v="Nancy Evans MD"/>
        <s v="Kim Erickson"/>
        <s v="Robert Richardson"/>
        <s v="Veronica Silva"/>
        <s v="Molly Watts"/>
        <s v="John Coffey"/>
        <s v="Paula Lane"/>
        <s v="Lauren Jackson"/>
        <s v="Lisa Randall"/>
        <s v="Michael Johnson"/>
        <s v="Ashley Smith"/>
        <s v="Christian Vaughn"/>
        <s v="Reginald Knapp"/>
        <s v="Nancy Brown"/>
        <s v="Daniel Nguyen"/>
        <s v="Kelly Edwards"/>
        <s v="Thomas Peterson"/>
        <s v="Raymond Le"/>
        <s v="Melissa Bishop"/>
        <s v="David Grant"/>
        <s v="William Evans"/>
        <s v="Daniel Bush"/>
        <s v="Gregory Peck"/>
        <s v="Denise Martinez"/>
        <s v="Jamie Baird"/>
        <s v="Tina Ballard"/>
        <s v="Dwayne Klein"/>
        <s v="Jeremy Scott"/>
        <s v="Dale Ryan"/>
        <s v="Melissa Taylor"/>
        <s v="Laurie Sanchez"/>
        <s v="Kiara Little"/>
        <s v="Jason Love"/>
        <s v="Randy Smith"/>
        <s v="Tanya Russell"/>
        <s v="Sherry Woods"/>
        <s v="Victor Morris"/>
        <s v="Susan Davis"/>
        <s v="Kimberly Sharp"/>
        <s v="Susan Thompson"/>
        <s v="Casey Gillespie"/>
        <s v="Jennifer Simpson DVM"/>
        <s v="Tammy Mcdowell"/>
        <s v="Keith Rodriguez"/>
        <s v="Mrs. Virginia Daniels"/>
        <s v="Todd Rosales MD"/>
        <s v="Brian Martin"/>
        <s v="David Lopez"/>
        <s v="Rachel Bradley"/>
        <s v="Casey Chase"/>
        <s v="Samantha Robertson"/>
        <s v="Michael Lopez"/>
        <s v="Franklin Wright"/>
        <s v="David Molina"/>
        <s v="Elizabeth Sharp"/>
        <s v="Matthew Schwartz"/>
        <s v="Bryan Parker"/>
        <s v="Jonathan Jacobson"/>
        <s v="Emily Wilson"/>
        <s v="Elizabeth Mendez"/>
        <s v="Casey Hernandez"/>
        <s v="Lisa Perry"/>
        <s v="Kaitlin Medina"/>
        <s v="Colleen Wright"/>
        <s v="Shelley Miller"/>
        <s v="Michael Miller"/>
        <s v="Amy Kelley"/>
        <s v="Laura Hernandez"/>
        <s v="Joseph Wilson"/>
        <s v="Kevin Davis"/>
        <s v="Rhonda Chavez"/>
        <s v="Joyce Brown"/>
        <s v="Robert Cummings"/>
        <s v="Robert Reese"/>
        <s v="Amber Cooper"/>
        <s v="Zachary Michael"/>
        <s v="Timothy Johnson"/>
        <s v="Randy Cannon"/>
        <s v="Maria Fisher"/>
        <s v="Janet Kane DVM"/>
        <s v="Michael Stanley"/>
        <s v="Martha Bailey"/>
        <s v="Joshua Rice"/>
        <s v="Courtney Smith"/>
        <s v="Edwin Nunez"/>
        <s v="Kim Morrow"/>
        <s v="Gregory Hill"/>
        <s v="Molly Rodriguez"/>
        <s v="Jennifer Miranda"/>
        <s v="Alexis Harris"/>
        <s v="Andrew Harper"/>
        <s v="Amber Yang"/>
        <s v="David Robinson"/>
        <s v="Amy Gordon"/>
        <s v="Robert Dennis"/>
        <s v="Kyle Chambers"/>
        <s v="Eric Thomas"/>
        <s v="Connie Turner"/>
        <s v="Travis Hobbs"/>
        <s v="Lori Simmons"/>
        <s v="William David DDS"/>
        <s v="Emma Butler"/>
        <s v="James Webster"/>
        <s v="Samuel Turner"/>
        <s v="Renee Melendez"/>
        <s v="Tracy Grant"/>
        <s v="David Harris"/>
        <s v="Tammy Boone"/>
        <s v="Nathaniel Lee"/>
        <s v="Michael Morrison"/>
        <s v="Chelsea Gill"/>
        <s v="Kristin Mendoza"/>
        <s v="Felicia Krueger"/>
        <s v="Timothy Hayden"/>
        <s v="Zachary Mendoza"/>
        <s v="Larry Harris"/>
        <s v="Kristen Rowe"/>
        <s v="Joseph Howard"/>
        <s v="Jose Crawford"/>
        <s v="William Harrison"/>
        <s v="Suzanne Wood"/>
        <s v="Justin Walker"/>
        <s v="Dean Donovan"/>
        <s v="Jennifer Hernandez"/>
        <s v="James Whitaker"/>
        <s v="Mr. Michael Scott PhD"/>
        <s v="Maria Henry"/>
        <s v="Robert Jackson"/>
        <s v="Katherine Stark"/>
        <s v="Maria Brown"/>
        <s v="Ryan Landry"/>
        <s v="Pamela Gutierrez"/>
        <s v="Crystal Mann"/>
        <s v="Jonathan Brooks"/>
        <s v="Mary Jensen"/>
        <s v="Mr. Aaron Arnold"/>
        <s v="Joseph Hill"/>
        <s v="Alicia Li"/>
        <s v="Renee Browning"/>
        <s v="Brent Hernandez"/>
        <s v="Joseph Ochoa"/>
        <s v="James Watson"/>
        <s v="Karl Branch"/>
        <s v="Michael Abbott"/>
        <s v="Shannon Malone"/>
        <s v="James Tran"/>
        <s v="Adam Jackson"/>
        <s v="Mr. Richard Knight PhD"/>
        <s v="Joseph Williams"/>
        <s v="Sean Clay"/>
        <s v="Anthony Jones"/>
        <s v="Stephanie Elliott"/>
        <s v="Timothy Edwards"/>
        <s v="Laurie Goodwin"/>
        <s v="Jennifer Jones"/>
        <s v="David Davenport"/>
        <s v="Steven Rivera"/>
        <s v="Brenda Hinton"/>
        <s v="Kathryn Mccann"/>
        <s v="Jeffrey Roberson"/>
        <s v="Randy Friedman"/>
        <s v="Raymond Johnson"/>
        <s v="Willie Henry"/>
        <s v="Todd Reynolds"/>
        <s v="Mary Miller"/>
        <s v="Rebecca Marquez"/>
        <s v="Christian Dawson"/>
        <s v="Nancy Stewart"/>
        <s v="Aaron Parker"/>
        <s v="Derrick Anderson"/>
        <s v="Jerry Peters"/>
        <s v="Alexander Gomez"/>
        <s v="Kyle Nguyen"/>
        <s v="Edgar Hughes"/>
        <s v="Steven Stein"/>
        <s v="Laura Jackson"/>
        <s v="Charles Turner"/>
        <s v="Arthur Hamilton MD"/>
        <s v="Mr. David Wright"/>
        <s v="Linda Gonzalez"/>
        <s v="Eric Rush"/>
        <s v="Manuel Brock"/>
        <s v="George Ochoa"/>
        <s v="Valerie Taylor"/>
        <s v="Travis Harris"/>
        <s v="Vincent Novak"/>
        <s v="Michael Henry"/>
        <s v="Dana Bennett"/>
        <s v="Jenna Wilson"/>
        <s v="Leslie Gardner"/>
        <s v="Krista Benton"/>
        <s v="Michael Gonzales"/>
        <s v="Michael Fuentes"/>
        <s v="Jennifer Porter"/>
        <s v="Dana Hopkins"/>
        <s v="Rachel Jones"/>
        <s v="Karen Morales DDS"/>
        <s v="Melissa Stephens"/>
        <s v="Heather Woodard"/>
        <s v="Margaret Miller"/>
        <s v="Mary Kelly"/>
        <s v="Amanda Terrell"/>
        <s v="Jennifer Goodwin"/>
        <s v="Jorge Stone"/>
        <s v="Laura Griffin"/>
        <s v="Raymond Chapman"/>
        <s v="Haley Johnson"/>
        <s v="Jason Nixon"/>
        <s v="Todd Thomas"/>
        <s v="Jesse Clark"/>
        <s v="Mr. Jeffrey Horton"/>
        <s v="Eric Patrick"/>
        <s v="Samuel Wong"/>
        <s v="Carly Riggs"/>
        <s v="Christopher Moore"/>
        <s v="Tina Hall"/>
        <s v="Cody Davidson"/>
        <s v="Allen Mendez"/>
        <s v="Kevin Price"/>
        <s v="Christine Goodwin"/>
        <s v="Amy Garcia"/>
        <s v="Chelsea Nguyen"/>
        <s v="Dennis Huffman"/>
        <s v="Margaret Harper"/>
        <s v="Laurie Bailey"/>
        <s v="Lisa Cervantes"/>
        <s v="Cesar Wilson"/>
        <s v="Clayton Steele"/>
        <s v="Jennifer Taylor"/>
        <s v="Cody Reid"/>
        <s v="Maria Cooke"/>
        <s v="Katherine Taylor"/>
        <s v="Jerry Brown"/>
        <s v="Adam Taylor"/>
        <s v="Tracey Wagner"/>
        <s v="Michael Perry PhD"/>
        <s v="Bradley Johnson DDS"/>
        <s v="Donald Medina"/>
        <s v="Jim Newton"/>
        <s v="Krista Wilson"/>
        <s v="Reginald Morrow"/>
        <s v="Rodney Williams"/>
        <s v="Kimberly Fritz"/>
        <s v="Ronald Potter"/>
        <s v="Zachary Cole"/>
        <s v="Robert Gonzales"/>
        <s v="Patricia Young PhD"/>
        <s v="Heather Page"/>
        <s v="Carol Taylor"/>
        <s v="Daniel Brown"/>
        <s v="Douglas Ryan"/>
        <s v="Michael Roberts"/>
        <s v="Scott Duke"/>
        <s v="Anna Estes"/>
        <s v="Tamara Riddle"/>
        <s v="Beth Cline"/>
        <s v="Michael Poole"/>
        <s v="Megan Burns"/>
        <s v="Debra Perry"/>
        <s v="Mark Beard"/>
        <s v="Jose Ramirez"/>
        <s v="Jackie Clements"/>
        <s v="Aaron Schroeder"/>
        <s v="Monica Ellis"/>
        <s v="Heather Brown"/>
        <s v="Claudia Jordan"/>
        <s v="Derrick Clayton"/>
        <s v="Kenneth Knight"/>
        <s v="Mr. Michael Williams"/>
        <s v="Richard Stevens"/>
        <s v="Scott Alexander"/>
        <s v="Tyler Harris"/>
        <s v="Bonnie Santos"/>
        <s v="Timothy Hill"/>
        <s v="Danielle Watson"/>
        <s v="Carol Sanders"/>
        <s v="Michael Young"/>
        <s v="Michele Smith"/>
        <s v="Casey Perez"/>
        <s v="Alexandra Dominguez"/>
        <s v="Virginia Henderson"/>
        <s v="Benjamin Reyes"/>
        <s v="Ashley Edwards"/>
        <s v="Breanna Ayala"/>
        <s v="Brandi Haney"/>
        <s v="Joseph Smith"/>
        <s v="Jessica Bowen"/>
        <s v="Brittany Jenkins"/>
        <s v="Shannon Miller"/>
        <s v="Paul Lawrence"/>
        <s v="Victor Edwards"/>
        <s v="Donald Miller"/>
        <s v="Lindsay Lawson"/>
        <s v="Melissa Abbott"/>
        <s v="Elizabeth Holmes"/>
        <s v="Nicole Phillips"/>
        <s v="Steven Blevins"/>
        <s v="Brian Porter MD"/>
        <s v="Vanessa Hatfield"/>
        <s v="Bonnie Valencia"/>
        <s v="Holly Vega"/>
        <s v="Tiffany Townsend"/>
        <s v="Austin Baker"/>
        <s v="Antonio Mccormick"/>
        <s v="Lori Mason"/>
        <s v="Lisa Ramirez"/>
        <s v="Jorge Harris"/>
        <s v="Kimberly Myers"/>
        <s v="Sandra Becker"/>
        <s v="Michael Blair"/>
        <s v="Amy Miller"/>
        <s v="Jesse Lynch"/>
        <s v="Patrick Yang"/>
        <s v="Michael Miles"/>
        <s v="Troy Mills"/>
        <s v="Michelle Jackson"/>
        <s v="Richard Adams"/>
        <s v="Patricia Johnson"/>
        <s v="Denise Brown"/>
        <s v="Laura Jones"/>
        <s v="Ian Porter"/>
        <s v="Holly Scott"/>
        <s v="Kenneth Sharp"/>
        <s v="Jordan Williams"/>
        <s v="Dana Ruiz"/>
        <s v="Chris Velazquez"/>
        <s v="Kristen Sloan"/>
        <s v="Jennifer Morris"/>
        <s v="Nathan Nelson"/>
        <s v="Jake Shaw"/>
        <s v="Cassie Brock"/>
        <s v="Dr. Andrea Marshall"/>
        <s v="Ryan Murphy"/>
        <s v="Aimee Gonzalez"/>
        <s v="Elizabeth Dean"/>
        <s v="Kevin Snyder"/>
        <s v="Christie Mccullough"/>
        <s v="Danielle Smith"/>
        <s v="David Reed"/>
        <s v="Sherry Tapia"/>
        <s v="Matthew Sweeney"/>
        <s v="Ashley Moreno"/>
        <s v="Johnathan Brown"/>
        <s v="Michelle Davis DVM"/>
        <s v="Kelly Haynes"/>
        <s v="William Miller"/>
        <s v="Casey Wilkins"/>
        <s v="Keith Graham"/>
        <s v="Cynthia Green"/>
        <s v="Robert Haynes"/>
        <s v="Emily Nelson"/>
        <s v="Dale Chan"/>
        <s v="Brittney Martin"/>
        <s v="Jason Herrera"/>
        <s v="Christine Parker"/>
        <s v="Bryan Moore"/>
        <s v="Samantha Terry"/>
        <s v="Russell Murphy"/>
        <s v="David Kelly"/>
        <s v="Megan Green"/>
        <s v="Amanda Sullivan MD"/>
        <s v="Danielle Murray"/>
        <s v="Brenda Smith"/>
        <s v="Vickie Anderson"/>
        <s v="Jacqueline Mccoy"/>
        <s v="Lauren Green"/>
        <s v="Alison Brown"/>
        <s v="Jill Anderson"/>
        <s v="Sandra Rivera"/>
        <s v="Joel Jackson"/>
        <s v="Samantha Foster"/>
        <s v="Michael Thompson"/>
        <s v="Cody Ramirez"/>
        <s v="Amanda Harvey"/>
        <s v="Edward Jenkins"/>
        <s v="Amy Ramirez"/>
        <s v="Curtis Wilkerson"/>
        <s v="Lydia Pham"/>
        <s v="Virginia Casey"/>
        <s v="Joshua Washington"/>
        <s v="Kathryn Price"/>
        <s v="Francis Robinson"/>
        <s v="Paula Brown"/>
        <s v="Kendra Wang DVM"/>
        <s v="Ariel Sandoval"/>
        <s v="Robert Stark"/>
        <s v="Zachary Robinson"/>
        <s v="Rebecca Kelly"/>
        <s v="Sarah Thompson"/>
        <s v="Renee Wolfe"/>
        <s v="Alyssa Haynes"/>
        <s v="Kristy Hart"/>
        <s v="William Keith"/>
        <s v="Eric Henry Jr."/>
        <s v="Daniel Fox"/>
        <s v="Thomas Harris"/>
        <s v="Mitchell Sellers"/>
        <s v="Erica Johnson"/>
        <s v="Sylvia Schroeder"/>
        <s v="Shannon Yu"/>
        <s v="Tom Foster"/>
        <s v="Eric Taylor"/>
        <s v="Travis Conner"/>
        <s v="Marie Thompson"/>
        <s v="Melissa Mcfarland"/>
        <s v="Courtney Chapman"/>
        <s v="Eric Barker"/>
        <s v="Nicholas Rush"/>
        <s v="Jenna Gamble"/>
        <s v="Amanda Guzman"/>
        <s v="Tracy Walker"/>
        <s v="Taylor Taylor"/>
        <s v="Cynthia Haas"/>
        <s v="Stephen Davis"/>
        <s v="Margaret Tanner"/>
        <s v="Derek Wright"/>
        <s v="David Rodriguez"/>
        <s v="James Oconnor"/>
        <s v="Stacey Snyder"/>
        <s v="Joshua Garcia"/>
        <s v="Sean Curtis"/>
        <s v="Carla Jones"/>
        <s v="Elizabeth Flores"/>
        <s v="Angela Jackson"/>
        <s v="Nicholas Payne"/>
        <s v="Anna Wheeler"/>
        <s v="Karen Johnson"/>
        <s v="Carmen Preston"/>
        <s v="Brian Harris"/>
        <s v="Michael Bowen"/>
        <s v="Deborah Campbell"/>
        <s v="Anthony Armstrong"/>
        <s v="Brittany Ward"/>
        <s v="Edward Stanley"/>
        <s v="Christina Johnson"/>
        <s v="Edgar Miller"/>
        <s v="Elizabeth Sanders"/>
        <s v="Matthew Davis MD"/>
        <s v="Stephen Wood"/>
        <s v="Dennis Marshall"/>
        <s v="Derrick Brown"/>
        <s v="Joshua Arellano"/>
        <s v="Kristen Randall"/>
        <s v="Jennifer Nichols"/>
        <s v="Karen Keith"/>
        <s v="Blake Orr"/>
        <s v="Kathryn Lester"/>
        <s v="Megan Oliver"/>
        <s v="Peter Thompson"/>
        <s v="Dr. Rhonda Martinez"/>
        <s v="William Graham"/>
        <s v="Lori Flowers MD"/>
        <s v="Suzanne Jones"/>
        <s v="James Nguyen"/>
        <s v="Jimmy Marks"/>
        <s v="Lisa Mills"/>
        <s v="Jason Hernandez"/>
        <s v="Olivia Ayers"/>
        <s v="Kristine Garcia"/>
        <s v="Joseph Cooper"/>
        <s v="James Washington"/>
        <s v="Amanda Hill"/>
        <s v="Lee Steele"/>
        <s v="Steve Rivera"/>
        <s v="Patrick Mccall"/>
        <s v="Alicia Roth"/>
        <s v="Douglas Vasquez"/>
        <s v="Annette Melton"/>
        <s v="William Ramos"/>
        <s v="Debra Butler"/>
        <s v="Chelsea Lewis"/>
        <s v="Natalie Malone"/>
        <s v="Eric Hunter"/>
        <s v="Samuel Suarez"/>
        <s v="Corey Whitaker"/>
        <s v="Danielle Bryant"/>
        <s v="Michele Hill"/>
        <s v="Kathy Reid"/>
        <s v="Andre Watson"/>
        <s v="Cassandra Harrell"/>
        <s v="Hannah Martin"/>
        <s v="Nicole Barker"/>
        <s v="James Martin"/>
        <s v="Traci Vincent"/>
        <s v="Megan Adams"/>
        <s v="Alejandro Deleon"/>
        <s v="Alexa Buck"/>
        <s v="Lindsay Smith"/>
        <s v="Robert Torres"/>
        <s v="Maria Coleman"/>
        <s v="Gregory King"/>
        <s v="Michael Holloway"/>
        <s v="Brian Hunt"/>
        <s v="Sarah Brooks"/>
        <s v="Lisa Evans"/>
        <s v="Arthur Mcneil"/>
        <s v="Shannon Green"/>
        <s v="Stephanie Evans"/>
        <s v="Ralph Yoder"/>
        <s v="Rebekah Greene"/>
        <s v="Melanie Griffith"/>
        <s v="Yolanda Green"/>
        <s v="James Johnson"/>
        <s v="Laura Lee"/>
        <s v="Courtney Nichols"/>
        <s v="Susan Powers"/>
        <s v="Sarah Pittman"/>
        <s v="Catherine Davis"/>
        <s v="David Stokes"/>
        <s v="Catherine Frazier"/>
        <s v="Brandon Kelly"/>
        <s v="Elizabeth French"/>
        <s v="David Carter"/>
        <s v="Julie Delacruz"/>
        <s v="Terry Jones"/>
        <s v="Kathryn Dillon"/>
        <s v="Edwin Brown"/>
        <s v="Brenda Gonzalez"/>
        <s v="Keith Knox"/>
        <s v="Eugene Baldwin"/>
        <s v="Katherine Welch"/>
        <s v="Mark Smith"/>
        <s v="Philip Jackson"/>
        <s v="Katherine Gallagher"/>
        <s v="Lucas Schultz"/>
        <s v="Vincent Reyes"/>
        <s v="Curtis Watson"/>
        <s v="Frank Whitaker"/>
        <s v="Michael Sims"/>
        <s v="James Chapman"/>
        <s v="Rodney Evans"/>
        <s v="Nicholas Carlson"/>
        <s v="Stephen Cowan"/>
        <s v="Steven Howard"/>
        <s v="Travis Hull"/>
        <s v="Darryl Acosta"/>
        <s v="Nicholas Lawrence"/>
        <s v="Jacob Santos"/>
        <s v="Shawn Scott"/>
        <s v="Amber Vang"/>
        <s v="Martha Smith"/>
        <s v="Jennifer James"/>
        <s v="Kara Hernandez"/>
        <s v="Lorraine Turner"/>
        <s v="Mary Nelson"/>
        <s v="Breanna Rivas"/>
        <s v="Nathan Wilson"/>
        <s v="Brian Gonzalez"/>
        <s v="Dennis Mills"/>
        <s v="Michael Phillips"/>
        <s v="Jon Clark"/>
        <s v="Erin Smith"/>
        <s v="Susan Conley"/>
        <s v="Brittany Davis"/>
        <s v="Misty Garcia"/>
        <s v="David Hinton"/>
        <s v="John Garcia"/>
        <s v="Andrew Roberts"/>
        <s v="Emily Rodgers"/>
        <s v="Peter Williams"/>
        <s v="Mary Jackson"/>
        <s v="Jeffrey Howell"/>
        <s v="Anna Briggs"/>
        <s v="James Rivers"/>
        <s v="James Jefferson"/>
        <s v="Mariah Robles"/>
        <s v="Michael Brown"/>
        <s v="Caitlin Perry"/>
        <s v="Rebekah Gregory"/>
        <s v="James Howard"/>
        <s v="Michael Roberson"/>
        <s v="Bianca Knapp"/>
        <s v="Jason Williams"/>
        <s v="Ernest Bush"/>
        <s v="Patricia Ray"/>
        <s v="Vanessa Santiago"/>
        <s v="Joseph Haynes"/>
        <s v="Matthew Wright"/>
        <s v="Michael Cruz"/>
        <s v="Kristin Huerta"/>
        <s v="Mason Moore"/>
        <s v="Sarah Booth"/>
        <s v="John Allen"/>
        <s v="Amber Walker"/>
        <s v="Jennifer Young"/>
        <s v="Robert West"/>
        <s v="Jillian Wilson"/>
        <s v="Matthew Garcia MD"/>
        <s v="April Davis"/>
        <s v="Lisa Torres"/>
        <s v="Christine Powers"/>
        <s v="Heidi Brown"/>
        <s v="Jesse Castro"/>
        <s v="Kara Sandoval"/>
        <s v="Ashley Malone"/>
        <s v="Glenn Gallegos"/>
        <s v="Dorothy Boyd"/>
        <s v="Amber Martin"/>
        <s v="Mitchell Griffith"/>
        <s v="Levi Lopez"/>
        <s v="Jenna Bryant"/>
        <s v="Michelle Rodriguez"/>
        <s v="Timothy Monroe"/>
        <s v="Patricia Hayes"/>
        <s v="Tina Taylor"/>
        <s v="Mr. Anthony Mcconnell PhD"/>
        <s v="Mr. Thomas Thompson"/>
        <s v="Monica Anderson"/>
        <s v="Kyle Andrade"/>
        <s v="Janice Petty"/>
        <s v="Pamela Hill"/>
        <s v="Tracy Chavez"/>
        <s v="Jason Graves"/>
        <s v="Elizabeth Miles"/>
        <s v="Michelle Walls"/>
        <s v="Christina Weber"/>
        <s v="Gregory Chambers"/>
        <s v="Miss Tina Gordon"/>
        <s v="Erica Wilson"/>
        <s v="John Duncan"/>
        <s v="Donna Boone"/>
        <s v="Kelly Johnson"/>
        <s v="Michael Gonzalez"/>
        <s v="Candace Mitchell"/>
        <s v="Ryan Vaughn"/>
        <s v="Paul Johnson"/>
        <s v="Ashley Parrish"/>
        <s v="Sharon Newton"/>
        <s v="Cynthia Mueller"/>
        <s v="Donna Beck"/>
        <s v="Jasmine Frye"/>
        <s v="Emily Arnold"/>
        <s v="David Oliver"/>
        <s v="Sheila Greer"/>
        <s v="Michele Holland"/>
        <s v="Kimberly Morrison"/>
        <s v="Tracey Phillips"/>
        <s v="Jose Bennett"/>
        <s v="Justin Anderson"/>
        <s v="Dawn Rivera"/>
        <s v="Brittney Hernandez"/>
        <s v="Anthony Randolph"/>
        <s v="Mary Henry"/>
        <s v="Heather Bowers"/>
        <s v="Daniel White"/>
        <s v="Jonathan Perry"/>
        <s v="Anna Walker"/>
        <s v="Gary Ward"/>
        <s v="Paul Moreno"/>
        <s v="Samantha Zavala MD"/>
        <s v="Jill Conway"/>
        <s v="Lisa Haley"/>
        <s v="Erica Moon"/>
        <s v="Janice Fernandez"/>
        <s v="Thomas Short"/>
        <s v="Robert Griffin"/>
        <s v="Steven Lee"/>
        <s v="Tiffany Jackson"/>
        <s v="Kimberly Smith"/>
        <s v="Michael Ayala"/>
        <s v="Michele Cherry"/>
        <s v="Maria Case"/>
        <s v="Brittany Stevens"/>
        <s v="Brandon Brown"/>
        <s v="Kristin Andrews"/>
        <s v="David Hughes"/>
        <s v="Kimberly May"/>
        <s v="Nicole Richards"/>
        <s v="Angel Reilly"/>
        <s v="Richard Turner"/>
        <s v="Preston Kim"/>
        <s v="Matthew Wells"/>
        <s v="Brandy Myers"/>
        <s v="Kimberly Choi"/>
        <s v="Michael Sloan"/>
        <s v="Monica Brooks"/>
        <s v="Kristen Peters"/>
        <s v="Aaron Carlson"/>
        <s v="Theresa Torres"/>
        <s v="Stephanie Cooper"/>
        <s v="Matthew Hunt"/>
        <s v="Daniel Davenport"/>
        <s v="Christopher Marsh"/>
        <s v="Sarah Randolph"/>
        <s v="Julia Dunn MD"/>
        <s v="Brett Swanson"/>
        <s v="Mr. Carl Rios"/>
        <s v="Manuel Mccullough"/>
        <s v="Jerry Jensen"/>
        <s v="Kevin Cunningham"/>
        <s v="Eugene Patterson"/>
        <s v="David Walker"/>
        <s v="Jessica Larsen"/>
        <s v="Nicholas Humphrey"/>
        <s v="Ian Torres"/>
        <s v="Casey Obrien"/>
        <s v="Shannon Taylor"/>
        <s v="Deborah Mercado"/>
        <s v="Bernard Smith"/>
        <s v="Amanda Perkins"/>
        <s v="Kevin Escobar"/>
        <s v="Kimberly Lutz"/>
        <s v="Reginald Diaz"/>
        <s v="Raymond Quinn"/>
        <s v="John Dixon"/>
        <s v="Jonathan Bates"/>
        <s v="Renee Mendez"/>
        <s v="Jose Griffin"/>
        <s v="Travis Hopkins"/>
        <s v="Nancy Webb"/>
        <s v="Daniel Freeman"/>
        <s v="Jacob Williams"/>
        <s v="Terry Ward"/>
        <s v="Jesse Williams"/>
        <s v="Mrs. Michele Boyd"/>
        <s v="Sandy Baker"/>
        <s v="Carrie Valdez"/>
        <s v="Matthew Houston"/>
        <s v="Jamie Solomon"/>
        <s v="Heather Parrish"/>
        <s v="Mr. Larry Shaw"/>
        <s v="Christopher Jones"/>
        <s v="Christine Lopez"/>
        <s v="Mitchell Wilson"/>
        <s v="Robert Cortez"/>
        <s v="Mr. Daniel Martin"/>
        <s v="Alison Williams"/>
        <s v="Candace Soto"/>
        <s v="Kenneth Brown"/>
        <s v="Christopher Mullen"/>
        <s v="Kristy Smith"/>
        <s v="Mary Campbell"/>
        <s v="Jerry Haney"/>
        <s v="Carolyn Greer"/>
        <s v="Rebecca Hoover"/>
        <s v="Matthew Baker"/>
        <s v="Grace Chavez"/>
        <s v="Crystal Cruz"/>
        <s v="Dale Heath"/>
        <s v="John Mendez"/>
        <s v="Richard Gordon"/>
        <s v="Samantha Prince"/>
        <s v="Marie Boyd"/>
        <s v="Andrew Moreno"/>
        <s v="Robert Clarke"/>
        <s v="Kevin Figueroa"/>
        <s v="Melissa Davis"/>
        <s v="John Hall"/>
        <s v="Diane Mcdowell"/>
        <s v="Colin Fletcher"/>
        <s v="Laura Wilson"/>
        <s v="Matthew Watts"/>
        <s v="Jack Moore"/>
        <s v="Dawn Wyatt"/>
        <s v="Jacob Hill"/>
        <s v="Nicole Gutierrez"/>
        <s v="Karen Wood"/>
        <s v="Dawn Parker"/>
        <s v="Michael Fitzgerald"/>
        <s v="Mary Adkins"/>
        <s v="Michael Martin"/>
        <s v="James Morgan"/>
        <s v="Melissa Mann"/>
        <s v="Vincent Smith"/>
        <s v="Charles Frost"/>
        <s v="Austin Walker"/>
        <s v="Andrew Cruz"/>
        <s v="Miss Kelly Dawson"/>
        <s v="Theresa Wilkins"/>
        <s v="Jessica Harris"/>
        <s v="Regina Mitchell"/>
        <s v="Kyle Black"/>
        <s v="Christopher Johnson"/>
        <s v="Aaron Moore"/>
        <s v="Penny Gomez MD"/>
        <s v="Kelly Mclaughlin"/>
        <s v="Brandon Mitchell"/>
        <s v="Suzanne Bailey"/>
        <s v="Destiny Obrien"/>
        <s v="Timothy Andrews"/>
        <s v="Jason Rodriguez"/>
        <s v="Edward Arroyo"/>
        <s v="Tina Walter"/>
        <s v="Laura Benson"/>
        <s v="Kristine Carrillo"/>
        <s v="Tonya Ellis"/>
        <s v="Kevin Johnson"/>
        <s v="Austin Schultz"/>
        <s v="Megan Hall MD"/>
        <s v="Kelli Smith"/>
        <s v="Danielle Davis"/>
        <s v="Samantha Jones"/>
        <s v="Karen Gomez"/>
        <s v="Debra Valentine"/>
        <s v="Susan Porter"/>
        <s v="Nicolas Salas"/>
        <s v="Dale Wright"/>
        <s v="Brittney Rodriguez"/>
        <s v="Megan Alvarado"/>
        <s v="Pamela Weaver"/>
        <s v="John Oliver"/>
        <s v="William Prince PhD"/>
        <s v="William Moon IV"/>
        <s v="Karen Fernandez"/>
        <s v="Jennifer Parks"/>
        <s v="William Wolfe"/>
        <s v="Michael Smith"/>
        <s v="Kevin Nguyen"/>
        <s v="Debbie Dunn"/>
        <s v="John Austin"/>
        <s v="Jonathan Clark"/>
        <s v="Jacqueline Dickerson"/>
        <s v="Christopher Anderson"/>
        <s v="Crystal Garcia"/>
        <s v="David Reynolds"/>
        <s v="Charles Haley"/>
        <s v="Robert Thompson"/>
        <s v="Dr. Samuel Holmes DDS"/>
        <s v="Elizabeth Hart"/>
        <s v="Jennifer Vaughn"/>
        <s v="Robert Woods"/>
        <s v="Joanna Cook"/>
        <s v="Justin Frederick"/>
        <s v="Alejandro Martinez"/>
        <s v="Tracey Gonzalez"/>
        <s v="Mariah Thompson"/>
        <s v="Heather Nunez"/>
        <s v="Dr. Steve James"/>
        <s v="Mark Thomas"/>
        <s v="Robert Rogers"/>
        <s v="Laura Sweeney"/>
        <s v="Christopher Perez"/>
        <s v="Eddie Adams"/>
        <s v="Denise Wallace"/>
        <s v="Heidi Matthews"/>
        <s v="Jennifer White"/>
        <s v="Nicholas Stanley"/>
        <s v="Mercedes Miller"/>
        <s v="Brian Brown"/>
        <s v="Kimberly Johnson"/>
        <s v="Phillip Miller"/>
        <s v="Christopher Pena"/>
        <s v="Ellen Wright"/>
        <s v="Mark Anderson"/>
        <s v="Alyssa Alvarado"/>
        <s v="Erika Alvarez"/>
        <s v="Kimberly Nelson"/>
        <s v="Wayne Wolfe"/>
        <s v="Kyle Welch"/>
        <s v="Kristy Mills"/>
        <s v="Emily Reed"/>
        <s v="Regina Ramos"/>
        <s v="David Torres"/>
        <s v="Robert Charles"/>
        <s v="John Smith"/>
        <s v="Theresa Woods"/>
        <s v="Jeffrey Carter"/>
        <s v="Adam Brooks"/>
        <s v="Justin Foster"/>
        <s v="Omar Price"/>
        <s v="Dennis Henderson"/>
        <s v="Phillip Kent"/>
        <s v="Melinda Mitchell"/>
        <s v="Rhonda Gutierrez"/>
        <s v="Catherine Roberts"/>
        <s v="Lisa Nelson"/>
        <s v="Chelsea Smith"/>
        <s v="Joseph Lopez"/>
        <s v="Derrick Espinoza"/>
        <s v="Crystal Hernandez"/>
        <s v="Glenn Collins DDS"/>
        <s v="Mrs. Raven Rivera DVM"/>
        <s v="Amy Rowe"/>
        <s v="John Lee"/>
        <s v="Ruth Clayton"/>
        <s v="Randy Wright"/>
        <s v="Jessica Rojas"/>
        <s v="Joel Wise"/>
        <s v="Vickie Kennedy"/>
        <s v="Emily Morris"/>
        <s v="Amanda Pineda"/>
        <s v="Dawn Little"/>
        <s v="Stephen Boyer"/>
        <s v="Brian Chen"/>
        <s v="Christopher Hill"/>
        <s v="Richard Alvarez"/>
        <s v="Jacqueline Davis"/>
        <s v="Brandon Montgomery"/>
        <s v="Yolanda Garrett"/>
        <s v="Matthew Miles"/>
        <s v="Beth Hall"/>
        <s v="Dr. Nicole Trujillo"/>
        <s v="Corey Norris"/>
        <s v="Chad Roach"/>
        <s v="Mr. Edward Terry"/>
        <s v="Cody Bailey"/>
        <s v="Denise Guerra"/>
        <s v="Kristen Jones"/>
        <s v="Edward Baker"/>
        <s v="Aaron Little"/>
        <s v="Cody Smith"/>
        <s v="Patty Allen"/>
        <s v="Mary Ryan"/>
        <s v="Joseph Jimenez"/>
        <s v="Lisa Morris"/>
        <s v="Ashley Mills"/>
        <s v="Russell Anderson"/>
        <s v="Christina Washington"/>
        <s v="Kenneth Huff"/>
        <s v="Kelly Miles"/>
        <s v="Jacob Obrien"/>
        <s v="Timothy Clark"/>
        <s v="Steve Miller PhD"/>
        <s v="Justin Hurley"/>
        <s v="Jacob Erickson"/>
        <s v="Deborah Williams"/>
        <s v="Eric Blackburn"/>
        <s v="Anne Hardy"/>
        <s v="Chelsey Fox"/>
        <s v="Mario White"/>
        <s v="Jennifer Garcia"/>
        <s v="Heather Ellis"/>
        <s v="Sonya Jackson"/>
        <s v="Zachary Ramos"/>
        <s v="Ethan Frey"/>
        <s v="Jacob Duran"/>
        <s v="Nicholas Franklin"/>
        <s v="Cindy Cannon"/>
        <s v="Dawn Nixon"/>
        <s v="James Barber"/>
        <s v="Ms. Kelly Holder"/>
        <s v="Eric Walker"/>
        <s v="Alison Short"/>
        <s v="Desiree Spencer"/>
        <s v="Tammy Moore"/>
        <s v="Henry Taylor"/>
        <s v="Kevin Hall"/>
        <s v="Anna Ross"/>
        <s v="Morgan Cummings"/>
        <s v="Carrie Petersen"/>
        <s v="Laura Velez"/>
        <s v="Elizabeth Cross"/>
        <s v="Angela Brown"/>
        <s v="Hannah Montoya"/>
        <s v="Sean Kane"/>
        <s v="Matthew Guzman"/>
        <s v="Richard Reyes"/>
        <s v="Andrew Fernandez"/>
        <s v="Jonathan Walker"/>
        <s v="Nicholas Long"/>
        <s v="Kurt Wagner"/>
        <s v="Dylan Foster"/>
        <s v="Bradley Duncan"/>
        <s v="James Miller"/>
        <s v="Patricia Anderson"/>
        <s v="Justin Freeman"/>
        <s v="Christina Gilbert"/>
        <s v="Danielle Jones"/>
        <s v="Erica Glass"/>
        <s v="Michael Henderson"/>
        <s v="Frank Wheeler"/>
        <s v="Eric Huerta"/>
        <s v="Wanda Ramos"/>
        <s v="Andrew Meyers"/>
        <s v="James Todd"/>
        <s v="Ashley Brown"/>
        <s v="Tammy Melton"/>
        <s v="Alexis Benson"/>
        <s v="Jerry Johnson"/>
        <s v="Joshua Harris"/>
        <s v="Deanna Webb"/>
        <s v="Brenda Hale"/>
        <s v="Kevin Alvarado"/>
        <s v="Christopher Campbell"/>
        <s v="Lisa Brown"/>
        <s v="Alejandra Price"/>
        <s v="Samuel Keller"/>
        <s v="Alicia Dillon"/>
        <s v="Crystal James"/>
        <s v="Ariana Stewart"/>
        <s v="Kim Lopez"/>
        <s v="Judith House"/>
        <s v="David Moreno"/>
        <s v="James Moore"/>
        <s v="Harold Garrett"/>
        <s v="William Mason"/>
        <s v="Lori Johns"/>
        <s v="Robin Johnson"/>
        <s v="Diana Hernandez"/>
        <s v="Tyler Salazar"/>
        <s v="Crystal Allen"/>
        <s v="Wesley Browning"/>
        <s v="Joshua Clark"/>
        <s v="Joshua Mcbride"/>
        <s v="Ellen Thornton"/>
        <s v="Brandy Forbes"/>
        <s v="Brianna Fitzpatrick"/>
        <s v="Emily Grant"/>
        <s v="Bailey Stewart"/>
        <s v="Monica Cannon"/>
        <s v="Jennifer Jenkins"/>
        <s v="Timothy Shannon"/>
        <s v="Denise Maxwell"/>
        <s v="Cody Farmer"/>
        <s v="Debra Bradley"/>
        <s v="David Mcdaniel"/>
        <s v="Michael Woods"/>
        <s v="Lisa Joseph"/>
        <s v="Samuel Henry"/>
        <s v="Corey Johnson"/>
        <s v="Alexis Nelson"/>
        <s v="Patrick Mcneil"/>
        <s v="Andrea Ho"/>
        <s v="Dr. Katherine Nguyen"/>
        <s v="David Sullivan"/>
        <s v="Nicolas James"/>
        <s v="Logan Newton"/>
        <s v="Kelly Liu"/>
        <s v="Kelly Hayes"/>
        <s v="Amanda Forbes"/>
        <s v="Jennifer Moss"/>
        <s v="Kelli Mccoy"/>
        <s v="Eddie Sanders"/>
        <s v="Ronald Murray"/>
        <s v="Louis Brown"/>
        <s v="Brenda Gallegos"/>
        <s v="Teresa Horton"/>
        <s v="Jason Hayes"/>
        <s v="Kevin Marquez"/>
        <s v="Jesse Wright"/>
        <s v="Susan Hogan"/>
        <s v="Becky Wilson"/>
        <s v="Jack Mills"/>
        <s v="Richard Hunt"/>
        <s v="Jamie James"/>
        <s v="Susan Cunningham"/>
        <s v="Brittany Melton"/>
        <s v="Michael Barnes"/>
        <s v="Randy Griffin"/>
        <s v="Autumn Anderson"/>
        <s v="Marcus King"/>
        <s v="Scott Stephens"/>
        <s v="Stephen Young"/>
        <s v="Karen Ortiz"/>
        <s v="Kyle Sanchez"/>
        <s v="Lisa Grant"/>
        <s v="Amber Hernandez"/>
        <s v="Amanda Nash"/>
        <s v="Sara Evans"/>
        <s v="Amber Butler"/>
        <s v="Michael Carr"/>
        <s v="Linda Cobb"/>
        <s v="Jesse Riley"/>
        <s v="Anna Evans"/>
        <s v="James Jones"/>
        <s v="Joshua Carter"/>
        <s v="Michael Hill"/>
        <s v="Kelly Dominguez"/>
        <s v="Ashley Blair"/>
        <s v="Victoria Webb"/>
        <s v="Taylor Andersen"/>
        <s v="Lee Stewart"/>
        <s v="Whitney Gomez"/>
        <s v="Justin Stone"/>
        <s v="Katherine White"/>
        <s v="Michelle Krause"/>
        <s v="Alexander Garrett"/>
        <s v="Ryan Marsh"/>
        <s v="Mrs. Felicia Castro DDS"/>
        <s v="Curtis Campbell"/>
        <s v="Elizabeth Hunter"/>
        <s v="Aaron Jennings"/>
        <s v="Nathaniel Gilbert"/>
        <s v="Christopher Rivera"/>
        <s v="Michael Hendricks"/>
        <s v="Maria Olson"/>
        <s v="Stephanie Herrera"/>
        <s v="Richard Gutierrez"/>
        <s v="Sandy Evans"/>
        <s v="Emily Herrera"/>
        <s v="Michael Marsh"/>
        <s v="Heather Montes"/>
        <s v="Andre Terrell"/>
        <s v="Sarah Duncan"/>
        <s v="Kurt Hancock"/>
        <s v="Michele Edwards"/>
        <s v="Jason Crawford"/>
        <s v="Jesse Sampson"/>
        <s v="Eric Rodriguez"/>
        <s v="Paula Gentry"/>
        <s v="Alexander Webb"/>
        <s v="Cheryl Mclean"/>
        <s v="Kelly Rowe"/>
        <s v="Shane Short"/>
        <s v="Megan Anderson"/>
        <s v="Julia Reeves"/>
        <s v="April Randolph"/>
        <s v="Linda Miller"/>
        <s v="Angel Meyer"/>
        <s v="Emily Lane"/>
        <s v="Steven Flores"/>
        <s v="Donald Flores"/>
        <s v="Bruce Hernandez"/>
        <s v="Adrian Dean"/>
        <s v="Christine Bell"/>
        <s v="Charles Bush"/>
        <s v="David Jones"/>
        <s v="Gina Wallace"/>
        <s v="John Lowe"/>
        <s v="Anthony Simmons"/>
        <s v="Kyle Watkins"/>
        <s v="Melissa Jensen"/>
        <s v="Robert Marquez"/>
        <s v="Kim Beltran"/>
        <s v="Julie Anderson"/>
        <s v="Tamara Mcdonald"/>
        <s v="Michael Mckinney"/>
        <s v="Lisa Durham"/>
        <s v="Michael Ortega"/>
        <s v="Sonya Chavez"/>
        <s v="John Bell"/>
        <s v="Christopher Tate"/>
        <s v="Bethany Garcia"/>
        <s v="Rebecca Nguyen"/>
        <s v="Rebecca Patel"/>
        <s v="Jason Oliver"/>
        <s v="Valerie Reyes"/>
        <s v="Robert Garza"/>
        <s v="Jessica Cobb"/>
        <s v="Cynthia Bates"/>
        <s v="Mr. Joel Peters"/>
        <s v="Casey Blanchard"/>
        <s v="Brian Cervantes"/>
        <s v="Jamie Snyder"/>
        <s v="Ann Montoya"/>
        <s v="Stephanie Fields"/>
        <s v="Charles Hernandez"/>
        <s v="Jean Lane"/>
        <s v="Michael Stewart"/>
        <s v="Susan Torres"/>
        <s v="Jessica Haas"/>
        <s v="Brandon Smith"/>
        <s v="Mrs. Bethany Phillips"/>
        <s v="Joshua Brown"/>
        <s v="Samantha Howard"/>
        <s v="Sharon Young"/>
        <s v="Jennifer Flores"/>
        <s v="James Gardner"/>
        <s v="Karen Lopez"/>
        <s v="Tim Larsen"/>
        <s v="Zachary Santiago"/>
        <s v="Katelyn Kim"/>
        <s v="Angela May MD"/>
        <s v="Richard Munoz"/>
        <s v="Christopher Hicks"/>
        <s v="Joanna Kelly"/>
        <s v="Larry Lane"/>
        <s v="Cynthia Shaw"/>
        <s v="Joshua Richardson"/>
        <s v="Laura Bush"/>
        <s v="John Vaughn"/>
        <s v="Nicholas Terrell"/>
        <s v="Dr. Julie Miller"/>
        <s v="Ann Kennedy"/>
        <s v="Toni Miller"/>
        <s v="Rebecca Edwards"/>
        <s v="Greg Osborne"/>
        <s v="Jose Harrison"/>
        <s v="Jennifer Yu"/>
        <s v="Donna Johnson"/>
        <s v="Nicole Acosta"/>
        <s v="Amy Kennedy"/>
        <s v="Anthony Mooney"/>
        <s v="Lori Mitchell"/>
        <s v="Jonathan York"/>
        <s v="Casey Campbell"/>
        <s v="Alexis Rodriguez"/>
        <s v="Kevin Hernandez"/>
        <s v="Robert Green"/>
        <s v="Kari Lloyd"/>
        <s v="Grace Miller"/>
        <s v="Timothy Moore"/>
        <s v="Wyatt Townsend II"/>
        <s v="Mark Clark"/>
        <s v="Haley May"/>
        <s v="Audrey Jackson"/>
        <s v="Eric Reese"/>
        <s v="Kim James"/>
        <s v="Karen Thomas"/>
        <s v="Alexandra Ho"/>
        <s v="Michael Nixon"/>
        <s v="Amanda Hardin"/>
        <s v="Tina Reynolds"/>
        <s v="Shannon Rogers"/>
        <s v="Brett Pena"/>
        <s v="Raymond Curry"/>
        <s v="Leah Lee"/>
        <s v="Michael White"/>
        <s v="Megan Decker"/>
        <s v="Brent Garcia"/>
        <s v="Daniel Campbell"/>
        <s v="Alexander Davis"/>
        <s v="Mary Houston"/>
        <s v="Margaret Erickson"/>
        <s v="Scott Anderson"/>
        <s v="Stephanie Knight"/>
        <s v="Stephanie Dominguez"/>
        <s v="John Mayer"/>
        <s v="Tammy Hill"/>
        <s v="Steven Carrillo"/>
        <s v="Janet Cook"/>
        <s v="Tyler Baker"/>
        <s v="John Mcfarland"/>
        <s v="Cassandra Vasquez"/>
        <s v="Randy Robinson"/>
        <s v="Susan Baldwin"/>
        <s v="Benjamin Duncan"/>
        <s v="Jeremy Mosley"/>
        <s v="Martin Fitzpatrick"/>
        <s v="Deborah Graves"/>
        <s v="Laura Robertson"/>
        <s v="Katherine Graham"/>
        <s v="Priscilla Floyd"/>
        <s v="April Finley"/>
        <s v="Karen Bradley"/>
        <s v="Heather Maldonado"/>
        <s v="Mark Benjamin"/>
        <s v="Joseph Woodward"/>
        <s v="Joe Miranda"/>
        <s v="Cassandra Williams"/>
        <s v="Connor Dominguez"/>
        <s v="Lydia Howard"/>
        <s v="Mark Moss"/>
        <s v="Corey Cortez"/>
        <s v="Katherine Brown"/>
        <s v="Elizabeth Ferguson"/>
        <s v="Joann Forbes"/>
        <s v="Anthony French"/>
        <s v="Bruce Roman"/>
        <s v="Judy Gregory"/>
        <s v="Brittany Riley"/>
        <s v="Amanda Thomas"/>
        <s v="Kaitlin Hardin"/>
        <s v="Michael Anderson"/>
        <s v="Anthony Parker"/>
        <s v="Joy Jackson"/>
        <s v="Sabrina Rodriguez"/>
        <s v="Robert Walker PhD"/>
        <s v="Robert Hendrix"/>
        <s v="Erika Daugherty"/>
        <s v="Brenda Copeland"/>
        <s v="Pamela Watkins"/>
        <s v="Bryan Thomas"/>
        <s v="Michael Tran"/>
        <s v="Timothy Williams"/>
        <s v="Ryan Salazar"/>
        <s v="Alexis Tucker"/>
        <s v="Christopher Davis"/>
        <s v="Stacie Butler"/>
        <s v="Patricia Schwartz"/>
        <s v="Mark Mills"/>
        <s v="Todd Bishop"/>
        <s v="Christopher Porter"/>
        <s v="Lori Patton"/>
        <s v="Aaron Young"/>
        <s v="Joseph Davis"/>
        <s v="Philip Fernandez"/>
        <s v="Randy Hopkins"/>
        <s v="Cory Hogan"/>
        <s v="Tracy Wells"/>
        <s v="Michael Williams"/>
        <s v="Dominique Hamilton"/>
        <s v="Robert Chang"/>
        <s v="Patrick Buckley"/>
        <s v="Richard Washington"/>
        <s v="Steven Griffith"/>
        <s v="Erika Gonzalez"/>
        <s v="Erika Maxwell"/>
        <s v="Brent Rojas"/>
        <s v="Jaime Walker"/>
        <s v="John Zamora"/>
        <s v="Timothy Gibson"/>
        <s v="Chad Cortez"/>
        <s v="Vanessa Harris"/>
        <s v="Samuel Ellis"/>
        <s v="Greg Tanner"/>
        <s v="Rachel Little"/>
        <s v="Carolyn Cordova"/>
        <s v="Angelica Vincent"/>
        <s v="Zachary Vargas PhD"/>
        <s v="Nicholas Fitzgerald"/>
        <s v="Garrett Riley"/>
        <s v="Leslie Hernandez"/>
        <s v="Abigail Baird"/>
        <s v="John Mack"/>
        <s v="Joseph Mendoza"/>
        <s v="Samantha Chavez"/>
        <s v="Justin Smith"/>
        <s v="Tiffany Anderson"/>
        <s v="Matthew Davis"/>
        <s v="Eric Warner"/>
        <s v="Nicole Johnson"/>
        <s v="Raymond Sawyer"/>
        <s v="Richard Wood"/>
        <s v="Mark Dalton"/>
        <s v="Steven Cook"/>
        <s v="Jeffery Nelson"/>
        <s v="Kimberly Norton"/>
        <s v="Angela Gilmore"/>
        <s v="Amy Dougherty"/>
        <s v="Stacy Rodriguez"/>
        <s v="Manuel Diaz"/>
        <s v="Justin Jones"/>
        <s v="Christine Zavala"/>
        <s v="Brian Mendoza"/>
        <s v="Lauren Haley"/>
        <s v="Patrick Perez"/>
        <s v="Derek Frazier"/>
        <s v="Arthur Reed"/>
        <s v="Mr. Bryan Mckinney"/>
        <s v="Kim Carter"/>
        <s v="Rebecca Dougherty"/>
        <s v="Teresa Jones"/>
        <s v="Judith Miller"/>
        <s v="Donald Terry"/>
        <s v="Shaun Meyer DDS"/>
        <s v="Wayne Weaver"/>
        <s v="Gregory Wallace"/>
        <s v="Dorothy Brown"/>
        <s v="Crystal Meza"/>
        <s v="Jennifer Cooper"/>
        <s v="Erin Watkins"/>
        <s v="Sarah Wallace"/>
        <s v="Carlos Clarke"/>
        <s v="David Washington"/>
        <s v="Patricia Williams"/>
        <s v="Jesus Jackson"/>
        <s v="Michelle Mitchell"/>
        <s v="Sara Schwartz"/>
        <s v="Brittany Young"/>
        <s v="Eugene Martinez"/>
        <s v="Cody Hart"/>
        <s v="Evan Cooper"/>
        <s v="Joshua Martin"/>
        <s v="Thomas Sullivan"/>
        <s v="Mr. Jimmy Flores Jr."/>
        <s v="Vanessa Rivera"/>
        <s v="Kara Roberts"/>
        <s v="Veronica Berry"/>
        <s v="Keith Meadows"/>
        <s v="Michael Dennis"/>
        <s v="Brenda Pierce"/>
        <s v="James Randall"/>
        <s v="Lauren Walker"/>
        <s v="Diana Johnson"/>
        <s v="Jill Powers"/>
        <s v="Jorge Lee"/>
        <s v="Larry Harding"/>
        <s v="Heather Hernandez"/>
        <s v="Jaclyn Watson"/>
        <s v="Gregory Madden"/>
        <s v="Anita Luna"/>
        <s v="Willie Lara"/>
        <s v="Robert Waller"/>
        <s v="Steven Taylor"/>
        <s v="Angelica Clark"/>
        <s v="Sean Hatfield"/>
        <s v="Tyler Avila"/>
        <s v="Jason Rocha"/>
        <s v="Justin Page"/>
        <s v="Breanna Lopez"/>
        <s v="Julian Williams"/>
        <s v="Sandra Torres"/>
        <s v="Julie Johnson"/>
        <s v="Dennis Blanchard"/>
        <s v="Kaitlyn Valdez"/>
        <s v="Jennifer Vasquez"/>
        <s v="Danielle Wilson"/>
        <s v="Zachary Jones"/>
        <s v="Lauren Cunningham"/>
        <s v="Lori Alvarez"/>
        <s v="Barbara Hunt"/>
        <s v="Sarah Martin"/>
        <s v="Francisco Johns"/>
        <s v="Christopher Nelson"/>
        <s v="Thomas Kelly"/>
        <s v="Joseph Mayer"/>
        <s v="Pamela White"/>
        <s v="Paul Stephens"/>
        <s v="Samantha Cohen"/>
        <s v="Michael Barker"/>
        <s v="Kevin Morrow"/>
        <s v="Joseph Watson"/>
        <s v="Mr. Thomas Garcia"/>
        <s v="Daniel Lopez"/>
        <s v="Lisa Guerra"/>
        <s v="Kim Arnold"/>
        <s v="Ashley Stevens"/>
        <s v="Robert Mclean"/>
        <s v="Eric Cox"/>
        <s v="Stacy Harper"/>
        <s v="Gloria Mckinney"/>
        <s v="Robert Walker"/>
        <s v="Brenda Perez"/>
        <s v="Carlos Miller"/>
        <s v="Nicole Williams"/>
        <s v="Ricky Palmer"/>
        <s v="Bryan King"/>
        <s v="Michael Webster"/>
        <s v="Tamara Harris"/>
        <s v="Cathy Bell"/>
        <s v="Ryan Mcmahon"/>
        <s v="Monica Allen"/>
        <s v="Annette Lane"/>
        <s v="Daniel Lee"/>
        <s v="Steven Medina"/>
        <s v="Annette Lewis"/>
        <s v="Michelle Richardson"/>
        <s v="Jessica Rosario"/>
        <s v="Henry Gray"/>
        <s v="Darren Rodriguez"/>
        <s v="Mrs. Ashley Taylor"/>
        <s v="Michele Hawkins"/>
        <s v="Garrett Wilson"/>
        <s v="Kyle Collins"/>
        <s v="Jill Spencer"/>
        <s v="Scott Lopez"/>
        <s v="Ryan Alvarez"/>
        <s v="Cassie Lutz"/>
        <s v="Brian Kim DDS"/>
        <s v="Charles Morales"/>
        <s v="Ashley Schaefer"/>
        <s v="Amy Hester"/>
        <s v="Kurt Ewing"/>
        <s v="Ryan Hardy"/>
        <s v="Micheal Perkins"/>
        <s v="Richard Schneider"/>
        <s v="John Morrison"/>
        <s v="John Ramirez"/>
        <s v="Ashley King"/>
        <s v="Mark Taylor Jr."/>
        <s v="Barry Gregory"/>
        <s v="Janet Shelton"/>
        <s v="Marco Davis"/>
        <s v="Paul Saunders"/>
        <s v="Christina Bates"/>
        <s v="Dennis Cooper PhD"/>
        <s v="Tiffany Johnson"/>
        <s v="Thomas Reyes"/>
        <s v="James Stevens"/>
        <s v="Justin Dalton"/>
        <s v="Mike Freeman"/>
        <s v="Michael Keller"/>
        <s v="Laura Alvarez"/>
        <s v="Katie Myers"/>
        <s v="Wesley Jensen MD"/>
        <s v="Russell Bailey"/>
        <s v="Alyssa Vance"/>
        <s v="Brent Reed"/>
        <s v="Gregory Stanley"/>
        <s v="Matthew Watkins"/>
        <s v="Ana Torres"/>
        <s v="Alejandro Nguyen"/>
        <s v="Scott Bradley"/>
        <s v="Deborah Dominguez"/>
        <s v="Victoria Gray"/>
        <s v="Kenneth Stokes"/>
        <s v="Michael Rogers"/>
        <s v="Pamela Morgan"/>
        <s v="Heidi Graham"/>
        <s v="Ryan Cobb PhD"/>
        <s v="Donna Williams"/>
        <s v="Jennifer Perez PhD"/>
        <s v="Ryan Davis"/>
        <s v="Austin Solis"/>
        <s v="Daniel Flynn"/>
        <s v="Elizabeth Brock"/>
        <s v="Joshua Gonzalez"/>
        <s v="Mario Chavez"/>
        <s v="Catherine Smith"/>
        <s v="Shari Ray"/>
        <s v="Victor Harmon"/>
        <s v="Timothy Patel"/>
        <s v="Patricia Hamilton"/>
        <s v="Lori Boyd"/>
        <s v="Elizabeth Graham"/>
        <s v="Ronald Brown"/>
        <s v="Jason Colon"/>
        <s v="Dawn Burke"/>
        <s v="Ronald Marshall"/>
        <s v="Jessica Lucas"/>
        <s v="Christopher Taylor"/>
        <s v="Robert Hopkins"/>
        <s v="Samuel Stuart"/>
        <s v="Mr. Scott Miller"/>
        <s v="Sharon Lester"/>
        <s v="Jack Sandoval"/>
        <s v="Tony Ramsey"/>
        <s v="Brian Navarro"/>
        <s v="Kelly Calderon"/>
        <s v="Tara King"/>
        <s v="Cynthia Martinez"/>
        <s v="Erin Silva"/>
        <s v="Paul Young"/>
        <s v="Charles Thompson"/>
        <s v="Jessica King"/>
        <s v="Katherine Brooks"/>
        <s v="Emily Coleman"/>
        <s v="Tracey Suarez"/>
        <s v="Heidi Baldwin"/>
        <s v="Alisha Rasmussen"/>
        <s v="Sarah Bates"/>
        <s v="Melissa Mccormick"/>
        <s v="Juan Parker"/>
        <s v="Heidi Burnett"/>
        <s v="Sean Mathews"/>
        <s v="Theodore Long"/>
        <s v="Dawn Davis"/>
        <s v="Cynthia Clark"/>
        <s v="Sydney Welch"/>
        <s v="Pamela Sullivan"/>
        <s v="Sean Morrow"/>
        <s v="Kaitlin Gutierrez"/>
        <s v="Michelle Mcdowell"/>
        <s v="Samantha Hale"/>
        <s v="Heather Guzman"/>
        <s v="Nancy Chavez"/>
        <s v="Anthony May"/>
        <s v="Rachel Taylor"/>
        <s v="Mark Edwards"/>
        <s v="Christopher Black"/>
        <s v="Sandra Hines"/>
        <s v="Melissa Sparks"/>
        <s v="John Moss"/>
        <s v="Michael Serrano"/>
        <s v="Christina Perry"/>
        <s v="Shawn Duffy"/>
        <s v="Courtney Vaughan"/>
        <s v="Maria Sims"/>
        <s v="Valerie Gonzalez"/>
        <s v="Caroline Morales"/>
        <s v="Travis Wilson"/>
        <s v="Jessica Mora"/>
        <s v="Michael Wilson"/>
        <s v="Cheryl Atkins"/>
        <s v="Donna Snyder"/>
        <s v="Scott Greene"/>
        <s v="Diane Byrd MD"/>
        <s v="Charles Roberts"/>
        <s v="Luke Solomon"/>
        <s v="Michael Ellis"/>
        <s v="Casey Morris"/>
        <s v="Melissa Reeves"/>
        <s v="Nancy Scott"/>
        <s v="Anthony Cook"/>
        <s v="Terry Barajas"/>
        <s v="Tracy George"/>
        <s v="Amber King"/>
        <s v="Elizabeth Foster"/>
        <s v="Walter Hansen"/>
        <s v="Debbie Gordon"/>
        <s v="Sherry Anderson"/>
        <s v="Joseph Thomas"/>
        <s v="Andrew Anderson"/>
        <s v="Sandy Adkins"/>
        <s v="Pam Baker"/>
        <s v="Steven Stewart"/>
        <s v="Pamela Hernandez DVM"/>
        <s v="Rebecca Brown"/>
        <s v="David Johnson"/>
        <s v="Michael Graham"/>
        <s v="Tammy Williams MD"/>
        <s v="Karina Vasquez"/>
        <s v="Sharon Martinez"/>
        <s v="Sean White"/>
        <s v="Jordan Nelson"/>
        <s v="Laurie Silva"/>
        <s v="Kelly Duncan"/>
        <s v="Billy Tate"/>
        <s v="Stacy Johnson"/>
        <s v="Melanie Long"/>
        <s v="Tiffany Hood"/>
        <s v="Brad Rivas"/>
        <s v="Jordan Moses"/>
        <s v="Abigail Booker"/>
        <s v="Tiffany Nguyen"/>
        <s v="Morgan Bernard"/>
        <s v="Christine Williams"/>
        <s v="Erica Brown"/>
        <s v="Trevor James"/>
        <s v="Christopher Hanna"/>
        <s v="Ann Phelps"/>
        <s v="Richard Mitchell"/>
        <s v="Martha Martinez"/>
        <s v="Jeffrey Drake MD"/>
        <s v="Bonnie Wade"/>
        <s v="Kayla Burns"/>
        <s v="Karen Hart"/>
        <s v="Peter Shepherd"/>
        <s v="Jessica Simmons"/>
        <s v="Glenn Ford"/>
        <s v="Michael Moore"/>
        <s v="Mark Warren IV"/>
        <s v="Terry Woods"/>
        <s v="Carl Leach"/>
        <s v="Kelly Phillips"/>
        <s v="Billy Williams"/>
        <s v="Jeffery Davis"/>
        <s v="Laura King"/>
        <s v="Brad Gordon"/>
        <s v="Matthew White"/>
        <s v="Elizabeth Matthews"/>
        <s v="Michael Hanson"/>
        <s v="Vincent Savage"/>
        <s v="Cody Burgess"/>
        <s v="Shelby Rodriguez"/>
        <s v="Abigail Wilson"/>
        <s v="John Holt"/>
        <s v="Tracy Guzman"/>
        <s v="Mr. William Ward"/>
        <s v="Melissa Foster"/>
        <s v="Calvin Smith"/>
        <s v="Alan Waller"/>
        <s v="Christine Wong"/>
        <s v="Jessica Garrett"/>
        <s v="Cheryl Turner"/>
        <s v="John Johnson"/>
        <s v="Christian Park"/>
        <s v="Kaitlyn Heath"/>
        <s v="Christina Hudson"/>
        <s v="Amber Smith"/>
        <s v="Michelle Petty"/>
        <s v="Nancy Larson"/>
        <s v="Donna Freeman"/>
        <s v="Mr. Logan Gregory"/>
        <s v="Katherine Klein"/>
        <s v="Jennifer Stewart"/>
        <s v="Steven Butler"/>
        <s v="Johnny Mcmillan"/>
        <s v="Corey Cooper"/>
        <s v="Daniel Stout"/>
        <s v="Lance Kirby"/>
        <s v="Bonnie Carter"/>
        <s v="Toni Whitaker"/>
        <s v="Morgan Flynn"/>
        <s v="Sarah Howell"/>
        <s v="Paul Estrada"/>
        <s v="Curtis Obrien"/>
        <s v="Jason Chaney"/>
        <s v="Daniel Williams"/>
        <s v="Stanley Kelly"/>
        <s v="Ronald Kline"/>
        <s v="Arthur Jordan"/>
        <s v="Barbara Walker"/>
        <s v="Gerald Kelly"/>
        <s v="Shawn Adams"/>
        <s v="Michael Robertson"/>
        <s v="Michelle House"/>
        <s v="Jim Skinner"/>
        <s v="Brian Bishop"/>
        <s v="Theresa Colon"/>
        <s v="Brian Soto"/>
        <s v="Susan Moore"/>
        <s v="Jeremy Hunter"/>
        <s v="Annette Holland"/>
        <s v="Chad Allison"/>
        <s v="Jason Mack"/>
        <s v="Robert Peterson"/>
        <s v="Angela Watson"/>
        <s v="Heather Ortega"/>
        <s v="Paul Fisher"/>
        <s v="Robert Gutierrez"/>
        <s v="Jimmy Phelps"/>
        <s v="Heidi Johnson"/>
        <s v="Adam Drake"/>
        <s v="Angela Edwards"/>
        <s v="Mrs. Amy Malone"/>
        <s v="Margaret Orr"/>
        <s v="Mark Reeves"/>
        <s v="Michael Spencer"/>
        <s v="Patrick Blankenship"/>
        <s v="Douglas Rose"/>
        <s v="Melody Griffin"/>
        <s v="Joshua Kramer"/>
        <s v="Melissa Barron"/>
        <s v="Jennifer Gonzalez"/>
        <s v="Andrew Cook"/>
        <s v="Natalie Martinez"/>
        <s v="Diane Davis DDS"/>
        <s v="Nicole Moore"/>
        <s v="Robert Vargas"/>
        <s v="Raymond Barber"/>
        <s v="Mrs. Amy Watson"/>
        <s v="Belinda Evans"/>
        <s v="Jody Bird"/>
        <s v="Virginia Cunningham"/>
        <s v="Lori Ferguson"/>
        <s v="Hayley Mitchell"/>
        <s v="Michelle Chambers"/>
        <s v="Kelly Wright"/>
        <s v="Kevin Carson"/>
        <s v="Brent Dawson"/>
        <s v="Karen Griffin"/>
        <s v="Joseph Chapman"/>
        <s v="Jennifer Baker"/>
        <s v="Mr. Jeremiah Galvan MD"/>
        <s v="Samantha Thomas"/>
        <s v="Sharon Wilson"/>
        <s v="John Francis"/>
        <s v="Jaclyn Crane"/>
        <s v="Jennifer Martinez"/>
        <s v="Amanda Hernandez"/>
        <s v="William Turner"/>
        <s v="Dr. Charles Lawrence"/>
        <s v="Steven Small"/>
        <s v="Robert Burns"/>
        <s v="Gregory Harrell"/>
        <s v="Rachael Alvarez"/>
        <s v="Lisa Gill"/>
        <s v="Julia Cole"/>
        <s v="Sean Nguyen"/>
        <s v="Mary Ortiz"/>
        <s v="James Weaver"/>
        <s v="Stacy Fitzgerald"/>
        <s v="Sharon Mann"/>
        <s v="Rebecca Zimmerman"/>
        <s v="Becky Hansen"/>
        <s v="Luke Ray"/>
        <s v="Kelly Lopez"/>
        <s v="Steven Martinez"/>
        <s v="Danielle Thornton"/>
        <s v="Jill Roman"/>
        <s v="Jennifer Williams"/>
        <s v="Allison Kim"/>
        <s v="Scott Stewart"/>
        <s v="Brian Garcia"/>
        <s v="Charles Scott"/>
        <s v="Eric Russell"/>
        <s v="Lucas Nguyen"/>
        <s v="Anthony Price"/>
        <s v="Jason Nguyen"/>
        <s v="Ronald Martinez"/>
        <s v="Paul Willis"/>
        <s v="Paul Cruz Jr."/>
        <s v="John Russell"/>
        <s v="Mr. David Mercado"/>
        <s v="Victor Leonard"/>
        <s v="Justin Glover"/>
        <s v="Jason Miller"/>
        <s v="Christina Faulkner"/>
        <s v="William Casey"/>
        <s v="Jessica Buck"/>
        <s v="Aaron Marshall"/>
        <s v="Donna Stanton"/>
        <s v="Timothy Olson"/>
        <s v="Sara James"/>
        <s v="Mark Richards"/>
        <s v="Amber Stevenson"/>
        <s v="Charles Hawkins"/>
        <s v="Jeffrey Bishop"/>
        <s v="Emily Fleming"/>
        <s v="Dean Mullins"/>
        <s v="David Bird"/>
        <s v="Joe Greene"/>
        <s v="Michael Lucas"/>
        <s v="John Valenzuela"/>
        <s v="Jennifer Woodard"/>
        <s v="Pamela Medina"/>
        <s v="Mariah Jones"/>
        <s v="Ronnie Powers"/>
        <s v="Heather Hess"/>
        <s v="Heather Thompson"/>
        <s v="Melissa Smith"/>
        <s v="Timothy Wallace"/>
        <s v="Alejandro Campbell"/>
        <s v="Heather Davis"/>
        <s v="Elizabeth Robbins"/>
        <s v="Johnny Cox"/>
        <s v="Tanner Mann"/>
        <s v="Craig Nicholson"/>
        <s v="Sergio Carroll"/>
        <s v="Juan Keller MD"/>
        <s v="Krystal Jones"/>
        <s v="Austin Green"/>
        <s v="Crystal Mills"/>
        <s v="Cheryl Gregory"/>
        <s v="Melissa Patel MD"/>
        <s v="Jordan Pace"/>
        <s v="Terri Williams"/>
        <s v="Jessica Carney"/>
        <s v="Michael Owens"/>
        <s v="Peter Stephenson"/>
        <s v="Donald Fisher"/>
        <s v="Aaron Lee"/>
        <s v="Kenneth Johnson"/>
        <s v="Vanessa Coleman"/>
        <s v="David Martin"/>
        <s v="Mark Davis"/>
        <s v="Robert Watkins"/>
        <s v="Felicia Wright"/>
        <s v="David Peterson"/>
        <s v="Gavin Bauer"/>
        <s v="Patricia Harvey"/>
        <s v="Lori Riley"/>
        <s v="Antonio Johnson"/>
        <s v="Ryan Brown"/>
        <s v="Thomas Ramos"/>
        <s v="Mark Jones"/>
        <s v="Kristin Phillips"/>
        <s v="Brendan Walton"/>
        <s v="Kyle Keller"/>
        <s v="James Pope"/>
        <s v="Lisa Morgan"/>
        <s v="Rachel Gibson"/>
        <s v="Corey Garcia"/>
        <s v="Andrea Clarke"/>
        <s v="Kenneth Walsh"/>
        <s v="Jason Hardy"/>
        <s v="David Robles"/>
        <s v="Eric Graham"/>
        <s v="Nicole Collins"/>
        <s v="Patricia Hernandez"/>
        <s v="Grant Wood"/>
        <s v="Kevin Gregory"/>
        <s v="Jonathon Conley"/>
        <s v="Terry Glover"/>
        <s v="Michael Neal"/>
        <s v="Ms. Erin Lane"/>
        <s v="Jesse Mccormick"/>
        <s v="Daniel Smith"/>
        <s v="David Hanson"/>
        <s v="Nicholas Cisneros"/>
        <s v="Patrick Harris"/>
        <s v="William Cox"/>
        <s v="Alvin Wilson"/>
        <s v="Cory Willis"/>
        <s v="Amanda Johnson"/>
        <s v="Christopher Mcclure"/>
        <s v="Gina Spencer"/>
        <s v="Alex Cameron"/>
        <s v="Alisha Byrd"/>
        <s v="Elizabeth Allen"/>
        <s v="Mary Pugh"/>
        <s v="Yolanda Keith"/>
        <s v="Ana Thomas"/>
        <s v="Rebecca Lee"/>
        <s v="James Greene"/>
        <s v="Dana Williams"/>
        <s v="Chelsea Nichols"/>
        <s v="Erin Brown"/>
        <s v="Shelley York"/>
        <s v="Stacey Clark"/>
        <s v="John Alvarado"/>
        <s v="Jordan Potter"/>
        <s v="Katrina Jimenez"/>
        <s v="Frank Brooks"/>
        <s v="Michelle Simpson"/>
        <s v="James Morse"/>
        <s v="Amanda Robinson"/>
        <s v="Scott Foster"/>
        <s v="Stephen Duncan"/>
        <s v="Jacqueline Pierce"/>
        <s v="Bradley Wallace"/>
        <s v="Kevin Marshall"/>
        <s v="Jessica Mcdonald"/>
        <s v="Robert Stewart"/>
        <s v="Christopher Hall"/>
        <s v="Heather Miller"/>
        <s v="Kayla Schneider"/>
        <s v="Tammy Garcia"/>
        <s v="Andrew Gonzalez"/>
        <s v="Gary Turner"/>
        <s v="Melinda Hill"/>
        <s v="Yolanda Murillo"/>
        <s v="Nancy Gaines"/>
        <s v="Elijah Short"/>
        <s v="Jennifer Sullivan"/>
        <s v="Mary Kennedy"/>
        <s v="Paige Hernandez"/>
        <s v="Darrell Curry"/>
        <s v="Jose Hartman"/>
        <s v="Miranda Murray"/>
        <s v="Emily Lopez"/>
        <s v="Melissa Clark"/>
        <s v="Justin Brooks"/>
        <s v="Bethany Harding"/>
        <s v="Robert Flowers"/>
        <s v="Jason Jennings"/>
        <s v="Richard Medina"/>
        <s v="Alexander Floyd"/>
        <s v="Brittany Cisneros"/>
        <s v="Mark Morrison"/>
        <s v="Sharon Baird"/>
        <s v="James Ferguson"/>
        <s v="Brian Hudson"/>
        <s v="Steven Davis"/>
        <s v="Juan Johnson"/>
        <s v="Katherine Lopez"/>
        <s v="Victor Campbell"/>
        <s v="Matthew Jones"/>
        <s v="Joseph Jackson"/>
        <s v="Jennifer Moore"/>
        <s v="Joshua Mendoza"/>
        <s v="Troy Glenn"/>
        <s v="Daniel Reynolds"/>
        <s v="Karen Munoz"/>
        <s v="Laurie Shaw"/>
        <s v="Desiree Smith"/>
        <s v="Austin Ross"/>
        <s v="Kelly Kent"/>
        <s v="Julia Johnston"/>
        <s v="Donna Ibarra"/>
        <s v="Michael Dawson"/>
        <s v="Louis Patrick"/>
        <s v="David Yoder"/>
        <s v="Judith Bartlett"/>
        <s v="Keith Long"/>
        <s v="Cynthia Harrell"/>
        <s v="Mark Carter"/>
        <s v="Melissa Bowen"/>
        <s v="Johnny Riddle"/>
        <s v="Whitney Jones"/>
        <s v="Randall Nguyen"/>
        <s v="David Hunter"/>
        <s v="Benjamin Neal"/>
        <s v="Jane Reese"/>
        <s v="Jennifer Smith"/>
        <s v="Thomas Murphy"/>
        <s v="Kari Jones"/>
        <s v="Dana Dodson"/>
        <s v="Robert Skinner"/>
        <s v="Albert Garcia"/>
        <s v="Joseph Myers"/>
        <s v="Phillip Byrd"/>
        <s v="Hunter Robinson"/>
        <s v="Michael Robinson"/>
        <s v="Sara Cain"/>
        <s v="Michelle Prince"/>
        <s v="Raymond Wang"/>
        <s v="Jade Allen"/>
        <s v="Javier Hays"/>
        <s v="Corey Caldwell"/>
        <s v="Stephen Robles"/>
        <s v="Carol Jackson"/>
        <s v="Brian Murphy"/>
        <s v="Chelsey Clark"/>
        <s v="Teresa Martinez"/>
        <s v="Howard Thompson"/>
        <s v="Eugene Price"/>
        <s v="Austin Briggs"/>
        <s v="Jackie Jones"/>
        <s v="Eric George"/>
        <s v="Mrs. Kimberly Mooney"/>
        <s v="Carolyn Haley"/>
        <s v="Vicki Horton"/>
        <s v="Valerie Benson"/>
        <s v="Mark Henson"/>
        <s v="Samuel Olson"/>
        <s v="Lee Richards"/>
        <s v="Martin Hall"/>
        <s v="Virginia Hall"/>
        <s v="Stephanie Parker"/>
        <s v="Nicole Harvey"/>
        <s v="James Phillips"/>
        <s v="Dan Johnson"/>
        <s v="Linda Bautista"/>
        <s v="Erin Ramirez"/>
        <s v="Paige Meyer"/>
        <s v="Maria Roberts"/>
        <s v="Ryan Rivera"/>
        <s v="Joshua Knox"/>
        <s v="Danielle Mcdaniel"/>
        <s v="Lisa James"/>
        <s v="Jeremy Smith"/>
        <s v="Andrea Lee"/>
        <s v="Brenda Harris"/>
        <s v="Kevin Guerra"/>
        <s v="Cynthia Miller"/>
        <s v="Emily Griffith"/>
        <s v="Christopher Wright"/>
        <s v="Jerome Reid"/>
        <s v="Richard Miller"/>
        <s v="Jennifer Jackson"/>
        <s v="Jonathan Moss"/>
        <s v="Sally Leon"/>
        <s v="James Dickerson"/>
        <s v="Tammy Larson"/>
        <s v="Nicholas Scott"/>
        <s v="Jesse Brooks"/>
        <s v="Andrea Taylor"/>
        <s v="Christopher Lopez"/>
        <s v="Jonathan Swanson"/>
        <s v="Timothy Bentley DVM"/>
        <s v="John Davidson"/>
        <s v="Janice Cunningham"/>
        <s v="Jeffrey Scott"/>
        <s v="Miranda Hicks"/>
        <s v="Michael Horton DDS"/>
        <s v="Nancy Allen"/>
        <s v="Robert Mccoy"/>
        <s v="Jesus Becker"/>
        <s v="Lance Lynn"/>
        <s v="Alexandria Wise"/>
        <s v="Sydney Sanders"/>
        <s v="Stephanie Stone"/>
        <s v="Jay Gallegos"/>
        <s v="Eric Ponce"/>
        <s v="Janet Parker"/>
        <s v="Shawn Luna"/>
        <s v="Mark Frank"/>
        <s v="Charles Goodman"/>
        <s v="Jennifer Parker"/>
        <s v="Dr. April Jones"/>
        <s v="Kelly Pena"/>
        <s v="Carolyn Brooks"/>
        <s v="Christina White"/>
        <s v="Joanne Olsen"/>
        <s v="Anthony White"/>
        <s v="Deanna Barrera"/>
        <s v="Mark Weber"/>
        <s v="Carol Carter"/>
        <s v="Donald Peterson"/>
        <s v="Karen Chambers"/>
        <s v="Antonio Walton"/>
        <s v="Kevin Huerta"/>
        <s v="Victoria Juarez"/>
        <s v="Kara Rogers"/>
        <s v="Jacob Wu"/>
        <s v="Dr. Teresa Ortega MD"/>
        <s v="Henry Rivera"/>
        <s v="Jesus Hale"/>
        <s v="Stacy Taylor"/>
        <s v="Sheila Ramirez"/>
        <s v="Robin Richardson"/>
        <s v="Mary Alvarez"/>
        <s v="Cole Andersen"/>
        <s v="Robin Smith"/>
        <s v="Angel Aguirre"/>
        <s v="Jeremy Lawson"/>
        <s v="Lonnie Miller"/>
        <s v="Timothy Galvan"/>
        <s v="Dr. Susan Navarro"/>
        <s v="Cory Thomas"/>
        <s v="Laura Vincent"/>
        <s v="Bethany Robles"/>
        <s v="Michael Dunn"/>
        <s v="Carol Griffin"/>
        <s v="Matthew Allen"/>
        <s v="Paul Keller"/>
        <s v="Jeffrey Baldwin"/>
        <s v="Timothy Orr"/>
        <s v="Connie Scott"/>
        <s v="Joseph Swanson"/>
        <s v="Michael Wiggins"/>
        <s v="Pamela Burke"/>
        <s v="Jamie Love"/>
        <s v="Jane May"/>
        <s v="Savannah Stokes"/>
        <s v="Brian Miller"/>
        <s v="Patrick Pineda"/>
        <s v="Audrey Richardson"/>
        <s v="Tiffany Ray"/>
        <s v="Antonio Nichols"/>
        <s v="Veronica Flores"/>
        <s v="Michael Hogan"/>
        <s v="Lindsay Walker"/>
        <s v="Joshua Murray"/>
        <s v="Tommy Hood"/>
        <s v="Mr. Kyle Thomas DDS"/>
        <s v="Michele George"/>
        <s v="William Martinez"/>
        <s v="Michelle Mendoza DVM"/>
        <s v="Michael Bennett DVM"/>
        <s v="Ronald Clark"/>
        <s v="Rita Graves"/>
        <s v="Mr. William Hopkins"/>
        <s v="Wendy Kelley"/>
        <s v="Michael Mooney"/>
        <s v="Jeanne Rose"/>
        <s v="Michael Lee"/>
        <s v="Jennifer Anderson"/>
        <s v="Lauren Trujillo"/>
        <s v="Michelle Ellis"/>
        <s v="Chad Dominguez"/>
        <s v="Charles Robinson"/>
        <s v="Nancy Smith"/>
        <s v="Laura Gregory"/>
        <s v="Brittany Clements MD"/>
        <s v="Tammy Davis"/>
        <s v="Catherine Williams"/>
        <s v="Miss Leslie Booker"/>
        <s v="Jennifer Johnson"/>
        <s v="John Watts"/>
        <s v="Marissa Bennett"/>
        <s v="Rebecca Barrett"/>
        <s v="Sharon Santos"/>
        <s v="Matthew Richardson"/>
        <s v="Bradley Burns"/>
        <s v="Katrina Johnson"/>
        <s v="Laura Hill"/>
        <s v="Rebecca White"/>
        <s v="Mr. Jeffrey Duncan"/>
        <s v="Arthur Stout"/>
        <s v="Cathy Hess"/>
        <s v="Justin Herrera"/>
        <s v="Katherine Stone"/>
        <s v="Michelle Tyler"/>
        <s v="Paul Sheppard"/>
        <s v="Catherine George"/>
        <s v="Justin Mcbride"/>
        <s v="Carl Harris"/>
        <s v="Justin York"/>
        <s v="William Hunter"/>
        <s v="Joshua Henderson"/>
        <s v="April Turner"/>
        <s v="Kelly Patton"/>
        <s v="Jill Ray"/>
        <s v="Kelly Andersen"/>
        <s v="Robert Young"/>
        <s v="Elijah Wall"/>
        <s v="Lindsey Robinson"/>
        <s v="Carl Dean"/>
        <s v="David James"/>
        <s v="Jennifer Miller"/>
        <s v="Jeffery Neal"/>
        <s v="Andrea Oconnor"/>
        <s v="Melissa Lee MD"/>
        <s v="Samantha Jacobs"/>
        <s v="Christian Riddle"/>
        <s v="Alexander Munoz"/>
        <s v="Caleb Rodriguez"/>
        <s v="Andrea Bowman"/>
        <s v="Gavin Nelson"/>
        <s v="Wayne Gray"/>
        <s v="Timothy Thompson"/>
        <s v="Elizabeth Nicholson"/>
        <s v="Joseph Graves PhD"/>
        <s v="Lisa Mosley"/>
        <s v="Travis Price"/>
        <s v="Patrick Faulkner"/>
        <s v="Linda Atkinson"/>
        <s v="Cameron Smith"/>
        <s v="Brittney Martinez"/>
        <s v="Nicolas Brown"/>
        <s v="Vanessa Zimmerman"/>
        <s v="Lee Mann"/>
        <s v="William Lindsey"/>
        <s v="Desiree Patterson"/>
        <s v="Sierra Cervantes"/>
        <s v="Scott Meza"/>
        <s v="Erik Davis"/>
        <s v="Nicholas Duffy"/>
        <s v="Anthony Paul"/>
        <s v="Katherine Baxter"/>
        <s v="Jessica Romero"/>
        <s v="Karen Robertson"/>
        <s v="Dr. Melissa Sullivan DDS"/>
        <s v="Nichole Klein"/>
        <s v="Nicole Sanchez"/>
        <s v="Tiffany Morrow"/>
        <s v="Kelsey Lynch"/>
        <s v="Traci Craig"/>
        <s v="Kelly Walker"/>
        <s v="Ryan Palmer"/>
        <s v="Jenny Gray"/>
        <s v="Brian Sloan"/>
        <s v="Joshua Miranda"/>
        <s v="Edwin Carter"/>
        <s v="Oscar Carroll"/>
        <s v="Eric Fitzpatrick"/>
        <s v="Samantha Johnson"/>
        <s v="Luke Freeman"/>
        <s v="Luis Murphy"/>
        <s v="Aaron Zamora"/>
        <s v="Henry Garcia"/>
        <s v="Bradley Robertson Jr."/>
        <s v="John Moore"/>
        <s v="Courtney Foster"/>
        <s v="Jeffrey White"/>
        <s v="Ashley Gonzales"/>
        <s v="Candice Gomez"/>
        <s v="Ian Harrell"/>
        <s v="Colton Williams"/>
        <s v="Patrick Santana"/>
        <s v="Cristian Mendoza"/>
        <s v="Deborah Fisher"/>
        <s v="Rebecca Klein"/>
        <s v="Phillip Macias"/>
        <s v="Tammy Cameron"/>
        <s v="Cynthia Gregory"/>
        <s v="William Mclaughlin"/>
        <s v="Dylan Tucker"/>
        <s v="Danielle Hernandez"/>
        <s v="Danielle Wang"/>
        <s v="Wendy Wright"/>
        <s v="Christina Mccarthy"/>
        <s v="Meredith Shaw"/>
        <s v="Willie Garza"/>
        <s v="Crystal Anderson"/>
        <s v="William Hickman"/>
        <s v="Luis Davis"/>
        <s v="Jason Torres"/>
        <s v="Crystal Rogers"/>
        <s v="Jordan Schneider"/>
        <s v="Derrick Ramirez"/>
        <s v="Jason Flores"/>
        <s v="Andrew Williams"/>
        <s v="Christy Kennedy"/>
        <s v="Ashlee Lopez"/>
        <s v="Heidi Torres"/>
        <s v="Adam Arnold"/>
        <s v="Erin Figueroa"/>
        <s v="Richard Rice"/>
        <s v="Matthew Clark"/>
        <s v="Stephen Anderson"/>
        <s v="Barbara Willis"/>
        <s v="Martha Lee"/>
        <s v="Tammy Jones"/>
        <s v="Grace Swanson"/>
        <s v="Christina Le MD"/>
        <s v="Joshua King"/>
        <s v="Sarah Meadows"/>
        <s v="Stephanie West"/>
        <s v="Susan Jones"/>
        <s v="Timothy Gordon"/>
        <s v="Kyle Horton"/>
        <s v="Angel Knight"/>
        <s v="Melissa Yang"/>
        <s v="Michael Berg"/>
        <s v="Carol Christensen"/>
        <s v="Richard Morales"/>
        <s v="Clinton Moore"/>
        <s v="Michael Suarez"/>
        <s v="Joy Zimmerman"/>
        <s v="Elizabeth Robinson"/>
        <s v="Kristen Jackson"/>
        <s v="David Williams"/>
        <s v="Stephen Ho"/>
        <s v="Richard Day"/>
        <s v="Rodney Nichols"/>
        <s v="Gregory Jacobs"/>
        <s v="Bradley Thornton"/>
        <s v="Miranda Ortiz"/>
        <s v="Erika Brown"/>
        <s v="Samantha Robinson"/>
        <s v="Cassandra Bonilla"/>
        <s v="Veronica Osborne"/>
        <s v="Ashley Reese"/>
        <s v="Matthew Berg"/>
        <s v="Kristen Montoya"/>
        <s v="Derrick Perkins"/>
        <s v="Nicholas Richardson"/>
        <s v="Anna White"/>
        <s v="Nicholas Holland Jr."/>
        <s v="Christopher Long"/>
        <s v="Andrea Jones"/>
        <s v="Terry Waller"/>
        <s v="Joseph Acosta"/>
        <s v="Lindsey Gray"/>
        <s v="Ronald Hines"/>
        <s v="Amanda Wright"/>
        <s v="Charles Burton"/>
        <s v="Vincent Rosario"/>
        <s v="Noah Morgan"/>
        <s v="Christina Castillo"/>
        <s v="Jill Martin"/>
        <s v="Christopher Brown"/>
        <s v="Lori Martinez"/>
        <s v="Ashley Phillips"/>
        <s v="Sara Thomas"/>
        <s v="Allison Simmons"/>
        <s v="Matthew Perez"/>
        <s v="Janice Henson"/>
        <s v="Ashley Jackson"/>
        <s v="Brian Sosa"/>
        <s v="Luis Wilson"/>
        <s v="Tamara Huang"/>
        <s v="Cassandra Moreno"/>
        <s v="Meghan Hernandez"/>
        <s v="Elizabeth Roth"/>
        <s v="Brian Hendricks"/>
        <s v="Tasha Cochran"/>
        <s v="Angela Smith"/>
        <s v="Brittany Rios"/>
        <s v="James Griffith"/>
        <s v="Karen Jones"/>
        <s v="Tina Ramirez"/>
        <s v="Zachary White"/>
        <s v="Francisco Coleman"/>
        <s v="Jennifer Leon"/>
        <s v="Robert Valdez"/>
        <s v="Kim Underwood"/>
        <s v="Kevin Fisher"/>
        <s v="Melissa Goodman"/>
        <s v="Cynthia Smith"/>
        <s v="Alicia Grant DVM"/>
        <s v="Amy Bailey"/>
        <s v="Sharon Fuentes"/>
        <s v="Charles Castaneda"/>
        <s v="Susan Sanchez"/>
        <s v="Amy Taylor"/>
        <s v="Michele Bennett"/>
        <s v="Vincent Watson"/>
        <s v="Mary Jones"/>
        <s v="Sheila Johnson"/>
        <s v="Bob Jones"/>
        <s v="Robin Hernandez"/>
        <s v="Patrick Adkins"/>
        <s v="Elizabeth Jenkins"/>
        <s v="Richard Dominguez"/>
        <s v="Christopher Ibarra"/>
        <s v="Paul Gordon"/>
        <s v="Ronnie Frazier"/>
        <s v="Kristen Gallegos"/>
        <s v="Kathryn Fletcher"/>
        <s v="Christopher Dudley"/>
        <s v="Vanessa Martinez"/>
        <s v="Manuel Robinson"/>
        <s v="Paul Hansen"/>
        <s v="Rose Mcdonald"/>
        <s v="Martin Wilcox"/>
        <s v="Robert Lucas"/>
        <s v="Sarah Johnson"/>
        <s v="Joshua Jones"/>
        <s v="Nicole Parker"/>
        <s v="Margaret Johnson"/>
        <s v="William Cunningham"/>
        <s v="Rachel Williams"/>
        <s v="Tony Smith"/>
        <s v="Douglas Sanders"/>
        <s v="Paul Swanson"/>
        <s v="Michele Davis"/>
        <s v="Patrick Garcia"/>
        <s v="Brittany Matthews"/>
        <s v="Kevin Christian"/>
        <s v="Christian Ford"/>
        <s v="Anna Higgins"/>
        <s v="Rhonda Pena"/>
        <s v="Candace Stuart"/>
        <s v="Monica Curtis"/>
        <s v="Gloria Floyd"/>
        <s v="Isaac Chase"/>
        <s v="Steven Schroeder"/>
        <s v="Daniel Bishop"/>
        <s v="Christian Burton"/>
        <s v="Robert Thomas PhD"/>
        <s v="Tracy Harrington"/>
        <s v="Brandon Edwards"/>
        <s v="Candice Ramirez"/>
        <s v="Brandon White"/>
        <s v="Deanna Kennedy"/>
        <s v="Shawn Santos"/>
        <s v="Caleb Carroll"/>
        <s v="Scott Morales"/>
        <s v="Sylvia Anderson"/>
        <s v="Ryan Crane"/>
        <s v="Michael Hunter"/>
        <s v="Shawn Fleming"/>
        <s v="Maria Figueroa"/>
        <s v="Roberto Smith"/>
        <s v="Donna Moore"/>
        <s v="Benjamin Price"/>
        <s v="Brandon Owens"/>
        <s v="Stephanie Marshall"/>
        <s v="Nicholas Lowery"/>
        <s v="Patricia Gonzalez"/>
        <s v="Evan Davies"/>
        <s v="Dr. John Ramirez"/>
        <s v="Christopher Harrison"/>
        <s v="Jamie Mayer"/>
        <s v="Jeffrey Kennedy"/>
        <s v="Sean Cisneros"/>
        <s v="Debra Reid"/>
        <s v="Benjamin Sullivan"/>
        <s v="Michael Savage"/>
        <s v="Mckenzie Green"/>
        <s v="Anna Valenzuela"/>
        <s v="Paul Martin"/>
        <s v="Jason Alvarez"/>
        <s v="Caitlyn Horton"/>
        <s v="Michael Price"/>
      </sharedItems>
    </cacheField>
    <cacheField name="City" numFmtId="0">
      <sharedItems count="15">
        <s v="Shanghai"/>
        <s v="Mexico City"/>
        <s v="Berlin"/>
        <s v="Mumbai"/>
        <s v="Los Angeles"/>
        <s v="Sydney"/>
        <s v="Paris"/>
        <s v="London"/>
        <s v="Toronto"/>
        <s v="Dubai"/>
        <s v="São Paulo"/>
        <s v="Tokyo"/>
        <s v="Cape Town"/>
        <s v="New York"/>
        <s v="Singapore"/>
      </sharedItems>
    </cacheField>
    <cacheField name="Product" numFmtId="0">
      <sharedItems count="20">
        <s v="Orange Juice"/>
        <s v="Chocolate Bar"/>
        <s v="Toothpaste"/>
        <s v="Coca-Cola"/>
        <s v="Coffee"/>
        <s v="Water (1.5L)"/>
        <s v="Beef (1kg)"/>
        <s v="Tea"/>
        <s v="Cheese"/>
        <s v="Rice (1kg)"/>
        <s v="Detergent"/>
        <s v="Shampoo"/>
        <s v="Milk (1L)"/>
        <s v="Toilet Paper"/>
        <s v="Eggs (12)"/>
        <s v="Yogurt"/>
        <s v="Frozen Pizza"/>
        <s v="Bread"/>
        <s v="Pasta"/>
        <s v="Chicken (1kg)"/>
      </sharedItems>
    </cacheField>
    <cacheField name="Unit_Price" numFmtId="0">
      <sharedItems containsSemiMixedTypes="0" containsString="0" containsNumber="1" minValue="0.8" maxValue="7"/>
    </cacheField>
    <cacheField name="Quantity" numFmtId="0">
      <sharedItems containsSemiMixedTypes="0" containsString="0" containsNumber="1" containsInteger="1" minValue="1" maxValue="10"/>
    </cacheField>
    <cacheField name="Currency" numFmtId="0">
      <sharedItems/>
    </cacheField>
    <cacheField name="Payment_Method" numFmtId="0">
      <sharedItems count="6">
        <s v="Credit Card"/>
        <s v="Google Pay"/>
        <s v="PayPal"/>
        <s v="Cash"/>
        <s v="Debit Card"/>
        <s v="Apple Pay"/>
      </sharedItems>
    </cacheField>
    <cacheField name="Cashier_ID" numFmtId="0">
      <sharedItems/>
    </cacheField>
    <cacheField name="Revenue" numFmtId="0">
      <sharedItems containsSemiMixedTypes="0" containsString="0" containsNumber="1" minValue="0.8" maxValue="70"/>
    </cacheField>
    <cacheField name="Day" numFmtId="0">
      <sharedItems/>
    </cacheField>
    <cacheField name="Month" numFmtId="0">
      <sharedItems count="12">
        <s v="Oct"/>
        <s v="Mar"/>
        <s v="Jan"/>
        <s v="Jun"/>
        <s v="Dec"/>
        <s v="May"/>
        <s v="Aug"/>
        <s v="Feb"/>
        <s v="Jul"/>
        <s v="Sep"/>
        <s v="Nov"/>
        <s v="Apr"/>
      </sharedItems>
    </cacheField>
    <cacheField name="Year" numFmtId="0">
      <sharedItems count="5">
        <s v="2021"/>
        <s v="2024"/>
        <s v="2025"/>
        <s v="2022"/>
        <s v="2023"/>
      </sharedItems>
    </cacheField>
  </cacheFields>
  <extLst>
    <ext xmlns:x14="http://schemas.microsoft.com/office/spreadsheetml/2009/9/main" uri="{725AE2AE-9491-48be-B2B4-4EB974FC3084}">
      <x14:pivotCacheDefinition pivotCacheId="38257557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0">
  <r>
    <x v="0"/>
    <d v="2021-10-08T10:25:03"/>
    <x v="0"/>
    <x v="0"/>
    <x v="0"/>
    <n v="3.1"/>
    <n v="4"/>
    <s v="USD"/>
    <x v="0"/>
    <s v="EMP0018"/>
    <n v="12.4"/>
    <s v="Fri"/>
    <x v="0"/>
    <x v="0"/>
  </r>
  <r>
    <x v="1"/>
    <d v="2024-10-11T15:39:03"/>
    <x v="1"/>
    <x v="1"/>
    <x v="1"/>
    <n v="1"/>
    <n v="2"/>
    <s v="USD"/>
    <x v="1"/>
    <s v="EMP0055"/>
    <n v="2"/>
    <s v="Fri"/>
    <x v="0"/>
    <x v="1"/>
  </r>
  <r>
    <x v="2"/>
    <d v="2025-03-05T13:21:03"/>
    <x v="2"/>
    <x v="2"/>
    <x v="2"/>
    <n v="2.5"/>
    <n v="9"/>
    <s v="USD"/>
    <x v="1"/>
    <s v="EMP0004"/>
    <n v="22.5"/>
    <s v="Wed"/>
    <x v="1"/>
    <x v="2"/>
  </r>
  <r>
    <x v="3"/>
    <d v="2022-03-17T06:41:03"/>
    <x v="3"/>
    <x v="3"/>
    <x v="1"/>
    <n v="1"/>
    <n v="7"/>
    <s v="USD"/>
    <x v="0"/>
    <s v="EMP0058"/>
    <n v="7"/>
    <s v="Thu"/>
    <x v="1"/>
    <x v="3"/>
  </r>
  <r>
    <x v="4"/>
    <d v="2022-01-19T04:35:03"/>
    <x v="4"/>
    <x v="4"/>
    <x v="3"/>
    <n v="1.2"/>
    <n v="3"/>
    <s v="USD"/>
    <x v="2"/>
    <s v="EMP0055"/>
    <n v="3.5999999999999996"/>
    <s v="Wed"/>
    <x v="2"/>
    <x v="3"/>
  </r>
  <r>
    <x v="5"/>
    <d v="2023-06-13T05:17:03"/>
    <x v="5"/>
    <x v="2"/>
    <x v="4"/>
    <n v="3.2"/>
    <n v="2"/>
    <s v="USD"/>
    <x v="3"/>
    <s v="EMP0049"/>
    <n v="6.4"/>
    <s v="Tue"/>
    <x v="3"/>
    <x v="4"/>
  </r>
  <r>
    <x v="6"/>
    <d v="2024-10-23T01:32:03"/>
    <x v="6"/>
    <x v="5"/>
    <x v="5"/>
    <n v="1"/>
    <n v="5"/>
    <s v="USD"/>
    <x v="3"/>
    <s v="EMP0094"/>
    <n v="5"/>
    <s v="Wed"/>
    <x v="0"/>
    <x v="1"/>
  </r>
  <r>
    <x v="7"/>
    <d v="2022-10-11T20:19:03"/>
    <x v="7"/>
    <x v="1"/>
    <x v="6"/>
    <n v="7"/>
    <n v="2"/>
    <s v="USD"/>
    <x v="1"/>
    <s v="EMP0038"/>
    <n v="14"/>
    <s v="Tue"/>
    <x v="0"/>
    <x v="3"/>
  </r>
  <r>
    <x v="8"/>
    <d v="2021-10-29T17:30:03"/>
    <x v="8"/>
    <x v="4"/>
    <x v="7"/>
    <n v="2.8"/>
    <n v="10"/>
    <s v="USD"/>
    <x v="0"/>
    <s v="EMP0091"/>
    <n v="28"/>
    <s v="Fri"/>
    <x v="0"/>
    <x v="0"/>
  </r>
  <r>
    <x v="9"/>
    <d v="2024-12-18T11:44:03"/>
    <x v="9"/>
    <x v="2"/>
    <x v="8"/>
    <n v="4.5"/>
    <n v="2"/>
    <s v="USD"/>
    <x v="0"/>
    <s v="EMP0013"/>
    <n v="9"/>
    <s v="Wed"/>
    <x v="4"/>
    <x v="1"/>
  </r>
  <r>
    <x v="10"/>
    <d v="2023-03-23T04:57:03"/>
    <x v="10"/>
    <x v="3"/>
    <x v="7"/>
    <n v="2.8"/>
    <n v="3"/>
    <s v="USD"/>
    <x v="4"/>
    <s v="EMP0046"/>
    <n v="8.3999999999999986"/>
    <s v="Thu"/>
    <x v="1"/>
    <x v="4"/>
  </r>
  <r>
    <x v="11"/>
    <d v="2024-03-05T16:09:03"/>
    <x v="11"/>
    <x v="0"/>
    <x v="9"/>
    <n v="3"/>
    <n v="10"/>
    <s v="USD"/>
    <x v="2"/>
    <s v="EMP0022"/>
    <n v="30"/>
    <s v="Tue"/>
    <x v="1"/>
    <x v="1"/>
  </r>
  <r>
    <x v="12"/>
    <d v="2022-05-11T14:11:03"/>
    <x v="12"/>
    <x v="6"/>
    <x v="10"/>
    <n v="5"/>
    <n v="7"/>
    <s v="USD"/>
    <x v="4"/>
    <s v="EMP0082"/>
    <n v="35"/>
    <s v="Wed"/>
    <x v="5"/>
    <x v="3"/>
  </r>
  <r>
    <x v="13"/>
    <d v="2021-06-29T20:12:03"/>
    <x v="13"/>
    <x v="3"/>
    <x v="4"/>
    <n v="3.2"/>
    <n v="1"/>
    <s v="USD"/>
    <x v="0"/>
    <s v="EMP0005"/>
    <n v="3.2"/>
    <s v="Tue"/>
    <x v="3"/>
    <x v="0"/>
  </r>
  <r>
    <x v="14"/>
    <d v="2023-08-02T01:09:03"/>
    <x v="14"/>
    <x v="7"/>
    <x v="11"/>
    <n v="4"/>
    <n v="10"/>
    <s v="USD"/>
    <x v="2"/>
    <s v="EMP0041"/>
    <n v="40"/>
    <s v="Wed"/>
    <x v="6"/>
    <x v="4"/>
  </r>
  <r>
    <x v="15"/>
    <d v="2024-02-28T16:55:03"/>
    <x v="15"/>
    <x v="8"/>
    <x v="10"/>
    <n v="5"/>
    <n v="3"/>
    <s v="USD"/>
    <x v="4"/>
    <s v="EMP0018"/>
    <n v="15"/>
    <s v="Wed"/>
    <x v="7"/>
    <x v="1"/>
  </r>
  <r>
    <x v="16"/>
    <d v="2023-12-20T13:51:03"/>
    <x v="16"/>
    <x v="9"/>
    <x v="0"/>
    <n v="3.1"/>
    <n v="10"/>
    <s v="USD"/>
    <x v="5"/>
    <s v="EMP0075"/>
    <n v="31"/>
    <s v="Wed"/>
    <x v="4"/>
    <x v="4"/>
  </r>
  <r>
    <x v="17"/>
    <d v="2023-02-12T02:12:03"/>
    <x v="17"/>
    <x v="6"/>
    <x v="12"/>
    <n v="1.8"/>
    <n v="8"/>
    <s v="USD"/>
    <x v="3"/>
    <s v="EMP0097"/>
    <n v="14.4"/>
    <s v="Sun"/>
    <x v="7"/>
    <x v="4"/>
  </r>
  <r>
    <x v="18"/>
    <d v="2025-02-02T10:17:03"/>
    <x v="18"/>
    <x v="3"/>
    <x v="13"/>
    <n v="0.8"/>
    <n v="7"/>
    <s v="USD"/>
    <x v="1"/>
    <s v="EMP0009"/>
    <n v="5.6000000000000005"/>
    <s v="Sun"/>
    <x v="7"/>
    <x v="2"/>
  </r>
  <r>
    <x v="19"/>
    <d v="2023-03-13T00:48:03"/>
    <x v="19"/>
    <x v="10"/>
    <x v="12"/>
    <n v="1.8"/>
    <n v="5"/>
    <s v="USD"/>
    <x v="1"/>
    <s v="EMP0002"/>
    <n v="9"/>
    <s v="Mon"/>
    <x v="1"/>
    <x v="4"/>
  </r>
  <r>
    <x v="20"/>
    <d v="2021-07-15T14:19:03"/>
    <x v="20"/>
    <x v="3"/>
    <x v="1"/>
    <n v="1"/>
    <n v="5"/>
    <s v="USD"/>
    <x v="2"/>
    <s v="EMP0044"/>
    <n v="5"/>
    <s v="Thu"/>
    <x v="8"/>
    <x v="0"/>
  </r>
  <r>
    <x v="21"/>
    <d v="2024-09-23T03:59:03"/>
    <x v="21"/>
    <x v="6"/>
    <x v="10"/>
    <n v="5"/>
    <n v="1"/>
    <s v="USD"/>
    <x v="2"/>
    <s v="EMP0093"/>
    <n v="5"/>
    <s v="Mon"/>
    <x v="9"/>
    <x v="1"/>
  </r>
  <r>
    <x v="22"/>
    <d v="2023-11-16T20:38:03"/>
    <x v="22"/>
    <x v="6"/>
    <x v="12"/>
    <n v="1.8"/>
    <n v="2"/>
    <s v="USD"/>
    <x v="2"/>
    <s v="EMP0039"/>
    <n v="3.6"/>
    <s v="Thu"/>
    <x v="10"/>
    <x v="4"/>
  </r>
  <r>
    <x v="23"/>
    <d v="2021-10-08T20:48:03"/>
    <x v="23"/>
    <x v="2"/>
    <x v="14"/>
    <n v="2.2000000000000002"/>
    <n v="6"/>
    <s v="USD"/>
    <x v="0"/>
    <s v="EMP0070"/>
    <n v="13.200000000000001"/>
    <s v="Fri"/>
    <x v="0"/>
    <x v="0"/>
  </r>
  <r>
    <x v="24"/>
    <d v="2022-05-19T12:48:03"/>
    <x v="24"/>
    <x v="5"/>
    <x v="15"/>
    <n v="1.5"/>
    <n v="1"/>
    <s v="USD"/>
    <x v="3"/>
    <s v="EMP0047"/>
    <n v="1.5"/>
    <s v="Thu"/>
    <x v="5"/>
    <x v="3"/>
  </r>
  <r>
    <x v="25"/>
    <d v="2023-08-19T06:23:03"/>
    <x v="25"/>
    <x v="2"/>
    <x v="16"/>
    <n v="4"/>
    <n v="2"/>
    <s v="USD"/>
    <x v="3"/>
    <s v="EMP0094"/>
    <n v="8"/>
    <s v="Sat"/>
    <x v="6"/>
    <x v="4"/>
  </r>
  <r>
    <x v="26"/>
    <d v="2022-08-18T10:38:03"/>
    <x v="26"/>
    <x v="9"/>
    <x v="14"/>
    <n v="2.2000000000000002"/>
    <n v="3"/>
    <s v="USD"/>
    <x v="2"/>
    <s v="EMP0061"/>
    <n v="6.6000000000000005"/>
    <s v="Thu"/>
    <x v="6"/>
    <x v="3"/>
  </r>
  <r>
    <x v="27"/>
    <d v="2022-04-10T08:10:03"/>
    <x v="27"/>
    <x v="9"/>
    <x v="5"/>
    <n v="1"/>
    <n v="7"/>
    <s v="USD"/>
    <x v="0"/>
    <s v="EMP0070"/>
    <n v="7"/>
    <s v="Sun"/>
    <x v="11"/>
    <x v="3"/>
  </r>
  <r>
    <x v="28"/>
    <d v="2021-06-27T06:41:03"/>
    <x v="28"/>
    <x v="11"/>
    <x v="6"/>
    <n v="7"/>
    <n v="6"/>
    <s v="USD"/>
    <x v="5"/>
    <s v="EMP0067"/>
    <n v="42"/>
    <s v="Sun"/>
    <x v="3"/>
    <x v="0"/>
  </r>
  <r>
    <x v="29"/>
    <d v="2022-10-28T10:11:03"/>
    <x v="29"/>
    <x v="2"/>
    <x v="9"/>
    <n v="3"/>
    <n v="6"/>
    <s v="USD"/>
    <x v="3"/>
    <s v="EMP0076"/>
    <n v="18"/>
    <s v="Fri"/>
    <x v="0"/>
    <x v="3"/>
  </r>
  <r>
    <x v="30"/>
    <d v="2022-04-01T05:49:03"/>
    <x v="30"/>
    <x v="2"/>
    <x v="3"/>
    <n v="1.2"/>
    <n v="2"/>
    <s v="USD"/>
    <x v="2"/>
    <s v="EMP0081"/>
    <n v="2.4"/>
    <s v="Fri"/>
    <x v="11"/>
    <x v="3"/>
  </r>
  <r>
    <x v="31"/>
    <d v="2025-01-09T06:22:03"/>
    <x v="31"/>
    <x v="1"/>
    <x v="17"/>
    <n v="2.5"/>
    <n v="6"/>
    <s v="USD"/>
    <x v="3"/>
    <s v="EMP0066"/>
    <n v="15"/>
    <s v="Thu"/>
    <x v="2"/>
    <x v="2"/>
  </r>
  <r>
    <x v="32"/>
    <d v="2024-01-08T04:44:03"/>
    <x v="32"/>
    <x v="10"/>
    <x v="11"/>
    <n v="4"/>
    <n v="9"/>
    <s v="USD"/>
    <x v="0"/>
    <s v="EMP0093"/>
    <n v="36"/>
    <s v="Mon"/>
    <x v="2"/>
    <x v="1"/>
  </r>
  <r>
    <x v="33"/>
    <d v="2022-02-24T18:56:03"/>
    <x v="33"/>
    <x v="2"/>
    <x v="15"/>
    <n v="1.5"/>
    <n v="7"/>
    <s v="USD"/>
    <x v="0"/>
    <s v="EMP0013"/>
    <n v="10.5"/>
    <s v="Thu"/>
    <x v="7"/>
    <x v="3"/>
  </r>
  <r>
    <x v="34"/>
    <d v="2024-10-22T15:59:03"/>
    <x v="34"/>
    <x v="5"/>
    <x v="18"/>
    <n v="1.7"/>
    <n v="7"/>
    <s v="USD"/>
    <x v="5"/>
    <s v="EMP0094"/>
    <n v="11.9"/>
    <s v="Tue"/>
    <x v="0"/>
    <x v="1"/>
  </r>
  <r>
    <x v="35"/>
    <d v="2025-01-18T15:45:03"/>
    <x v="35"/>
    <x v="3"/>
    <x v="19"/>
    <n v="5.5"/>
    <n v="1"/>
    <s v="USD"/>
    <x v="5"/>
    <s v="EMP0094"/>
    <n v="5.5"/>
    <s v="Sat"/>
    <x v="2"/>
    <x v="2"/>
  </r>
  <r>
    <x v="36"/>
    <d v="2023-06-15T10:11:03"/>
    <x v="36"/>
    <x v="2"/>
    <x v="11"/>
    <n v="4"/>
    <n v="9"/>
    <s v="USD"/>
    <x v="5"/>
    <s v="EMP0018"/>
    <n v="36"/>
    <s v="Thu"/>
    <x v="3"/>
    <x v="4"/>
  </r>
  <r>
    <x v="37"/>
    <d v="2022-12-27T08:09:03"/>
    <x v="37"/>
    <x v="10"/>
    <x v="2"/>
    <n v="2.5"/>
    <n v="2"/>
    <s v="USD"/>
    <x v="5"/>
    <s v="EMP0071"/>
    <n v="5"/>
    <s v="Tue"/>
    <x v="4"/>
    <x v="3"/>
  </r>
  <r>
    <x v="38"/>
    <d v="2024-10-21T11:45:03"/>
    <x v="38"/>
    <x v="9"/>
    <x v="3"/>
    <n v="1.2"/>
    <n v="2"/>
    <s v="USD"/>
    <x v="0"/>
    <s v="EMP0022"/>
    <n v="2.4"/>
    <s v="Mon"/>
    <x v="0"/>
    <x v="1"/>
  </r>
  <r>
    <x v="39"/>
    <d v="2023-01-27T21:56:03"/>
    <x v="39"/>
    <x v="2"/>
    <x v="6"/>
    <n v="7"/>
    <n v="1"/>
    <s v="USD"/>
    <x v="0"/>
    <s v="EMP0049"/>
    <n v="7"/>
    <s v="Fri"/>
    <x v="2"/>
    <x v="4"/>
  </r>
  <r>
    <x v="40"/>
    <d v="2025-05-05T01:10:03"/>
    <x v="40"/>
    <x v="1"/>
    <x v="10"/>
    <n v="5"/>
    <n v="5"/>
    <s v="USD"/>
    <x v="5"/>
    <s v="EMP0090"/>
    <n v="25"/>
    <s v="Mon"/>
    <x v="5"/>
    <x v="2"/>
  </r>
  <r>
    <x v="41"/>
    <d v="2022-03-27T15:41:03"/>
    <x v="41"/>
    <x v="10"/>
    <x v="14"/>
    <n v="2.2000000000000002"/>
    <n v="4"/>
    <s v="USD"/>
    <x v="4"/>
    <s v="EMP0028"/>
    <n v="8.8000000000000007"/>
    <s v="Sun"/>
    <x v="1"/>
    <x v="3"/>
  </r>
  <r>
    <x v="42"/>
    <d v="2025-01-09T18:39:03"/>
    <x v="42"/>
    <x v="9"/>
    <x v="17"/>
    <n v="2.5"/>
    <n v="6"/>
    <s v="USD"/>
    <x v="3"/>
    <s v="EMP0007"/>
    <n v="15"/>
    <s v="Thu"/>
    <x v="2"/>
    <x v="2"/>
  </r>
  <r>
    <x v="43"/>
    <d v="2022-01-28T21:54:03"/>
    <x v="43"/>
    <x v="1"/>
    <x v="12"/>
    <n v="1.8"/>
    <n v="3"/>
    <s v="USD"/>
    <x v="3"/>
    <s v="EMP0066"/>
    <n v="5.4"/>
    <s v="Fri"/>
    <x v="2"/>
    <x v="3"/>
  </r>
  <r>
    <x v="44"/>
    <d v="2024-11-26T08:22:03"/>
    <x v="44"/>
    <x v="12"/>
    <x v="9"/>
    <n v="3"/>
    <n v="4"/>
    <s v="USD"/>
    <x v="5"/>
    <s v="EMP0016"/>
    <n v="12"/>
    <s v="Tue"/>
    <x v="10"/>
    <x v="1"/>
  </r>
  <r>
    <x v="45"/>
    <d v="2022-02-28T05:49:03"/>
    <x v="45"/>
    <x v="12"/>
    <x v="17"/>
    <n v="2.5"/>
    <n v="10"/>
    <s v="USD"/>
    <x v="3"/>
    <s v="EMP0054"/>
    <n v="25"/>
    <s v="Mon"/>
    <x v="7"/>
    <x v="3"/>
  </r>
  <r>
    <x v="46"/>
    <d v="2021-08-31T18:50:03"/>
    <x v="46"/>
    <x v="9"/>
    <x v="4"/>
    <n v="3.2"/>
    <n v="5"/>
    <s v="USD"/>
    <x v="0"/>
    <s v="EMP0086"/>
    <n v="16"/>
    <s v="Tue"/>
    <x v="6"/>
    <x v="0"/>
  </r>
  <r>
    <x v="47"/>
    <d v="2023-08-05T06:10:03"/>
    <x v="47"/>
    <x v="8"/>
    <x v="14"/>
    <n v="2.2000000000000002"/>
    <n v="5"/>
    <s v="USD"/>
    <x v="5"/>
    <s v="EMP0041"/>
    <n v="11"/>
    <s v="Sat"/>
    <x v="6"/>
    <x v="4"/>
  </r>
  <r>
    <x v="48"/>
    <d v="2024-12-12T12:57:03"/>
    <x v="48"/>
    <x v="12"/>
    <x v="16"/>
    <n v="4"/>
    <n v="2"/>
    <s v="USD"/>
    <x v="3"/>
    <s v="EMP0069"/>
    <n v="8"/>
    <s v="Thu"/>
    <x v="4"/>
    <x v="1"/>
  </r>
  <r>
    <x v="49"/>
    <d v="2024-02-27T21:10:03"/>
    <x v="49"/>
    <x v="6"/>
    <x v="7"/>
    <n v="2.8"/>
    <n v="2"/>
    <s v="USD"/>
    <x v="0"/>
    <s v="EMP0048"/>
    <n v="5.6"/>
    <s v="Tue"/>
    <x v="7"/>
    <x v="1"/>
  </r>
  <r>
    <x v="50"/>
    <d v="2023-10-04T07:58:03"/>
    <x v="50"/>
    <x v="4"/>
    <x v="1"/>
    <n v="1"/>
    <n v="5"/>
    <s v="USD"/>
    <x v="1"/>
    <s v="EMP0084"/>
    <n v="5"/>
    <s v="Wed"/>
    <x v="0"/>
    <x v="4"/>
  </r>
  <r>
    <x v="51"/>
    <d v="2022-05-22T12:44:03"/>
    <x v="51"/>
    <x v="4"/>
    <x v="1"/>
    <n v="1"/>
    <n v="5"/>
    <s v="USD"/>
    <x v="2"/>
    <s v="EMP0014"/>
    <n v="5"/>
    <s v="Sun"/>
    <x v="5"/>
    <x v="3"/>
  </r>
  <r>
    <x v="52"/>
    <d v="2024-08-07T05:19:03"/>
    <x v="52"/>
    <x v="1"/>
    <x v="19"/>
    <n v="5.5"/>
    <n v="9"/>
    <s v="USD"/>
    <x v="0"/>
    <s v="EMP0035"/>
    <n v="49.5"/>
    <s v="Wed"/>
    <x v="6"/>
    <x v="1"/>
  </r>
  <r>
    <x v="53"/>
    <d v="2023-10-09T18:13:03"/>
    <x v="53"/>
    <x v="0"/>
    <x v="4"/>
    <n v="3.2"/>
    <n v="4"/>
    <s v="USD"/>
    <x v="2"/>
    <s v="EMP0082"/>
    <n v="12.8"/>
    <s v="Mon"/>
    <x v="0"/>
    <x v="4"/>
  </r>
  <r>
    <x v="54"/>
    <d v="2023-11-15T20:55:03"/>
    <x v="54"/>
    <x v="11"/>
    <x v="17"/>
    <n v="2.5"/>
    <n v="2"/>
    <s v="USD"/>
    <x v="2"/>
    <s v="EMP0055"/>
    <n v="5"/>
    <s v="Wed"/>
    <x v="10"/>
    <x v="4"/>
  </r>
  <r>
    <x v="55"/>
    <d v="2023-10-21T12:26:03"/>
    <x v="55"/>
    <x v="5"/>
    <x v="14"/>
    <n v="2.2000000000000002"/>
    <n v="5"/>
    <s v="USD"/>
    <x v="0"/>
    <s v="EMP0095"/>
    <n v="11"/>
    <s v="Sat"/>
    <x v="0"/>
    <x v="4"/>
  </r>
  <r>
    <x v="56"/>
    <d v="2022-11-16T19:41:03"/>
    <x v="56"/>
    <x v="8"/>
    <x v="1"/>
    <n v="1"/>
    <n v="1"/>
    <s v="USD"/>
    <x v="3"/>
    <s v="EMP0010"/>
    <n v="1"/>
    <s v="Wed"/>
    <x v="10"/>
    <x v="3"/>
  </r>
  <r>
    <x v="57"/>
    <d v="2021-06-24T08:52:03"/>
    <x v="57"/>
    <x v="13"/>
    <x v="7"/>
    <n v="2.8"/>
    <n v="10"/>
    <s v="USD"/>
    <x v="1"/>
    <s v="EMP0019"/>
    <n v="28"/>
    <s v="Thu"/>
    <x v="3"/>
    <x v="0"/>
  </r>
  <r>
    <x v="58"/>
    <d v="2022-12-11T09:24:03"/>
    <x v="58"/>
    <x v="11"/>
    <x v="7"/>
    <n v="2.8"/>
    <n v="1"/>
    <s v="USD"/>
    <x v="4"/>
    <s v="EMP0027"/>
    <n v="2.8"/>
    <s v="Sun"/>
    <x v="4"/>
    <x v="3"/>
  </r>
  <r>
    <x v="59"/>
    <d v="2021-07-13T05:44:03"/>
    <x v="59"/>
    <x v="7"/>
    <x v="7"/>
    <n v="2.8"/>
    <n v="9"/>
    <s v="USD"/>
    <x v="5"/>
    <s v="EMP0080"/>
    <n v="25.2"/>
    <s v="Tue"/>
    <x v="8"/>
    <x v="0"/>
  </r>
  <r>
    <x v="60"/>
    <d v="2024-06-27T05:31:03"/>
    <x v="60"/>
    <x v="6"/>
    <x v="13"/>
    <n v="0.8"/>
    <n v="7"/>
    <s v="USD"/>
    <x v="3"/>
    <s v="EMP0023"/>
    <n v="5.6000000000000005"/>
    <s v="Thu"/>
    <x v="3"/>
    <x v="1"/>
  </r>
  <r>
    <x v="61"/>
    <d v="2023-06-28T23:35:03"/>
    <x v="61"/>
    <x v="3"/>
    <x v="2"/>
    <n v="2.5"/>
    <n v="5"/>
    <s v="USD"/>
    <x v="0"/>
    <s v="EMP0090"/>
    <n v="12.5"/>
    <s v="Wed"/>
    <x v="3"/>
    <x v="4"/>
  </r>
  <r>
    <x v="62"/>
    <d v="2024-09-30T00:31:03"/>
    <x v="62"/>
    <x v="13"/>
    <x v="15"/>
    <n v="1.5"/>
    <n v="4"/>
    <s v="USD"/>
    <x v="0"/>
    <s v="EMP0059"/>
    <n v="6"/>
    <s v="Mon"/>
    <x v="9"/>
    <x v="1"/>
  </r>
  <r>
    <x v="63"/>
    <d v="2023-05-24T03:34:03"/>
    <x v="63"/>
    <x v="14"/>
    <x v="2"/>
    <n v="2.5"/>
    <n v="4"/>
    <s v="USD"/>
    <x v="3"/>
    <s v="EMP0085"/>
    <n v="10"/>
    <s v="Wed"/>
    <x v="5"/>
    <x v="4"/>
  </r>
  <r>
    <x v="64"/>
    <d v="2024-04-09T01:05:03"/>
    <x v="64"/>
    <x v="11"/>
    <x v="9"/>
    <n v="3"/>
    <n v="5"/>
    <s v="USD"/>
    <x v="4"/>
    <s v="EMP0083"/>
    <n v="15"/>
    <s v="Tue"/>
    <x v="11"/>
    <x v="1"/>
  </r>
  <r>
    <x v="65"/>
    <d v="2022-07-01T00:43:03"/>
    <x v="65"/>
    <x v="4"/>
    <x v="1"/>
    <n v="1"/>
    <n v="6"/>
    <s v="USD"/>
    <x v="3"/>
    <s v="EMP0015"/>
    <n v="6"/>
    <s v="Fri"/>
    <x v="8"/>
    <x v="3"/>
  </r>
  <r>
    <x v="66"/>
    <d v="2023-11-22T07:49:03"/>
    <x v="66"/>
    <x v="11"/>
    <x v="17"/>
    <n v="2.5"/>
    <n v="2"/>
    <s v="USD"/>
    <x v="1"/>
    <s v="EMP0056"/>
    <n v="5"/>
    <s v="Wed"/>
    <x v="10"/>
    <x v="4"/>
  </r>
  <r>
    <x v="67"/>
    <d v="2023-06-01T13:36:03"/>
    <x v="67"/>
    <x v="5"/>
    <x v="18"/>
    <n v="1.7"/>
    <n v="10"/>
    <s v="USD"/>
    <x v="1"/>
    <s v="EMP0015"/>
    <n v="17"/>
    <s v="Thu"/>
    <x v="3"/>
    <x v="4"/>
  </r>
  <r>
    <x v="68"/>
    <d v="2023-03-12T19:14:03"/>
    <x v="68"/>
    <x v="11"/>
    <x v="17"/>
    <n v="2.5"/>
    <n v="7"/>
    <s v="USD"/>
    <x v="3"/>
    <s v="EMP0067"/>
    <n v="17.5"/>
    <s v="Sun"/>
    <x v="1"/>
    <x v="4"/>
  </r>
  <r>
    <x v="69"/>
    <d v="2022-05-02T15:40:03"/>
    <x v="69"/>
    <x v="0"/>
    <x v="11"/>
    <n v="4"/>
    <n v="6"/>
    <s v="USD"/>
    <x v="5"/>
    <s v="EMP0009"/>
    <n v="24"/>
    <s v="Mon"/>
    <x v="5"/>
    <x v="3"/>
  </r>
  <r>
    <x v="70"/>
    <d v="2021-08-18T02:47:03"/>
    <x v="70"/>
    <x v="5"/>
    <x v="19"/>
    <n v="5.5"/>
    <n v="5"/>
    <s v="USD"/>
    <x v="1"/>
    <s v="EMP0040"/>
    <n v="27.5"/>
    <s v="Wed"/>
    <x v="6"/>
    <x v="0"/>
  </r>
  <r>
    <x v="71"/>
    <d v="2021-08-13T00:06:03"/>
    <x v="71"/>
    <x v="8"/>
    <x v="8"/>
    <n v="4.5"/>
    <n v="9"/>
    <s v="USD"/>
    <x v="0"/>
    <s v="EMP0025"/>
    <n v="40.5"/>
    <s v="Fri"/>
    <x v="6"/>
    <x v="0"/>
  </r>
  <r>
    <x v="72"/>
    <d v="2022-12-29T16:02:03"/>
    <x v="72"/>
    <x v="3"/>
    <x v="13"/>
    <n v="0.8"/>
    <n v="10"/>
    <s v="USD"/>
    <x v="1"/>
    <s v="EMP0039"/>
    <n v="8"/>
    <s v="Thu"/>
    <x v="4"/>
    <x v="3"/>
  </r>
  <r>
    <x v="73"/>
    <d v="2023-01-28T19:33:03"/>
    <x v="73"/>
    <x v="13"/>
    <x v="8"/>
    <n v="4.5"/>
    <n v="5"/>
    <s v="USD"/>
    <x v="0"/>
    <s v="EMP0056"/>
    <n v="22.5"/>
    <s v="Sat"/>
    <x v="2"/>
    <x v="4"/>
  </r>
  <r>
    <x v="74"/>
    <d v="2022-02-06T17:45:03"/>
    <x v="74"/>
    <x v="5"/>
    <x v="10"/>
    <n v="5"/>
    <n v="8"/>
    <s v="USD"/>
    <x v="5"/>
    <s v="EMP0087"/>
    <n v="40"/>
    <s v="Sun"/>
    <x v="7"/>
    <x v="3"/>
  </r>
  <r>
    <x v="75"/>
    <d v="2024-02-26T20:56:03"/>
    <x v="75"/>
    <x v="14"/>
    <x v="13"/>
    <n v="0.8"/>
    <n v="2"/>
    <s v="USD"/>
    <x v="4"/>
    <s v="EMP0066"/>
    <n v="1.6"/>
    <s v="Mon"/>
    <x v="7"/>
    <x v="1"/>
  </r>
  <r>
    <x v="76"/>
    <d v="2021-08-18T16:47:03"/>
    <x v="76"/>
    <x v="5"/>
    <x v="9"/>
    <n v="3"/>
    <n v="4"/>
    <s v="USD"/>
    <x v="2"/>
    <s v="EMP0040"/>
    <n v="12"/>
    <s v="Wed"/>
    <x v="6"/>
    <x v="0"/>
  </r>
  <r>
    <x v="77"/>
    <d v="2024-02-04T07:17:03"/>
    <x v="77"/>
    <x v="13"/>
    <x v="17"/>
    <n v="2.5"/>
    <n v="4"/>
    <s v="USD"/>
    <x v="5"/>
    <s v="EMP0079"/>
    <n v="10"/>
    <s v="Sun"/>
    <x v="7"/>
    <x v="1"/>
  </r>
  <r>
    <x v="78"/>
    <d v="2024-12-10T23:00:03"/>
    <x v="78"/>
    <x v="1"/>
    <x v="16"/>
    <n v="4"/>
    <n v="4"/>
    <s v="USD"/>
    <x v="2"/>
    <s v="EMP0090"/>
    <n v="16"/>
    <s v="Tue"/>
    <x v="4"/>
    <x v="1"/>
  </r>
  <r>
    <x v="79"/>
    <d v="2023-03-14T22:01:03"/>
    <x v="79"/>
    <x v="2"/>
    <x v="14"/>
    <n v="2.2000000000000002"/>
    <n v="1"/>
    <s v="USD"/>
    <x v="3"/>
    <s v="EMP0100"/>
    <n v="2.2000000000000002"/>
    <s v="Tue"/>
    <x v="1"/>
    <x v="4"/>
  </r>
  <r>
    <x v="80"/>
    <d v="2022-12-21T06:15:03"/>
    <x v="80"/>
    <x v="14"/>
    <x v="12"/>
    <n v="1.8"/>
    <n v="8"/>
    <s v="USD"/>
    <x v="3"/>
    <s v="EMP0072"/>
    <n v="14.4"/>
    <s v="Wed"/>
    <x v="4"/>
    <x v="3"/>
  </r>
  <r>
    <x v="81"/>
    <d v="2023-12-16T09:57:03"/>
    <x v="81"/>
    <x v="6"/>
    <x v="10"/>
    <n v="5"/>
    <n v="9"/>
    <s v="USD"/>
    <x v="1"/>
    <s v="EMP0077"/>
    <n v="45"/>
    <s v="Sat"/>
    <x v="4"/>
    <x v="4"/>
  </r>
  <r>
    <x v="82"/>
    <d v="2023-07-29T22:47:03"/>
    <x v="82"/>
    <x v="4"/>
    <x v="12"/>
    <n v="1.8"/>
    <n v="7"/>
    <s v="USD"/>
    <x v="1"/>
    <s v="EMP0058"/>
    <n v="12.6"/>
    <s v="Sat"/>
    <x v="8"/>
    <x v="4"/>
  </r>
  <r>
    <x v="83"/>
    <d v="2024-06-17T13:31:03"/>
    <x v="83"/>
    <x v="10"/>
    <x v="10"/>
    <n v="5"/>
    <n v="5"/>
    <s v="USD"/>
    <x v="0"/>
    <s v="EMP0082"/>
    <n v="25"/>
    <s v="Mon"/>
    <x v="3"/>
    <x v="1"/>
  </r>
  <r>
    <x v="84"/>
    <d v="2023-10-19T20:55:03"/>
    <x v="84"/>
    <x v="3"/>
    <x v="2"/>
    <n v="2.5"/>
    <n v="5"/>
    <s v="USD"/>
    <x v="5"/>
    <s v="EMP0010"/>
    <n v="12.5"/>
    <s v="Thu"/>
    <x v="0"/>
    <x v="4"/>
  </r>
  <r>
    <x v="85"/>
    <d v="2023-10-02T06:09:03"/>
    <x v="85"/>
    <x v="5"/>
    <x v="4"/>
    <n v="3.2"/>
    <n v="9"/>
    <s v="USD"/>
    <x v="3"/>
    <s v="EMP0018"/>
    <n v="28.8"/>
    <s v="Mon"/>
    <x v="0"/>
    <x v="4"/>
  </r>
  <r>
    <x v="86"/>
    <d v="2024-07-05T06:02:03"/>
    <x v="86"/>
    <x v="0"/>
    <x v="14"/>
    <n v="2.2000000000000002"/>
    <n v="4"/>
    <s v="USD"/>
    <x v="3"/>
    <s v="EMP0054"/>
    <n v="8.8000000000000007"/>
    <s v="Fri"/>
    <x v="8"/>
    <x v="1"/>
  </r>
  <r>
    <x v="87"/>
    <d v="2023-01-26T02:52:03"/>
    <x v="87"/>
    <x v="10"/>
    <x v="18"/>
    <n v="1.7"/>
    <n v="1"/>
    <s v="USD"/>
    <x v="0"/>
    <s v="EMP0054"/>
    <n v="1.7"/>
    <s v="Thu"/>
    <x v="2"/>
    <x v="4"/>
  </r>
  <r>
    <x v="88"/>
    <d v="2023-03-03T18:42:03"/>
    <x v="88"/>
    <x v="13"/>
    <x v="16"/>
    <n v="4"/>
    <n v="7"/>
    <s v="USD"/>
    <x v="5"/>
    <s v="EMP0001"/>
    <n v="28"/>
    <s v="Fri"/>
    <x v="1"/>
    <x v="4"/>
  </r>
  <r>
    <x v="89"/>
    <d v="2023-05-20T03:38:03"/>
    <x v="89"/>
    <x v="8"/>
    <x v="18"/>
    <n v="1.7"/>
    <n v="9"/>
    <s v="USD"/>
    <x v="2"/>
    <s v="EMP0095"/>
    <n v="15.299999999999999"/>
    <s v="Sat"/>
    <x v="5"/>
    <x v="4"/>
  </r>
  <r>
    <x v="90"/>
    <d v="2022-04-16T17:29:03"/>
    <x v="90"/>
    <x v="2"/>
    <x v="15"/>
    <n v="1.5"/>
    <n v="4"/>
    <s v="USD"/>
    <x v="4"/>
    <s v="EMP0056"/>
    <n v="6"/>
    <s v="Sat"/>
    <x v="11"/>
    <x v="3"/>
  </r>
  <r>
    <x v="91"/>
    <d v="2022-08-19T13:02:03"/>
    <x v="91"/>
    <x v="5"/>
    <x v="6"/>
    <n v="7"/>
    <n v="3"/>
    <s v="USD"/>
    <x v="5"/>
    <s v="EMP0017"/>
    <n v="21"/>
    <s v="Fri"/>
    <x v="6"/>
    <x v="3"/>
  </r>
  <r>
    <x v="92"/>
    <d v="2021-11-11T20:25:03"/>
    <x v="92"/>
    <x v="1"/>
    <x v="6"/>
    <n v="7"/>
    <n v="10"/>
    <s v="USD"/>
    <x v="1"/>
    <s v="EMP0085"/>
    <n v="70"/>
    <s v="Thu"/>
    <x v="10"/>
    <x v="0"/>
  </r>
  <r>
    <x v="93"/>
    <d v="2025-03-15T10:45:03"/>
    <x v="93"/>
    <x v="8"/>
    <x v="14"/>
    <n v="2.2000000000000002"/>
    <n v="8"/>
    <s v="USD"/>
    <x v="0"/>
    <s v="EMP0007"/>
    <n v="17.600000000000001"/>
    <s v="Sat"/>
    <x v="1"/>
    <x v="2"/>
  </r>
  <r>
    <x v="94"/>
    <d v="2023-11-24T01:06:03"/>
    <x v="94"/>
    <x v="2"/>
    <x v="10"/>
    <n v="5"/>
    <n v="6"/>
    <s v="USD"/>
    <x v="4"/>
    <s v="EMP0098"/>
    <n v="30"/>
    <s v="Fri"/>
    <x v="10"/>
    <x v="4"/>
  </r>
  <r>
    <x v="95"/>
    <d v="2023-03-25T04:38:03"/>
    <x v="95"/>
    <x v="4"/>
    <x v="18"/>
    <n v="1.7"/>
    <n v="5"/>
    <s v="USD"/>
    <x v="3"/>
    <s v="EMP0061"/>
    <n v="8.5"/>
    <s v="Sat"/>
    <x v="1"/>
    <x v="4"/>
  </r>
  <r>
    <x v="96"/>
    <d v="2025-03-30T13:52:03"/>
    <x v="96"/>
    <x v="13"/>
    <x v="7"/>
    <n v="2.8"/>
    <n v="4"/>
    <s v="USD"/>
    <x v="2"/>
    <s v="EMP0009"/>
    <n v="11.2"/>
    <s v="Sun"/>
    <x v="1"/>
    <x v="2"/>
  </r>
  <r>
    <x v="97"/>
    <d v="2021-09-13T11:38:03"/>
    <x v="97"/>
    <x v="13"/>
    <x v="2"/>
    <n v="2.5"/>
    <n v="4"/>
    <s v="USD"/>
    <x v="3"/>
    <s v="EMP0080"/>
    <n v="10"/>
    <s v="Mon"/>
    <x v="9"/>
    <x v="0"/>
  </r>
  <r>
    <x v="98"/>
    <d v="2024-07-01T06:18:03"/>
    <x v="98"/>
    <x v="10"/>
    <x v="19"/>
    <n v="5.5"/>
    <n v="10"/>
    <s v="USD"/>
    <x v="0"/>
    <s v="EMP0060"/>
    <n v="55"/>
    <s v="Mon"/>
    <x v="8"/>
    <x v="1"/>
  </r>
  <r>
    <x v="99"/>
    <d v="2021-06-07T04:37:03"/>
    <x v="99"/>
    <x v="5"/>
    <x v="13"/>
    <n v="0.8"/>
    <n v="10"/>
    <s v="USD"/>
    <x v="1"/>
    <s v="EMP0096"/>
    <n v="8"/>
    <s v="Mon"/>
    <x v="3"/>
    <x v="0"/>
  </r>
  <r>
    <x v="100"/>
    <d v="2024-09-17T08:07:03"/>
    <x v="100"/>
    <x v="7"/>
    <x v="16"/>
    <n v="4"/>
    <n v="1"/>
    <s v="USD"/>
    <x v="4"/>
    <s v="EMP0074"/>
    <n v="4"/>
    <s v="Tue"/>
    <x v="9"/>
    <x v="1"/>
  </r>
  <r>
    <x v="101"/>
    <d v="2021-07-22T01:01:03"/>
    <x v="101"/>
    <x v="0"/>
    <x v="11"/>
    <n v="4"/>
    <n v="2"/>
    <s v="USD"/>
    <x v="1"/>
    <s v="EMP0089"/>
    <n v="8"/>
    <s v="Thu"/>
    <x v="8"/>
    <x v="0"/>
  </r>
  <r>
    <x v="102"/>
    <d v="2021-11-02T06:20:03"/>
    <x v="102"/>
    <x v="0"/>
    <x v="8"/>
    <n v="4.5"/>
    <n v="10"/>
    <s v="USD"/>
    <x v="3"/>
    <s v="EMP0073"/>
    <n v="45"/>
    <s v="Tue"/>
    <x v="10"/>
    <x v="0"/>
  </r>
  <r>
    <x v="103"/>
    <d v="2025-02-14T01:52:03"/>
    <x v="103"/>
    <x v="8"/>
    <x v="7"/>
    <n v="2.8"/>
    <n v="2"/>
    <s v="USD"/>
    <x v="1"/>
    <s v="EMP0083"/>
    <n v="5.6"/>
    <s v="Fri"/>
    <x v="7"/>
    <x v="2"/>
  </r>
  <r>
    <x v="104"/>
    <d v="2023-06-11T12:32:03"/>
    <x v="104"/>
    <x v="8"/>
    <x v="15"/>
    <n v="1.5"/>
    <n v="2"/>
    <s v="USD"/>
    <x v="5"/>
    <s v="EMP0047"/>
    <n v="3"/>
    <s v="Sun"/>
    <x v="3"/>
    <x v="4"/>
  </r>
  <r>
    <x v="105"/>
    <d v="2021-10-15T22:41:03"/>
    <x v="105"/>
    <x v="6"/>
    <x v="18"/>
    <n v="1.7"/>
    <n v="3"/>
    <s v="USD"/>
    <x v="2"/>
    <s v="EMP0067"/>
    <n v="5.0999999999999996"/>
    <s v="Fri"/>
    <x v="0"/>
    <x v="0"/>
  </r>
  <r>
    <x v="106"/>
    <d v="2021-09-15T04:47:03"/>
    <x v="106"/>
    <x v="14"/>
    <x v="1"/>
    <n v="1"/>
    <n v="8"/>
    <s v="USD"/>
    <x v="5"/>
    <s v="EMP0056"/>
    <n v="8"/>
    <s v="Wed"/>
    <x v="9"/>
    <x v="0"/>
  </r>
  <r>
    <x v="107"/>
    <d v="2022-01-12T05:06:03"/>
    <x v="107"/>
    <x v="4"/>
    <x v="2"/>
    <n v="2.5"/>
    <n v="2"/>
    <s v="USD"/>
    <x v="4"/>
    <s v="EMP0058"/>
    <n v="5"/>
    <s v="Wed"/>
    <x v="2"/>
    <x v="3"/>
  </r>
  <r>
    <x v="108"/>
    <d v="2023-12-26T22:50:03"/>
    <x v="108"/>
    <x v="12"/>
    <x v="6"/>
    <n v="7"/>
    <n v="6"/>
    <s v="USD"/>
    <x v="3"/>
    <s v="EMP0064"/>
    <n v="42"/>
    <s v="Tue"/>
    <x v="4"/>
    <x v="4"/>
  </r>
  <r>
    <x v="109"/>
    <d v="2023-07-14T07:55:03"/>
    <x v="109"/>
    <x v="2"/>
    <x v="7"/>
    <n v="2.8"/>
    <n v="5"/>
    <s v="USD"/>
    <x v="4"/>
    <s v="EMP0036"/>
    <n v="14"/>
    <s v="Fri"/>
    <x v="8"/>
    <x v="4"/>
  </r>
  <r>
    <x v="110"/>
    <d v="2022-01-04T14:30:03"/>
    <x v="110"/>
    <x v="11"/>
    <x v="1"/>
    <n v="1"/>
    <n v="1"/>
    <s v="USD"/>
    <x v="1"/>
    <s v="EMP0025"/>
    <n v="1"/>
    <s v="Tue"/>
    <x v="2"/>
    <x v="3"/>
  </r>
  <r>
    <x v="111"/>
    <d v="2024-11-15T05:40:03"/>
    <x v="111"/>
    <x v="8"/>
    <x v="15"/>
    <n v="1.5"/>
    <n v="9"/>
    <s v="USD"/>
    <x v="0"/>
    <s v="EMP0089"/>
    <n v="13.5"/>
    <s v="Fri"/>
    <x v="10"/>
    <x v="1"/>
  </r>
  <r>
    <x v="112"/>
    <d v="2022-09-06T16:41:03"/>
    <x v="112"/>
    <x v="10"/>
    <x v="10"/>
    <n v="5"/>
    <n v="1"/>
    <s v="USD"/>
    <x v="3"/>
    <s v="EMP0038"/>
    <n v="5"/>
    <s v="Tue"/>
    <x v="9"/>
    <x v="3"/>
  </r>
  <r>
    <x v="113"/>
    <d v="2024-02-11T00:42:03"/>
    <x v="113"/>
    <x v="2"/>
    <x v="8"/>
    <n v="4.5"/>
    <n v="10"/>
    <s v="USD"/>
    <x v="4"/>
    <s v="EMP0061"/>
    <n v="45"/>
    <s v="Sun"/>
    <x v="7"/>
    <x v="1"/>
  </r>
  <r>
    <x v="114"/>
    <d v="2022-04-01T21:04:03"/>
    <x v="114"/>
    <x v="8"/>
    <x v="1"/>
    <n v="1"/>
    <n v="6"/>
    <s v="USD"/>
    <x v="4"/>
    <s v="EMP0090"/>
    <n v="6"/>
    <s v="Fri"/>
    <x v="11"/>
    <x v="3"/>
  </r>
  <r>
    <x v="115"/>
    <d v="2022-10-23T05:07:03"/>
    <x v="115"/>
    <x v="11"/>
    <x v="2"/>
    <n v="2.5"/>
    <n v="2"/>
    <s v="USD"/>
    <x v="2"/>
    <s v="EMP0025"/>
    <n v="5"/>
    <s v="Sun"/>
    <x v="0"/>
    <x v="3"/>
  </r>
  <r>
    <x v="116"/>
    <d v="2023-08-02T09:39:03"/>
    <x v="116"/>
    <x v="9"/>
    <x v="13"/>
    <n v="0.8"/>
    <n v="4"/>
    <s v="USD"/>
    <x v="0"/>
    <s v="EMP0095"/>
    <n v="3.2"/>
    <s v="Wed"/>
    <x v="6"/>
    <x v="4"/>
  </r>
  <r>
    <x v="117"/>
    <d v="2022-08-22T04:40:03"/>
    <x v="117"/>
    <x v="12"/>
    <x v="12"/>
    <n v="1.8"/>
    <n v="10"/>
    <s v="USD"/>
    <x v="4"/>
    <s v="EMP0013"/>
    <n v="18"/>
    <s v="Mon"/>
    <x v="6"/>
    <x v="3"/>
  </r>
  <r>
    <x v="118"/>
    <d v="2024-04-07T04:12:03"/>
    <x v="118"/>
    <x v="5"/>
    <x v="13"/>
    <n v="0.8"/>
    <n v="5"/>
    <s v="USD"/>
    <x v="3"/>
    <s v="EMP0091"/>
    <n v="4"/>
    <s v="Sun"/>
    <x v="11"/>
    <x v="1"/>
  </r>
  <r>
    <x v="119"/>
    <d v="2022-05-12T09:09:03"/>
    <x v="119"/>
    <x v="13"/>
    <x v="17"/>
    <n v="2.5"/>
    <n v="9"/>
    <s v="USD"/>
    <x v="4"/>
    <s v="EMP0090"/>
    <n v="22.5"/>
    <s v="Thu"/>
    <x v="5"/>
    <x v="3"/>
  </r>
  <r>
    <x v="120"/>
    <d v="2024-08-23T16:31:03"/>
    <x v="120"/>
    <x v="14"/>
    <x v="15"/>
    <n v="1.5"/>
    <n v="2"/>
    <s v="USD"/>
    <x v="3"/>
    <s v="EMP0074"/>
    <n v="3"/>
    <s v="Fri"/>
    <x v="6"/>
    <x v="1"/>
  </r>
  <r>
    <x v="121"/>
    <d v="2023-10-04T21:56:03"/>
    <x v="121"/>
    <x v="10"/>
    <x v="4"/>
    <n v="3.2"/>
    <n v="3"/>
    <s v="USD"/>
    <x v="3"/>
    <s v="EMP0033"/>
    <n v="9.6000000000000014"/>
    <s v="Wed"/>
    <x v="0"/>
    <x v="4"/>
  </r>
  <r>
    <x v="122"/>
    <d v="2022-09-04T09:34:03"/>
    <x v="122"/>
    <x v="7"/>
    <x v="6"/>
    <n v="7"/>
    <n v="8"/>
    <s v="USD"/>
    <x v="3"/>
    <s v="EMP0074"/>
    <n v="56"/>
    <s v="Sun"/>
    <x v="9"/>
    <x v="3"/>
  </r>
  <r>
    <x v="123"/>
    <d v="2021-10-27T16:23:03"/>
    <x v="123"/>
    <x v="6"/>
    <x v="14"/>
    <n v="2.2000000000000002"/>
    <n v="10"/>
    <s v="USD"/>
    <x v="4"/>
    <s v="EMP0011"/>
    <n v="22"/>
    <s v="Wed"/>
    <x v="0"/>
    <x v="0"/>
  </r>
  <r>
    <x v="124"/>
    <d v="2023-12-18T09:51:03"/>
    <x v="124"/>
    <x v="14"/>
    <x v="18"/>
    <n v="1.7"/>
    <n v="10"/>
    <s v="USD"/>
    <x v="1"/>
    <s v="EMP0080"/>
    <n v="17"/>
    <s v="Mon"/>
    <x v="4"/>
    <x v="4"/>
  </r>
  <r>
    <x v="125"/>
    <d v="2024-02-01T21:02:03"/>
    <x v="125"/>
    <x v="10"/>
    <x v="10"/>
    <n v="5"/>
    <n v="5"/>
    <s v="USD"/>
    <x v="1"/>
    <s v="EMP0055"/>
    <n v="25"/>
    <s v="Thu"/>
    <x v="7"/>
    <x v="1"/>
  </r>
  <r>
    <x v="126"/>
    <d v="2023-08-22T18:47:03"/>
    <x v="126"/>
    <x v="13"/>
    <x v="5"/>
    <n v="1"/>
    <n v="2"/>
    <s v="USD"/>
    <x v="0"/>
    <s v="EMP0081"/>
    <n v="2"/>
    <s v="Tue"/>
    <x v="6"/>
    <x v="4"/>
  </r>
  <r>
    <x v="127"/>
    <d v="2024-03-03T04:44:03"/>
    <x v="127"/>
    <x v="7"/>
    <x v="13"/>
    <n v="0.8"/>
    <n v="4"/>
    <s v="USD"/>
    <x v="0"/>
    <s v="EMP0071"/>
    <n v="3.2"/>
    <s v="Sun"/>
    <x v="1"/>
    <x v="1"/>
  </r>
  <r>
    <x v="128"/>
    <d v="2024-12-07T08:26:03"/>
    <x v="128"/>
    <x v="8"/>
    <x v="10"/>
    <n v="5"/>
    <n v="10"/>
    <s v="USD"/>
    <x v="5"/>
    <s v="EMP0038"/>
    <n v="50"/>
    <s v="Sat"/>
    <x v="4"/>
    <x v="1"/>
  </r>
  <r>
    <x v="129"/>
    <d v="2025-03-04T06:08:03"/>
    <x v="129"/>
    <x v="0"/>
    <x v="8"/>
    <n v="4.5"/>
    <n v="8"/>
    <s v="USD"/>
    <x v="3"/>
    <s v="EMP0088"/>
    <n v="36"/>
    <s v="Tue"/>
    <x v="1"/>
    <x v="2"/>
  </r>
  <r>
    <x v="130"/>
    <d v="2024-01-17T04:36:03"/>
    <x v="130"/>
    <x v="14"/>
    <x v="16"/>
    <n v="4"/>
    <n v="4"/>
    <s v="USD"/>
    <x v="5"/>
    <s v="EMP0015"/>
    <n v="16"/>
    <s v="Wed"/>
    <x v="2"/>
    <x v="1"/>
  </r>
  <r>
    <x v="131"/>
    <d v="2022-04-20T05:45:03"/>
    <x v="131"/>
    <x v="6"/>
    <x v="0"/>
    <n v="3.1"/>
    <n v="3"/>
    <s v="USD"/>
    <x v="3"/>
    <s v="EMP0008"/>
    <n v="9.3000000000000007"/>
    <s v="Wed"/>
    <x v="11"/>
    <x v="3"/>
  </r>
  <r>
    <x v="132"/>
    <d v="2024-06-04T03:48:03"/>
    <x v="132"/>
    <x v="0"/>
    <x v="16"/>
    <n v="4"/>
    <n v="5"/>
    <s v="USD"/>
    <x v="5"/>
    <s v="EMP0016"/>
    <n v="20"/>
    <s v="Tue"/>
    <x v="3"/>
    <x v="1"/>
  </r>
  <r>
    <x v="133"/>
    <d v="2022-09-22T15:07:03"/>
    <x v="133"/>
    <x v="0"/>
    <x v="6"/>
    <n v="7"/>
    <n v="5"/>
    <s v="USD"/>
    <x v="1"/>
    <s v="EMP0070"/>
    <n v="35"/>
    <s v="Thu"/>
    <x v="9"/>
    <x v="3"/>
  </r>
  <r>
    <x v="134"/>
    <d v="2022-08-01T23:21:03"/>
    <x v="134"/>
    <x v="12"/>
    <x v="17"/>
    <n v="2.5"/>
    <n v="7"/>
    <s v="USD"/>
    <x v="2"/>
    <s v="EMP0042"/>
    <n v="17.5"/>
    <s v="Mon"/>
    <x v="6"/>
    <x v="3"/>
  </r>
  <r>
    <x v="135"/>
    <d v="2021-12-20T05:25:03"/>
    <x v="135"/>
    <x v="7"/>
    <x v="2"/>
    <n v="2.5"/>
    <n v="10"/>
    <s v="USD"/>
    <x v="1"/>
    <s v="EMP0003"/>
    <n v="25"/>
    <s v="Mon"/>
    <x v="4"/>
    <x v="0"/>
  </r>
  <r>
    <x v="136"/>
    <d v="2021-08-02T04:50:03"/>
    <x v="136"/>
    <x v="13"/>
    <x v="13"/>
    <n v="0.8"/>
    <n v="8"/>
    <s v="USD"/>
    <x v="1"/>
    <s v="EMP0084"/>
    <n v="6.4"/>
    <s v="Mon"/>
    <x v="6"/>
    <x v="0"/>
  </r>
  <r>
    <x v="137"/>
    <d v="2022-11-16T05:15:03"/>
    <x v="137"/>
    <x v="12"/>
    <x v="18"/>
    <n v="1.7"/>
    <n v="8"/>
    <s v="USD"/>
    <x v="3"/>
    <s v="EMP0061"/>
    <n v="13.6"/>
    <s v="Wed"/>
    <x v="10"/>
    <x v="3"/>
  </r>
  <r>
    <x v="138"/>
    <d v="2023-05-28T00:05:03"/>
    <x v="138"/>
    <x v="5"/>
    <x v="19"/>
    <n v="5.5"/>
    <n v="3"/>
    <s v="USD"/>
    <x v="4"/>
    <s v="EMP0053"/>
    <n v="16.5"/>
    <s v="Sun"/>
    <x v="5"/>
    <x v="4"/>
  </r>
  <r>
    <x v="139"/>
    <d v="2021-06-18T22:08:03"/>
    <x v="139"/>
    <x v="3"/>
    <x v="6"/>
    <n v="7"/>
    <n v="9"/>
    <s v="USD"/>
    <x v="3"/>
    <s v="EMP0059"/>
    <n v="63"/>
    <s v="Fri"/>
    <x v="3"/>
    <x v="0"/>
  </r>
  <r>
    <x v="140"/>
    <d v="2024-11-10T03:10:03"/>
    <x v="140"/>
    <x v="5"/>
    <x v="19"/>
    <n v="5.5"/>
    <n v="7"/>
    <s v="USD"/>
    <x v="1"/>
    <s v="EMP0001"/>
    <n v="38.5"/>
    <s v="Sun"/>
    <x v="10"/>
    <x v="1"/>
  </r>
  <r>
    <x v="141"/>
    <d v="2021-08-31T19:57:03"/>
    <x v="141"/>
    <x v="8"/>
    <x v="17"/>
    <n v="2.5"/>
    <n v="4"/>
    <s v="USD"/>
    <x v="1"/>
    <s v="EMP0047"/>
    <n v="10"/>
    <s v="Tue"/>
    <x v="6"/>
    <x v="0"/>
  </r>
  <r>
    <x v="142"/>
    <d v="2021-11-10T21:46:03"/>
    <x v="142"/>
    <x v="10"/>
    <x v="17"/>
    <n v="2.5"/>
    <n v="4"/>
    <s v="USD"/>
    <x v="4"/>
    <s v="EMP0071"/>
    <n v="10"/>
    <s v="Wed"/>
    <x v="10"/>
    <x v="0"/>
  </r>
  <r>
    <x v="143"/>
    <d v="2024-08-14T03:58:03"/>
    <x v="143"/>
    <x v="1"/>
    <x v="15"/>
    <n v="1.5"/>
    <n v="2"/>
    <s v="USD"/>
    <x v="3"/>
    <s v="EMP0081"/>
    <n v="3"/>
    <s v="Wed"/>
    <x v="6"/>
    <x v="1"/>
  </r>
  <r>
    <x v="144"/>
    <d v="2021-12-10T05:41:03"/>
    <x v="144"/>
    <x v="6"/>
    <x v="8"/>
    <n v="4.5"/>
    <n v="9"/>
    <s v="USD"/>
    <x v="3"/>
    <s v="EMP0071"/>
    <n v="40.5"/>
    <s v="Fri"/>
    <x v="4"/>
    <x v="0"/>
  </r>
  <r>
    <x v="145"/>
    <d v="2023-01-25T11:12:03"/>
    <x v="145"/>
    <x v="4"/>
    <x v="19"/>
    <n v="5.5"/>
    <n v="8"/>
    <s v="USD"/>
    <x v="3"/>
    <s v="EMP0083"/>
    <n v="44"/>
    <s v="Wed"/>
    <x v="2"/>
    <x v="4"/>
  </r>
  <r>
    <x v="146"/>
    <d v="2024-06-27T21:27:03"/>
    <x v="146"/>
    <x v="0"/>
    <x v="8"/>
    <n v="4.5"/>
    <n v="9"/>
    <s v="USD"/>
    <x v="2"/>
    <s v="EMP0035"/>
    <n v="40.5"/>
    <s v="Thu"/>
    <x v="3"/>
    <x v="1"/>
  </r>
  <r>
    <x v="147"/>
    <d v="2023-01-09T21:56:03"/>
    <x v="147"/>
    <x v="2"/>
    <x v="10"/>
    <n v="5"/>
    <n v="9"/>
    <s v="USD"/>
    <x v="0"/>
    <s v="EMP0050"/>
    <n v="45"/>
    <s v="Mon"/>
    <x v="2"/>
    <x v="4"/>
  </r>
  <r>
    <x v="148"/>
    <d v="2024-04-13T17:54:03"/>
    <x v="148"/>
    <x v="0"/>
    <x v="14"/>
    <n v="2.2000000000000002"/>
    <n v="2"/>
    <s v="USD"/>
    <x v="4"/>
    <s v="EMP0099"/>
    <n v="4.4000000000000004"/>
    <s v="Sat"/>
    <x v="11"/>
    <x v="1"/>
  </r>
  <r>
    <x v="149"/>
    <d v="2023-01-11T02:27:03"/>
    <x v="149"/>
    <x v="14"/>
    <x v="12"/>
    <n v="1.8"/>
    <n v="5"/>
    <s v="USD"/>
    <x v="3"/>
    <s v="EMP0037"/>
    <n v="9"/>
    <s v="Wed"/>
    <x v="2"/>
    <x v="4"/>
  </r>
  <r>
    <x v="150"/>
    <d v="2023-09-05T18:49:03"/>
    <x v="150"/>
    <x v="3"/>
    <x v="15"/>
    <n v="1.5"/>
    <n v="3"/>
    <s v="USD"/>
    <x v="5"/>
    <s v="EMP0069"/>
    <n v="4.5"/>
    <s v="Tue"/>
    <x v="9"/>
    <x v="4"/>
  </r>
  <r>
    <x v="151"/>
    <d v="2022-08-22T02:05:03"/>
    <x v="151"/>
    <x v="9"/>
    <x v="1"/>
    <n v="1"/>
    <n v="7"/>
    <s v="USD"/>
    <x v="5"/>
    <s v="EMP0042"/>
    <n v="7"/>
    <s v="Mon"/>
    <x v="6"/>
    <x v="3"/>
  </r>
  <r>
    <x v="152"/>
    <d v="2024-04-17T15:11:03"/>
    <x v="152"/>
    <x v="12"/>
    <x v="6"/>
    <n v="7"/>
    <n v="4"/>
    <s v="USD"/>
    <x v="5"/>
    <s v="EMP0006"/>
    <n v="28"/>
    <s v="Wed"/>
    <x v="11"/>
    <x v="1"/>
  </r>
  <r>
    <x v="153"/>
    <d v="2023-07-27T13:56:03"/>
    <x v="153"/>
    <x v="0"/>
    <x v="6"/>
    <n v="7"/>
    <n v="7"/>
    <s v="USD"/>
    <x v="2"/>
    <s v="EMP0084"/>
    <n v="49"/>
    <s v="Thu"/>
    <x v="8"/>
    <x v="4"/>
  </r>
  <r>
    <x v="154"/>
    <d v="2024-07-01T22:24:03"/>
    <x v="154"/>
    <x v="6"/>
    <x v="12"/>
    <n v="1.8"/>
    <n v="10"/>
    <s v="USD"/>
    <x v="4"/>
    <s v="EMP0013"/>
    <n v="18"/>
    <s v="Mon"/>
    <x v="8"/>
    <x v="1"/>
  </r>
  <r>
    <x v="155"/>
    <d v="2022-11-20T09:53:03"/>
    <x v="155"/>
    <x v="1"/>
    <x v="10"/>
    <n v="5"/>
    <n v="1"/>
    <s v="USD"/>
    <x v="2"/>
    <s v="EMP0019"/>
    <n v="5"/>
    <s v="Sun"/>
    <x v="10"/>
    <x v="3"/>
  </r>
  <r>
    <x v="156"/>
    <d v="2023-01-20T17:17:03"/>
    <x v="156"/>
    <x v="7"/>
    <x v="15"/>
    <n v="1.5"/>
    <n v="5"/>
    <s v="USD"/>
    <x v="4"/>
    <s v="EMP0080"/>
    <n v="7.5"/>
    <s v="Fri"/>
    <x v="2"/>
    <x v="4"/>
  </r>
  <r>
    <x v="157"/>
    <d v="2021-06-21T00:45:03"/>
    <x v="157"/>
    <x v="7"/>
    <x v="4"/>
    <n v="3.2"/>
    <n v="9"/>
    <s v="USD"/>
    <x v="5"/>
    <s v="EMP0041"/>
    <n v="28.8"/>
    <s v="Mon"/>
    <x v="3"/>
    <x v="0"/>
  </r>
  <r>
    <x v="158"/>
    <d v="2021-11-02T14:30:03"/>
    <x v="158"/>
    <x v="14"/>
    <x v="15"/>
    <n v="1.5"/>
    <n v="9"/>
    <s v="USD"/>
    <x v="3"/>
    <s v="EMP0080"/>
    <n v="13.5"/>
    <s v="Tue"/>
    <x v="10"/>
    <x v="0"/>
  </r>
  <r>
    <x v="159"/>
    <d v="2024-12-20T05:46:03"/>
    <x v="159"/>
    <x v="3"/>
    <x v="8"/>
    <n v="4.5"/>
    <n v="4"/>
    <s v="USD"/>
    <x v="2"/>
    <s v="EMP0012"/>
    <n v="18"/>
    <s v="Fri"/>
    <x v="4"/>
    <x v="1"/>
  </r>
  <r>
    <x v="160"/>
    <d v="2022-12-03T09:38:03"/>
    <x v="160"/>
    <x v="3"/>
    <x v="19"/>
    <n v="5.5"/>
    <n v="8"/>
    <s v="USD"/>
    <x v="0"/>
    <s v="EMP0089"/>
    <n v="44"/>
    <s v="Sat"/>
    <x v="4"/>
    <x v="3"/>
  </r>
  <r>
    <x v="161"/>
    <d v="2023-09-04T13:24:03"/>
    <x v="161"/>
    <x v="5"/>
    <x v="17"/>
    <n v="2.5"/>
    <n v="5"/>
    <s v="USD"/>
    <x v="4"/>
    <s v="EMP0048"/>
    <n v="12.5"/>
    <s v="Mon"/>
    <x v="9"/>
    <x v="4"/>
  </r>
  <r>
    <x v="162"/>
    <d v="2022-12-09T09:11:03"/>
    <x v="162"/>
    <x v="9"/>
    <x v="18"/>
    <n v="1.7"/>
    <n v="10"/>
    <s v="USD"/>
    <x v="2"/>
    <s v="EMP0024"/>
    <n v="17"/>
    <s v="Fri"/>
    <x v="4"/>
    <x v="3"/>
  </r>
  <r>
    <x v="163"/>
    <d v="2024-05-26T08:21:03"/>
    <x v="163"/>
    <x v="12"/>
    <x v="6"/>
    <n v="7"/>
    <n v="10"/>
    <s v="USD"/>
    <x v="2"/>
    <s v="EMP0031"/>
    <n v="70"/>
    <s v="Sun"/>
    <x v="5"/>
    <x v="1"/>
  </r>
  <r>
    <x v="164"/>
    <d v="2022-07-24T19:17:03"/>
    <x v="164"/>
    <x v="2"/>
    <x v="10"/>
    <n v="5"/>
    <n v="5"/>
    <s v="USD"/>
    <x v="5"/>
    <s v="EMP0033"/>
    <n v="25"/>
    <s v="Sun"/>
    <x v="8"/>
    <x v="3"/>
  </r>
  <r>
    <x v="165"/>
    <d v="2021-08-13T12:29:03"/>
    <x v="165"/>
    <x v="14"/>
    <x v="10"/>
    <n v="5"/>
    <n v="5"/>
    <s v="USD"/>
    <x v="2"/>
    <s v="EMP0070"/>
    <n v="25"/>
    <s v="Fri"/>
    <x v="6"/>
    <x v="0"/>
  </r>
  <r>
    <x v="166"/>
    <d v="2024-06-20T10:58:03"/>
    <x v="166"/>
    <x v="5"/>
    <x v="16"/>
    <n v="4"/>
    <n v="5"/>
    <s v="USD"/>
    <x v="2"/>
    <s v="EMP0055"/>
    <n v="20"/>
    <s v="Thu"/>
    <x v="3"/>
    <x v="1"/>
  </r>
  <r>
    <x v="167"/>
    <d v="2021-06-26T04:57:03"/>
    <x v="167"/>
    <x v="4"/>
    <x v="8"/>
    <n v="4.5"/>
    <n v="4"/>
    <s v="USD"/>
    <x v="5"/>
    <s v="EMP0062"/>
    <n v="18"/>
    <s v="Sat"/>
    <x v="3"/>
    <x v="0"/>
  </r>
  <r>
    <x v="168"/>
    <d v="2024-10-03T06:02:03"/>
    <x v="168"/>
    <x v="12"/>
    <x v="7"/>
    <n v="2.8"/>
    <n v="10"/>
    <s v="USD"/>
    <x v="4"/>
    <s v="EMP0090"/>
    <n v="28"/>
    <s v="Thu"/>
    <x v="0"/>
    <x v="1"/>
  </r>
  <r>
    <x v="169"/>
    <d v="2023-09-13T12:33:03"/>
    <x v="169"/>
    <x v="3"/>
    <x v="6"/>
    <n v="7"/>
    <n v="5"/>
    <s v="USD"/>
    <x v="3"/>
    <s v="EMP0073"/>
    <n v="35"/>
    <s v="Wed"/>
    <x v="9"/>
    <x v="4"/>
  </r>
  <r>
    <x v="170"/>
    <d v="2021-07-04T14:23:03"/>
    <x v="170"/>
    <x v="1"/>
    <x v="5"/>
    <n v="1"/>
    <n v="8"/>
    <s v="USD"/>
    <x v="4"/>
    <s v="EMP0100"/>
    <n v="8"/>
    <s v="Sun"/>
    <x v="8"/>
    <x v="0"/>
  </r>
  <r>
    <x v="171"/>
    <d v="2024-01-23T17:35:03"/>
    <x v="171"/>
    <x v="5"/>
    <x v="2"/>
    <n v="2.5"/>
    <n v="4"/>
    <s v="USD"/>
    <x v="1"/>
    <s v="EMP0033"/>
    <n v="10"/>
    <s v="Tue"/>
    <x v="2"/>
    <x v="1"/>
  </r>
  <r>
    <x v="172"/>
    <d v="2021-07-20T13:37:03"/>
    <x v="172"/>
    <x v="3"/>
    <x v="14"/>
    <n v="2.2000000000000002"/>
    <n v="2"/>
    <s v="USD"/>
    <x v="2"/>
    <s v="EMP0083"/>
    <n v="4.4000000000000004"/>
    <s v="Tue"/>
    <x v="8"/>
    <x v="0"/>
  </r>
  <r>
    <x v="173"/>
    <d v="2025-02-18T03:36:03"/>
    <x v="173"/>
    <x v="10"/>
    <x v="17"/>
    <n v="2.5"/>
    <n v="10"/>
    <s v="USD"/>
    <x v="4"/>
    <s v="EMP0094"/>
    <n v="25"/>
    <s v="Tue"/>
    <x v="7"/>
    <x v="2"/>
  </r>
  <r>
    <x v="174"/>
    <d v="2024-08-13T10:28:03"/>
    <x v="174"/>
    <x v="11"/>
    <x v="4"/>
    <n v="3.2"/>
    <n v="7"/>
    <s v="USD"/>
    <x v="0"/>
    <s v="EMP0026"/>
    <n v="22.400000000000002"/>
    <s v="Tue"/>
    <x v="6"/>
    <x v="1"/>
  </r>
  <r>
    <x v="175"/>
    <d v="2024-08-11T19:30:03"/>
    <x v="175"/>
    <x v="5"/>
    <x v="12"/>
    <n v="1.8"/>
    <n v="9"/>
    <s v="USD"/>
    <x v="4"/>
    <s v="EMP0022"/>
    <n v="16.2"/>
    <s v="Sun"/>
    <x v="6"/>
    <x v="1"/>
  </r>
  <r>
    <x v="176"/>
    <d v="2023-11-29T21:35:03"/>
    <x v="176"/>
    <x v="11"/>
    <x v="4"/>
    <n v="3.2"/>
    <n v="2"/>
    <s v="USD"/>
    <x v="5"/>
    <s v="EMP0010"/>
    <n v="6.4"/>
    <s v="Wed"/>
    <x v="10"/>
    <x v="4"/>
  </r>
  <r>
    <x v="177"/>
    <d v="2024-07-25T05:31:03"/>
    <x v="177"/>
    <x v="3"/>
    <x v="6"/>
    <n v="7"/>
    <n v="9"/>
    <s v="USD"/>
    <x v="4"/>
    <s v="EMP0012"/>
    <n v="63"/>
    <s v="Thu"/>
    <x v="8"/>
    <x v="1"/>
  </r>
  <r>
    <x v="178"/>
    <d v="2023-02-21T13:10:03"/>
    <x v="178"/>
    <x v="9"/>
    <x v="19"/>
    <n v="5.5"/>
    <n v="8"/>
    <s v="USD"/>
    <x v="4"/>
    <s v="EMP0087"/>
    <n v="44"/>
    <s v="Tue"/>
    <x v="7"/>
    <x v="4"/>
  </r>
  <r>
    <x v="179"/>
    <d v="2021-08-02T04:49:03"/>
    <x v="179"/>
    <x v="8"/>
    <x v="7"/>
    <n v="2.8"/>
    <n v="2"/>
    <s v="USD"/>
    <x v="2"/>
    <s v="EMP0030"/>
    <n v="5.6"/>
    <s v="Mon"/>
    <x v="6"/>
    <x v="0"/>
  </r>
  <r>
    <x v="180"/>
    <d v="2022-09-17T12:47:03"/>
    <x v="180"/>
    <x v="1"/>
    <x v="1"/>
    <n v="1"/>
    <n v="6"/>
    <s v="USD"/>
    <x v="1"/>
    <s v="EMP0029"/>
    <n v="6"/>
    <s v="Sat"/>
    <x v="9"/>
    <x v="3"/>
  </r>
  <r>
    <x v="181"/>
    <d v="2021-09-21T10:46:03"/>
    <x v="181"/>
    <x v="4"/>
    <x v="10"/>
    <n v="5"/>
    <n v="5"/>
    <s v="USD"/>
    <x v="2"/>
    <s v="EMP0053"/>
    <n v="25"/>
    <s v="Tue"/>
    <x v="9"/>
    <x v="0"/>
  </r>
  <r>
    <x v="182"/>
    <d v="2024-09-13T09:24:03"/>
    <x v="182"/>
    <x v="13"/>
    <x v="8"/>
    <n v="4.5"/>
    <n v="8"/>
    <s v="USD"/>
    <x v="3"/>
    <s v="EMP0013"/>
    <n v="36"/>
    <s v="Fri"/>
    <x v="9"/>
    <x v="1"/>
  </r>
  <r>
    <x v="183"/>
    <d v="2024-01-14T20:18:03"/>
    <x v="183"/>
    <x v="8"/>
    <x v="10"/>
    <n v="5"/>
    <n v="6"/>
    <s v="USD"/>
    <x v="2"/>
    <s v="EMP0096"/>
    <n v="30"/>
    <s v="Sun"/>
    <x v="2"/>
    <x v="1"/>
  </r>
  <r>
    <x v="184"/>
    <d v="2021-06-12T20:00:03"/>
    <x v="184"/>
    <x v="12"/>
    <x v="14"/>
    <n v="2.2000000000000002"/>
    <n v="7"/>
    <s v="USD"/>
    <x v="2"/>
    <s v="EMP0013"/>
    <n v="15.400000000000002"/>
    <s v="Sat"/>
    <x v="3"/>
    <x v="0"/>
  </r>
  <r>
    <x v="185"/>
    <d v="2022-08-10T18:00:03"/>
    <x v="185"/>
    <x v="11"/>
    <x v="17"/>
    <n v="2.5"/>
    <n v="6"/>
    <s v="USD"/>
    <x v="0"/>
    <s v="EMP0057"/>
    <n v="15"/>
    <s v="Wed"/>
    <x v="6"/>
    <x v="3"/>
  </r>
  <r>
    <x v="186"/>
    <d v="2022-11-11T05:32:03"/>
    <x v="186"/>
    <x v="5"/>
    <x v="19"/>
    <n v="5.5"/>
    <n v="6"/>
    <s v="USD"/>
    <x v="1"/>
    <s v="EMP0083"/>
    <n v="33"/>
    <s v="Fri"/>
    <x v="10"/>
    <x v="3"/>
  </r>
  <r>
    <x v="187"/>
    <d v="2023-05-06T12:01:03"/>
    <x v="187"/>
    <x v="11"/>
    <x v="11"/>
    <n v="4"/>
    <n v="2"/>
    <s v="USD"/>
    <x v="5"/>
    <s v="EMP0012"/>
    <n v="8"/>
    <s v="Sat"/>
    <x v="5"/>
    <x v="4"/>
  </r>
  <r>
    <x v="188"/>
    <d v="2021-08-21T06:45:03"/>
    <x v="188"/>
    <x v="3"/>
    <x v="5"/>
    <n v="1"/>
    <n v="1"/>
    <s v="USD"/>
    <x v="3"/>
    <s v="EMP0043"/>
    <n v="1"/>
    <s v="Sat"/>
    <x v="6"/>
    <x v="0"/>
  </r>
  <r>
    <x v="189"/>
    <d v="2023-12-28T08:36:03"/>
    <x v="189"/>
    <x v="12"/>
    <x v="11"/>
    <n v="4"/>
    <n v="2"/>
    <s v="USD"/>
    <x v="1"/>
    <s v="EMP0027"/>
    <n v="8"/>
    <s v="Thu"/>
    <x v="4"/>
    <x v="4"/>
  </r>
  <r>
    <x v="190"/>
    <d v="2022-01-25T06:34:03"/>
    <x v="190"/>
    <x v="4"/>
    <x v="2"/>
    <n v="2.5"/>
    <n v="6"/>
    <s v="USD"/>
    <x v="0"/>
    <s v="EMP0077"/>
    <n v="15"/>
    <s v="Tue"/>
    <x v="2"/>
    <x v="3"/>
  </r>
  <r>
    <x v="191"/>
    <d v="2025-05-04T04:32:03"/>
    <x v="191"/>
    <x v="6"/>
    <x v="14"/>
    <n v="2.2000000000000002"/>
    <n v="9"/>
    <s v="USD"/>
    <x v="4"/>
    <s v="EMP0023"/>
    <n v="19.8"/>
    <s v="Sun"/>
    <x v="5"/>
    <x v="2"/>
  </r>
  <r>
    <x v="192"/>
    <d v="2024-09-25T15:31:03"/>
    <x v="192"/>
    <x v="13"/>
    <x v="14"/>
    <n v="2.2000000000000002"/>
    <n v="1"/>
    <s v="USD"/>
    <x v="4"/>
    <s v="EMP0031"/>
    <n v="2.2000000000000002"/>
    <s v="Wed"/>
    <x v="9"/>
    <x v="1"/>
  </r>
  <r>
    <x v="193"/>
    <d v="2022-01-20T03:25:03"/>
    <x v="193"/>
    <x v="6"/>
    <x v="0"/>
    <n v="3.1"/>
    <n v="1"/>
    <s v="USD"/>
    <x v="0"/>
    <s v="EMP0095"/>
    <n v="3.1"/>
    <s v="Thu"/>
    <x v="2"/>
    <x v="3"/>
  </r>
  <r>
    <x v="194"/>
    <d v="2022-12-28T21:19:03"/>
    <x v="194"/>
    <x v="0"/>
    <x v="9"/>
    <n v="3"/>
    <n v="8"/>
    <s v="USD"/>
    <x v="5"/>
    <s v="EMP0100"/>
    <n v="24"/>
    <s v="Wed"/>
    <x v="4"/>
    <x v="3"/>
  </r>
  <r>
    <x v="195"/>
    <d v="2023-04-28T20:49:03"/>
    <x v="195"/>
    <x v="7"/>
    <x v="10"/>
    <n v="5"/>
    <n v="9"/>
    <s v="USD"/>
    <x v="0"/>
    <s v="EMP0079"/>
    <n v="45"/>
    <s v="Fri"/>
    <x v="11"/>
    <x v="4"/>
  </r>
  <r>
    <x v="196"/>
    <d v="2025-02-09T13:36:03"/>
    <x v="196"/>
    <x v="1"/>
    <x v="12"/>
    <n v="1.8"/>
    <n v="5"/>
    <s v="USD"/>
    <x v="5"/>
    <s v="EMP0083"/>
    <n v="9"/>
    <s v="Sun"/>
    <x v="7"/>
    <x v="2"/>
  </r>
  <r>
    <x v="197"/>
    <d v="2025-03-07T11:56:03"/>
    <x v="197"/>
    <x v="4"/>
    <x v="6"/>
    <n v="7"/>
    <n v="7"/>
    <s v="USD"/>
    <x v="2"/>
    <s v="EMP0014"/>
    <n v="49"/>
    <s v="Fri"/>
    <x v="1"/>
    <x v="2"/>
  </r>
  <r>
    <x v="198"/>
    <d v="2022-08-08T14:28:03"/>
    <x v="198"/>
    <x v="10"/>
    <x v="9"/>
    <n v="3"/>
    <n v="2"/>
    <s v="USD"/>
    <x v="4"/>
    <s v="EMP0078"/>
    <n v="6"/>
    <s v="Mon"/>
    <x v="6"/>
    <x v="3"/>
  </r>
  <r>
    <x v="199"/>
    <d v="2024-07-10T11:18:03"/>
    <x v="199"/>
    <x v="11"/>
    <x v="5"/>
    <n v="1"/>
    <n v="10"/>
    <s v="USD"/>
    <x v="1"/>
    <s v="EMP0092"/>
    <n v="10"/>
    <s v="Wed"/>
    <x v="8"/>
    <x v="1"/>
  </r>
  <r>
    <x v="200"/>
    <d v="2023-07-14T00:48:03"/>
    <x v="200"/>
    <x v="9"/>
    <x v="8"/>
    <n v="4.5"/>
    <n v="8"/>
    <s v="USD"/>
    <x v="1"/>
    <s v="EMP0078"/>
    <n v="36"/>
    <s v="Fri"/>
    <x v="8"/>
    <x v="4"/>
  </r>
  <r>
    <x v="201"/>
    <d v="2022-12-10T09:36:03"/>
    <x v="201"/>
    <x v="0"/>
    <x v="19"/>
    <n v="5.5"/>
    <n v="9"/>
    <s v="USD"/>
    <x v="2"/>
    <s v="EMP0028"/>
    <n v="49.5"/>
    <s v="Sat"/>
    <x v="4"/>
    <x v="3"/>
  </r>
  <r>
    <x v="202"/>
    <d v="2022-12-10T22:30:03"/>
    <x v="202"/>
    <x v="2"/>
    <x v="18"/>
    <n v="1.7"/>
    <n v="6"/>
    <s v="USD"/>
    <x v="5"/>
    <s v="EMP0052"/>
    <n v="10.199999999999999"/>
    <s v="Sat"/>
    <x v="4"/>
    <x v="3"/>
  </r>
  <r>
    <x v="203"/>
    <d v="2023-01-08T14:20:03"/>
    <x v="203"/>
    <x v="5"/>
    <x v="18"/>
    <n v="1.7"/>
    <n v="6"/>
    <s v="USD"/>
    <x v="2"/>
    <s v="EMP0033"/>
    <n v="10.199999999999999"/>
    <s v="Sun"/>
    <x v="2"/>
    <x v="4"/>
  </r>
  <r>
    <x v="204"/>
    <d v="2023-04-04T08:43:03"/>
    <x v="204"/>
    <x v="1"/>
    <x v="15"/>
    <n v="1.5"/>
    <n v="2"/>
    <s v="USD"/>
    <x v="3"/>
    <s v="EMP0011"/>
    <n v="3"/>
    <s v="Tue"/>
    <x v="11"/>
    <x v="4"/>
  </r>
  <r>
    <x v="205"/>
    <d v="2024-10-31T00:20:03"/>
    <x v="205"/>
    <x v="0"/>
    <x v="7"/>
    <n v="2.8"/>
    <n v="3"/>
    <s v="USD"/>
    <x v="1"/>
    <s v="EMP0008"/>
    <n v="8.3999999999999986"/>
    <s v="Thu"/>
    <x v="0"/>
    <x v="1"/>
  </r>
  <r>
    <x v="206"/>
    <d v="2022-01-23T19:51:03"/>
    <x v="206"/>
    <x v="5"/>
    <x v="19"/>
    <n v="5.5"/>
    <n v="7"/>
    <s v="USD"/>
    <x v="4"/>
    <s v="EMP0086"/>
    <n v="38.5"/>
    <s v="Sun"/>
    <x v="2"/>
    <x v="3"/>
  </r>
  <r>
    <x v="207"/>
    <d v="2022-12-24T14:23:03"/>
    <x v="207"/>
    <x v="11"/>
    <x v="5"/>
    <n v="1"/>
    <n v="5"/>
    <s v="USD"/>
    <x v="4"/>
    <s v="EMP0014"/>
    <n v="5"/>
    <s v="Sat"/>
    <x v="4"/>
    <x v="3"/>
  </r>
  <r>
    <x v="208"/>
    <d v="2022-02-10T21:13:03"/>
    <x v="208"/>
    <x v="6"/>
    <x v="15"/>
    <n v="1.5"/>
    <n v="4"/>
    <s v="USD"/>
    <x v="3"/>
    <s v="EMP0045"/>
    <n v="6"/>
    <s v="Thu"/>
    <x v="7"/>
    <x v="3"/>
  </r>
  <r>
    <x v="209"/>
    <d v="2022-03-27T02:19:03"/>
    <x v="209"/>
    <x v="14"/>
    <x v="0"/>
    <n v="3.1"/>
    <n v="10"/>
    <s v="USD"/>
    <x v="0"/>
    <s v="EMP0055"/>
    <n v="31"/>
    <s v="Sun"/>
    <x v="1"/>
    <x v="3"/>
  </r>
  <r>
    <x v="210"/>
    <d v="2022-03-17T17:47:03"/>
    <x v="210"/>
    <x v="3"/>
    <x v="1"/>
    <n v="1"/>
    <n v="1"/>
    <s v="USD"/>
    <x v="1"/>
    <s v="EMP0085"/>
    <n v="1"/>
    <s v="Thu"/>
    <x v="1"/>
    <x v="3"/>
  </r>
  <r>
    <x v="211"/>
    <d v="2021-06-19T05:25:03"/>
    <x v="211"/>
    <x v="6"/>
    <x v="0"/>
    <n v="3.1"/>
    <n v="5"/>
    <s v="USD"/>
    <x v="4"/>
    <s v="EMP0045"/>
    <n v="15.5"/>
    <s v="Sat"/>
    <x v="3"/>
    <x v="0"/>
  </r>
  <r>
    <x v="212"/>
    <d v="2025-04-27T07:31:03"/>
    <x v="212"/>
    <x v="6"/>
    <x v="16"/>
    <n v="4"/>
    <n v="7"/>
    <s v="USD"/>
    <x v="3"/>
    <s v="EMP0019"/>
    <n v="28"/>
    <s v="Sun"/>
    <x v="11"/>
    <x v="2"/>
  </r>
  <r>
    <x v="213"/>
    <d v="2021-10-21T13:21:03"/>
    <x v="213"/>
    <x v="0"/>
    <x v="12"/>
    <n v="1.8"/>
    <n v="4"/>
    <s v="USD"/>
    <x v="5"/>
    <s v="EMP0054"/>
    <n v="7.2"/>
    <s v="Thu"/>
    <x v="0"/>
    <x v="0"/>
  </r>
  <r>
    <x v="214"/>
    <d v="2022-10-23T03:16:03"/>
    <x v="214"/>
    <x v="5"/>
    <x v="8"/>
    <n v="4.5"/>
    <n v="6"/>
    <s v="USD"/>
    <x v="1"/>
    <s v="EMP0077"/>
    <n v="27"/>
    <s v="Sun"/>
    <x v="0"/>
    <x v="3"/>
  </r>
  <r>
    <x v="215"/>
    <d v="2024-11-17T12:17:03"/>
    <x v="215"/>
    <x v="6"/>
    <x v="5"/>
    <n v="1"/>
    <n v="1"/>
    <s v="USD"/>
    <x v="2"/>
    <s v="EMP0011"/>
    <n v="1"/>
    <s v="Sun"/>
    <x v="10"/>
    <x v="1"/>
  </r>
  <r>
    <x v="216"/>
    <d v="2023-10-29T22:44:03"/>
    <x v="216"/>
    <x v="8"/>
    <x v="15"/>
    <n v="1.5"/>
    <n v="10"/>
    <s v="USD"/>
    <x v="5"/>
    <s v="EMP0054"/>
    <n v="15"/>
    <s v="Sun"/>
    <x v="0"/>
    <x v="4"/>
  </r>
  <r>
    <x v="217"/>
    <d v="2023-10-28T06:38:03"/>
    <x v="217"/>
    <x v="9"/>
    <x v="19"/>
    <n v="5.5"/>
    <n v="6"/>
    <s v="USD"/>
    <x v="5"/>
    <s v="EMP0015"/>
    <n v="33"/>
    <s v="Sat"/>
    <x v="0"/>
    <x v="4"/>
  </r>
  <r>
    <x v="218"/>
    <d v="2023-10-06T15:43:03"/>
    <x v="218"/>
    <x v="12"/>
    <x v="15"/>
    <n v="1.5"/>
    <n v="9"/>
    <s v="USD"/>
    <x v="2"/>
    <s v="EMP0040"/>
    <n v="13.5"/>
    <s v="Fri"/>
    <x v="0"/>
    <x v="4"/>
  </r>
  <r>
    <x v="219"/>
    <d v="2025-02-05T06:01:03"/>
    <x v="219"/>
    <x v="12"/>
    <x v="17"/>
    <n v="2.5"/>
    <n v="1"/>
    <s v="USD"/>
    <x v="0"/>
    <s v="EMP0039"/>
    <n v="2.5"/>
    <s v="Wed"/>
    <x v="7"/>
    <x v="2"/>
  </r>
  <r>
    <x v="220"/>
    <d v="2024-03-03T08:38:03"/>
    <x v="220"/>
    <x v="11"/>
    <x v="8"/>
    <n v="4.5"/>
    <n v="6"/>
    <s v="USD"/>
    <x v="3"/>
    <s v="EMP0001"/>
    <n v="27"/>
    <s v="Sun"/>
    <x v="1"/>
    <x v="1"/>
  </r>
  <r>
    <x v="221"/>
    <d v="2022-07-25T13:59:03"/>
    <x v="221"/>
    <x v="6"/>
    <x v="14"/>
    <n v="2.2000000000000002"/>
    <n v="7"/>
    <s v="USD"/>
    <x v="1"/>
    <s v="EMP0091"/>
    <n v="15.400000000000002"/>
    <s v="Mon"/>
    <x v="8"/>
    <x v="3"/>
  </r>
  <r>
    <x v="222"/>
    <d v="2024-01-23T20:51:03"/>
    <x v="222"/>
    <x v="4"/>
    <x v="7"/>
    <n v="2.8"/>
    <n v="2"/>
    <s v="USD"/>
    <x v="5"/>
    <s v="EMP0095"/>
    <n v="5.6"/>
    <s v="Tue"/>
    <x v="2"/>
    <x v="1"/>
  </r>
  <r>
    <x v="223"/>
    <d v="2025-02-12T00:25:03"/>
    <x v="223"/>
    <x v="10"/>
    <x v="9"/>
    <n v="3"/>
    <n v="6"/>
    <s v="USD"/>
    <x v="1"/>
    <s v="EMP0055"/>
    <n v="18"/>
    <s v="Wed"/>
    <x v="7"/>
    <x v="2"/>
  </r>
  <r>
    <x v="224"/>
    <d v="2022-02-20T00:41:03"/>
    <x v="224"/>
    <x v="3"/>
    <x v="18"/>
    <n v="1.7"/>
    <n v="5"/>
    <s v="USD"/>
    <x v="3"/>
    <s v="EMP0052"/>
    <n v="8.5"/>
    <s v="Sun"/>
    <x v="7"/>
    <x v="3"/>
  </r>
  <r>
    <x v="225"/>
    <d v="2025-03-28T03:16:03"/>
    <x v="225"/>
    <x v="14"/>
    <x v="5"/>
    <n v="1"/>
    <n v="8"/>
    <s v="USD"/>
    <x v="2"/>
    <s v="EMP0047"/>
    <n v="8"/>
    <s v="Fri"/>
    <x v="1"/>
    <x v="2"/>
  </r>
  <r>
    <x v="226"/>
    <d v="2024-11-09T23:32:03"/>
    <x v="226"/>
    <x v="7"/>
    <x v="2"/>
    <n v="2.5"/>
    <n v="7"/>
    <s v="USD"/>
    <x v="1"/>
    <s v="EMP0052"/>
    <n v="17.5"/>
    <s v="Sat"/>
    <x v="10"/>
    <x v="1"/>
  </r>
  <r>
    <x v="227"/>
    <d v="2022-06-01T11:01:03"/>
    <x v="227"/>
    <x v="4"/>
    <x v="8"/>
    <n v="4.5"/>
    <n v="6"/>
    <s v="USD"/>
    <x v="0"/>
    <s v="EMP0043"/>
    <n v="27"/>
    <s v="Wed"/>
    <x v="3"/>
    <x v="3"/>
  </r>
  <r>
    <x v="228"/>
    <d v="2024-05-30T10:54:03"/>
    <x v="228"/>
    <x v="3"/>
    <x v="19"/>
    <n v="5.5"/>
    <n v="9"/>
    <s v="USD"/>
    <x v="1"/>
    <s v="EMP0025"/>
    <n v="49.5"/>
    <s v="Thu"/>
    <x v="5"/>
    <x v="1"/>
  </r>
  <r>
    <x v="229"/>
    <d v="2023-05-25T01:40:03"/>
    <x v="229"/>
    <x v="4"/>
    <x v="14"/>
    <n v="2.2000000000000002"/>
    <n v="4"/>
    <s v="USD"/>
    <x v="3"/>
    <s v="EMP0019"/>
    <n v="8.8000000000000007"/>
    <s v="Thu"/>
    <x v="5"/>
    <x v="4"/>
  </r>
  <r>
    <x v="230"/>
    <d v="2023-12-02T07:15:03"/>
    <x v="230"/>
    <x v="12"/>
    <x v="14"/>
    <n v="2.2000000000000002"/>
    <n v="2"/>
    <s v="USD"/>
    <x v="0"/>
    <s v="EMP0099"/>
    <n v="4.4000000000000004"/>
    <s v="Sat"/>
    <x v="4"/>
    <x v="4"/>
  </r>
  <r>
    <x v="231"/>
    <d v="2021-10-30T21:57:03"/>
    <x v="231"/>
    <x v="14"/>
    <x v="16"/>
    <n v="4"/>
    <n v="10"/>
    <s v="USD"/>
    <x v="5"/>
    <s v="EMP0088"/>
    <n v="40"/>
    <s v="Sat"/>
    <x v="0"/>
    <x v="0"/>
  </r>
  <r>
    <x v="232"/>
    <d v="2022-03-09T16:46:03"/>
    <x v="232"/>
    <x v="12"/>
    <x v="4"/>
    <n v="3.2"/>
    <n v="6"/>
    <s v="USD"/>
    <x v="0"/>
    <s v="EMP0057"/>
    <n v="19.200000000000003"/>
    <s v="Wed"/>
    <x v="1"/>
    <x v="3"/>
  </r>
  <r>
    <x v="233"/>
    <d v="2024-12-20T21:58:03"/>
    <x v="233"/>
    <x v="3"/>
    <x v="8"/>
    <n v="4.5"/>
    <n v="5"/>
    <s v="USD"/>
    <x v="1"/>
    <s v="EMP0008"/>
    <n v="22.5"/>
    <s v="Fri"/>
    <x v="4"/>
    <x v="1"/>
  </r>
  <r>
    <x v="234"/>
    <d v="2023-05-19T21:22:03"/>
    <x v="234"/>
    <x v="11"/>
    <x v="10"/>
    <n v="5"/>
    <n v="8"/>
    <s v="USD"/>
    <x v="3"/>
    <s v="EMP0008"/>
    <n v="40"/>
    <s v="Fri"/>
    <x v="5"/>
    <x v="4"/>
  </r>
  <r>
    <x v="235"/>
    <d v="2023-04-15T04:22:03"/>
    <x v="235"/>
    <x v="3"/>
    <x v="9"/>
    <n v="3"/>
    <n v="10"/>
    <s v="USD"/>
    <x v="1"/>
    <s v="EMP0065"/>
    <n v="30"/>
    <s v="Sat"/>
    <x v="11"/>
    <x v="4"/>
  </r>
  <r>
    <x v="236"/>
    <d v="2023-03-13T22:49:03"/>
    <x v="236"/>
    <x v="9"/>
    <x v="17"/>
    <n v="2.5"/>
    <n v="8"/>
    <s v="USD"/>
    <x v="1"/>
    <s v="EMP0084"/>
    <n v="20"/>
    <s v="Mon"/>
    <x v="1"/>
    <x v="4"/>
  </r>
  <r>
    <x v="237"/>
    <d v="2024-04-19T02:48:03"/>
    <x v="237"/>
    <x v="10"/>
    <x v="12"/>
    <n v="1.8"/>
    <n v="3"/>
    <s v="USD"/>
    <x v="3"/>
    <s v="EMP0058"/>
    <n v="5.4"/>
    <s v="Fri"/>
    <x v="11"/>
    <x v="1"/>
  </r>
  <r>
    <x v="238"/>
    <d v="2024-10-10T02:41:03"/>
    <x v="238"/>
    <x v="7"/>
    <x v="12"/>
    <n v="1.8"/>
    <n v="3"/>
    <s v="USD"/>
    <x v="3"/>
    <s v="EMP0032"/>
    <n v="5.4"/>
    <s v="Thu"/>
    <x v="0"/>
    <x v="1"/>
  </r>
  <r>
    <x v="239"/>
    <d v="2021-05-20T22:58:03"/>
    <x v="239"/>
    <x v="9"/>
    <x v="12"/>
    <n v="1.8"/>
    <n v="10"/>
    <s v="USD"/>
    <x v="0"/>
    <s v="EMP0047"/>
    <n v="18"/>
    <s v="Thu"/>
    <x v="5"/>
    <x v="0"/>
  </r>
  <r>
    <x v="240"/>
    <d v="2023-04-07T04:02:03"/>
    <x v="240"/>
    <x v="8"/>
    <x v="4"/>
    <n v="3.2"/>
    <n v="10"/>
    <s v="USD"/>
    <x v="3"/>
    <s v="EMP0081"/>
    <n v="32"/>
    <s v="Fri"/>
    <x v="11"/>
    <x v="4"/>
  </r>
  <r>
    <x v="241"/>
    <d v="2021-09-22T03:22:03"/>
    <x v="241"/>
    <x v="5"/>
    <x v="19"/>
    <n v="5.5"/>
    <n v="9"/>
    <s v="USD"/>
    <x v="2"/>
    <s v="EMP0050"/>
    <n v="49.5"/>
    <s v="Wed"/>
    <x v="9"/>
    <x v="0"/>
  </r>
  <r>
    <x v="242"/>
    <d v="2023-10-06T04:40:03"/>
    <x v="242"/>
    <x v="4"/>
    <x v="5"/>
    <n v="1"/>
    <n v="3"/>
    <s v="USD"/>
    <x v="4"/>
    <s v="EMP0011"/>
    <n v="3"/>
    <s v="Fri"/>
    <x v="0"/>
    <x v="4"/>
  </r>
  <r>
    <x v="243"/>
    <d v="2022-01-31T16:17:03"/>
    <x v="243"/>
    <x v="1"/>
    <x v="7"/>
    <n v="2.8"/>
    <n v="5"/>
    <s v="USD"/>
    <x v="2"/>
    <s v="EMP0090"/>
    <n v="14"/>
    <s v="Mon"/>
    <x v="2"/>
    <x v="3"/>
  </r>
  <r>
    <x v="244"/>
    <d v="2021-08-22T01:18:03"/>
    <x v="244"/>
    <x v="12"/>
    <x v="9"/>
    <n v="3"/>
    <n v="5"/>
    <s v="USD"/>
    <x v="1"/>
    <s v="EMP0049"/>
    <n v="15"/>
    <s v="Sun"/>
    <x v="6"/>
    <x v="0"/>
  </r>
  <r>
    <x v="245"/>
    <d v="2021-09-30T02:34:03"/>
    <x v="245"/>
    <x v="6"/>
    <x v="12"/>
    <n v="1.8"/>
    <n v="2"/>
    <s v="USD"/>
    <x v="2"/>
    <s v="EMP0086"/>
    <n v="3.6"/>
    <s v="Thu"/>
    <x v="9"/>
    <x v="0"/>
  </r>
  <r>
    <x v="246"/>
    <d v="2022-12-23T21:03:03"/>
    <x v="246"/>
    <x v="13"/>
    <x v="7"/>
    <n v="2.8"/>
    <n v="5"/>
    <s v="USD"/>
    <x v="0"/>
    <s v="EMP0028"/>
    <n v="14"/>
    <s v="Fri"/>
    <x v="4"/>
    <x v="3"/>
  </r>
  <r>
    <x v="247"/>
    <d v="2023-06-09T22:14:03"/>
    <x v="247"/>
    <x v="2"/>
    <x v="14"/>
    <n v="2.2000000000000002"/>
    <n v="3"/>
    <s v="USD"/>
    <x v="3"/>
    <s v="EMP0038"/>
    <n v="6.6000000000000005"/>
    <s v="Fri"/>
    <x v="3"/>
    <x v="4"/>
  </r>
  <r>
    <x v="248"/>
    <d v="2024-10-13T20:37:03"/>
    <x v="248"/>
    <x v="9"/>
    <x v="12"/>
    <n v="1.8"/>
    <n v="1"/>
    <s v="USD"/>
    <x v="2"/>
    <s v="EMP0044"/>
    <n v="1.8"/>
    <s v="Sun"/>
    <x v="0"/>
    <x v="1"/>
  </r>
  <r>
    <x v="249"/>
    <d v="2021-11-21T08:48:03"/>
    <x v="249"/>
    <x v="8"/>
    <x v="14"/>
    <n v="2.2000000000000002"/>
    <n v="3"/>
    <s v="USD"/>
    <x v="0"/>
    <s v="EMP0089"/>
    <n v="6.6000000000000005"/>
    <s v="Sun"/>
    <x v="10"/>
    <x v="0"/>
  </r>
  <r>
    <x v="250"/>
    <d v="2021-11-07T07:40:03"/>
    <x v="250"/>
    <x v="10"/>
    <x v="17"/>
    <n v="2.5"/>
    <n v="7"/>
    <s v="USD"/>
    <x v="4"/>
    <s v="EMP0087"/>
    <n v="17.5"/>
    <s v="Sun"/>
    <x v="10"/>
    <x v="0"/>
  </r>
  <r>
    <x v="251"/>
    <d v="2024-01-08T22:47:03"/>
    <x v="251"/>
    <x v="11"/>
    <x v="10"/>
    <n v="5"/>
    <n v="4"/>
    <s v="USD"/>
    <x v="1"/>
    <s v="EMP0031"/>
    <n v="20"/>
    <s v="Mon"/>
    <x v="2"/>
    <x v="1"/>
  </r>
  <r>
    <x v="252"/>
    <d v="2023-08-14T21:29:03"/>
    <x v="252"/>
    <x v="4"/>
    <x v="11"/>
    <n v="4"/>
    <n v="6"/>
    <s v="USD"/>
    <x v="2"/>
    <s v="EMP0074"/>
    <n v="24"/>
    <s v="Mon"/>
    <x v="6"/>
    <x v="4"/>
  </r>
  <r>
    <x v="253"/>
    <d v="2022-11-18T22:37:03"/>
    <x v="253"/>
    <x v="11"/>
    <x v="6"/>
    <n v="7"/>
    <n v="9"/>
    <s v="USD"/>
    <x v="1"/>
    <s v="EMP0054"/>
    <n v="63"/>
    <s v="Fri"/>
    <x v="10"/>
    <x v="3"/>
  </r>
  <r>
    <x v="254"/>
    <d v="2024-06-12T06:35:03"/>
    <x v="254"/>
    <x v="12"/>
    <x v="14"/>
    <n v="2.2000000000000002"/>
    <n v="5"/>
    <s v="USD"/>
    <x v="3"/>
    <s v="EMP0083"/>
    <n v="11"/>
    <s v="Wed"/>
    <x v="3"/>
    <x v="1"/>
  </r>
  <r>
    <x v="255"/>
    <d v="2022-08-29T01:51:03"/>
    <x v="255"/>
    <x v="1"/>
    <x v="19"/>
    <n v="5.5"/>
    <n v="9"/>
    <s v="USD"/>
    <x v="3"/>
    <s v="EMP0037"/>
    <n v="49.5"/>
    <s v="Mon"/>
    <x v="6"/>
    <x v="3"/>
  </r>
  <r>
    <x v="256"/>
    <d v="2024-11-19T08:09:03"/>
    <x v="256"/>
    <x v="10"/>
    <x v="12"/>
    <n v="1.8"/>
    <n v="3"/>
    <s v="USD"/>
    <x v="5"/>
    <s v="EMP0012"/>
    <n v="5.4"/>
    <s v="Tue"/>
    <x v="10"/>
    <x v="1"/>
  </r>
  <r>
    <x v="257"/>
    <d v="2024-02-09T22:30:03"/>
    <x v="257"/>
    <x v="5"/>
    <x v="3"/>
    <n v="1.2"/>
    <n v="7"/>
    <s v="USD"/>
    <x v="3"/>
    <s v="EMP0051"/>
    <n v="8.4"/>
    <s v="Fri"/>
    <x v="7"/>
    <x v="1"/>
  </r>
  <r>
    <x v="258"/>
    <d v="2022-07-16T02:11:03"/>
    <x v="258"/>
    <x v="8"/>
    <x v="9"/>
    <n v="3"/>
    <n v="6"/>
    <s v="USD"/>
    <x v="0"/>
    <s v="EMP0004"/>
    <n v="18"/>
    <s v="Sat"/>
    <x v="8"/>
    <x v="3"/>
  </r>
  <r>
    <x v="259"/>
    <d v="2023-07-27T09:33:03"/>
    <x v="259"/>
    <x v="0"/>
    <x v="4"/>
    <n v="3.2"/>
    <n v="3"/>
    <s v="USD"/>
    <x v="0"/>
    <s v="EMP0005"/>
    <n v="9.6000000000000014"/>
    <s v="Thu"/>
    <x v="8"/>
    <x v="4"/>
  </r>
  <r>
    <x v="260"/>
    <d v="2023-09-29T21:42:03"/>
    <x v="260"/>
    <x v="4"/>
    <x v="14"/>
    <n v="2.2000000000000002"/>
    <n v="8"/>
    <s v="USD"/>
    <x v="5"/>
    <s v="EMP0079"/>
    <n v="17.600000000000001"/>
    <s v="Fri"/>
    <x v="9"/>
    <x v="4"/>
  </r>
  <r>
    <x v="261"/>
    <d v="2025-04-29T11:25:03"/>
    <x v="261"/>
    <x v="11"/>
    <x v="11"/>
    <n v="4"/>
    <n v="3"/>
    <s v="USD"/>
    <x v="1"/>
    <s v="EMP0094"/>
    <n v="12"/>
    <s v="Tue"/>
    <x v="11"/>
    <x v="2"/>
  </r>
  <r>
    <x v="262"/>
    <d v="2021-12-09T20:59:03"/>
    <x v="262"/>
    <x v="7"/>
    <x v="8"/>
    <n v="4.5"/>
    <n v="4"/>
    <s v="USD"/>
    <x v="4"/>
    <s v="EMP0016"/>
    <n v="18"/>
    <s v="Thu"/>
    <x v="4"/>
    <x v="0"/>
  </r>
  <r>
    <x v="263"/>
    <d v="2025-02-01T06:00:03"/>
    <x v="263"/>
    <x v="3"/>
    <x v="5"/>
    <n v="1"/>
    <n v="8"/>
    <s v="USD"/>
    <x v="3"/>
    <s v="EMP0015"/>
    <n v="8"/>
    <s v="Sat"/>
    <x v="7"/>
    <x v="2"/>
  </r>
  <r>
    <x v="264"/>
    <d v="2022-07-20T17:52:03"/>
    <x v="264"/>
    <x v="13"/>
    <x v="12"/>
    <n v="1.8"/>
    <n v="10"/>
    <s v="USD"/>
    <x v="0"/>
    <s v="EMP0092"/>
    <n v="18"/>
    <s v="Wed"/>
    <x v="8"/>
    <x v="3"/>
  </r>
  <r>
    <x v="265"/>
    <d v="2024-07-19T03:59:03"/>
    <x v="265"/>
    <x v="13"/>
    <x v="5"/>
    <n v="1"/>
    <n v="6"/>
    <s v="USD"/>
    <x v="0"/>
    <s v="EMP0074"/>
    <n v="6"/>
    <s v="Fri"/>
    <x v="8"/>
    <x v="1"/>
  </r>
  <r>
    <x v="266"/>
    <d v="2023-01-07T07:44:03"/>
    <x v="266"/>
    <x v="3"/>
    <x v="9"/>
    <n v="3"/>
    <n v="9"/>
    <s v="USD"/>
    <x v="4"/>
    <s v="EMP0009"/>
    <n v="27"/>
    <s v="Sat"/>
    <x v="2"/>
    <x v="4"/>
  </r>
  <r>
    <x v="267"/>
    <d v="2022-05-27T19:54:03"/>
    <x v="267"/>
    <x v="14"/>
    <x v="12"/>
    <n v="1.8"/>
    <n v="9"/>
    <s v="USD"/>
    <x v="3"/>
    <s v="EMP0050"/>
    <n v="16.2"/>
    <s v="Fri"/>
    <x v="5"/>
    <x v="3"/>
  </r>
  <r>
    <x v="268"/>
    <d v="2022-09-20T11:46:03"/>
    <x v="268"/>
    <x v="8"/>
    <x v="7"/>
    <n v="2.8"/>
    <n v="5"/>
    <s v="USD"/>
    <x v="2"/>
    <s v="EMP0003"/>
    <n v="14"/>
    <s v="Tue"/>
    <x v="9"/>
    <x v="3"/>
  </r>
  <r>
    <x v="269"/>
    <d v="2023-05-09T11:04:03"/>
    <x v="269"/>
    <x v="2"/>
    <x v="19"/>
    <n v="5.5"/>
    <n v="10"/>
    <s v="USD"/>
    <x v="2"/>
    <s v="EMP0097"/>
    <n v="55"/>
    <s v="Tue"/>
    <x v="5"/>
    <x v="4"/>
  </r>
  <r>
    <x v="270"/>
    <d v="2023-06-29T09:24:03"/>
    <x v="270"/>
    <x v="5"/>
    <x v="1"/>
    <n v="1"/>
    <n v="6"/>
    <s v="USD"/>
    <x v="2"/>
    <s v="EMP0023"/>
    <n v="6"/>
    <s v="Thu"/>
    <x v="3"/>
    <x v="4"/>
  </r>
  <r>
    <x v="271"/>
    <d v="2021-07-06T22:42:03"/>
    <x v="271"/>
    <x v="10"/>
    <x v="13"/>
    <n v="0.8"/>
    <n v="3"/>
    <s v="USD"/>
    <x v="3"/>
    <s v="EMP0092"/>
    <n v="2.4000000000000004"/>
    <s v="Tue"/>
    <x v="8"/>
    <x v="0"/>
  </r>
  <r>
    <x v="272"/>
    <d v="2022-10-15T12:08:03"/>
    <x v="272"/>
    <x v="2"/>
    <x v="17"/>
    <n v="2.5"/>
    <n v="4"/>
    <s v="USD"/>
    <x v="3"/>
    <s v="EMP0041"/>
    <n v="10"/>
    <s v="Sat"/>
    <x v="0"/>
    <x v="3"/>
  </r>
  <r>
    <x v="273"/>
    <d v="2023-08-12T21:01:03"/>
    <x v="273"/>
    <x v="4"/>
    <x v="1"/>
    <n v="1"/>
    <n v="8"/>
    <s v="USD"/>
    <x v="4"/>
    <s v="EMP0005"/>
    <n v="8"/>
    <s v="Sat"/>
    <x v="6"/>
    <x v="4"/>
  </r>
  <r>
    <x v="274"/>
    <d v="2021-09-23T07:08:03"/>
    <x v="274"/>
    <x v="5"/>
    <x v="17"/>
    <n v="2.5"/>
    <n v="6"/>
    <s v="USD"/>
    <x v="4"/>
    <s v="EMP0016"/>
    <n v="15"/>
    <s v="Thu"/>
    <x v="9"/>
    <x v="0"/>
  </r>
  <r>
    <x v="275"/>
    <d v="2023-04-16T23:30:03"/>
    <x v="224"/>
    <x v="8"/>
    <x v="10"/>
    <n v="5"/>
    <n v="7"/>
    <s v="USD"/>
    <x v="4"/>
    <s v="EMP0024"/>
    <n v="35"/>
    <s v="Sun"/>
    <x v="11"/>
    <x v="4"/>
  </r>
  <r>
    <x v="276"/>
    <d v="2022-07-27T14:55:03"/>
    <x v="275"/>
    <x v="5"/>
    <x v="12"/>
    <n v="1.8"/>
    <n v="5"/>
    <s v="USD"/>
    <x v="3"/>
    <s v="EMP0094"/>
    <n v="9"/>
    <s v="Wed"/>
    <x v="8"/>
    <x v="3"/>
  </r>
  <r>
    <x v="277"/>
    <d v="2022-12-22T10:59:03"/>
    <x v="276"/>
    <x v="12"/>
    <x v="13"/>
    <n v="0.8"/>
    <n v="9"/>
    <s v="USD"/>
    <x v="4"/>
    <s v="EMP0042"/>
    <n v="7.2"/>
    <s v="Thu"/>
    <x v="4"/>
    <x v="3"/>
  </r>
  <r>
    <x v="278"/>
    <d v="2024-10-11T11:06:03"/>
    <x v="277"/>
    <x v="3"/>
    <x v="8"/>
    <n v="4.5"/>
    <n v="5"/>
    <s v="USD"/>
    <x v="5"/>
    <s v="EMP0078"/>
    <n v="22.5"/>
    <s v="Fri"/>
    <x v="0"/>
    <x v="1"/>
  </r>
  <r>
    <x v="279"/>
    <d v="2022-12-19T07:42:03"/>
    <x v="278"/>
    <x v="10"/>
    <x v="7"/>
    <n v="2.8"/>
    <n v="8"/>
    <s v="USD"/>
    <x v="3"/>
    <s v="EMP0094"/>
    <n v="22.4"/>
    <s v="Mon"/>
    <x v="4"/>
    <x v="3"/>
  </r>
  <r>
    <x v="280"/>
    <d v="2023-05-17T17:59:03"/>
    <x v="279"/>
    <x v="11"/>
    <x v="17"/>
    <n v="2.5"/>
    <n v="2"/>
    <s v="USD"/>
    <x v="2"/>
    <s v="EMP0082"/>
    <n v="5"/>
    <s v="Wed"/>
    <x v="5"/>
    <x v="4"/>
  </r>
  <r>
    <x v="281"/>
    <d v="2023-01-29T01:54:03"/>
    <x v="280"/>
    <x v="14"/>
    <x v="13"/>
    <n v="0.8"/>
    <n v="1"/>
    <s v="USD"/>
    <x v="0"/>
    <s v="EMP0078"/>
    <n v="0.8"/>
    <s v="Sun"/>
    <x v="2"/>
    <x v="4"/>
  </r>
  <r>
    <x v="282"/>
    <d v="2021-07-20T23:24:03"/>
    <x v="281"/>
    <x v="6"/>
    <x v="9"/>
    <n v="3"/>
    <n v="4"/>
    <s v="USD"/>
    <x v="2"/>
    <s v="EMP0047"/>
    <n v="12"/>
    <s v="Tue"/>
    <x v="8"/>
    <x v="0"/>
  </r>
  <r>
    <x v="283"/>
    <d v="2023-04-29T00:50:03"/>
    <x v="282"/>
    <x v="13"/>
    <x v="5"/>
    <n v="1"/>
    <n v="3"/>
    <s v="USD"/>
    <x v="2"/>
    <s v="EMP0058"/>
    <n v="3"/>
    <s v="Sat"/>
    <x v="11"/>
    <x v="4"/>
  </r>
  <r>
    <x v="284"/>
    <d v="2023-04-11T01:58:03"/>
    <x v="283"/>
    <x v="14"/>
    <x v="9"/>
    <n v="3"/>
    <n v="10"/>
    <s v="USD"/>
    <x v="0"/>
    <s v="EMP0068"/>
    <n v="30"/>
    <s v="Tue"/>
    <x v="11"/>
    <x v="4"/>
  </r>
  <r>
    <x v="285"/>
    <d v="2023-04-19T01:06:03"/>
    <x v="284"/>
    <x v="3"/>
    <x v="0"/>
    <n v="3.1"/>
    <n v="4"/>
    <s v="USD"/>
    <x v="3"/>
    <s v="EMP0004"/>
    <n v="12.4"/>
    <s v="Wed"/>
    <x v="11"/>
    <x v="4"/>
  </r>
  <r>
    <x v="286"/>
    <d v="2024-04-22T21:53:03"/>
    <x v="285"/>
    <x v="8"/>
    <x v="1"/>
    <n v="1"/>
    <n v="2"/>
    <s v="USD"/>
    <x v="4"/>
    <s v="EMP0100"/>
    <n v="2"/>
    <s v="Mon"/>
    <x v="11"/>
    <x v="1"/>
  </r>
  <r>
    <x v="287"/>
    <d v="2023-11-22T14:58:03"/>
    <x v="286"/>
    <x v="2"/>
    <x v="5"/>
    <n v="1"/>
    <n v="5"/>
    <s v="USD"/>
    <x v="2"/>
    <s v="EMP0063"/>
    <n v="5"/>
    <s v="Wed"/>
    <x v="10"/>
    <x v="4"/>
  </r>
  <r>
    <x v="288"/>
    <d v="2024-03-26T10:18:03"/>
    <x v="287"/>
    <x v="4"/>
    <x v="9"/>
    <n v="3"/>
    <n v="8"/>
    <s v="USD"/>
    <x v="0"/>
    <s v="EMP0092"/>
    <n v="24"/>
    <s v="Tue"/>
    <x v="1"/>
    <x v="1"/>
  </r>
  <r>
    <x v="289"/>
    <d v="2022-11-10T10:35:03"/>
    <x v="288"/>
    <x v="3"/>
    <x v="4"/>
    <n v="3.2"/>
    <n v="6"/>
    <s v="USD"/>
    <x v="2"/>
    <s v="EMP0009"/>
    <n v="19.200000000000003"/>
    <s v="Thu"/>
    <x v="10"/>
    <x v="3"/>
  </r>
  <r>
    <x v="290"/>
    <d v="2022-04-08T20:08:03"/>
    <x v="289"/>
    <x v="1"/>
    <x v="8"/>
    <n v="4.5"/>
    <n v="3"/>
    <s v="USD"/>
    <x v="2"/>
    <s v="EMP0091"/>
    <n v="13.5"/>
    <s v="Fri"/>
    <x v="11"/>
    <x v="3"/>
  </r>
  <r>
    <x v="291"/>
    <d v="2021-06-04T17:15:03"/>
    <x v="290"/>
    <x v="14"/>
    <x v="7"/>
    <n v="2.8"/>
    <n v="9"/>
    <s v="USD"/>
    <x v="0"/>
    <s v="EMP0016"/>
    <n v="25.2"/>
    <s v="Fri"/>
    <x v="3"/>
    <x v="0"/>
  </r>
  <r>
    <x v="292"/>
    <d v="2024-03-24T09:11:03"/>
    <x v="291"/>
    <x v="14"/>
    <x v="15"/>
    <n v="1.5"/>
    <n v="1"/>
    <s v="USD"/>
    <x v="4"/>
    <s v="EMP0071"/>
    <n v="1.5"/>
    <s v="Sun"/>
    <x v="1"/>
    <x v="1"/>
  </r>
  <r>
    <x v="293"/>
    <d v="2022-02-22T01:57:03"/>
    <x v="292"/>
    <x v="14"/>
    <x v="1"/>
    <n v="1"/>
    <n v="3"/>
    <s v="USD"/>
    <x v="1"/>
    <s v="EMP0012"/>
    <n v="3"/>
    <s v="Tue"/>
    <x v="7"/>
    <x v="3"/>
  </r>
  <r>
    <x v="294"/>
    <d v="2024-12-26T04:01:03"/>
    <x v="293"/>
    <x v="0"/>
    <x v="15"/>
    <n v="1.5"/>
    <n v="9"/>
    <s v="USD"/>
    <x v="5"/>
    <s v="EMP0099"/>
    <n v="13.5"/>
    <s v="Thu"/>
    <x v="4"/>
    <x v="1"/>
  </r>
  <r>
    <x v="295"/>
    <d v="2023-01-21T19:22:03"/>
    <x v="294"/>
    <x v="6"/>
    <x v="4"/>
    <n v="3.2"/>
    <n v="2"/>
    <s v="USD"/>
    <x v="5"/>
    <s v="EMP0060"/>
    <n v="6.4"/>
    <s v="Sat"/>
    <x v="2"/>
    <x v="4"/>
  </r>
  <r>
    <x v="296"/>
    <d v="2021-07-16T21:04:03"/>
    <x v="295"/>
    <x v="6"/>
    <x v="1"/>
    <n v="1"/>
    <n v="10"/>
    <s v="USD"/>
    <x v="0"/>
    <s v="EMP0099"/>
    <n v="10"/>
    <s v="Fri"/>
    <x v="8"/>
    <x v="0"/>
  </r>
  <r>
    <x v="297"/>
    <d v="2024-08-17T23:54:03"/>
    <x v="296"/>
    <x v="1"/>
    <x v="17"/>
    <n v="2.5"/>
    <n v="2"/>
    <s v="USD"/>
    <x v="1"/>
    <s v="EMP0020"/>
    <n v="5"/>
    <s v="Sat"/>
    <x v="6"/>
    <x v="1"/>
  </r>
  <r>
    <x v="298"/>
    <d v="2023-08-26T08:16:03"/>
    <x v="297"/>
    <x v="5"/>
    <x v="2"/>
    <n v="2.5"/>
    <n v="6"/>
    <s v="USD"/>
    <x v="1"/>
    <s v="EMP0037"/>
    <n v="15"/>
    <s v="Sat"/>
    <x v="6"/>
    <x v="4"/>
  </r>
  <r>
    <x v="299"/>
    <d v="2024-11-29T05:14:03"/>
    <x v="298"/>
    <x v="3"/>
    <x v="1"/>
    <n v="1"/>
    <n v="5"/>
    <s v="USD"/>
    <x v="0"/>
    <s v="EMP0081"/>
    <n v="5"/>
    <s v="Fri"/>
    <x v="10"/>
    <x v="1"/>
  </r>
  <r>
    <x v="300"/>
    <d v="2023-08-27T17:52:03"/>
    <x v="299"/>
    <x v="7"/>
    <x v="12"/>
    <n v="1.8"/>
    <n v="3"/>
    <s v="USD"/>
    <x v="1"/>
    <s v="EMP0075"/>
    <n v="5.4"/>
    <s v="Sun"/>
    <x v="6"/>
    <x v="4"/>
  </r>
  <r>
    <x v="301"/>
    <d v="2024-06-28T07:44:03"/>
    <x v="300"/>
    <x v="12"/>
    <x v="5"/>
    <n v="1"/>
    <n v="6"/>
    <s v="USD"/>
    <x v="1"/>
    <s v="EMP0006"/>
    <n v="6"/>
    <s v="Fri"/>
    <x v="3"/>
    <x v="1"/>
  </r>
  <r>
    <x v="302"/>
    <d v="2025-03-12T11:24:03"/>
    <x v="301"/>
    <x v="3"/>
    <x v="16"/>
    <n v="4"/>
    <n v="5"/>
    <s v="USD"/>
    <x v="2"/>
    <s v="EMP0027"/>
    <n v="20"/>
    <s v="Wed"/>
    <x v="1"/>
    <x v="2"/>
  </r>
  <r>
    <x v="303"/>
    <d v="2022-02-22T23:47:03"/>
    <x v="302"/>
    <x v="3"/>
    <x v="3"/>
    <n v="1.2"/>
    <n v="8"/>
    <s v="USD"/>
    <x v="2"/>
    <s v="EMP0070"/>
    <n v="9.6"/>
    <s v="Tue"/>
    <x v="7"/>
    <x v="3"/>
  </r>
  <r>
    <x v="304"/>
    <d v="2023-09-23T17:07:03"/>
    <x v="303"/>
    <x v="10"/>
    <x v="2"/>
    <n v="2.5"/>
    <n v="7"/>
    <s v="USD"/>
    <x v="4"/>
    <s v="EMP0059"/>
    <n v="17.5"/>
    <s v="Sat"/>
    <x v="9"/>
    <x v="4"/>
  </r>
  <r>
    <x v="305"/>
    <d v="2024-12-10T15:23:03"/>
    <x v="304"/>
    <x v="6"/>
    <x v="10"/>
    <n v="5"/>
    <n v="7"/>
    <s v="USD"/>
    <x v="5"/>
    <s v="EMP0060"/>
    <n v="35"/>
    <s v="Tue"/>
    <x v="4"/>
    <x v="1"/>
  </r>
  <r>
    <x v="306"/>
    <d v="2024-03-18T02:48:03"/>
    <x v="305"/>
    <x v="6"/>
    <x v="4"/>
    <n v="3.2"/>
    <n v="6"/>
    <s v="USD"/>
    <x v="2"/>
    <s v="EMP0045"/>
    <n v="19.200000000000003"/>
    <s v="Mon"/>
    <x v="1"/>
    <x v="1"/>
  </r>
  <r>
    <x v="307"/>
    <d v="2023-02-13T08:38:03"/>
    <x v="306"/>
    <x v="5"/>
    <x v="12"/>
    <n v="1.8"/>
    <n v="9"/>
    <s v="USD"/>
    <x v="3"/>
    <s v="EMP0041"/>
    <n v="16.2"/>
    <s v="Mon"/>
    <x v="7"/>
    <x v="4"/>
  </r>
  <r>
    <x v="308"/>
    <d v="2023-12-30T23:19:03"/>
    <x v="307"/>
    <x v="11"/>
    <x v="10"/>
    <n v="5"/>
    <n v="4"/>
    <s v="USD"/>
    <x v="0"/>
    <s v="EMP0013"/>
    <n v="20"/>
    <s v="Sat"/>
    <x v="4"/>
    <x v="4"/>
  </r>
  <r>
    <x v="309"/>
    <d v="2025-01-26T04:02:03"/>
    <x v="308"/>
    <x v="4"/>
    <x v="5"/>
    <n v="1"/>
    <n v="7"/>
    <s v="USD"/>
    <x v="0"/>
    <s v="EMP0021"/>
    <n v="7"/>
    <s v="Sun"/>
    <x v="2"/>
    <x v="2"/>
  </r>
  <r>
    <x v="310"/>
    <d v="2023-07-08T18:40:03"/>
    <x v="309"/>
    <x v="5"/>
    <x v="11"/>
    <n v="4"/>
    <n v="3"/>
    <s v="USD"/>
    <x v="5"/>
    <s v="EMP0066"/>
    <n v="12"/>
    <s v="Sat"/>
    <x v="8"/>
    <x v="4"/>
  </r>
  <r>
    <x v="311"/>
    <d v="2022-09-25T21:30:03"/>
    <x v="310"/>
    <x v="11"/>
    <x v="15"/>
    <n v="1.5"/>
    <n v="1"/>
    <s v="USD"/>
    <x v="3"/>
    <s v="EMP0051"/>
    <n v="1.5"/>
    <s v="Sun"/>
    <x v="9"/>
    <x v="3"/>
  </r>
  <r>
    <x v="312"/>
    <d v="2022-07-08T23:11:03"/>
    <x v="311"/>
    <x v="2"/>
    <x v="16"/>
    <n v="4"/>
    <n v="6"/>
    <s v="USD"/>
    <x v="3"/>
    <s v="EMP0007"/>
    <n v="24"/>
    <s v="Fri"/>
    <x v="8"/>
    <x v="3"/>
  </r>
  <r>
    <x v="313"/>
    <d v="2023-10-10T21:48:03"/>
    <x v="312"/>
    <x v="1"/>
    <x v="15"/>
    <n v="1.5"/>
    <n v="5"/>
    <s v="USD"/>
    <x v="1"/>
    <s v="EMP0002"/>
    <n v="7.5"/>
    <s v="Tue"/>
    <x v="0"/>
    <x v="4"/>
  </r>
  <r>
    <x v="314"/>
    <d v="2024-10-01T00:18:03"/>
    <x v="313"/>
    <x v="1"/>
    <x v="0"/>
    <n v="3.1"/>
    <n v="6"/>
    <s v="USD"/>
    <x v="5"/>
    <s v="EMP0047"/>
    <n v="18.600000000000001"/>
    <s v="Tue"/>
    <x v="0"/>
    <x v="1"/>
  </r>
  <r>
    <x v="315"/>
    <d v="2025-02-06T01:23:03"/>
    <x v="314"/>
    <x v="12"/>
    <x v="1"/>
    <n v="1"/>
    <n v="4"/>
    <s v="USD"/>
    <x v="4"/>
    <s v="EMP0071"/>
    <n v="4"/>
    <s v="Thu"/>
    <x v="7"/>
    <x v="2"/>
  </r>
  <r>
    <x v="316"/>
    <d v="2023-09-26T11:02:03"/>
    <x v="315"/>
    <x v="9"/>
    <x v="10"/>
    <n v="5"/>
    <n v="9"/>
    <s v="USD"/>
    <x v="4"/>
    <s v="EMP0080"/>
    <n v="45"/>
    <s v="Tue"/>
    <x v="9"/>
    <x v="4"/>
  </r>
  <r>
    <x v="317"/>
    <d v="2021-07-15T18:19:03"/>
    <x v="316"/>
    <x v="6"/>
    <x v="19"/>
    <n v="5.5"/>
    <n v="7"/>
    <s v="USD"/>
    <x v="4"/>
    <s v="EMP0044"/>
    <n v="38.5"/>
    <s v="Thu"/>
    <x v="8"/>
    <x v="0"/>
  </r>
  <r>
    <x v="318"/>
    <d v="2022-03-24T01:38:03"/>
    <x v="317"/>
    <x v="6"/>
    <x v="11"/>
    <n v="4"/>
    <n v="10"/>
    <s v="USD"/>
    <x v="1"/>
    <s v="EMP0052"/>
    <n v="40"/>
    <s v="Thu"/>
    <x v="1"/>
    <x v="3"/>
  </r>
  <r>
    <x v="319"/>
    <d v="2022-07-20T12:24:03"/>
    <x v="318"/>
    <x v="13"/>
    <x v="14"/>
    <n v="2.2000000000000002"/>
    <n v="6"/>
    <s v="USD"/>
    <x v="5"/>
    <s v="EMP0067"/>
    <n v="13.200000000000001"/>
    <s v="Wed"/>
    <x v="8"/>
    <x v="3"/>
  </r>
  <r>
    <x v="320"/>
    <d v="2022-10-17T08:48:03"/>
    <x v="319"/>
    <x v="1"/>
    <x v="12"/>
    <n v="1.8"/>
    <n v="3"/>
    <s v="USD"/>
    <x v="4"/>
    <s v="EMP0079"/>
    <n v="5.4"/>
    <s v="Mon"/>
    <x v="0"/>
    <x v="3"/>
  </r>
  <r>
    <x v="321"/>
    <d v="2023-07-27T08:01:03"/>
    <x v="320"/>
    <x v="12"/>
    <x v="8"/>
    <n v="4.5"/>
    <n v="10"/>
    <s v="USD"/>
    <x v="4"/>
    <s v="EMP0065"/>
    <n v="45"/>
    <s v="Thu"/>
    <x v="8"/>
    <x v="4"/>
  </r>
  <r>
    <x v="322"/>
    <d v="2022-06-30T19:55:03"/>
    <x v="321"/>
    <x v="0"/>
    <x v="16"/>
    <n v="4"/>
    <n v="5"/>
    <s v="USD"/>
    <x v="5"/>
    <s v="EMP0003"/>
    <n v="20"/>
    <s v="Thu"/>
    <x v="3"/>
    <x v="3"/>
  </r>
  <r>
    <x v="323"/>
    <d v="2023-04-16T02:43:03"/>
    <x v="322"/>
    <x v="7"/>
    <x v="18"/>
    <n v="1.7"/>
    <n v="10"/>
    <s v="USD"/>
    <x v="4"/>
    <s v="EMP0093"/>
    <n v="17"/>
    <s v="Sun"/>
    <x v="11"/>
    <x v="4"/>
  </r>
  <r>
    <x v="324"/>
    <d v="2021-06-29T17:25:03"/>
    <x v="323"/>
    <x v="12"/>
    <x v="15"/>
    <n v="1.5"/>
    <n v="5"/>
    <s v="USD"/>
    <x v="2"/>
    <s v="EMP0100"/>
    <n v="7.5"/>
    <s v="Tue"/>
    <x v="3"/>
    <x v="0"/>
  </r>
  <r>
    <x v="325"/>
    <d v="2022-02-09T19:12:03"/>
    <x v="324"/>
    <x v="0"/>
    <x v="17"/>
    <n v="2.5"/>
    <n v="10"/>
    <s v="USD"/>
    <x v="5"/>
    <s v="EMP0022"/>
    <n v="25"/>
    <s v="Wed"/>
    <x v="7"/>
    <x v="3"/>
  </r>
  <r>
    <x v="326"/>
    <d v="2022-05-31T16:40:03"/>
    <x v="325"/>
    <x v="12"/>
    <x v="6"/>
    <n v="7"/>
    <n v="3"/>
    <s v="USD"/>
    <x v="2"/>
    <s v="EMP0032"/>
    <n v="21"/>
    <s v="Tue"/>
    <x v="5"/>
    <x v="3"/>
  </r>
  <r>
    <x v="327"/>
    <d v="2025-03-05T18:42:03"/>
    <x v="326"/>
    <x v="7"/>
    <x v="11"/>
    <n v="4"/>
    <n v="1"/>
    <s v="USD"/>
    <x v="5"/>
    <s v="EMP0041"/>
    <n v="4"/>
    <s v="Wed"/>
    <x v="1"/>
    <x v="2"/>
  </r>
  <r>
    <x v="328"/>
    <d v="2023-01-03T09:00:03"/>
    <x v="327"/>
    <x v="0"/>
    <x v="11"/>
    <n v="4"/>
    <n v="7"/>
    <s v="USD"/>
    <x v="1"/>
    <s v="EMP0100"/>
    <n v="28"/>
    <s v="Tue"/>
    <x v="2"/>
    <x v="4"/>
  </r>
  <r>
    <x v="329"/>
    <d v="2021-12-03T21:31:03"/>
    <x v="328"/>
    <x v="4"/>
    <x v="17"/>
    <n v="2.5"/>
    <n v="3"/>
    <s v="USD"/>
    <x v="1"/>
    <s v="EMP0027"/>
    <n v="7.5"/>
    <s v="Fri"/>
    <x v="4"/>
    <x v="0"/>
  </r>
  <r>
    <x v="330"/>
    <d v="2022-03-18T02:44:03"/>
    <x v="329"/>
    <x v="10"/>
    <x v="12"/>
    <n v="1.8"/>
    <n v="7"/>
    <s v="USD"/>
    <x v="4"/>
    <s v="EMP0023"/>
    <n v="12.6"/>
    <s v="Fri"/>
    <x v="1"/>
    <x v="3"/>
  </r>
  <r>
    <x v="331"/>
    <d v="2022-10-10T20:05:03"/>
    <x v="330"/>
    <x v="9"/>
    <x v="7"/>
    <n v="2.8"/>
    <n v="5"/>
    <s v="USD"/>
    <x v="1"/>
    <s v="EMP0062"/>
    <n v="14"/>
    <s v="Mon"/>
    <x v="0"/>
    <x v="3"/>
  </r>
  <r>
    <x v="332"/>
    <d v="2024-04-11T06:09:03"/>
    <x v="331"/>
    <x v="9"/>
    <x v="8"/>
    <n v="4.5"/>
    <n v="4"/>
    <s v="USD"/>
    <x v="4"/>
    <s v="EMP0099"/>
    <n v="18"/>
    <s v="Thu"/>
    <x v="11"/>
    <x v="1"/>
  </r>
  <r>
    <x v="333"/>
    <d v="2023-09-25T15:13:03"/>
    <x v="332"/>
    <x v="0"/>
    <x v="15"/>
    <n v="1.5"/>
    <n v="6"/>
    <s v="USD"/>
    <x v="5"/>
    <s v="EMP0045"/>
    <n v="9"/>
    <s v="Mon"/>
    <x v="9"/>
    <x v="4"/>
  </r>
  <r>
    <x v="334"/>
    <d v="2022-03-18T14:09:03"/>
    <x v="333"/>
    <x v="11"/>
    <x v="19"/>
    <n v="5.5"/>
    <n v="10"/>
    <s v="USD"/>
    <x v="2"/>
    <s v="EMP0070"/>
    <n v="55"/>
    <s v="Fri"/>
    <x v="1"/>
    <x v="3"/>
  </r>
  <r>
    <x v="335"/>
    <d v="2023-03-24T00:34:03"/>
    <x v="334"/>
    <x v="5"/>
    <x v="14"/>
    <n v="2.2000000000000002"/>
    <n v="5"/>
    <s v="USD"/>
    <x v="3"/>
    <s v="EMP0037"/>
    <n v="11"/>
    <s v="Fri"/>
    <x v="1"/>
    <x v="4"/>
  </r>
  <r>
    <x v="336"/>
    <d v="2024-11-29T01:27:03"/>
    <x v="335"/>
    <x v="10"/>
    <x v="0"/>
    <n v="3.1"/>
    <n v="8"/>
    <s v="USD"/>
    <x v="0"/>
    <s v="EMP0026"/>
    <n v="24.8"/>
    <s v="Fri"/>
    <x v="10"/>
    <x v="1"/>
  </r>
  <r>
    <x v="337"/>
    <d v="2022-05-02T04:27:03"/>
    <x v="336"/>
    <x v="9"/>
    <x v="0"/>
    <n v="3.1"/>
    <n v="3"/>
    <s v="USD"/>
    <x v="3"/>
    <s v="EMP0079"/>
    <n v="9.3000000000000007"/>
    <s v="Mon"/>
    <x v="5"/>
    <x v="3"/>
  </r>
  <r>
    <x v="338"/>
    <d v="2022-01-24T06:11:03"/>
    <x v="337"/>
    <x v="13"/>
    <x v="12"/>
    <n v="1.8"/>
    <n v="4"/>
    <s v="USD"/>
    <x v="2"/>
    <s v="EMP0030"/>
    <n v="7.2"/>
    <s v="Mon"/>
    <x v="2"/>
    <x v="3"/>
  </r>
  <r>
    <x v="339"/>
    <d v="2025-01-22T10:00:03"/>
    <x v="338"/>
    <x v="5"/>
    <x v="15"/>
    <n v="1.5"/>
    <n v="2"/>
    <s v="USD"/>
    <x v="2"/>
    <s v="EMP0099"/>
    <n v="3"/>
    <s v="Wed"/>
    <x v="2"/>
    <x v="2"/>
  </r>
  <r>
    <x v="340"/>
    <d v="2024-08-01T12:51:03"/>
    <x v="339"/>
    <x v="1"/>
    <x v="13"/>
    <n v="0.8"/>
    <n v="7"/>
    <s v="USD"/>
    <x v="2"/>
    <s v="EMP0061"/>
    <n v="5.6000000000000005"/>
    <s v="Thu"/>
    <x v="6"/>
    <x v="1"/>
  </r>
  <r>
    <x v="341"/>
    <d v="2022-09-04T17:14:03"/>
    <x v="340"/>
    <x v="14"/>
    <x v="8"/>
    <n v="4.5"/>
    <n v="6"/>
    <s v="USD"/>
    <x v="4"/>
    <s v="EMP0083"/>
    <n v="27"/>
    <s v="Sun"/>
    <x v="9"/>
    <x v="3"/>
  </r>
  <r>
    <x v="342"/>
    <d v="2025-01-08T10:45:03"/>
    <x v="341"/>
    <x v="12"/>
    <x v="2"/>
    <n v="2.5"/>
    <n v="9"/>
    <s v="USD"/>
    <x v="2"/>
    <s v="EMP0093"/>
    <n v="22.5"/>
    <s v="Wed"/>
    <x v="2"/>
    <x v="2"/>
  </r>
  <r>
    <x v="343"/>
    <d v="2025-02-22T08:00:03"/>
    <x v="342"/>
    <x v="1"/>
    <x v="13"/>
    <n v="0.8"/>
    <n v="1"/>
    <s v="USD"/>
    <x v="5"/>
    <s v="EMP0064"/>
    <n v="0.8"/>
    <s v="Sat"/>
    <x v="7"/>
    <x v="2"/>
  </r>
  <r>
    <x v="344"/>
    <d v="2024-04-22T13:31:03"/>
    <x v="343"/>
    <x v="1"/>
    <x v="8"/>
    <n v="4.5"/>
    <n v="1"/>
    <s v="USD"/>
    <x v="3"/>
    <s v="EMP0039"/>
    <n v="4.5"/>
    <s v="Mon"/>
    <x v="11"/>
    <x v="1"/>
  </r>
  <r>
    <x v="345"/>
    <d v="2022-03-02T18:20:03"/>
    <x v="344"/>
    <x v="1"/>
    <x v="4"/>
    <n v="3.2"/>
    <n v="5"/>
    <s v="USD"/>
    <x v="5"/>
    <s v="EMP0083"/>
    <n v="16"/>
    <s v="Wed"/>
    <x v="1"/>
    <x v="3"/>
  </r>
  <r>
    <x v="346"/>
    <d v="2022-04-22T20:55:03"/>
    <x v="345"/>
    <x v="1"/>
    <x v="14"/>
    <n v="2.2000000000000002"/>
    <n v="9"/>
    <s v="USD"/>
    <x v="5"/>
    <s v="EMP0035"/>
    <n v="19.8"/>
    <s v="Fri"/>
    <x v="11"/>
    <x v="3"/>
  </r>
  <r>
    <x v="347"/>
    <d v="2024-04-10T10:05:03"/>
    <x v="346"/>
    <x v="6"/>
    <x v="10"/>
    <n v="5"/>
    <n v="5"/>
    <s v="USD"/>
    <x v="2"/>
    <s v="EMP0024"/>
    <n v="25"/>
    <s v="Wed"/>
    <x v="11"/>
    <x v="1"/>
  </r>
  <r>
    <x v="348"/>
    <d v="2025-04-10T14:05:03"/>
    <x v="347"/>
    <x v="14"/>
    <x v="8"/>
    <n v="4.5"/>
    <n v="10"/>
    <s v="USD"/>
    <x v="2"/>
    <s v="EMP0097"/>
    <n v="45"/>
    <s v="Thu"/>
    <x v="11"/>
    <x v="2"/>
  </r>
  <r>
    <x v="349"/>
    <d v="2024-04-09T07:47:03"/>
    <x v="348"/>
    <x v="4"/>
    <x v="6"/>
    <n v="7"/>
    <n v="7"/>
    <s v="USD"/>
    <x v="1"/>
    <s v="EMP0042"/>
    <n v="49"/>
    <s v="Tue"/>
    <x v="11"/>
    <x v="1"/>
  </r>
  <r>
    <x v="350"/>
    <d v="2024-11-13T00:44:03"/>
    <x v="349"/>
    <x v="7"/>
    <x v="13"/>
    <n v="0.8"/>
    <n v="3"/>
    <s v="USD"/>
    <x v="5"/>
    <s v="EMP0042"/>
    <n v="2.4000000000000004"/>
    <s v="Wed"/>
    <x v="10"/>
    <x v="1"/>
  </r>
  <r>
    <x v="351"/>
    <d v="2023-12-18T13:10:03"/>
    <x v="350"/>
    <x v="8"/>
    <x v="2"/>
    <n v="2.5"/>
    <n v="8"/>
    <s v="USD"/>
    <x v="4"/>
    <s v="EMP0043"/>
    <n v="20"/>
    <s v="Mon"/>
    <x v="4"/>
    <x v="4"/>
  </r>
  <r>
    <x v="352"/>
    <d v="2023-08-29T18:40:03"/>
    <x v="351"/>
    <x v="12"/>
    <x v="3"/>
    <n v="1.2"/>
    <n v="5"/>
    <s v="USD"/>
    <x v="2"/>
    <s v="EMP0047"/>
    <n v="6"/>
    <s v="Tue"/>
    <x v="6"/>
    <x v="4"/>
  </r>
  <r>
    <x v="353"/>
    <d v="2021-06-21T06:23:03"/>
    <x v="352"/>
    <x v="3"/>
    <x v="19"/>
    <n v="5.5"/>
    <n v="8"/>
    <s v="USD"/>
    <x v="4"/>
    <s v="EMP0021"/>
    <n v="44"/>
    <s v="Mon"/>
    <x v="3"/>
    <x v="0"/>
  </r>
  <r>
    <x v="354"/>
    <d v="2023-01-29T15:54:03"/>
    <x v="353"/>
    <x v="1"/>
    <x v="8"/>
    <n v="4.5"/>
    <n v="2"/>
    <s v="USD"/>
    <x v="2"/>
    <s v="EMP0038"/>
    <n v="9"/>
    <s v="Sun"/>
    <x v="2"/>
    <x v="4"/>
  </r>
  <r>
    <x v="355"/>
    <d v="2023-04-17T18:12:03"/>
    <x v="354"/>
    <x v="2"/>
    <x v="14"/>
    <n v="2.2000000000000002"/>
    <n v="8"/>
    <s v="USD"/>
    <x v="0"/>
    <s v="EMP0059"/>
    <n v="17.600000000000001"/>
    <s v="Mon"/>
    <x v="11"/>
    <x v="4"/>
  </r>
  <r>
    <x v="356"/>
    <d v="2021-12-16T02:00:03"/>
    <x v="355"/>
    <x v="0"/>
    <x v="1"/>
    <n v="1"/>
    <n v="8"/>
    <s v="USD"/>
    <x v="1"/>
    <s v="EMP0086"/>
    <n v="8"/>
    <s v="Thu"/>
    <x v="4"/>
    <x v="0"/>
  </r>
  <r>
    <x v="357"/>
    <d v="2024-02-17T05:43:03"/>
    <x v="356"/>
    <x v="14"/>
    <x v="5"/>
    <n v="1"/>
    <n v="2"/>
    <s v="USD"/>
    <x v="1"/>
    <s v="EMP0058"/>
    <n v="2"/>
    <s v="Sat"/>
    <x v="7"/>
    <x v="1"/>
  </r>
  <r>
    <x v="358"/>
    <d v="2022-05-23T15:03:03"/>
    <x v="357"/>
    <x v="7"/>
    <x v="16"/>
    <n v="4"/>
    <n v="2"/>
    <s v="USD"/>
    <x v="3"/>
    <s v="EMP0071"/>
    <n v="8"/>
    <s v="Mon"/>
    <x v="5"/>
    <x v="3"/>
  </r>
  <r>
    <x v="359"/>
    <d v="2022-07-09T06:50:03"/>
    <x v="358"/>
    <x v="9"/>
    <x v="14"/>
    <n v="2.2000000000000002"/>
    <n v="3"/>
    <s v="USD"/>
    <x v="4"/>
    <s v="EMP0067"/>
    <n v="6.6000000000000005"/>
    <s v="Sat"/>
    <x v="8"/>
    <x v="3"/>
  </r>
  <r>
    <x v="360"/>
    <d v="2022-11-17T09:43:03"/>
    <x v="359"/>
    <x v="2"/>
    <x v="16"/>
    <n v="4"/>
    <n v="8"/>
    <s v="USD"/>
    <x v="3"/>
    <s v="EMP0066"/>
    <n v="32"/>
    <s v="Thu"/>
    <x v="10"/>
    <x v="3"/>
  </r>
  <r>
    <x v="361"/>
    <d v="2022-11-09T11:57:03"/>
    <x v="360"/>
    <x v="6"/>
    <x v="12"/>
    <n v="1.8"/>
    <n v="7"/>
    <s v="USD"/>
    <x v="5"/>
    <s v="EMP0073"/>
    <n v="12.6"/>
    <s v="Wed"/>
    <x v="10"/>
    <x v="3"/>
  </r>
  <r>
    <x v="362"/>
    <d v="2025-01-10T19:57:03"/>
    <x v="361"/>
    <x v="3"/>
    <x v="8"/>
    <n v="4.5"/>
    <n v="1"/>
    <s v="USD"/>
    <x v="5"/>
    <s v="EMP0033"/>
    <n v="4.5"/>
    <s v="Fri"/>
    <x v="2"/>
    <x v="2"/>
  </r>
  <r>
    <x v="363"/>
    <d v="2025-05-02T14:13:03"/>
    <x v="362"/>
    <x v="12"/>
    <x v="9"/>
    <n v="3"/>
    <n v="1"/>
    <s v="USD"/>
    <x v="5"/>
    <s v="EMP0045"/>
    <n v="3"/>
    <s v="Fri"/>
    <x v="5"/>
    <x v="2"/>
  </r>
  <r>
    <x v="364"/>
    <d v="2021-06-05T10:52:03"/>
    <x v="363"/>
    <x v="13"/>
    <x v="9"/>
    <n v="3"/>
    <n v="8"/>
    <s v="USD"/>
    <x v="3"/>
    <s v="EMP0037"/>
    <n v="24"/>
    <s v="Sat"/>
    <x v="3"/>
    <x v="0"/>
  </r>
  <r>
    <x v="365"/>
    <d v="2023-01-23T07:37:03"/>
    <x v="364"/>
    <x v="6"/>
    <x v="18"/>
    <n v="1.7"/>
    <n v="6"/>
    <s v="USD"/>
    <x v="5"/>
    <s v="EMP0058"/>
    <n v="10.199999999999999"/>
    <s v="Mon"/>
    <x v="2"/>
    <x v="4"/>
  </r>
  <r>
    <x v="366"/>
    <d v="2023-03-28T01:21:03"/>
    <x v="365"/>
    <x v="3"/>
    <x v="1"/>
    <n v="1"/>
    <n v="3"/>
    <s v="USD"/>
    <x v="2"/>
    <s v="EMP0045"/>
    <n v="3"/>
    <s v="Tue"/>
    <x v="1"/>
    <x v="4"/>
  </r>
  <r>
    <x v="367"/>
    <d v="2024-09-09T07:52:03"/>
    <x v="366"/>
    <x v="8"/>
    <x v="12"/>
    <n v="1.8"/>
    <n v="3"/>
    <s v="USD"/>
    <x v="2"/>
    <s v="EMP0029"/>
    <n v="5.4"/>
    <s v="Mon"/>
    <x v="9"/>
    <x v="1"/>
  </r>
  <r>
    <x v="368"/>
    <d v="2025-05-02T13:07:03"/>
    <x v="367"/>
    <x v="10"/>
    <x v="1"/>
    <n v="1"/>
    <n v="7"/>
    <s v="USD"/>
    <x v="1"/>
    <s v="EMP0049"/>
    <n v="7"/>
    <s v="Fri"/>
    <x v="5"/>
    <x v="2"/>
  </r>
  <r>
    <x v="369"/>
    <d v="2024-01-25T05:57:03"/>
    <x v="368"/>
    <x v="5"/>
    <x v="14"/>
    <n v="2.2000000000000002"/>
    <n v="5"/>
    <s v="USD"/>
    <x v="0"/>
    <s v="EMP0093"/>
    <n v="11"/>
    <s v="Thu"/>
    <x v="2"/>
    <x v="1"/>
  </r>
  <r>
    <x v="370"/>
    <d v="2024-09-20T11:35:03"/>
    <x v="369"/>
    <x v="3"/>
    <x v="18"/>
    <n v="1.7"/>
    <n v="10"/>
    <s v="USD"/>
    <x v="3"/>
    <s v="EMP0031"/>
    <n v="17"/>
    <s v="Fri"/>
    <x v="9"/>
    <x v="1"/>
  </r>
  <r>
    <x v="371"/>
    <d v="2024-03-13T11:20:03"/>
    <x v="370"/>
    <x v="12"/>
    <x v="17"/>
    <n v="2.5"/>
    <n v="8"/>
    <s v="USD"/>
    <x v="1"/>
    <s v="EMP0087"/>
    <n v="20"/>
    <s v="Wed"/>
    <x v="1"/>
    <x v="1"/>
  </r>
  <r>
    <x v="372"/>
    <d v="2021-05-30T12:11:03"/>
    <x v="371"/>
    <x v="0"/>
    <x v="17"/>
    <n v="2.5"/>
    <n v="7"/>
    <s v="USD"/>
    <x v="5"/>
    <s v="EMP0030"/>
    <n v="17.5"/>
    <s v="Sun"/>
    <x v="5"/>
    <x v="0"/>
  </r>
  <r>
    <x v="373"/>
    <d v="2022-04-30T06:38:03"/>
    <x v="372"/>
    <x v="4"/>
    <x v="17"/>
    <n v="2.5"/>
    <n v="3"/>
    <s v="USD"/>
    <x v="1"/>
    <s v="EMP0038"/>
    <n v="7.5"/>
    <s v="Sat"/>
    <x v="11"/>
    <x v="3"/>
  </r>
  <r>
    <x v="374"/>
    <d v="2024-01-15T13:50:03"/>
    <x v="373"/>
    <x v="5"/>
    <x v="16"/>
    <n v="4"/>
    <n v="10"/>
    <s v="USD"/>
    <x v="2"/>
    <s v="EMP0042"/>
    <n v="40"/>
    <s v="Mon"/>
    <x v="2"/>
    <x v="1"/>
  </r>
  <r>
    <x v="375"/>
    <d v="2024-01-10T03:30:03"/>
    <x v="374"/>
    <x v="6"/>
    <x v="12"/>
    <n v="1.8"/>
    <n v="4"/>
    <s v="USD"/>
    <x v="5"/>
    <s v="EMP0039"/>
    <n v="7.2"/>
    <s v="Wed"/>
    <x v="2"/>
    <x v="1"/>
  </r>
  <r>
    <x v="376"/>
    <d v="2023-10-24T11:51:03"/>
    <x v="375"/>
    <x v="12"/>
    <x v="13"/>
    <n v="0.8"/>
    <n v="7"/>
    <s v="USD"/>
    <x v="1"/>
    <s v="EMP0064"/>
    <n v="5.6000000000000005"/>
    <s v="Tue"/>
    <x v="0"/>
    <x v="4"/>
  </r>
  <r>
    <x v="377"/>
    <d v="2025-02-02T01:45:03"/>
    <x v="376"/>
    <x v="3"/>
    <x v="6"/>
    <n v="7"/>
    <n v="9"/>
    <s v="USD"/>
    <x v="4"/>
    <s v="EMP0090"/>
    <n v="63"/>
    <s v="Sun"/>
    <x v="7"/>
    <x v="2"/>
  </r>
  <r>
    <x v="378"/>
    <d v="2023-01-08T00:17:03"/>
    <x v="377"/>
    <x v="11"/>
    <x v="6"/>
    <n v="7"/>
    <n v="3"/>
    <s v="USD"/>
    <x v="1"/>
    <s v="EMP0061"/>
    <n v="21"/>
    <s v="Sun"/>
    <x v="2"/>
    <x v="4"/>
  </r>
  <r>
    <x v="379"/>
    <d v="2024-01-02T06:07:03"/>
    <x v="378"/>
    <x v="4"/>
    <x v="14"/>
    <n v="2.2000000000000002"/>
    <n v="8"/>
    <s v="USD"/>
    <x v="3"/>
    <s v="EMP0072"/>
    <n v="17.600000000000001"/>
    <s v="Tue"/>
    <x v="2"/>
    <x v="1"/>
  </r>
  <r>
    <x v="380"/>
    <d v="2023-01-14T23:51:03"/>
    <x v="379"/>
    <x v="9"/>
    <x v="14"/>
    <n v="2.2000000000000002"/>
    <n v="7"/>
    <s v="USD"/>
    <x v="0"/>
    <s v="EMP0033"/>
    <n v="15.400000000000002"/>
    <s v="Sat"/>
    <x v="2"/>
    <x v="4"/>
  </r>
  <r>
    <x v="381"/>
    <d v="2024-03-19T02:45:03"/>
    <x v="380"/>
    <x v="7"/>
    <x v="10"/>
    <n v="5"/>
    <n v="6"/>
    <s v="USD"/>
    <x v="3"/>
    <s v="EMP0069"/>
    <n v="30"/>
    <s v="Tue"/>
    <x v="1"/>
    <x v="1"/>
  </r>
  <r>
    <x v="382"/>
    <d v="2024-04-14T12:09:03"/>
    <x v="381"/>
    <x v="8"/>
    <x v="5"/>
    <n v="1"/>
    <n v="10"/>
    <s v="USD"/>
    <x v="3"/>
    <s v="EMP0010"/>
    <n v="10"/>
    <s v="Sun"/>
    <x v="11"/>
    <x v="1"/>
  </r>
  <r>
    <x v="383"/>
    <d v="2024-04-18T18:40:03"/>
    <x v="382"/>
    <x v="3"/>
    <x v="1"/>
    <n v="1"/>
    <n v="4"/>
    <s v="USD"/>
    <x v="5"/>
    <s v="EMP0027"/>
    <n v="4"/>
    <s v="Thu"/>
    <x v="11"/>
    <x v="1"/>
  </r>
  <r>
    <x v="384"/>
    <d v="2023-06-28T03:28:03"/>
    <x v="383"/>
    <x v="13"/>
    <x v="11"/>
    <n v="4"/>
    <n v="4"/>
    <s v="USD"/>
    <x v="2"/>
    <s v="EMP0016"/>
    <n v="16"/>
    <s v="Wed"/>
    <x v="3"/>
    <x v="4"/>
  </r>
  <r>
    <x v="385"/>
    <d v="2022-09-02T05:42:03"/>
    <x v="384"/>
    <x v="12"/>
    <x v="11"/>
    <n v="4"/>
    <n v="7"/>
    <s v="USD"/>
    <x v="0"/>
    <s v="EMP0071"/>
    <n v="28"/>
    <s v="Fri"/>
    <x v="9"/>
    <x v="3"/>
  </r>
  <r>
    <x v="386"/>
    <d v="2023-07-21T04:02:03"/>
    <x v="385"/>
    <x v="10"/>
    <x v="1"/>
    <n v="1"/>
    <n v="6"/>
    <s v="USD"/>
    <x v="4"/>
    <s v="EMP0034"/>
    <n v="6"/>
    <s v="Fri"/>
    <x v="8"/>
    <x v="4"/>
  </r>
  <r>
    <x v="387"/>
    <d v="2023-05-03T20:30:03"/>
    <x v="386"/>
    <x v="10"/>
    <x v="10"/>
    <n v="5"/>
    <n v="2"/>
    <s v="USD"/>
    <x v="2"/>
    <s v="EMP0061"/>
    <n v="10"/>
    <s v="Wed"/>
    <x v="5"/>
    <x v="4"/>
  </r>
  <r>
    <x v="388"/>
    <d v="2023-07-24T07:03:03"/>
    <x v="387"/>
    <x v="5"/>
    <x v="18"/>
    <n v="1.7"/>
    <n v="1"/>
    <s v="USD"/>
    <x v="1"/>
    <s v="EMP0029"/>
    <n v="1.7"/>
    <s v="Mon"/>
    <x v="8"/>
    <x v="4"/>
  </r>
  <r>
    <x v="389"/>
    <d v="2024-07-15T13:10:03"/>
    <x v="388"/>
    <x v="9"/>
    <x v="16"/>
    <n v="4"/>
    <n v="10"/>
    <s v="USD"/>
    <x v="2"/>
    <s v="EMP0054"/>
    <n v="40"/>
    <s v="Mon"/>
    <x v="8"/>
    <x v="1"/>
  </r>
  <r>
    <x v="390"/>
    <d v="2023-09-13T09:14:03"/>
    <x v="389"/>
    <x v="5"/>
    <x v="2"/>
    <n v="2.5"/>
    <n v="7"/>
    <s v="USD"/>
    <x v="1"/>
    <s v="EMP0032"/>
    <n v="17.5"/>
    <s v="Wed"/>
    <x v="9"/>
    <x v="4"/>
  </r>
  <r>
    <x v="391"/>
    <d v="2022-07-21T19:45:03"/>
    <x v="390"/>
    <x v="3"/>
    <x v="4"/>
    <n v="3.2"/>
    <n v="5"/>
    <s v="USD"/>
    <x v="5"/>
    <s v="EMP0093"/>
    <n v="16"/>
    <s v="Thu"/>
    <x v="8"/>
    <x v="3"/>
  </r>
  <r>
    <x v="392"/>
    <d v="2021-10-02T13:55:03"/>
    <x v="391"/>
    <x v="10"/>
    <x v="13"/>
    <n v="0.8"/>
    <n v="6"/>
    <s v="USD"/>
    <x v="0"/>
    <s v="EMP0018"/>
    <n v="4.8000000000000007"/>
    <s v="Sat"/>
    <x v="0"/>
    <x v="0"/>
  </r>
  <r>
    <x v="393"/>
    <d v="2022-04-15T22:15:03"/>
    <x v="392"/>
    <x v="1"/>
    <x v="1"/>
    <n v="1"/>
    <n v="1"/>
    <s v="USD"/>
    <x v="1"/>
    <s v="EMP0005"/>
    <n v="1"/>
    <s v="Fri"/>
    <x v="11"/>
    <x v="3"/>
  </r>
  <r>
    <x v="394"/>
    <d v="2024-12-07T16:23:03"/>
    <x v="393"/>
    <x v="14"/>
    <x v="3"/>
    <n v="1.2"/>
    <n v="7"/>
    <s v="USD"/>
    <x v="0"/>
    <s v="EMP0081"/>
    <n v="8.4"/>
    <s v="Sat"/>
    <x v="4"/>
    <x v="1"/>
  </r>
  <r>
    <x v="395"/>
    <d v="2024-01-22T10:41:03"/>
    <x v="394"/>
    <x v="6"/>
    <x v="3"/>
    <n v="1.2"/>
    <n v="4"/>
    <s v="USD"/>
    <x v="1"/>
    <s v="EMP0059"/>
    <n v="4.8"/>
    <s v="Mon"/>
    <x v="2"/>
    <x v="1"/>
  </r>
  <r>
    <x v="396"/>
    <d v="2023-04-06T11:47:03"/>
    <x v="395"/>
    <x v="3"/>
    <x v="5"/>
    <n v="1"/>
    <n v="8"/>
    <s v="USD"/>
    <x v="2"/>
    <s v="EMP0063"/>
    <n v="8"/>
    <s v="Thu"/>
    <x v="11"/>
    <x v="4"/>
  </r>
  <r>
    <x v="397"/>
    <d v="2025-04-07T12:52:03"/>
    <x v="396"/>
    <x v="9"/>
    <x v="18"/>
    <n v="1.7"/>
    <n v="1"/>
    <s v="USD"/>
    <x v="3"/>
    <s v="EMP0068"/>
    <n v="1.7"/>
    <s v="Mon"/>
    <x v="11"/>
    <x v="2"/>
  </r>
  <r>
    <x v="398"/>
    <d v="2023-10-24T20:08:03"/>
    <x v="397"/>
    <x v="13"/>
    <x v="12"/>
    <n v="1.8"/>
    <n v="7"/>
    <s v="USD"/>
    <x v="0"/>
    <s v="EMP0014"/>
    <n v="12.6"/>
    <s v="Tue"/>
    <x v="0"/>
    <x v="4"/>
  </r>
  <r>
    <x v="399"/>
    <d v="2024-10-23T21:17:03"/>
    <x v="398"/>
    <x v="2"/>
    <x v="11"/>
    <n v="4"/>
    <n v="10"/>
    <s v="USD"/>
    <x v="1"/>
    <s v="EMP0033"/>
    <n v="40"/>
    <s v="Wed"/>
    <x v="0"/>
    <x v="1"/>
  </r>
  <r>
    <x v="400"/>
    <d v="2023-05-15T04:36:03"/>
    <x v="399"/>
    <x v="8"/>
    <x v="9"/>
    <n v="3"/>
    <n v="6"/>
    <s v="USD"/>
    <x v="5"/>
    <s v="EMP0059"/>
    <n v="18"/>
    <s v="Mon"/>
    <x v="5"/>
    <x v="4"/>
  </r>
  <r>
    <x v="401"/>
    <d v="2022-03-09T05:42:03"/>
    <x v="400"/>
    <x v="2"/>
    <x v="8"/>
    <n v="4.5"/>
    <n v="2"/>
    <s v="USD"/>
    <x v="2"/>
    <s v="EMP0084"/>
    <n v="9"/>
    <s v="Wed"/>
    <x v="1"/>
    <x v="3"/>
  </r>
  <r>
    <x v="402"/>
    <d v="2025-03-06T11:01:03"/>
    <x v="401"/>
    <x v="8"/>
    <x v="6"/>
    <n v="7"/>
    <n v="9"/>
    <s v="USD"/>
    <x v="5"/>
    <s v="EMP0008"/>
    <n v="63"/>
    <s v="Thu"/>
    <x v="1"/>
    <x v="2"/>
  </r>
  <r>
    <x v="403"/>
    <d v="2021-10-13T12:42:03"/>
    <x v="402"/>
    <x v="6"/>
    <x v="9"/>
    <n v="3"/>
    <n v="8"/>
    <s v="USD"/>
    <x v="5"/>
    <s v="EMP0083"/>
    <n v="24"/>
    <s v="Wed"/>
    <x v="0"/>
    <x v="0"/>
  </r>
  <r>
    <x v="404"/>
    <d v="2023-06-30T18:32:03"/>
    <x v="403"/>
    <x v="7"/>
    <x v="12"/>
    <n v="1.8"/>
    <n v="1"/>
    <s v="USD"/>
    <x v="0"/>
    <s v="EMP0028"/>
    <n v="1.8"/>
    <s v="Fri"/>
    <x v="3"/>
    <x v="4"/>
  </r>
  <r>
    <x v="405"/>
    <d v="2021-06-21T18:56:03"/>
    <x v="404"/>
    <x v="11"/>
    <x v="17"/>
    <n v="2.5"/>
    <n v="2"/>
    <s v="USD"/>
    <x v="2"/>
    <s v="EMP0036"/>
    <n v="5"/>
    <s v="Mon"/>
    <x v="3"/>
    <x v="0"/>
  </r>
  <r>
    <x v="406"/>
    <d v="2022-04-22T18:44:03"/>
    <x v="405"/>
    <x v="13"/>
    <x v="13"/>
    <n v="0.8"/>
    <n v="6"/>
    <s v="USD"/>
    <x v="3"/>
    <s v="EMP0027"/>
    <n v="4.8000000000000007"/>
    <s v="Fri"/>
    <x v="11"/>
    <x v="3"/>
  </r>
  <r>
    <x v="407"/>
    <d v="2022-01-23T08:38:03"/>
    <x v="406"/>
    <x v="4"/>
    <x v="6"/>
    <n v="7"/>
    <n v="2"/>
    <s v="USD"/>
    <x v="4"/>
    <s v="EMP0021"/>
    <n v="14"/>
    <s v="Sun"/>
    <x v="2"/>
    <x v="3"/>
  </r>
  <r>
    <x v="408"/>
    <d v="2022-03-12T05:50:03"/>
    <x v="407"/>
    <x v="4"/>
    <x v="6"/>
    <n v="7"/>
    <n v="9"/>
    <s v="USD"/>
    <x v="4"/>
    <s v="EMP0050"/>
    <n v="63"/>
    <s v="Sat"/>
    <x v="1"/>
    <x v="3"/>
  </r>
  <r>
    <x v="409"/>
    <d v="2024-07-26T14:40:03"/>
    <x v="408"/>
    <x v="7"/>
    <x v="12"/>
    <n v="1.8"/>
    <n v="6"/>
    <s v="USD"/>
    <x v="3"/>
    <s v="EMP0013"/>
    <n v="10.8"/>
    <s v="Fri"/>
    <x v="8"/>
    <x v="1"/>
  </r>
  <r>
    <x v="410"/>
    <d v="2022-11-26T05:33:03"/>
    <x v="409"/>
    <x v="7"/>
    <x v="4"/>
    <n v="3.2"/>
    <n v="10"/>
    <s v="USD"/>
    <x v="1"/>
    <s v="EMP0077"/>
    <n v="32"/>
    <s v="Sat"/>
    <x v="10"/>
    <x v="3"/>
  </r>
  <r>
    <x v="411"/>
    <d v="2023-02-17T03:25:03"/>
    <x v="410"/>
    <x v="3"/>
    <x v="0"/>
    <n v="3.1"/>
    <n v="8"/>
    <s v="USD"/>
    <x v="5"/>
    <s v="EMP0030"/>
    <n v="24.8"/>
    <s v="Fri"/>
    <x v="7"/>
    <x v="4"/>
  </r>
  <r>
    <x v="412"/>
    <d v="2023-05-11T20:02:03"/>
    <x v="411"/>
    <x v="8"/>
    <x v="13"/>
    <n v="0.8"/>
    <n v="10"/>
    <s v="USD"/>
    <x v="2"/>
    <s v="EMP0049"/>
    <n v="8"/>
    <s v="Thu"/>
    <x v="5"/>
    <x v="4"/>
  </r>
  <r>
    <x v="413"/>
    <d v="2024-11-14T18:08:03"/>
    <x v="412"/>
    <x v="14"/>
    <x v="2"/>
    <n v="2.5"/>
    <n v="2"/>
    <s v="USD"/>
    <x v="3"/>
    <s v="EMP0035"/>
    <n v="5"/>
    <s v="Thu"/>
    <x v="10"/>
    <x v="1"/>
  </r>
  <r>
    <x v="414"/>
    <d v="2024-06-28T00:41:03"/>
    <x v="413"/>
    <x v="14"/>
    <x v="14"/>
    <n v="2.2000000000000002"/>
    <n v="7"/>
    <s v="USD"/>
    <x v="4"/>
    <s v="EMP0047"/>
    <n v="15.400000000000002"/>
    <s v="Fri"/>
    <x v="3"/>
    <x v="1"/>
  </r>
  <r>
    <x v="415"/>
    <d v="2024-10-03T11:26:03"/>
    <x v="414"/>
    <x v="11"/>
    <x v="10"/>
    <n v="5"/>
    <n v="6"/>
    <s v="USD"/>
    <x v="4"/>
    <s v="EMP0014"/>
    <n v="30"/>
    <s v="Thu"/>
    <x v="0"/>
    <x v="1"/>
  </r>
  <r>
    <x v="416"/>
    <d v="2024-08-11T11:15:03"/>
    <x v="415"/>
    <x v="8"/>
    <x v="10"/>
    <n v="5"/>
    <n v="9"/>
    <s v="USD"/>
    <x v="1"/>
    <s v="EMP0066"/>
    <n v="45"/>
    <s v="Sun"/>
    <x v="6"/>
    <x v="1"/>
  </r>
  <r>
    <x v="417"/>
    <d v="2023-01-25T10:25:03"/>
    <x v="416"/>
    <x v="7"/>
    <x v="7"/>
    <n v="2.8"/>
    <n v="9"/>
    <s v="USD"/>
    <x v="3"/>
    <s v="EMP0077"/>
    <n v="25.2"/>
    <s v="Wed"/>
    <x v="2"/>
    <x v="4"/>
  </r>
  <r>
    <x v="418"/>
    <d v="2022-01-01T02:31:03"/>
    <x v="417"/>
    <x v="8"/>
    <x v="3"/>
    <n v="1.2"/>
    <n v="5"/>
    <s v="USD"/>
    <x v="5"/>
    <s v="EMP0050"/>
    <n v="6"/>
    <s v="Sat"/>
    <x v="2"/>
    <x v="3"/>
  </r>
  <r>
    <x v="419"/>
    <d v="2024-11-16T13:29:03"/>
    <x v="418"/>
    <x v="9"/>
    <x v="2"/>
    <n v="2.5"/>
    <n v="10"/>
    <s v="USD"/>
    <x v="1"/>
    <s v="EMP0022"/>
    <n v="25"/>
    <s v="Sat"/>
    <x v="10"/>
    <x v="1"/>
  </r>
  <r>
    <x v="420"/>
    <d v="2021-07-06T01:16:03"/>
    <x v="419"/>
    <x v="6"/>
    <x v="0"/>
    <n v="3.1"/>
    <n v="5"/>
    <s v="USD"/>
    <x v="4"/>
    <s v="EMP0064"/>
    <n v="15.5"/>
    <s v="Tue"/>
    <x v="8"/>
    <x v="0"/>
  </r>
  <r>
    <x v="421"/>
    <d v="2024-07-15T11:16:03"/>
    <x v="420"/>
    <x v="8"/>
    <x v="0"/>
    <n v="3.1"/>
    <n v="7"/>
    <s v="USD"/>
    <x v="4"/>
    <s v="EMP0062"/>
    <n v="21.7"/>
    <s v="Mon"/>
    <x v="8"/>
    <x v="1"/>
  </r>
  <r>
    <x v="422"/>
    <d v="2024-12-03T02:10:03"/>
    <x v="421"/>
    <x v="2"/>
    <x v="15"/>
    <n v="1.5"/>
    <n v="10"/>
    <s v="USD"/>
    <x v="1"/>
    <s v="EMP0026"/>
    <n v="15"/>
    <s v="Tue"/>
    <x v="4"/>
    <x v="1"/>
  </r>
  <r>
    <x v="423"/>
    <d v="2022-10-15T10:18:03"/>
    <x v="422"/>
    <x v="11"/>
    <x v="3"/>
    <n v="1.2"/>
    <n v="7"/>
    <s v="USD"/>
    <x v="4"/>
    <s v="EMP0080"/>
    <n v="8.4"/>
    <s v="Sat"/>
    <x v="0"/>
    <x v="3"/>
  </r>
  <r>
    <x v="424"/>
    <d v="2023-03-23T02:58:03"/>
    <x v="423"/>
    <x v="5"/>
    <x v="18"/>
    <n v="1.7"/>
    <n v="10"/>
    <s v="USD"/>
    <x v="0"/>
    <s v="EMP0039"/>
    <n v="17"/>
    <s v="Thu"/>
    <x v="1"/>
    <x v="4"/>
  </r>
  <r>
    <x v="425"/>
    <d v="2023-07-22T17:42:03"/>
    <x v="424"/>
    <x v="2"/>
    <x v="15"/>
    <n v="1.5"/>
    <n v="6"/>
    <s v="USD"/>
    <x v="0"/>
    <s v="EMP0051"/>
    <n v="9"/>
    <s v="Sat"/>
    <x v="8"/>
    <x v="4"/>
  </r>
  <r>
    <x v="426"/>
    <d v="2023-07-26T03:39:03"/>
    <x v="425"/>
    <x v="0"/>
    <x v="15"/>
    <n v="1.5"/>
    <n v="10"/>
    <s v="USD"/>
    <x v="0"/>
    <s v="EMP0042"/>
    <n v="15"/>
    <s v="Wed"/>
    <x v="8"/>
    <x v="4"/>
  </r>
  <r>
    <x v="427"/>
    <d v="2023-03-31T04:34:03"/>
    <x v="426"/>
    <x v="14"/>
    <x v="6"/>
    <n v="7"/>
    <n v="6"/>
    <s v="USD"/>
    <x v="3"/>
    <s v="EMP0073"/>
    <n v="42"/>
    <s v="Fri"/>
    <x v="1"/>
    <x v="4"/>
  </r>
  <r>
    <x v="428"/>
    <d v="2024-03-25T18:52:03"/>
    <x v="427"/>
    <x v="6"/>
    <x v="1"/>
    <n v="1"/>
    <n v="1"/>
    <s v="USD"/>
    <x v="2"/>
    <s v="EMP0060"/>
    <n v="1"/>
    <s v="Mon"/>
    <x v="1"/>
    <x v="1"/>
  </r>
  <r>
    <x v="429"/>
    <d v="2021-05-20T06:58:03"/>
    <x v="428"/>
    <x v="14"/>
    <x v="8"/>
    <n v="4.5"/>
    <n v="2"/>
    <s v="USD"/>
    <x v="5"/>
    <s v="EMP0087"/>
    <n v="9"/>
    <s v="Thu"/>
    <x v="5"/>
    <x v="0"/>
  </r>
  <r>
    <x v="430"/>
    <d v="2022-07-22T08:46:03"/>
    <x v="429"/>
    <x v="11"/>
    <x v="2"/>
    <n v="2.5"/>
    <n v="5"/>
    <s v="USD"/>
    <x v="2"/>
    <s v="EMP0020"/>
    <n v="12.5"/>
    <s v="Fri"/>
    <x v="8"/>
    <x v="3"/>
  </r>
  <r>
    <x v="431"/>
    <d v="2022-12-25T01:22:03"/>
    <x v="430"/>
    <x v="10"/>
    <x v="5"/>
    <n v="1"/>
    <n v="8"/>
    <s v="USD"/>
    <x v="1"/>
    <s v="EMP0052"/>
    <n v="8"/>
    <s v="Sun"/>
    <x v="4"/>
    <x v="3"/>
  </r>
  <r>
    <x v="432"/>
    <d v="2022-05-10T20:27:03"/>
    <x v="431"/>
    <x v="1"/>
    <x v="18"/>
    <n v="1.7"/>
    <n v="9"/>
    <s v="USD"/>
    <x v="3"/>
    <s v="EMP0047"/>
    <n v="15.299999999999999"/>
    <s v="Tue"/>
    <x v="5"/>
    <x v="3"/>
  </r>
  <r>
    <x v="433"/>
    <d v="2021-06-02T19:48:03"/>
    <x v="432"/>
    <x v="3"/>
    <x v="9"/>
    <n v="3"/>
    <n v="2"/>
    <s v="USD"/>
    <x v="0"/>
    <s v="EMP0085"/>
    <n v="6"/>
    <s v="Wed"/>
    <x v="3"/>
    <x v="0"/>
  </r>
  <r>
    <x v="434"/>
    <d v="2021-08-17T02:16:03"/>
    <x v="433"/>
    <x v="3"/>
    <x v="5"/>
    <n v="1"/>
    <n v="1"/>
    <s v="USD"/>
    <x v="1"/>
    <s v="EMP0083"/>
    <n v="1"/>
    <s v="Tue"/>
    <x v="6"/>
    <x v="0"/>
  </r>
  <r>
    <x v="435"/>
    <d v="2021-07-21T17:01:03"/>
    <x v="434"/>
    <x v="14"/>
    <x v="4"/>
    <n v="3.2"/>
    <n v="7"/>
    <s v="USD"/>
    <x v="3"/>
    <s v="EMP0002"/>
    <n v="22.400000000000002"/>
    <s v="Wed"/>
    <x v="8"/>
    <x v="0"/>
  </r>
  <r>
    <x v="436"/>
    <d v="2024-10-20T05:12:03"/>
    <x v="435"/>
    <x v="9"/>
    <x v="12"/>
    <n v="1.8"/>
    <n v="9"/>
    <s v="USD"/>
    <x v="1"/>
    <s v="EMP0089"/>
    <n v="16.2"/>
    <s v="Sun"/>
    <x v="0"/>
    <x v="1"/>
  </r>
  <r>
    <x v="437"/>
    <d v="2022-02-16T05:58:03"/>
    <x v="436"/>
    <x v="5"/>
    <x v="6"/>
    <n v="7"/>
    <n v="8"/>
    <s v="USD"/>
    <x v="2"/>
    <s v="EMP0076"/>
    <n v="56"/>
    <s v="Wed"/>
    <x v="7"/>
    <x v="3"/>
  </r>
  <r>
    <x v="438"/>
    <d v="2021-06-24T21:17:03"/>
    <x v="437"/>
    <x v="5"/>
    <x v="3"/>
    <n v="1.2"/>
    <n v="8"/>
    <s v="USD"/>
    <x v="3"/>
    <s v="EMP0038"/>
    <n v="9.6"/>
    <s v="Thu"/>
    <x v="3"/>
    <x v="0"/>
  </r>
  <r>
    <x v="439"/>
    <d v="2023-01-09T11:19:03"/>
    <x v="438"/>
    <x v="4"/>
    <x v="14"/>
    <n v="2.2000000000000002"/>
    <n v="6"/>
    <s v="USD"/>
    <x v="4"/>
    <s v="EMP0044"/>
    <n v="13.200000000000001"/>
    <s v="Mon"/>
    <x v="2"/>
    <x v="4"/>
  </r>
  <r>
    <x v="440"/>
    <d v="2022-10-20T06:53:03"/>
    <x v="439"/>
    <x v="10"/>
    <x v="7"/>
    <n v="2.8"/>
    <n v="8"/>
    <s v="USD"/>
    <x v="3"/>
    <s v="EMP0057"/>
    <n v="22.4"/>
    <s v="Thu"/>
    <x v="0"/>
    <x v="3"/>
  </r>
  <r>
    <x v="441"/>
    <d v="2021-06-12T23:06:03"/>
    <x v="440"/>
    <x v="7"/>
    <x v="8"/>
    <n v="4.5"/>
    <n v="1"/>
    <s v="USD"/>
    <x v="2"/>
    <s v="EMP0015"/>
    <n v="4.5"/>
    <s v="Sat"/>
    <x v="3"/>
    <x v="0"/>
  </r>
  <r>
    <x v="442"/>
    <d v="2025-03-24T02:45:03"/>
    <x v="441"/>
    <x v="7"/>
    <x v="13"/>
    <n v="0.8"/>
    <n v="4"/>
    <s v="USD"/>
    <x v="1"/>
    <s v="EMP0023"/>
    <n v="3.2"/>
    <s v="Mon"/>
    <x v="1"/>
    <x v="2"/>
  </r>
  <r>
    <x v="443"/>
    <d v="2022-04-05T08:05:03"/>
    <x v="442"/>
    <x v="9"/>
    <x v="18"/>
    <n v="1.7"/>
    <n v="8"/>
    <s v="USD"/>
    <x v="0"/>
    <s v="EMP0052"/>
    <n v="13.6"/>
    <s v="Tue"/>
    <x v="11"/>
    <x v="3"/>
  </r>
  <r>
    <x v="444"/>
    <d v="2021-10-28T08:15:03"/>
    <x v="443"/>
    <x v="3"/>
    <x v="18"/>
    <n v="1.7"/>
    <n v="7"/>
    <s v="USD"/>
    <x v="3"/>
    <s v="EMP0095"/>
    <n v="11.9"/>
    <s v="Thu"/>
    <x v="0"/>
    <x v="0"/>
  </r>
  <r>
    <x v="445"/>
    <d v="2021-11-29T06:58:03"/>
    <x v="444"/>
    <x v="12"/>
    <x v="18"/>
    <n v="1.7"/>
    <n v="7"/>
    <s v="USD"/>
    <x v="3"/>
    <s v="EMP0091"/>
    <n v="11.9"/>
    <s v="Mon"/>
    <x v="10"/>
    <x v="0"/>
  </r>
  <r>
    <x v="446"/>
    <d v="2024-02-25T07:09:03"/>
    <x v="445"/>
    <x v="14"/>
    <x v="9"/>
    <n v="3"/>
    <n v="10"/>
    <s v="USD"/>
    <x v="3"/>
    <s v="EMP0069"/>
    <n v="30"/>
    <s v="Sun"/>
    <x v="7"/>
    <x v="1"/>
  </r>
  <r>
    <x v="447"/>
    <d v="2024-04-22T02:06:03"/>
    <x v="446"/>
    <x v="2"/>
    <x v="10"/>
    <n v="5"/>
    <n v="2"/>
    <s v="USD"/>
    <x v="4"/>
    <s v="EMP0086"/>
    <n v="10"/>
    <s v="Mon"/>
    <x v="11"/>
    <x v="1"/>
  </r>
  <r>
    <x v="448"/>
    <d v="2022-08-10T20:46:03"/>
    <x v="447"/>
    <x v="5"/>
    <x v="5"/>
    <n v="1"/>
    <n v="7"/>
    <s v="USD"/>
    <x v="1"/>
    <s v="EMP0051"/>
    <n v="7"/>
    <s v="Wed"/>
    <x v="6"/>
    <x v="3"/>
  </r>
  <r>
    <x v="449"/>
    <d v="2022-01-23T10:04:03"/>
    <x v="448"/>
    <x v="5"/>
    <x v="10"/>
    <n v="5"/>
    <n v="10"/>
    <s v="USD"/>
    <x v="0"/>
    <s v="EMP0087"/>
    <n v="50"/>
    <s v="Sun"/>
    <x v="2"/>
    <x v="3"/>
  </r>
  <r>
    <x v="450"/>
    <d v="2021-05-25T03:28:03"/>
    <x v="449"/>
    <x v="12"/>
    <x v="16"/>
    <n v="4"/>
    <n v="2"/>
    <s v="USD"/>
    <x v="2"/>
    <s v="EMP0018"/>
    <n v="8"/>
    <s v="Tue"/>
    <x v="5"/>
    <x v="0"/>
  </r>
  <r>
    <x v="451"/>
    <d v="2023-08-07T10:11:03"/>
    <x v="450"/>
    <x v="11"/>
    <x v="19"/>
    <n v="5.5"/>
    <n v="3"/>
    <s v="USD"/>
    <x v="4"/>
    <s v="EMP0089"/>
    <n v="16.5"/>
    <s v="Mon"/>
    <x v="6"/>
    <x v="4"/>
  </r>
  <r>
    <x v="452"/>
    <d v="2024-07-23T21:02:03"/>
    <x v="451"/>
    <x v="8"/>
    <x v="5"/>
    <n v="1"/>
    <n v="3"/>
    <s v="USD"/>
    <x v="1"/>
    <s v="EMP0050"/>
    <n v="3"/>
    <s v="Tue"/>
    <x v="8"/>
    <x v="1"/>
  </r>
  <r>
    <x v="453"/>
    <d v="2022-12-25T07:55:03"/>
    <x v="452"/>
    <x v="3"/>
    <x v="1"/>
    <n v="1"/>
    <n v="3"/>
    <s v="USD"/>
    <x v="1"/>
    <s v="EMP0022"/>
    <n v="3"/>
    <s v="Sun"/>
    <x v="4"/>
    <x v="3"/>
  </r>
  <r>
    <x v="454"/>
    <d v="2022-08-11T04:18:03"/>
    <x v="453"/>
    <x v="6"/>
    <x v="4"/>
    <n v="3.2"/>
    <n v="8"/>
    <s v="USD"/>
    <x v="1"/>
    <s v="EMP0007"/>
    <n v="25.6"/>
    <s v="Thu"/>
    <x v="6"/>
    <x v="3"/>
  </r>
  <r>
    <x v="455"/>
    <d v="2023-05-05T12:55:03"/>
    <x v="454"/>
    <x v="6"/>
    <x v="11"/>
    <n v="4"/>
    <n v="7"/>
    <s v="USD"/>
    <x v="1"/>
    <s v="EMP0065"/>
    <n v="28"/>
    <s v="Fri"/>
    <x v="5"/>
    <x v="4"/>
  </r>
  <r>
    <x v="456"/>
    <d v="2021-09-09T22:00:03"/>
    <x v="455"/>
    <x v="3"/>
    <x v="15"/>
    <n v="1.5"/>
    <n v="7"/>
    <s v="USD"/>
    <x v="2"/>
    <s v="EMP0057"/>
    <n v="10.5"/>
    <s v="Thu"/>
    <x v="9"/>
    <x v="0"/>
  </r>
  <r>
    <x v="457"/>
    <d v="2022-08-13T08:21:03"/>
    <x v="456"/>
    <x v="12"/>
    <x v="3"/>
    <n v="1.2"/>
    <n v="4"/>
    <s v="USD"/>
    <x v="4"/>
    <s v="EMP0005"/>
    <n v="4.8"/>
    <s v="Sat"/>
    <x v="6"/>
    <x v="3"/>
  </r>
  <r>
    <x v="458"/>
    <d v="2023-10-25T05:52:03"/>
    <x v="457"/>
    <x v="11"/>
    <x v="13"/>
    <n v="0.8"/>
    <n v="8"/>
    <s v="USD"/>
    <x v="1"/>
    <s v="EMP0096"/>
    <n v="6.4"/>
    <s v="Wed"/>
    <x v="0"/>
    <x v="4"/>
  </r>
  <r>
    <x v="459"/>
    <d v="2022-07-29T19:54:03"/>
    <x v="458"/>
    <x v="7"/>
    <x v="16"/>
    <n v="4"/>
    <n v="2"/>
    <s v="USD"/>
    <x v="4"/>
    <s v="EMP0100"/>
    <n v="8"/>
    <s v="Fri"/>
    <x v="8"/>
    <x v="3"/>
  </r>
  <r>
    <x v="460"/>
    <d v="2022-04-23T01:52:03"/>
    <x v="459"/>
    <x v="4"/>
    <x v="17"/>
    <n v="2.5"/>
    <n v="8"/>
    <s v="USD"/>
    <x v="1"/>
    <s v="EMP0028"/>
    <n v="20"/>
    <s v="Sat"/>
    <x v="11"/>
    <x v="3"/>
  </r>
  <r>
    <x v="461"/>
    <d v="2022-12-21T09:39:03"/>
    <x v="460"/>
    <x v="4"/>
    <x v="2"/>
    <n v="2.5"/>
    <n v="5"/>
    <s v="USD"/>
    <x v="3"/>
    <s v="EMP0058"/>
    <n v="12.5"/>
    <s v="Wed"/>
    <x v="4"/>
    <x v="3"/>
  </r>
  <r>
    <x v="462"/>
    <d v="2023-11-18T01:31:03"/>
    <x v="461"/>
    <x v="4"/>
    <x v="9"/>
    <n v="3"/>
    <n v="8"/>
    <s v="USD"/>
    <x v="3"/>
    <s v="EMP0100"/>
    <n v="24"/>
    <s v="Sat"/>
    <x v="10"/>
    <x v="4"/>
  </r>
  <r>
    <x v="463"/>
    <d v="2024-01-10T06:35:03"/>
    <x v="462"/>
    <x v="0"/>
    <x v="16"/>
    <n v="4"/>
    <n v="6"/>
    <s v="USD"/>
    <x v="2"/>
    <s v="EMP0079"/>
    <n v="24"/>
    <s v="Wed"/>
    <x v="2"/>
    <x v="1"/>
  </r>
  <r>
    <x v="464"/>
    <d v="2021-10-22T00:16:03"/>
    <x v="463"/>
    <x v="12"/>
    <x v="14"/>
    <n v="2.2000000000000002"/>
    <n v="4"/>
    <s v="USD"/>
    <x v="0"/>
    <s v="EMP0008"/>
    <n v="8.8000000000000007"/>
    <s v="Fri"/>
    <x v="0"/>
    <x v="0"/>
  </r>
  <r>
    <x v="465"/>
    <d v="2022-02-27T01:52:03"/>
    <x v="464"/>
    <x v="11"/>
    <x v="5"/>
    <n v="1"/>
    <n v="9"/>
    <s v="USD"/>
    <x v="0"/>
    <s v="EMP0042"/>
    <n v="9"/>
    <s v="Sun"/>
    <x v="7"/>
    <x v="3"/>
  </r>
  <r>
    <x v="466"/>
    <d v="2021-05-29T04:08:03"/>
    <x v="465"/>
    <x v="12"/>
    <x v="0"/>
    <n v="3.1"/>
    <n v="9"/>
    <s v="USD"/>
    <x v="2"/>
    <s v="EMP0013"/>
    <n v="27.900000000000002"/>
    <s v="Sat"/>
    <x v="5"/>
    <x v="0"/>
  </r>
  <r>
    <x v="467"/>
    <d v="2024-08-04T23:28:03"/>
    <x v="466"/>
    <x v="13"/>
    <x v="0"/>
    <n v="3.1"/>
    <n v="3"/>
    <s v="USD"/>
    <x v="2"/>
    <s v="EMP0017"/>
    <n v="9.3000000000000007"/>
    <s v="Sun"/>
    <x v="6"/>
    <x v="1"/>
  </r>
  <r>
    <x v="468"/>
    <d v="2023-12-15T08:41:03"/>
    <x v="467"/>
    <x v="5"/>
    <x v="2"/>
    <n v="2.5"/>
    <n v="7"/>
    <s v="USD"/>
    <x v="5"/>
    <s v="EMP0019"/>
    <n v="17.5"/>
    <s v="Fri"/>
    <x v="4"/>
    <x v="4"/>
  </r>
  <r>
    <x v="469"/>
    <d v="2022-02-11T17:09:03"/>
    <x v="468"/>
    <x v="3"/>
    <x v="18"/>
    <n v="1.7"/>
    <n v="7"/>
    <s v="USD"/>
    <x v="5"/>
    <s v="EMP0010"/>
    <n v="11.9"/>
    <s v="Fri"/>
    <x v="7"/>
    <x v="3"/>
  </r>
  <r>
    <x v="470"/>
    <d v="2021-10-20T11:01:03"/>
    <x v="469"/>
    <x v="9"/>
    <x v="0"/>
    <n v="3.1"/>
    <n v="6"/>
    <s v="USD"/>
    <x v="5"/>
    <s v="EMP0063"/>
    <n v="18.600000000000001"/>
    <s v="Wed"/>
    <x v="0"/>
    <x v="0"/>
  </r>
  <r>
    <x v="471"/>
    <d v="2023-07-08T19:26:03"/>
    <x v="470"/>
    <x v="4"/>
    <x v="9"/>
    <n v="3"/>
    <n v="8"/>
    <s v="USD"/>
    <x v="2"/>
    <s v="EMP0086"/>
    <n v="24"/>
    <s v="Sat"/>
    <x v="8"/>
    <x v="4"/>
  </r>
  <r>
    <x v="472"/>
    <d v="2021-06-11T01:32:03"/>
    <x v="471"/>
    <x v="7"/>
    <x v="1"/>
    <n v="1"/>
    <n v="7"/>
    <s v="USD"/>
    <x v="0"/>
    <s v="EMP0055"/>
    <n v="7"/>
    <s v="Fri"/>
    <x v="3"/>
    <x v="0"/>
  </r>
  <r>
    <x v="473"/>
    <d v="2024-03-01T22:09:03"/>
    <x v="472"/>
    <x v="5"/>
    <x v="8"/>
    <n v="4.5"/>
    <n v="6"/>
    <s v="USD"/>
    <x v="1"/>
    <s v="EMP0074"/>
    <n v="27"/>
    <s v="Fri"/>
    <x v="1"/>
    <x v="1"/>
  </r>
  <r>
    <x v="474"/>
    <d v="2024-08-14T18:32:03"/>
    <x v="473"/>
    <x v="10"/>
    <x v="4"/>
    <n v="3.2"/>
    <n v="1"/>
    <s v="USD"/>
    <x v="3"/>
    <s v="EMP0013"/>
    <n v="3.2"/>
    <s v="Wed"/>
    <x v="6"/>
    <x v="1"/>
  </r>
  <r>
    <x v="475"/>
    <d v="2021-11-03T23:25:03"/>
    <x v="474"/>
    <x v="7"/>
    <x v="13"/>
    <n v="0.8"/>
    <n v="8"/>
    <s v="USD"/>
    <x v="5"/>
    <s v="EMP0001"/>
    <n v="6.4"/>
    <s v="Wed"/>
    <x v="10"/>
    <x v="0"/>
  </r>
  <r>
    <x v="476"/>
    <d v="2022-12-15T06:42:03"/>
    <x v="475"/>
    <x v="1"/>
    <x v="14"/>
    <n v="2.2000000000000002"/>
    <n v="5"/>
    <s v="USD"/>
    <x v="0"/>
    <s v="EMP0036"/>
    <n v="11"/>
    <s v="Thu"/>
    <x v="4"/>
    <x v="3"/>
  </r>
  <r>
    <x v="477"/>
    <d v="2024-10-29T17:03:03"/>
    <x v="476"/>
    <x v="11"/>
    <x v="9"/>
    <n v="3"/>
    <n v="6"/>
    <s v="USD"/>
    <x v="2"/>
    <s v="EMP0084"/>
    <n v="18"/>
    <s v="Tue"/>
    <x v="0"/>
    <x v="1"/>
  </r>
  <r>
    <x v="478"/>
    <d v="2024-06-05T12:01:03"/>
    <x v="477"/>
    <x v="3"/>
    <x v="8"/>
    <n v="4.5"/>
    <n v="4"/>
    <s v="USD"/>
    <x v="5"/>
    <s v="EMP0084"/>
    <n v="18"/>
    <s v="Wed"/>
    <x v="3"/>
    <x v="1"/>
  </r>
  <r>
    <x v="479"/>
    <d v="2024-11-03T15:20:03"/>
    <x v="478"/>
    <x v="13"/>
    <x v="11"/>
    <n v="4"/>
    <n v="8"/>
    <s v="USD"/>
    <x v="3"/>
    <s v="EMP0017"/>
    <n v="32"/>
    <s v="Sun"/>
    <x v="10"/>
    <x v="1"/>
  </r>
  <r>
    <x v="480"/>
    <d v="2022-01-10T05:53:03"/>
    <x v="479"/>
    <x v="3"/>
    <x v="10"/>
    <n v="5"/>
    <n v="1"/>
    <s v="USD"/>
    <x v="3"/>
    <s v="EMP0090"/>
    <n v="5"/>
    <s v="Mon"/>
    <x v="2"/>
    <x v="3"/>
  </r>
  <r>
    <x v="481"/>
    <d v="2023-06-06T09:31:03"/>
    <x v="480"/>
    <x v="8"/>
    <x v="14"/>
    <n v="2.2000000000000002"/>
    <n v="8"/>
    <s v="USD"/>
    <x v="3"/>
    <s v="EMP0030"/>
    <n v="17.600000000000001"/>
    <s v="Tue"/>
    <x v="3"/>
    <x v="4"/>
  </r>
  <r>
    <x v="482"/>
    <d v="2023-03-17T10:40:03"/>
    <x v="481"/>
    <x v="14"/>
    <x v="19"/>
    <n v="5.5"/>
    <n v="2"/>
    <s v="USD"/>
    <x v="4"/>
    <s v="EMP0048"/>
    <n v="11"/>
    <s v="Fri"/>
    <x v="1"/>
    <x v="4"/>
  </r>
  <r>
    <x v="483"/>
    <d v="2023-09-05T09:02:03"/>
    <x v="482"/>
    <x v="14"/>
    <x v="14"/>
    <n v="2.2000000000000002"/>
    <n v="3"/>
    <s v="USD"/>
    <x v="3"/>
    <s v="EMP0068"/>
    <n v="6.6000000000000005"/>
    <s v="Tue"/>
    <x v="9"/>
    <x v="4"/>
  </r>
  <r>
    <x v="484"/>
    <d v="2022-03-13T12:47:03"/>
    <x v="483"/>
    <x v="3"/>
    <x v="13"/>
    <n v="0.8"/>
    <n v="8"/>
    <s v="USD"/>
    <x v="4"/>
    <s v="EMP0093"/>
    <n v="6.4"/>
    <s v="Sun"/>
    <x v="1"/>
    <x v="3"/>
  </r>
  <r>
    <x v="485"/>
    <d v="2024-02-27T16:39:03"/>
    <x v="484"/>
    <x v="6"/>
    <x v="18"/>
    <n v="1.7"/>
    <n v="10"/>
    <s v="USD"/>
    <x v="2"/>
    <s v="EMP0057"/>
    <n v="17"/>
    <s v="Tue"/>
    <x v="7"/>
    <x v="1"/>
  </r>
  <r>
    <x v="486"/>
    <d v="2024-02-20T10:29:03"/>
    <x v="485"/>
    <x v="7"/>
    <x v="14"/>
    <n v="2.2000000000000002"/>
    <n v="2"/>
    <s v="USD"/>
    <x v="1"/>
    <s v="EMP0094"/>
    <n v="4.4000000000000004"/>
    <s v="Tue"/>
    <x v="7"/>
    <x v="1"/>
  </r>
  <r>
    <x v="487"/>
    <d v="2023-03-15T01:59:03"/>
    <x v="486"/>
    <x v="5"/>
    <x v="14"/>
    <n v="2.2000000000000002"/>
    <n v="4"/>
    <s v="USD"/>
    <x v="4"/>
    <s v="EMP0083"/>
    <n v="8.8000000000000007"/>
    <s v="Wed"/>
    <x v="1"/>
    <x v="4"/>
  </r>
  <r>
    <x v="488"/>
    <d v="2024-11-18T05:51:03"/>
    <x v="487"/>
    <x v="12"/>
    <x v="5"/>
    <n v="1"/>
    <n v="10"/>
    <s v="USD"/>
    <x v="4"/>
    <s v="EMP0100"/>
    <n v="10"/>
    <s v="Mon"/>
    <x v="10"/>
    <x v="1"/>
  </r>
  <r>
    <x v="489"/>
    <d v="2021-06-25T12:32:03"/>
    <x v="488"/>
    <x v="4"/>
    <x v="8"/>
    <n v="4.5"/>
    <n v="4"/>
    <s v="USD"/>
    <x v="1"/>
    <s v="EMP0078"/>
    <n v="18"/>
    <s v="Fri"/>
    <x v="3"/>
    <x v="0"/>
  </r>
  <r>
    <x v="490"/>
    <d v="2022-07-01T06:39:03"/>
    <x v="489"/>
    <x v="8"/>
    <x v="8"/>
    <n v="4.5"/>
    <n v="1"/>
    <s v="USD"/>
    <x v="0"/>
    <s v="EMP0064"/>
    <n v="4.5"/>
    <s v="Fri"/>
    <x v="8"/>
    <x v="3"/>
  </r>
  <r>
    <x v="491"/>
    <d v="2023-03-11T10:11:03"/>
    <x v="490"/>
    <x v="10"/>
    <x v="5"/>
    <n v="1"/>
    <n v="2"/>
    <s v="USD"/>
    <x v="1"/>
    <s v="EMP0002"/>
    <n v="2"/>
    <s v="Sat"/>
    <x v="1"/>
    <x v="4"/>
  </r>
  <r>
    <x v="492"/>
    <d v="2023-05-01T03:18:03"/>
    <x v="491"/>
    <x v="8"/>
    <x v="16"/>
    <n v="4"/>
    <n v="7"/>
    <s v="USD"/>
    <x v="4"/>
    <s v="EMP0070"/>
    <n v="28"/>
    <s v="Mon"/>
    <x v="5"/>
    <x v="4"/>
  </r>
  <r>
    <x v="493"/>
    <d v="2021-07-11T07:38:03"/>
    <x v="492"/>
    <x v="10"/>
    <x v="9"/>
    <n v="3"/>
    <n v="1"/>
    <s v="USD"/>
    <x v="1"/>
    <s v="EMP0009"/>
    <n v="3"/>
    <s v="Sun"/>
    <x v="8"/>
    <x v="0"/>
  </r>
  <r>
    <x v="494"/>
    <d v="2025-04-11T05:13:03"/>
    <x v="493"/>
    <x v="13"/>
    <x v="17"/>
    <n v="2.5"/>
    <n v="7"/>
    <s v="USD"/>
    <x v="1"/>
    <s v="EMP0037"/>
    <n v="17.5"/>
    <s v="Fri"/>
    <x v="11"/>
    <x v="2"/>
  </r>
  <r>
    <x v="495"/>
    <d v="2021-10-29T14:54:03"/>
    <x v="494"/>
    <x v="14"/>
    <x v="18"/>
    <n v="1.7"/>
    <n v="7"/>
    <s v="USD"/>
    <x v="2"/>
    <s v="EMP0052"/>
    <n v="11.9"/>
    <s v="Fri"/>
    <x v="0"/>
    <x v="0"/>
  </r>
  <r>
    <x v="496"/>
    <d v="2024-11-21T16:52:03"/>
    <x v="495"/>
    <x v="9"/>
    <x v="5"/>
    <n v="1"/>
    <n v="3"/>
    <s v="USD"/>
    <x v="4"/>
    <s v="EMP0011"/>
    <n v="3"/>
    <s v="Thu"/>
    <x v="10"/>
    <x v="1"/>
  </r>
  <r>
    <x v="497"/>
    <d v="2023-08-14T10:54:03"/>
    <x v="496"/>
    <x v="1"/>
    <x v="11"/>
    <n v="4"/>
    <n v="3"/>
    <s v="USD"/>
    <x v="1"/>
    <s v="EMP0042"/>
    <n v="12"/>
    <s v="Mon"/>
    <x v="6"/>
    <x v="4"/>
  </r>
  <r>
    <x v="498"/>
    <d v="2023-02-28T18:46:03"/>
    <x v="497"/>
    <x v="14"/>
    <x v="9"/>
    <n v="3"/>
    <n v="5"/>
    <s v="USD"/>
    <x v="2"/>
    <s v="EMP0056"/>
    <n v="15"/>
    <s v="Tue"/>
    <x v="7"/>
    <x v="4"/>
  </r>
  <r>
    <x v="499"/>
    <d v="2024-01-07T12:11:03"/>
    <x v="498"/>
    <x v="7"/>
    <x v="18"/>
    <n v="1.7"/>
    <n v="2"/>
    <s v="USD"/>
    <x v="5"/>
    <s v="EMP0079"/>
    <n v="3.4"/>
    <s v="Sun"/>
    <x v="2"/>
    <x v="1"/>
  </r>
  <r>
    <x v="500"/>
    <d v="2021-12-10T12:07:03"/>
    <x v="499"/>
    <x v="3"/>
    <x v="13"/>
    <n v="0.8"/>
    <n v="2"/>
    <s v="USD"/>
    <x v="3"/>
    <s v="EMP0091"/>
    <n v="1.6"/>
    <s v="Fri"/>
    <x v="4"/>
    <x v="0"/>
  </r>
  <r>
    <x v="501"/>
    <d v="2024-07-31T15:26:03"/>
    <x v="500"/>
    <x v="6"/>
    <x v="15"/>
    <n v="1.5"/>
    <n v="6"/>
    <s v="USD"/>
    <x v="1"/>
    <s v="EMP0067"/>
    <n v="9"/>
    <s v="Wed"/>
    <x v="8"/>
    <x v="1"/>
  </r>
  <r>
    <x v="502"/>
    <d v="2023-11-26T08:03:03"/>
    <x v="501"/>
    <x v="6"/>
    <x v="0"/>
    <n v="3.1"/>
    <n v="2"/>
    <s v="USD"/>
    <x v="3"/>
    <s v="EMP0043"/>
    <n v="6.2"/>
    <s v="Sun"/>
    <x v="10"/>
    <x v="4"/>
  </r>
  <r>
    <x v="503"/>
    <d v="2022-12-12T04:53:03"/>
    <x v="502"/>
    <x v="7"/>
    <x v="0"/>
    <n v="3.1"/>
    <n v="10"/>
    <s v="USD"/>
    <x v="2"/>
    <s v="EMP0010"/>
    <n v="31"/>
    <s v="Mon"/>
    <x v="4"/>
    <x v="3"/>
  </r>
  <r>
    <x v="504"/>
    <d v="2022-07-27T22:54:03"/>
    <x v="503"/>
    <x v="5"/>
    <x v="17"/>
    <n v="2.5"/>
    <n v="8"/>
    <s v="USD"/>
    <x v="1"/>
    <s v="EMP0022"/>
    <n v="20"/>
    <s v="Wed"/>
    <x v="8"/>
    <x v="3"/>
  </r>
  <r>
    <x v="505"/>
    <d v="2023-04-17T08:10:03"/>
    <x v="504"/>
    <x v="14"/>
    <x v="19"/>
    <n v="5.5"/>
    <n v="10"/>
    <s v="USD"/>
    <x v="2"/>
    <s v="EMP0093"/>
    <n v="55"/>
    <s v="Mon"/>
    <x v="11"/>
    <x v="4"/>
  </r>
  <r>
    <x v="506"/>
    <d v="2024-09-15T05:39:03"/>
    <x v="505"/>
    <x v="9"/>
    <x v="3"/>
    <n v="1.2"/>
    <n v="1"/>
    <s v="USD"/>
    <x v="3"/>
    <s v="EMP0032"/>
    <n v="1.2"/>
    <s v="Sun"/>
    <x v="9"/>
    <x v="1"/>
  </r>
  <r>
    <x v="507"/>
    <d v="2025-02-03T22:03:03"/>
    <x v="506"/>
    <x v="8"/>
    <x v="14"/>
    <n v="2.2000000000000002"/>
    <n v="3"/>
    <s v="USD"/>
    <x v="3"/>
    <s v="EMP0071"/>
    <n v="6.6000000000000005"/>
    <s v="Mon"/>
    <x v="7"/>
    <x v="2"/>
  </r>
  <r>
    <x v="508"/>
    <d v="2021-09-05T00:12:03"/>
    <x v="507"/>
    <x v="5"/>
    <x v="2"/>
    <n v="2.5"/>
    <n v="7"/>
    <s v="USD"/>
    <x v="2"/>
    <s v="EMP0041"/>
    <n v="17.5"/>
    <s v="Sun"/>
    <x v="9"/>
    <x v="0"/>
  </r>
  <r>
    <x v="509"/>
    <d v="2023-11-01T10:50:03"/>
    <x v="508"/>
    <x v="5"/>
    <x v="19"/>
    <n v="5.5"/>
    <n v="9"/>
    <s v="USD"/>
    <x v="2"/>
    <s v="EMP0007"/>
    <n v="49.5"/>
    <s v="Wed"/>
    <x v="10"/>
    <x v="4"/>
  </r>
  <r>
    <x v="510"/>
    <d v="2024-05-07T05:35:03"/>
    <x v="509"/>
    <x v="9"/>
    <x v="17"/>
    <n v="2.5"/>
    <n v="7"/>
    <s v="USD"/>
    <x v="3"/>
    <s v="EMP0060"/>
    <n v="17.5"/>
    <s v="Tue"/>
    <x v="5"/>
    <x v="1"/>
  </r>
  <r>
    <x v="511"/>
    <d v="2023-10-09T04:06:03"/>
    <x v="510"/>
    <x v="7"/>
    <x v="1"/>
    <n v="1"/>
    <n v="8"/>
    <s v="USD"/>
    <x v="3"/>
    <s v="EMP0048"/>
    <n v="8"/>
    <s v="Mon"/>
    <x v="0"/>
    <x v="4"/>
  </r>
  <r>
    <x v="512"/>
    <d v="2024-03-25T03:50:03"/>
    <x v="511"/>
    <x v="14"/>
    <x v="8"/>
    <n v="4.5"/>
    <n v="10"/>
    <s v="USD"/>
    <x v="0"/>
    <s v="EMP0060"/>
    <n v="45"/>
    <s v="Mon"/>
    <x v="1"/>
    <x v="1"/>
  </r>
  <r>
    <x v="513"/>
    <d v="2023-04-15T18:55:03"/>
    <x v="512"/>
    <x v="14"/>
    <x v="11"/>
    <n v="4"/>
    <n v="9"/>
    <s v="USD"/>
    <x v="0"/>
    <s v="EMP0020"/>
    <n v="36"/>
    <s v="Sat"/>
    <x v="11"/>
    <x v="4"/>
  </r>
  <r>
    <x v="514"/>
    <d v="2025-04-26T00:25:03"/>
    <x v="513"/>
    <x v="2"/>
    <x v="1"/>
    <n v="1"/>
    <n v="6"/>
    <s v="USD"/>
    <x v="2"/>
    <s v="EMP0089"/>
    <n v="6"/>
    <s v="Sat"/>
    <x v="11"/>
    <x v="2"/>
  </r>
  <r>
    <x v="515"/>
    <d v="2025-04-20T03:26:03"/>
    <x v="514"/>
    <x v="14"/>
    <x v="6"/>
    <n v="7"/>
    <n v="5"/>
    <s v="USD"/>
    <x v="3"/>
    <s v="EMP0027"/>
    <n v="35"/>
    <s v="Sun"/>
    <x v="11"/>
    <x v="2"/>
  </r>
  <r>
    <x v="516"/>
    <d v="2022-05-20T06:00:03"/>
    <x v="515"/>
    <x v="10"/>
    <x v="17"/>
    <n v="2.5"/>
    <n v="3"/>
    <s v="USD"/>
    <x v="2"/>
    <s v="EMP0036"/>
    <n v="7.5"/>
    <s v="Fri"/>
    <x v="5"/>
    <x v="3"/>
  </r>
  <r>
    <x v="517"/>
    <d v="2024-10-31T11:28:03"/>
    <x v="516"/>
    <x v="2"/>
    <x v="12"/>
    <n v="1.8"/>
    <n v="7"/>
    <s v="USD"/>
    <x v="2"/>
    <s v="EMP0048"/>
    <n v="12.6"/>
    <s v="Thu"/>
    <x v="0"/>
    <x v="1"/>
  </r>
  <r>
    <x v="518"/>
    <d v="2022-10-13T14:21:03"/>
    <x v="517"/>
    <x v="12"/>
    <x v="19"/>
    <n v="5.5"/>
    <n v="9"/>
    <s v="USD"/>
    <x v="0"/>
    <s v="EMP0082"/>
    <n v="49.5"/>
    <s v="Thu"/>
    <x v="0"/>
    <x v="3"/>
  </r>
  <r>
    <x v="519"/>
    <d v="2023-02-22T10:49:03"/>
    <x v="518"/>
    <x v="12"/>
    <x v="17"/>
    <n v="2.5"/>
    <n v="7"/>
    <s v="USD"/>
    <x v="2"/>
    <s v="EMP0017"/>
    <n v="17.5"/>
    <s v="Wed"/>
    <x v="7"/>
    <x v="4"/>
  </r>
  <r>
    <x v="520"/>
    <d v="2024-01-11T04:10:03"/>
    <x v="519"/>
    <x v="4"/>
    <x v="4"/>
    <n v="3.2"/>
    <n v="7"/>
    <s v="USD"/>
    <x v="2"/>
    <s v="EMP0095"/>
    <n v="22.400000000000002"/>
    <s v="Thu"/>
    <x v="2"/>
    <x v="1"/>
  </r>
  <r>
    <x v="521"/>
    <d v="2023-07-11T02:58:03"/>
    <x v="520"/>
    <x v="11"/>
    <x v="2"/>
    <n v="2.5"/>
    <n v="2"/>
    <s v="USD"/>
    <x v="0"/>
    <s v="EMP0018"/>
    <n v="5"/>
    <s v="Tue"/>
    <x v="8"/>
    <x v="4"/>
  </r>
  <r>
    <x v="522"/>
    <d v="2022-01-28T10:17:03"/>
    <x v="521"/>
    <x v="7"/>
    <x v="13"/>
    <n v="0.8"/>
    <n v="8"/>
    <s v="USD"/>
    <x v="5"/>
    <s v="EMP0041"/>
    <n v="6.4"/>
    <s v="Fri"/>
    <x v="2"/>
    <x v="3"/>
  </r>
  <r>
    <x v="523"/>
    <d v="2023-01-28T09:52:03"/>
    <x v="522"/>
    <x v="5"/>
    <x v="11"/>
    <n v="4"/>
    <n v="8"/>
    <s v="USD"/>
    <x v="4"/>
    <s v="EMP0060"/>
    <n v="32"/>
    <s v="Sat"/>
    <x v="2"/>
    <x v="4"/>
  </r>
  <r>
    <x v="524"/>
    <d v="2023-11-14T10:21:03"/>
    <x v="523"/>
    <x v="6"/>
    <x v="8"/>
    <n v="4.5"/>
    <n v="10"/>
    <s v="USD"/>
    <x v="3"/>
    <s v="EMP0028"/>
    <n v="45"/>
    <s v="Tue"/>
    <x v="10"/>
    <x v="4"/>
  </r>
  <r>
    <x v="525"/>
    <d v="2023-07-08T09:21:03"/>
    <x v="524"/>
    <x v="0"/>
    <x v="2"/>
    <n v="2.5"/>
    <n v="6"/>
    <s v="USD"/>
    <x v="5"/>
    <s v="EMP0066"/>
    <n v="15"/>
    <s v="Sat"/>
    <x v="8"/>
    <x v="4"/>
  </r>
  <r>
    <x v="526"/>
    <d v="2025-01-28T16:07:03"/>
    <x v="525"/>
    <x v="11"/>
    <x v="13"/>
    <n v="0.8"/>
    <n v="1"/>
    <s v="USD"/>
    <x v="5"/>
    <s v="EMP0058"/>
    <n v="0.8"/>
    <s v="Tue"/>
    <x v="2"/>
    <x v="2"/>
  </r>
  <r>
    <x v="527"/>
    <d v="2022-03-27T13:51:03"/>
    <x v="526"/>
    <x v="2"/>
    <x v="19"/>
    <n v="5.5"/>
    <n v="8"/>
    <s v="USD"/>
    <x v="3"/>
    <s v="EMP0018"/>
    <n v="44"/>
    <s v="Sun"/>
    <x v="1"/>
    <x v="3"/>
  </r>
  <r>
    <x v="528"/>
    <d v="2024-09-03T13:23:03"/>
    <x v="527"/>
    <x v="4"/>
    <x v="2"/>
    <n v="2.5"/>
    <n v="3"/>
    <s v="USD"/>
    <x v="0"/>
    <s v="EMP0052"/>
    <n v="7.5"/>
    <s v="Tue"/>
    <x v="9"/>
    <x v="1"/>
  </r>
  <r>
    <x v="529"/>
    <d v="2023-04-07T15:46:03"/>
    <x v="528"/>
    <x v="3"/>
    <x v="9"/>
    <n v="3"/>
    <n v="10"/>
    <s v="USD"/>
    <x v="1"/>
    <s v="EMP0034"/>
    <n v="30"/>
    <s v="Fri"/>
    <x v="11"/>
    <x v="4"/>
  </r>
  <r>
    <x v="530"/>
    <d v="2024-12-07T13:22:03"/>
    <x v="529"/>
    <x v="2"/>
    <x v="10"/>
    <n v="5"/>
    <n v="3"/>
    <s v="USD"/>
    <x v="3"/>
    <s v="EMP0043"/>
    <n v="15"/>
    <s v="Sat"/>
    <x v="4"/>
    <x v="1"/>
  </r>
  <r>
    <x v="531"/>
    <d v="2024-09-01T11:57:03"/>
    <x v="530"/>
    <x v="13"/>
    <x v="13"/>
    <n v="0.8"/>
    <n v="10"/>
    <s v="USD"/>
    <x v="5"/>
    <s v="EMP0093"/>
    <n v="8"/>
    <s v="Sun"/>
    <x v="9"/>
    <x v="1"/>
  </r>
  <r>
    <x v="532"/>
    <d v="2023-02-20T22:25:03"/>
    <x v="531"/>
    <x v="8"/>
    <x v="18"/>
    <n v="1.7"/>
    <n v="3"/>
    <s v="USD"/>
    <x v="4"/>
    <s v="EMP0028"/>
    <n v="5.0999999999999996"/>
    <s v="Mon"/>
    <x v="7"/>
    <x v="4"/>
  </r>
  <r>
    <x v="533"/>
    <d v="2024-04-21T05:09:03"/>
    <x v="532"/>
    <x v="10"/>
    <x v="14"/>
    <n v="2.2000000000000002"/>
    <n v="1"/>
    <s v="USD"/>
    <x v="1"/>
    <s v="EMP0080"/>
    <n v="2.2000000000000002"/>
    <s v="Sun"/>
    <x v="11"/>
    <x v="1"/>
  </r>
  <r>
    <x v="534"/>
    <d v="2021-11-23T05:45:03"/>
    <x v="533"/>
    <x v="11"/>
    <x v="15"/>
    <n v="1.5"/>
    <n v="7"/>
    <s v="USD"/>
    <x v="1"/>
    <s v="EMP0062"/>
    <n v="10.5"/>
    <s v="Tue"/>
    <x v="10"/>
    <x v="0"/>
  </r>
  <r>
    <x v="535"/>
    <d v="2025-01-05T11:09:03"/>
    <x v="534"/>
    <x v="8"/>
    <x v="14"/>
    <n v="2.2000000000000002"/>
    <n v="7"/>
    <s v="USD"/>
    <x v="0"/>
    <s v="EMP0083"/>
    <n v="15.400000000000002"/>
    <s v="Sun"/>
    <x v="2"/>
    <x v="2"/>
  </r>
  <r>
    <x v="536"/>
    <d v="2022-05-29T05:46:03"/>
    <x v="535"/>
    <x v="14"/>
    <x v="1"/>
    <n v="1"/>
    <n v="1"/>
    <s v="USD"/>
    <x v="5"/>
    <s v="EMP0092"/>
    <n v="1"/>
    <s v="Sun"/>
    <x v="5"/>
    <x v="3"/>
  </r>
  <r>
    <x v="537"/>
    <d v="2023-05-04T21:52:03"/>
    <x v="536"/>
    <x v="14"/>
    <x v="15"/>
    <n v="1.5"/>
    <n v="6"/>
    <s v="USD"/>
    <x v="1"/>
    <s v="EMP0065"/>
    <n v="9"/>
    <s v="Thu"/>
    <x v="5"/>
    <x v="4"/>
  </r>
  <r>
    <x v="538"/>
    <d v="2023-07-21T01:09:03"/>
    <x v="537"/>
    <x v="6"/>
    <x v="3"/>
    <n v="1.2"/>
    <n v="6"/>
    <s v="USD"/>
    <x v="1"/>
    <s v="EMP0029"/>
    <n v="7.1999999999999993"/>
    <s v="Fri"/>
    <x v="8"/>
    <x v="4"/>
  </r>
  <r>
    <x v="539"/>
    <d v="2025-03-10T05:23:03"/>
    <x v="237"/>
    <x v="14"/>
    <x v="15"/>
    <n v="1.5"/>
    <n v="9"/>
    <s v="USD"/>
    <x v="4"/>
    <s v="EMP0099"/>
    <n v="13.5"/>
    <s v="Mon"/>
    <x v="1"/>
    <x v="2"/>
  </r>
  <r>
    <x v="540"/>
    <d v="2022-01-29T06:16:03"/>
    <x v="538"/>
    <x v="7"/>
    <x v="2"/>
    <n v="2.5"/>
    <n v="4"/>
    <s v="USD"/>
    <x v="4"/>
    <s v="EMP0069"/>
    <n v="10"/>
    <s v="Sat"/>
    <x v="2"/>
    <x v="3"/>
  </r>
  <r>
    <x v="541"/>
    <d v="2025-01-15T05:50:03"/>
    <x v="539"/>
    <x v="4"/>
    <x v="6"/>
    <n v="7"/>
    <n v="6"/>
    <s v="USD"/>
    <x v="0"/>
    <s v="EMP0023"/>
    <n v="42"/>
    <s v="Wed"/>
    <x v="2"/>
    <x v="2"/>
  </r>
  <r>
    <x v="542"/>
    <d v="2024-01-10T19:06:03"/>
    <x v="540"/>
    <x v="14"/>
    <x v="7"/>
    <n v="2.8"/>
    <n v="10"/>
    <s v="USD"/>
    <x v="3"/>
    <s v="EMP0091"/>
    <n v="28"/>
    <s v="Wed"/>
    <x v="2"/>
    <x v="1"/>
  </r>
  <r>
    <x v="543"/>
    <d v="2021-06-05T01:50:03"/>
    <x v="541"/>
    <x v="12"/>
    <x v="14"/>
    <n v="2.2000000000000002"/>
    <n v="10"/>
    <s v="USD"/>
    <x v="0"/>
    <s v="EMP0064"/>
    <n v="22"/>
    <s v="Sat"/>
    <x v="3"/>
    <x v="0"/>
  </r>
  <r>
    <x v="544"/>
    <d v="2022-04-25T04:15:03"/>
    <x v="542"/>
    <x v="10"/>
    <x v="17"/>
    <n v="2.5"/>
    <n v="2"/>
    <s v="USD"/>
    <x v="3"/>
    <s v="EMP0030"/>
    <n v="5"/>
    <s v="Mon"/>
    <x v="11"/>
    <x v="3"/>
  </r>
  <r>
    <x v="545"/>
    <d v="2021-12-24T06:25:03"/>
    <x v="543"/>
    <x v="9"/>
    <x v="15"/>
    <n v="1.5"/>
    <n v="1"/>
    <s v="USD"/>
    <x v="4"/>
    <s v="EMP0079"/>
    <n v="1.5"/>
    <s v="Fri"/>
    <x v="4"/>
    <x v="0"/>
  </r>
  <r>
    <x v="546"/>
    <d v="2024-03-23T09:05:03"/>
    <x v="544"/>
    <x v="0"/>
    <x v="13"/>
    <n v="0.8"/>
    <n v="6"/>
    <s v="USD"/>
    <x v="3"/>
    <s v="EMP0003"/>
    <n v="4.8000000000000007"/>
    <s v="Sat"/>
    <x v="1"/>
    <x v="1"/>
  </r>
  <r>
    <x v="547"/>
    <d v="2024-07-10T18:41:03"/>
    <x v="545"/>
    <x v="1"/>
    <x v="14"/>
    <n v="2.2000000000000002"/>
    <n v="2"/>
    <s v="USD"/>
    <x v="1"/>
    <s v="EMP0047"/>
    <n v="4.4000000000000004"/>
    <s v="Wed"/>
    <x v="8"/>
    <x v="1"/>
  </r>
  <r>
    <x v="548"/>
    <d v="2024-12-12T01:41:03"/>
    <x v="546"/>
    <x v="3"/>
    <x v="6"/>
    <n v="7"/>
    <n v="10"/>
    <s v="USD"/>
    <x v="3"/>
    <s v="EMP0044"/>
    <n v="70"/>
    <s v="Thu"/>
    <x v="4"/>
    <x v="1"/>
  </r>
  <r>
    <x v="549"/>
    <d v="2023-08-30T03:18:03"/>
    <x v="547"/>
    <x v="6"/>
    <x v="18"/>
    <n v="1.7"/>
    <n v="8"/>
    <s v="USD"/>
    <x v="2"/>
    <s v="EMP0041"/>
    <n v="13.6"/>
    <s v="Wed"/>
    <x v="6"/>
    <x v="4"/>
  </r>
  <r>
    <x v="550"/>
    <d v="2024-05-17T14:51:03"/>
    <x v="548"/>
    <x v="0"/>
    <x v="5"/>
    <n v="1"/>
    <n v="6"/>
    <s v="USD"/>
    <x v="0"/>
    <s v="EMP0086"/>
    <n v="6"/>
    <s v="Fri"/>
    <x v="5"/>
    <x v="1"/>
  </r>
  <r>
    <x v="551"/>
    <d v="2022-01-19T08:02:03"/>
    <x v="549"/>
    <x v="11"/>
    <x v="8"/>
    <n v="4.5"/>
    <n v="3"/>
    <s v="USD"/>
    <x v="0"/>
    <s v="EMP0094"/>
    <n v="13.5"/>
    <s v="Wed"/>
    <x v="2"/>
    <x v="3"/>
  </r>
  <r>
    <x v="552"/>
    <d v="2025-05-05T14:50:03"/>
    <x v="550"/>
    <x v="8"/>
    <x v="16"/>
    <n v="4"/>
    <n v="1"/>
    <s v="USD"/>
    <x v="0"/>
    <s v="EMP0078"/>
    <n v="4"/>
    <s v="Mon"/>
    <x v="5"/>
    <x v="2"/>
  </r>
  <r>
    <x v="553"/>
    <d v="2023-07-27T18:12:03"/>
    <x v="551"/>
    <x v="3"/>
    <x v="16"/>
    <n v="4"/>
    <n v="2"/>
    <s v="USD"/>
    <x v="5"/>
    <s v="EMP0019"/>
    <n v="8"/>
    <s v="Thu"/>
    <x v="8"/>
    <x v="4"/>
  </r>
  <r>
    <x v="554"/>
    <d v="2023-06-30T14:22:03"/>
    <x v="552"/>
    <x v="2"/>
    <x v="7"/>
    <n v="2.8"/>
    <n v="6"/>
    <s v="USD"/>
    <x v="0"/>
    <s v="EMP0082"/>
    <n v="16.799999999999997"/>
    <s v="Fri"/>
    <x v="3"/>
    <x v="4"/>
  </r>
  <r>
    <x v="555"/>
    <d v="2024-11-08T14:44:03"/>
    <x v="553"/>
    <x v="3"/>
    <x v="4"/>
    <n v="3.2"/>
    <n v="8"/>
    <s v="USD"/>
    <x v="3"/>
    <s v="EMP0034"/>
    <n v="25.6"/>
    <s v="Fri"/>
    <x v="10"/>
    <x v="1"/>
  </r>
  <r>
    <x v="556"/>
    <d v="2024-03-06T05:42:03"/>
    <x v="554"/>
    <x v="7"/>
    <x v="7"/>
    <n v="2.8"/>
    <n v="5"/>
    <s v="USD"/>
    <x v="3"/>
    <s v="EMP0093"/>
    <n v="14"/>
    <s v="Wed"/>
    <x v="1"/>
    <x v="1"/>
  </r>
  <r>
    <x v="557"/>
    <d v="2025-05-07T12:02:03"/>
    <x v="555"/>
    <x v="10"/>
    <x v="18"/>
    <n v="1.7"/>
    <n v="3"/>
    <s v="USD"/>
    <x v="5"/>
    <s v="EMP0064"/>
    <n v="5.0999999999999996"/>
    <s v="Wed"/>
    <x v="5"/>
    <x v="2"/>
  </r>
  <r>
    <x v="558"/>
    <d v="2023-03-26T01:52:03"/>
    <x v="556"/>
    <x v="8"/>
    <x v="19"/>
    <n v="5.5"/>
    <n v="8"/>
    <s v="USD"/>
    <x v="1"/>
    <s v="EMP0084"/>
    <n v="44"/>
    <s v="Sun"/>
    <x v="1"/>
    <x v="4"/>
  </r>
  <r>
    <x v="559"/>
    <d v="2021-07-02T06:16:03"/>
    <x v="557"/>
    <x v="10"/>
    <x v="9"/>
    <n v="3"/>
    <n v="1"/>
    <s v="USD"/>
    <x v="4"/>
    <s v="EMP0003"/>
    <n v="3"/>
    <s v="Fri"/>
    <x v="8"/>
    <x v="0"/>
  </r>
  <r>
    <x v="560"/>
    <d v="2023-07-27T05:20:03"/>
    <x v="558"/>
    <x v="7"/>
    <x v="4"/>
    <n v="3.2"/>
    <n v="3"/>
    <s v="USD"/>
    <x v="5"/>
    <s v="EMP0021"/>
    <n v="9.6000000000000014"/>
    <s v="Thu"/>
    <x v="8"/>
    <x v="4"/>
  </r>
  <r>
    <x v="561"/>
    <d v="2024-12-06T19:29:03"/>
    <x v="559"/>
    <x v="7"/>
    <x v="4"/>
    <n v="3.2"/>
    <n v="10"/>
    <s v="USD"/>
    <x v="1"/>
    <s v="EMP0062"/>
    <n v="32"/>
    <s v="Fri"/>
    <x v="4"/>
    <x v="1"/>
  </r>
  <r>
    <x v="562"/>
    <d v="2021-05-28T12:59:03"/>
    <x v="560"/>
    <x v="3"/>
    <x v="13"/>
    <n v="0.8"/>
    <n v="10"/>
    <s v="USD"/>
    <x v="5"/>
    <s v="EMP0021"/>
    <n v="8"/>
    <s v="Fri"/>
    <x v="5"/>
    <x v="0"/>
  </r>
  <r>
    <x v="563"/>
    <d v="2025-01-20T10:05:03"/>
    <x v="561"/>
    <x v="2"/>
    <x v="11"/>
    <n v="4"/>
    <n v="7"/>
    <s v="USD"/>
    <x v="2"/>
    <s v="EMP0071"/>
    <n v="28"/>
    <s v="Mon"/>
    <x v="2"/>
    <x v="2"/>
  </r>
  <r>
    <x v="564"/>
    <d v="2022-04-29T04:44:03"/>
    <x v="562"/>
    <x v="11"/>
    <x v="8"/>
    <n v="4.5"/>
    <n v="4"/>
    <s v="USD"/>
    <x v="3"/>
    <s v="EMP0007"/>
    <n v="18"/>
    <s v="Fri"/>
    <x v="11"/>
    <x v="3"/>
  </r>
  <r>
    <x v="565"/>
    <d v="2023-02-24T18:51:03"/>
    <x v="563"/>
    <x v="4"/>
    <x v="15"/>
    <n v="1.5"/>
    <n v="3"/>
    <s v="USD"/>
    <x v="3"/>
    <s v="EMP0047"/>
    <n v="4.5"/>
    <s v="Fri"/>
    <x v="7"/>
    <x v="4"/>
  </r>
  <r>
    <x v="566"/>
    <d v="2025-05-02T00:21:03"/>
    <x v="564"/>
    <x v="11"/>
    <x v="5"/>
    <n v="1"/>
    <n v="8"/>
    <s v="USD"/>
    <x v="0"/>
    <s v="EMP0013"/>
    <n v="8"/>
    <s v="Fri"/>
    <x v="5"/>
    <x v="2"/>
  </r>
  <r>
    <x v="567"/>
    <d v="2025-03-18T07:16:03"/>
    <x v="565"/>
    <x v="3"/>
    <x v="8"/>
    <n v="4.5"/>
    <n v="2"/>
    <s v="USD"/>
    <x v="5"/>
    <s v="EMP0015"/>
    <n v="9"/>
    <s v="Tue"/>
    <x v="1"/>
    <x v="2"/>
  </r>
  <r>
    <x v="568"/>
    <d v="2023-08-17T00:56:03"/>
    <x v="566"/>
    <x v="10"/>
    <x v="0"/>
    <n v="3.1"/>
    <n v="2"/>
    <s v="USD"/>
    <x v="2"/>
    <s v="EMP0070"/>
    <n v="6.2"/>
    <s v="Thu"/>
    <x v="6"/>
    <x v="4"/>
  </r>
  <r>
    <x v="569"/>
    <d v="2023-03-08T08:03:03"/>
    <x v="567"/>
    <x v="1"/>
    <x v="6"/>
    <n v="7"/>
    <n v="6"/>
    <s v="USD"/>
    <x v="0"/>
    <s v="EMP0058"/>
    <n v="42"/>
    <s v="Wed"/>
    <x v="1"/>
    <x v="4"/>
  </r>
  <r>
    <x v="570"/>
    <d v="2025-02-07T04:58:03"/>
    <x v="568"/>
    <x v="10"/>
    <x v="0"/>
    <n v="3.1"/>
    <n v="4"/>
    <s v="USD"/>
    <x v="4"/>
    <s v="EMP0073"/>
    <n v="12.4"/>
    <s v="Fri"/>
    <x v="7"/>
    <x v="2"/>
  </r>
  <r>
    <x v="571"/>
    <d v="2025-01-03T08:38:03"/>
    <x v="569"/>
    <x v="0"/>
    <x v="19"/>
    <n v="5.5"/>
    <n v="2"/>
    <s v="USD"/>
    <x v="2"/>
    <s v="EMP0045"/>
    <n v="11"/>
    <s v="Fri"/>
    <x v="2"/>
    <x v="2"/>
  </r>
  <r>
    <x v="572"/>
    <d v="2022-04-26T23:38:03"/>
    <x v="570"/>
    <x v="12"/>
    <x v="2"/>
    <n v="2.5"/>
    <n v="9"/>
    <s v="USD"/>
    <x v="3"/>
    <s v="EMP0050"/>
    <n v="22.5"/>
    <s v="Tue"/>
    <x v="11"/>
    <x v="3"/>
  </r>
  <r>
    <x v="573"/>
    <d v="2022-06-03T23:52:03"/>
    <x v="571"/>
    <x v="3"/>
    <x v="15"/>
    <n v="1.5"/>
    <n v="10"/>
    <s v="USD"/>
    <x v="0"/>
    <s v="EMP0061"/>
    <n v="15"/>
    <s v="Fri"/>
    <x v="3"/>
    <x v="3"/>
  </r>
  <r>
    <x v="574"/>
    <d v="2023-09-05T11:01:03"/>
    <x v="572"/>
    <x v="1"/>
    <x v="17"/>
    <n v="2.5"/>
    <n v="9"/>
    <s v="USD"/>
    <x v="1"/>
    <s v="EMP0067"/>
    <n v="22.5"/>
    <s v="Tue"/>
    <x v="9"/>
    <x v="4"/>
  </r>
  <r>
    <x v="575"/>
    <d v="2022-02-23T15:47:03"/>
    <x v="573"/>
    <x v="6"/>
    <x v="19"/>
    <n v="5.5"/>
    <n v="8"/>
    <s v="USD"/>
    <x v="0"/>
    <s v="EMP0022"/>
    <n v="44"/>
    <s v="Wed"/>
    <x v="7"/>
    <x v="3"/>
  </r>
  <r>
    <x v="576"/>
    <d v="2024-03-02T07:18:03"/>
    <x v="574"/>
    <x v="13"/>
    <x v="18"/>
    <n v="1.7"/>
    <n v="2"/>
    <s v="USD"/>
    <x v="2"/>
    <s v="EMP0056"/>
    <n v="3.4"/>
    <s v="Sat"/>
    <x v="1"/>
    <x v="1"/>
  </r>
  <r>
    <x v="577"/>
    <d v="2024-03-21T17:17:03"/>
    <x v="575"/>
    <x v="4"/>
    <x v="5"/>
    <n v="1"/>
    <n v="5"/>
    <s v="USD"/>
    <x v="4"/>
    <s v="EMP0094"/>
    <n v="5"/>
    <s v="Thu"/>
    <x v="1"/>
    <x v="1"/>
  </r>
  <r>
    <x v="578"/>
    <d v="2024-12-23T11:02:03"/>
    <x v="576"/>
    <x v="9"/>
    <x v="6"/>
    <n v="7"/>
    <n v="9"/>
    <s v="USD"/>
    <x v="4"/>
    <s v="EMP0036"/>
    <n v="63"/>
    <s v="Mon"/>
    <x v="4"/>
    <x v="1"/>
  </r>
  <r>
    <x v="579"/>
    <d v="2022-06-09T22:28:03"/>
    <x v="577"/>
    <x v="4"/>
    <x v="3"/>
    <n v="1.2"/>
    <n v="10"/>
    <s v="USD"/>
    <x v="1"/>
    <s v="EMP0067"/>
    <n v="12"/>
    <s v="Thu"/>
    <x v="3"/>
    <x v="3"/>
  </r>
  <r>
    <x v="580"/>
    <d v="2023-01-01T10:00:03"/>
    <x v="578"/>
    <x v="6"/>
    <x v="14"/>
    <n v="2.2000000000000002"/>
    <n v="10"/>
    <s v="USD"/>
    <x v="1"/>
    <s v="EMP0075"/>
    <n v="22"/>
    <s v="Sun"/>
    <x v="2"/>
    <x v="4"/>
  </r>
  <r>
    <x v="581"/>
    <d v="2024-10-16T09:50:03"/>
    <x v="579"/>
    <x v="14"/>
    <x v="19"/>
    <n v="5.5"/>
    <n v="5"/>
    <s v="USD"/>
    <x v="1"/>
    <s v="EMP0045"/>
    <n v="27.5"/>
    <s v="Wed"/>
    <x v="0"/>
    <x v="1"/>
  </r>
  <r>
    <x v="582"/>
    <d v="2023-01-19T05:02:03"/>
    <x v="580"/>
    <x v="3"/>
    <x v="15"/>
    <n v="1.5"/>
    <n v="10"/>
    <s v="USD"/>
    <x v="1"/>
    <s v="EMP0061"/>
    <n v="15"/>
    <s v="Thu"/>
    <x v="2"/>
    <x v="4"/>
  </r>
  <r>
    <x v="583"/>
    <d v="2025-02-22T08:09:03"/>
    <x v="581"/>
    <x v="8"/>
    <x v="14"/>
    <n v="2.2000000000000002"/>
    <n v="10"/>
    <s v="USD"/>
    <x v="1"/>
    <s v="EMP0088"/>
    <n v="22"/>
    <s v="Sat"/>
    <x v="7"/>
    <x v="2"/>
  </r>
  <r>
    <x v="584"/>
    <d v="2021-06-19T01:24:03"/>
    <x v="582"/>
    <x v="8"/>
    <x v="4"/>
    <n v="3.2"/>
    <n v="4"/>
    <s v="USD"/>
    <x v="3"/>
    <s v="EMP0096"/>
    <n v="12.8"/>
    <s v="Sat"/>
    <x v="3"/>
    <x v="0"/>
  </r>
  <r>
    <x v="585"/>
    <d v="2022-09-09T04:29:03"/>
    <x v="583"/>
    <x v="5"/>
    <x v="3"/>
    <n v="1.2"/>
    <n v="6"/>
    <s v="USD"/>
    <x v="4"/>
    <s v="EMP0040"/>
    <n v="7.1999999999999993"/>
    <s v="Fri"/>
    <x v="9"/>
    <x v="3"/>
  </r>
  <r>
    <x v="586"/>
    <d v="2023-10-12T21:32:03"/>
    <x v="584"/>
    <x v="0"/>
    <x v="19"/>
    <n v="5.5"/>
    <n v="4"/>
    <s v="USD"/>
    <x v="0"/>
    <s v="EMP0039"/>
    <n v="22"/>
    <s v="Thu"/>
    <x v="0"/>
    <x v="4"/>
  </r>
  <r>
    <x v="587"/>
    <d v="2022-11-14T03:09:03"/>
    <x v="585"/>
    <x v="0"/>
    <x v="18"/>
    <n v="1.7"/>
    <n v="10"/>
    <s v="USD"/>
    <x v="2"/>
    <s v="EMP0012"/>
    <n v="17"/>
    <s v="Mon"/>
    <x v="10"/>
    <x v="3"/>
  </r>
  <r>
    <x v="588"/>
    <d v="2024-04-19T23:13:03"/>
    <x v="586"/>
    <x v="1"/>
    <x v="18"/>
    <n v="1.7"/>
    <n v="8"/>
    <s v="USD"/>
    <x v="1"/>
    <s v="EMP0048"/>
    <n v="13.6"/>
    <s v="Fri"/>
    <x v="11"/>
    <x v="1"/>
  </r>
  <r>
    <x v="589"/>
    <d v="2025-01-13T20:36:03"/>
    <x v="587"/>
    <x v="6"/>
    <x v="9"/>
    <n v="3"/>
    <n v="5"/>
    <s v="USD"/>
    <x v="2"/>
    <s v="EMP0065"/>
    <n v="15"/>
    <s v="Mon"/>
    <x v="2"/>
    <x v="2"/>
  </r>
  <r>
    <x v="590"/>
    <d v="2023-02-03T08:37:03"/>
    <x v="588"/>
    <x v="4"/>
    <x v="12"/>
    <n v="1.8"/>
    <n v="10"/>
    <s v="USD"/>
    <x v="3"/>
    <s v="EMP0023"/>
    <n v="18"/>
    <s v="Fri"/>
    <x v="7"/>
    <x v="4"/>
  </r>
  <r>
    <x v="591"/>
    <d v="2024-04-10T06:33:03"/>
    <x v="589"/>
    <x v="13"/>
    <x v="2"/>
    <n v="2.5"/>
    <n v="1"/>
    <s v="USD"/>
    <x v="5"/>
    <s v="EMP0007"/>
    <n v="2.5"/>
    <s v="Wed"/>
    <x v="11"/>
    <x v="1"/>
  </r>
  <r>
    <x v="592"/>
    <d v="2023-05-01T15:14:03"/>
    <x v="590"/>
    <x v="11"/>
    <x v="7"/>
    <n v="2.8"/>
    <n v="8"/>
    <s v="USD"/>
    <x v="1"/>
    <s v="EMP0051"/>
    <n v="22.4"/>
    <s v="Mon"/>
    <x v="5"/>
    <x v="4"/>
  </r>
  <r>
    <x v="593"/>
    <d v="2021-10-16T09:43:03"/>
    <x v="591"/>
    <x v="13"/>
    <x v="2"/>
    <n v="2.5"/>
    <n v="6"/>
    <s v="USD"/>
    <x v="5"/>
    <s v="EMP0077"/>
    <n v="15"/>
    <s v="Sat"/>
    <x v="0"/>
    <x v="0"/>
  </r>
  <r>
    <x v="594"/>
    <d v="2022-11-08T07:31:03"/>
    <x v="592"/>
    <x v="10"/>
    <x v="16"/>
    <n v="4"/>
    <n v="9"/>
    <s v="USD"/>
    <x v="4"/>
    <s v="EMP0045"/>
    <n v="36"/>
    <s v="Tue"/>
    <x v="10"/>
    <x v="3"/>
  </r>
  <r>
    <x v="595"/>
    <d v="2024-06-09T04:39:03"/>
    <x v="593"/>
    <x v="4"/>
    <x v="9"/>
    <n v="3"/>
    <n v="5"/>
    <s v="USD"/>
    <x v="3"/>
    <s v="EMP0050"/>
    <n v="15"/>
    <s v="Sun"/>
    <x v="3"/>
    <x v="1"/>
  </r>
  <r>
    <x v="596"/>
    <d v="2025-01-28T07:32:03"/>
    <x v="594"/>
    <x v="12"/>
    <x v="11"/>
    <n v="4"/>
    <n v="4"/>
    <s v="USD"/>
    <x v="2"/>
    <s v="EMP0029"/>
    <n v="16"/>
    <s v="Tue"/>
    <x v="2"/>
    <x v="2"/>
  </r>
  <r>
    <x v="597"/>
    <d v="2021-07-22T07:09:03"/>
    <x v="595"/>
    <x v="3"/>
    <x v="18"/>
    <n v="1.7"/>
    <n v="9"/>
    <s v="USD"/>
    <x v="3"/>
    <s v="EMP0100"/>
    <n v="15.299999999999999"/>
    <s v="Thu"/>
    <x v="8"/>
    <x v="0"/>
  </r>
  <r>
    <x v="598"/>
    <d v="2021-07-12T12:56:03"/>
    <x v="596"/>
    <x v="1"/>
    <x v="14"/>
    <n v="2.2000000000000002"/>
    <n v="3"/>
    <s v="USD"/>
    <x v="1"/>
    <s v="EMP0002"/>
    <n v="6.6000000000000005"/>
    <s v="Mon"/>
    <x v="8"/>
    <x v="0"/>
  </r>
  <r>
    <x v="599"/>
    <d v="2024-02-06T04:48:03"/>
    <x v="597"/>
    <x v="14"/>
    <x v="8"/>
    <n v="4.5"/>
    <n v="5"/>
    <s v="USD"/>
    <x v="5"/>
    <s v="EMP0049"/>
    <n v="22.5"/>
    <s v="Tue"/>
    <x v="7"/>
    <x v="1"/>
  </r>
  <r>
    <x v="600"/>
    <d v="2023-05-25T23:10:03"/>
    <x v="598"/>
    <x v="2"/>
    <x v="10"/>
    <n v="5"/>
    <n v="5"/>
    <s v="USD"/>
    <x v="2"/>
    <s v="EMP0067"/>
    <n v="25"/>
    <s v="Thu"/>
    <x v="5"/>
    <x v="4"/>
  </r>
  <r>
    <x v="601"/>
    <d v="2021-11-09T00:49:03"/>
    <x v="599"/>
    <x v="7"/>
    <x v="3"/>
    <n v="1.2"/>
    <n v="9"/>
    <s v="USD"/>
    <x v="2"/>
    <s v="EMP0048"/>
    <n v="10.799999999999999"/>
    <s v="Tue"/>
    <x v="10"/>
    <x v="0"/>
  </r>
  <r>
    <x v="602"/>
    <d v="2022-03-16T16:48:03"/>
    <x v="600"/>
    <x v="12"/>
    <x v="8"/>
    <n v="4.5"/>
    <n v="5"/>
    <s v="USD"/>
    <x v="2"/>
    <s v="EMP0014"/>
    <n v="22.5"/>
    <s v="Wed"/>
    <x v="1"/>
    <x v="3"/>
  </r>
  <r>
    <x v="603"/>
    <d v="2022-08-27T11:05:03"/>
    <x v="601"/>
    <x v="11"/>
    <x v="4"/>
    <n v="3.2"/>
    <n v="5"/>
    <s v="USD"/>
    <x v="4"/>
    <s v="EMP0084"/>
    <n v="16"/>
    <s v="Sat"/>
    <x v="6"/>
    <x v="3"/>
  </r>
  <r>
    <x v="604"/>
    <d v="2021-05-13T17:07:03"/>
    <x v="602"/>
    <x v="2"/>
    <x v="14"/>
    <n v="2.2000000000000002"/>
    <n v="9"/>
    <s v="USD"/>
    <x v="0"/>
    <s v="EMP0008"/>
    <n v="19.8"/>
    <s v="Thu"/>
    <x v="5"/>
    <x v="0"/>
  </r>
  <r>
    <x v="605"/>
    <d v="2021-12-28T00:44:03"/>
    <x v="603"/>
    <x v="5"/>
    <x v="14"/>
    <n v="2.2000000000000002"/>
    <n v="1"/>
    <s v="USD"/>
    <x v="2"/>
    <s v="EMP0064"/>
    <n v="2.2000000000000002"/>
    <s v="Tue"/>
    <x v="4"/>
    <x v="0"/>
  </r>
  <r>
    <x v="606"/>
    <d v="2023-09-12T04:28:03"/>
    <x v="604"/>
    <x v="8"/>
    <x v="6"/>
    <n v="7"/>
    <n v="7"/>
    <s v="USD"/>
    <x v="2"/>
    <s v="EMP0005"/>
    <n v="49"/>
    <s v="Tue"/>
    <x v="9"/>
    <x v="4"/>
  </r>
  <r>
    <x v="607"/>
    <d v="2022-01-30T14:50:03"/>
    <x v="605"/>
    <x v="4"/>
    <x v="11"/>
    <n v="4"/>
    <n v="6"/>
    <s v="USD"/>
    <x v="2"/>
    <s v="EMP0092"/>
    <n v="24"/>
    <s v="Sun"/>
    <x v="2"/>
    <x v="3"/>
  </r>
  <r>
    <x v="608"/>
    <d v="2024-02-08T15:52:03"/>
    <x v="606"/>
    <x v="3"/>
    <x v="15"/>
    <n v="1.5"/>
    <n v="6"/>
    <s v="USD"/>
    <x v="1"/>
    <s v="EMP0039"/>
    <n v="9"/>
    <s v="Thu"/>
    <x v="7"/>
    <x v="1"/>
  </r>
  <r>
    <x v="609"/>
    <d v="2024-05-25T15:30:03"/>
    <x v="607"/>
    <x v="9"/>
    <x v="13"/>
    <n v="0.8"/>
    <n v="5"/>
    <s v="USD"/>
    <x v="3"/>
    <s v="EMP0061"/>
    <n v="4"/>
    <s v="Sat"/>
    <x v="5"/>
    <x v="1"/>
  </r>
  <r>
    <x v="610"/>
    <d v="2024-08-19T14:10:03"/>
    <x v="608"/>
    <x v="0"/>
    <x v="1"/>
    <n v="1"/>
    <n v="3"/>
    <s v="USD"/>
    <x v="2"/>
    <s v="EMP0043"/>
    <n v="3"/>
    <s v="Mon"/>
    <x v="6"/>
    <x v="1"/>
  </r>
  <r>
    <x v="611"/>
    <d v="2021-09-07T11:12:03"/>
    <x v="609"/>
    <x v="5"/>
    <x v="2"/>
    <n v="2.5"/>
    <n v="5"/>
    <s v="USD"/>
    <x v="5"/>
    <s v="EMP0043"/>
    <n v="12.5"/>
    <s v="Tue"/>
    <x v="9"/>
    <x v="0"/>
  </r>
  <r>
    <x v="612"/>
    <d v="2023-04-09T04:49:03"/>
    <x v="610"/>
    <x v="11"/>
    <x v="10"/>
    <n v="5"/>
    <n v="2"/>
    <s v="USD"/>
    <x v="5"/>
    <s v="EMP0007"/>
    <n v="10"/>
    <s v="Sun"/>
    <x v="11"/>
    <x v="4"/>
  </r>
  <r>
    <x v="613"/>
    <d v="2021-10-17T18:49:03"/>
    <x v="611"/>
    <x v="12"/>
    <x v="9"/>
    <n v="3"/>
    <n v="8"/>
    <s v="USD"/>
    <x v="0"/>
    <s v="EMP0065"/>
    <n v="24"/>
    <s v="Sun"/>
    <x v="0"/>
    <x v="0"/>
  </r>
  <r>
    <x v="614"/>
    <d v="2024-09-05T16:02:03"/>
    <x v="612"/>
    <x v="9"/>
    <x v="8"/>
    <n v="4.5"/>
    <n v="7"/>
    <s v="USD"/>
    <x v="3"/>
    <s v="EMP0020"/>
    <n v="31.5"/>
    <s v="Thu"/>
    <x v="9"/>
    <x v="1"/>
  </r>
  <r>
    <x v="615"/>
    <d v="2024-08-01T07:05:03"/>
    <x v="613"/>
    <x v="8"/>
    <x v="16"/>
    <n v="4"/>
    <n v="8"/>
    <s v="USD"/>
    <x v="0"/>
    <s v="EMP0041"/>
    <n v="32"/>
    <s v="Thu"/>
    <x v="6"/>
    <x v="1"/>
  </r>
  <r>
    <x v="616"/>
    <d v="2024-05-05T10:55:03"/>
    <x v="614"/>
    <x v="5"/>
    <x v="13"/>
    <n v="0.8"/>
    <n v="6"/>
    <s v="USD"/>
    <x v="2"/>
    <s v="EMP0008"/>
    <n v="4.8000000000000007"/>
    <s v="Sun"/>
    <x v="5"/>
    <x v="1"/>
  </r>
  <r>
    <x v="617"/>
    <d v="2025-04-29T23:09:03"/>
    <x v="615"/>
    <x v="2"/>
    <x v="13"/>
    <n v="0.8"/>
    <n v="10"/>
    <s v="USD"/>
    <x v="0"/>
    <s v="EMP0063"/>
    <n v="8"/>
    <s v="Tue"/>
    <x v="11"/>
    <x v="2"/>
  </r>
  <r>
    <x v="618"/>
    <d v="2024-11-10T08:47:03"/>
    <x v="616"/>
    <x v="8"/>
    <x v="18"/>
    <n v="1.7"/>
    <n v="7"/>
    <s v="USD"/>
    <x v="5"/>
    <s v="EMP0062"/>
    <n v="11.9"/>
    <s v="Sun"/>
    <x v="10"/>
    <x v="1"/>
  </r>
  <r>
    <x v="619"/>
    <d v="2023-03-16T13:24:03"/>
    <x v="617"/>
    <x v="9"/>
    <x v="11"/>
    <n v="4"/>
    <n v="6"/>
    <s v="USD"/>
    <x v="3"/>
    <s v="EMP0042"/>
    <n v="24"/>
    <s v="Thu"/>
    <x v="1"/>
    <x v="4"/>
  </r>
  <r>
    <x v="620"/>
    <d v="2022-05-18T07:25:03"/>
    <x v="618"/>
    <x v="3"/>
    <x v="3"/>
    <n v="1.2"/>
    <n v="4"/>
    <s v="USD"/>
    <x v="0"/>
    <s v="EMP0089"/>
    <n v="4.8"/>
    <s v="Wed"/>
    <x v="5"/>
    <x v="3"/>
  </r>
  <r>
    <x v="621"/>
    <d v="2023-06-04T04:18:03"/>
    <x v="619"/>
    <x v="7"/>
    <x v="6"/>
    <n v="7"/>
    <n v="9"/>
    <s v="USD"/>
    <x v="1"/>
    <s v="EMP0040"/>
    <n v="63"/>
    <s v="Sun"/>
    <x v="3"/>
    <x v="4"/>
  </r>
  <r>
    <x v="622"/>
    <d v="2024-06-01T10:34:03"/>
    <x v="620"/>
    <x v="13"/>
    <x v="8"/>
    <n v="4.5"/>
    <n v="5"/>
    <s v="USD"/>
    <x v="5"/>
    <s v="EMP0094"/>
    <n v="22.5"/>
    <s v="Sat"/>
    <x v="3"/>
    <x v="1"/>
  </r>
  <r>
    <x v="623"/>
    <d v="2022-06-08T17:53:03"/>
    <x v="621"/>
    <x v="5"/>
    <x v="18"/>
    <n v="1.7"/>
    <n v="3"/>
    <s v="USD"/>
    <x v="4"/>
    <s v="EMP0063"/>
    <n v="5.0999999999999996"/>
    <s v="Wed"/>
    <x v="3"/>
    <x v="3"/>
  </r>
  <r>
    <x v="624"/>
    <d v="2023-05-05T07:16:03"/>
    <x v="622"/>
    <x v="1"/>
    <x v="6"/>
    <n v="7"/>
    <n v="1"/>
    <s v="USD"/>
    <x v="0"/>
    <s v="EMP0029"/>
    <n v="7"/>
    <s v="Fri"/>
    <x v="5"/>
    <x v="4"/>
  </r>
  <r>
    <x v="625"/>
    <d v="2024-08-14T06:40:03"/>
    <x v="623"/>
    <x v="13"/>
    <x v="16"/>
    <n v="4"/>
    <n v="9"/>
    <s v="USD"/>
    <x v="0"/>
    <s v="EMP0016"/>
    <n v="36"/>
    <s v="Wed"/>
    <x v="6"/>
    <x v="1"/>
  </r>
  <r>
    <x v="626"/>
    <d v="2023-04-19T14:45:03"/>
    <x v="624"/>
    <x v="14"/>
    <x v="17"/>
    <n v="2.5"/>
    <n v="7"/>
    <s v="USD"/>
    <x v="2"/>
    <s v="EMP0033"/>
    <n v="17.5"/>
    <s v="Wed"/>
    <x v="11"/>
    <x v="4"/>
  </r>
  <r>
    <x v="627"/>
    <d v="2022-05-09T18:23:03"/>
    <x v="625"/>
    <x v="12"/>
    <x v="17"/>
    <n v="2.5"/>
    <n v="2"/>
    <s v="USD"/>
    <x v="2"/>
    <s v="EMP0003"/>
    <n v="5"/>
    <s v="Mon"/>
    <x v="5"/>
    <x v="3"/>
  </r>
  <r>
    <x v="628"/>
    <d v="2025-01-30T15:19:03"/>
    <x v="626"/>
    <x v="8"/>
    <x v="10"/>
    <n v="5"/>
    <n v="7"/>
    <s v="USD"/>
    <x v="3"/>
    <s v="EMP0071"/>
    <n v="35"/>
    <s v="Thu"/>
    <x v="2"/>
    <x v="2"/>
  </r>
  <r>
    <x v="629"/>
    <d v="2023-12-08T21:42:03"/>
    <x v="627"/>
    <x v="6"/>
    <x v="11"/>
    <n v="4"/>
    <n v="1"/>
    <s v="USD"/>
    <x v="4"/>
    <s v="EMP0054"/>
    <n v="4"/>
    <s v="Fri"/>
    <x v="4"/>
    <x v="4"/>
  </r>
  <r>
    <x v="630"/>
    <d v="2021-08-23T09:44:03"/>
    <x v="628"/>
    <x v="9"/>
    <x v="0"/>
    <n v="3.1"/>
    <n v="10"/>
    <s v="USD"/>
    <x v="1"/>
    <s v="EMP0090"/>
    <n v="31"/>
    <s v="Mon"/>
    <x v="6"/>
    <x v="0"/>
  </r>
  <r>
    <x v="631"/>
    <d v="2024-08-01T23:33:03"/>
    <x v="629"/>
    <x v="1"/>
    <x v="19"/>
    <n v="5.5"/>
    <n v="9"/>
    <s v="USD"/>
    <x v="2"/>
    <s v="EMP0080"/>
    <n v="49.5"/>
    <s v="Thu"/>
    <x v="6"/>
    <x v="1"/>
  </r>
  <r>
    <x v="632"/>
    <d v="2024-09-10T04:19:03"/>
    <x v="630"/>
    <x v="14"/>
    <x v="19"/>
    <n v="5.5"/>
    <n v="8"/>
    <s v="USD"/>
    <x v="0"/>
    <s v="EMP0078"/>
    <n v="44"/>
    <s v="Tue"/>
    <x v="9"/>
    <x v="1"/>
  </r>
  <r>
    <x v="633"/>
    <d v="2024-03-26T04:33:03"/>
    <x v="631"/>
    <x v="9"/>
    <x v="11"/>
    <n v="4"/>
    <n v="6"/>
    <s v="USD"/>
    <x v="2"/>
    <s v="EMP0053"/>
    <n v="24"/>
    <s v="Tue"/>
    <x v="1"/>
    <x v="1"/>
  </r>
  <r>
    <x v="634"/>
    <d v="2023-09-13T08:24:03"/>
    <x v="632"/>
    <x v="9"/>
    <x v="15"/>
    <n v="1.5"/>
    <n v="4"/>
    <s v="USD"/>
    <x v="2"/>
    <s v="EMP0062"/>
    <n v="6"/>
    <s v="Wed"/>
    <x v="9"/>
    <x v="4"/>
  </r>
  <r>
    <x v="635"/>
    <d v="2023-07-02T06:26:03"/>
    <x v="633"/>
    <x v="13"/>
    <x v="9"/>
    <n v="3"/>
    <n v="2"/>
    <s v="USD"/>
    <x v="1"/>
    <s v="EMP0086"/>
    <n v="6"/>
    <s v="Sun"/>
    <x v="8"/>
    <x v="4"/>
  </r>
  <r>
    <x v="636"/>
    <d v="2022-08-02T09:21:03"/>
    <x v="634"/>
    <x v="14"/>
    <x v="12"/>
    <n v="1.8"/>
    <n v="2"/>
    <s v="USD"/>
    <x v="2"/>
    <s v="EMP0093"/>
    <n v="3.6"/>
    <s v="Tue"/>
    <x v="6"/>
    <x v="3"/>
  </r>
  <r>
    <x v="637"/>
    <d v="2024-10-14T04:45:03"/>
    <x v="635"/>
    <x v="2"/>
    <x v="10"/>
    <n v="5"/>
    <n v="5"/>
    <s v="USD"/>
    <x v="4"/>
    <s v="EMP0060"/>
    <n v="25"/>
    <s v="Mon"/>
    <x v="0"/>
    <x v="1"/>
  </r>
  <r>
    <x v="638"/>
    <d v="2025-01-27T09:34:03"/>
    <x v="636"/>
    <x v="6"/>
    <x v="17"/>
    <n v="2.5"/>
    <n v="5"/>
    <s v="USD"/>
    <x v="4"/>
    <s v="EMP0087"/>
    <n v="12.5"/>
    <s v="Mon"/>
    <x v="2"/>
    <x v="2"/>
  </r>
  <r>
    <x v="639"/>
    <d v="2023-08-07T23:39:03"/>
    <x v="637"/>
    <x v="7"/>
    <x v="19"/>
    <n v="5.5"/>
    <n v="1"/>
    <s v="USD"/>
    <x v="3"/>
    <s v="EMP0018"/>
    <n v="5.5"/>
    <s v="Mon"/>
    <x v="6"/>
    <x v="4"/>
  </r>
  <r>
    <x v="640"/>
    <d v="2021-08-19T17:16:03"/>
    <x v="638"/>
    <x v="5"/>
    <x v="7"/>
    <n v="2.8"/>
    <n v="8"/>
    <s v="USD"/>
    <x v="1"/>
    <s v="EMP0035"/>
    <n v="22.4"/>
    <s v="Thu"/>
    <x v="6"/>
    <x v="0"/>
  </r>
  <r>
    <x v="641"/>
    <d v="2024-10-31T01:34:03"/>
    <x v="639"/>
    <x v="5"/>
    <x v="13"/>
    <n v="0.8"/>
    <n v="2"/>
    <s v="USD"/>
    <x v="5"/>
    <s v="EMP0052"/>
    <n v="1.6"/>
    <s v="Thu"/>
    <x v="0"/>
    <x v="1"/>
  </r>
  <r>
    <x v="642"/>
    <d v="2022-10-18T04:33:03"/>
    <x v="640"/>
    <x v="8"/>
    <x v="15"/>
    <n v="1.5"/>
    <n v="7"/>
    <s v="USD"/>
    <x v="2"/>
    <s v="EMP0022"/>
    <n v="10.5"/>
    <s v="Tue"/>
    <x v="0"/>
    <x v="3"/>
  </r>
  <r>
    <x v="643"/>
    <d v="2024-09-20T08:42:03"/>
    <x v="641"/>
    <x v="0"/>
    <x v="17"/>
    <n v="2.5"/>
    <n v="3"/>
    <s v="USD"/>
    <x v="3"/>
    <s v="EMP0054"/>
    <n v="7.5"/>
    <s v="Fri"/>
    <x v="9"/>
    <x v="1"/>
  </r>
  <r>
    <x v="644"/>
    <d v="2022-01-15T21:35:03"/>
    <x v="642"/>
    <x v="12"/>
    <x v="10"/>
    <n v="5"/>
    <n v="3"/>
    <s v="USD"/>
    <x v="1"/>
    <s v="EMP0049"/>
    <n v="15"/>
    <s v="Sat"/>
    <x v="2"/>
    <x v="3"/>
  </r>
  <r>
    <x v="645"/>
    <d v="2023-05-05T18:25:03"/>
    <x v="643"/>
    <x v="4"/>
    <x v="14"/>
    <n v="2.2000000000000002"/>
    <n v="8"/>
    <s v="USD"/>
    <x v="5"/>
    <s v="EMP0015"/>
    <n v="17.600000000000001"/>
    <s v="Fri"/>
    <x v="5"/>
    <x v="4"/>
  </r>
  <r>
    <x v="646"/>
    <d v="2023-01-17T23:24:03"/>
    <x v="644"/>
    <x v="7"/>
    <x v="0"/>
    <n v="3.1"/>
    <n v="6"/>
    <s v="USD"/>
    <x v="3"/>
    <s v="EMP0091"/>
    <n v="18.600000000000001"/>
    <s v="Tue"/>
    <x v="2"/>
    <x v="4"/>
  </r>
  <r>
    <x v="647"/>
    <d v="2021-07-20T20:37:03"/>
    <x v="645"/>
    <x v="0"/>
    <x v="16"/>
    <n v="4"/>
    <n v="10"/>
    <s v="USD"/>
    <x v="0"/>
    <s v="EMP0086"/>
    <n v="40"/>
    <s v="Tue"/>
    <x v="8"/>
    <x v="0"/>
  </r>
  <r>
    <x v="648"/>
    <d v="2023-06-16T20:53:03"/>
    <x v="646"/>
    <x v="0"/>
    <x v="5"/>
    <n v="1"/>
    <n v="2"/>
    <s v="USD"/>
    <x v="5"/>
    <s v="EMP0085"/>
    <n v="2"/>
    <s v="Fri"/>
    <x v="3"/>
    <x v="4"/>
  </r>
  <r>
    <x v="649"/>
    <d v="2023-12-16T22:04:03"/>
    <x v="647"/>
    <x v="3"/>
    <x v="6"/>
    <n v="7"/>
    <n v="3"/>
    <s v="USD"/>
    <x v="1"/>
    <s v="EMP0079"/>
    <n v="21"/>
    <s v="Sat"/>
    <x v="4"/>
    <x v="4"/>
  </r>
  <r>
    <x v="650"/>
    <d v="2025-01-18T12:45:03"/>
    <x v="648"/>
    <x v="1"/>
    <x v="13"/>
    <n v="0.8"/>
    <n v="9"/>
    <s v="USD"/>
    <x v="5"/>
    <s v="EMP0064"/>
    <n v="7.2"/>
    <s v="Sat"/>
    <x v="2"/>
    <x v="2"/>
  </r>
  <r>
    <x v="651"/>
    <d v="2024-06-05T10:38:03"/>
    <x v="649"/>
    <x v="10"/>
    <x v="4"/>
    <n v="3.2"/>
    <n v="4"/>
    <s v="USD"/>
    <x v="4"/>
    <s v="EMP0036"/>
    <n v="12.8"/>
    <s v="Wed"/>
    <x v="3"/>
    <x v="1"/>
  </r>
  <r>
    <x v="652"/>
    <d v="2025-01-25T21:12:03"/>
    <x v="650"/>
    <x v="9"/>
    <x v="6"/>
    <n v="7"/>
    <n v="7"/>
    <s v="USD"/>
    <x v="0"/>
    <s v="EMP0011"/>
    <n v="49"/>
    <s v="Sat"/>
    <x v="2"/>
    <x v="2"/>
  </r>
  <r>
    <x v="653"/>
    <d v="2022-10-11T22:35:03"/>
    <x v="651"/>
    <x v="12"/>
    <x v="10"/>
    <n v="5"/>
    <n v="2"/>
    <s v="USD"/>
    <x v="5"/>
    <s v="EMP0058"/>
    <n v="10"/>
    <s v="Tue"/>
    <x v="0"/>
    <x v="3"/>
  </r>
  <r>
    <x v="654"/>
    <d v="2023-08-01T09:55:03"/>
    <x v="652"/>
    <x v="0"/>
    <x v="3"/>
    <n v="1.2"/>
    <n v="2"/>
    <s v="USD"/>
    <x v="5"/>
    <s v="EMP0053"/>
    <n v="2.4"/>
    <s v="Tue"/>
    <x v="6"/>
    <x v="4"/>
  </r>
  <r>
    <x v="655"/>
    <d v="2025-02-24T19:51:03"/>
    <x v="653"/>
    <x v="13"/>
    <x v="9"/>
    <n v="3"/>
    <n v="10"/>
    <s v="USD"/>
    <x v="1"/>
    <s v="EMP0082"/>
    <n v="30"/>
    <s v="Mon"/>
    <x v="7"/>
    <x v="2"/>
  </r>
  <r>
    <x v="656"/>
    <d v="2023-08-24T20:51:03"/>
    <x v="654"/>
    <x v="2"/>
    <x v="10"/>
    <n v="5"/>
    <n v="6"/>
    <s v="USD"/>
    <x v="4"/>
    <s v="EMP0007"/>
    <n v="30"/>
    <s v="Thu"/>
    <x v="6"/>
    <x v="4"/>
  </r>
  <r>
    <x v="657"/>
    <d v="2024-02-07T23:05:03"/>
    <x v="655"/>
    <x v="9"/>
    <x v="5"/>
    <n v="1"/>
    <n v="10"/>
    <s v="USD"/>
    <x v="5"/>
    <s v="EMP0092"/>
    <n v="10"/>
    <s v="Wed"/>
    <x v="7"/>
    <x v="1"/>
  </r>
  <r>
    <x v="658"/>
    <d v="2021-09-02T01:41:03"/>
    <x v="656"/>
    <x v="10"/>
    <x v="19"/>
    <n v="5.5"/>
    <n v="2"/>
    <s v="USD"/>
    <x v="2"/>
    <s v="EMP0029"/>
    <n v="11"/>
    <s v="Thu"/>
    <x v="9"/>
    <x v="0"/>
  </r>
  <r>
    <x v="659"/>
    <d v="2025-05-05T03:04:03"/>
    <x v="657"/>
    <x v="4"/>
    <x v="8"/>
    <n v="4.5"/>
    <n v="9"/>
    <s v="USD"/>
    <x v="1"/>
    <s v="EMP0048"/>
    <n v="40.5"/>
    <s v="Mon"/>
    <x v="5"/>
    <x v="2"/>
  </r>
  <r>
    <x v="660"/>
    <d v="2021-06-02T10:24:03"/>
    <x v="658"/>
    <x v="1"/>
    <x v="13"/>
    <n v="0.8"/>
    <n v="8"/>
    <s v="USD"/>
    <x v="0"/>
    <s v="EMP0092"/>
    <n v="6.4"/>
    <s v="Wed"/>
    <x v="3"/>
    <x v="0"/>
  </r>
  <r>
    <x v="661"/>
    <d v="2023-01-22T10:10:03"/>
    <x v="659"/>
    <x v="12"/>
    <x v="11"/>
    <n v="4"/>
    <n v="4"/>
    <s v="USD"/>
    <x v="3"/>
    <s v="EMP0051"/>
    <n v="16"/>
    <s v="Sun"/>
    <x v="2"/>
    <x v="4"/>
  </r>
  <r>
    <x v="662"/>
    <d v="2024-02-22T22:34:03"/>
    <x v="660"/>
    <x v="14"/>
    <x v="11"/>
    <n v="4"/>
    <n v="6"/>
    <s v="USD"/>
    <x v="3"/>
    <s v="EMP0097"/>
    <n v="24"/>
    <s v="Thu"/>
    <x v="7"/>
    <x v="1"/>
  </r>
  <r>
    <x v="663"/>
    <d v="2023-01-12T11:27:03"/>
    <x v="661"/>
    <x v="3"/>
    <x v="16"/>
    <n v="4"/>
    <n v="2"/>
    <s v="USD"/>
    <x v="5"/>
    <s v="EMP0059"/>
    <n v="8"/>
    <s v="Thu"/>
    <x v="2"/>
    <x v="4"/>
  </r>
  <r>
    <x v="664"/>
    <d v="2021-08-29T18:54:03"/>
    <x v="662"/>
    <x v="6"/>
    <x v="15"/>
    <n v="1.5"/>
    <n v="1"/>
    <s v="USD"/>
    <x v="1"/>
    <s v="EMP0095"/>
    <n v="1.5"/>
    <s v="Sun"/>
    <x v="6"/>
    <x v="0"/>
  </r>
  <r>
    <x v="665"/>
    <d v="2025-01-29T19:27:03"/>
    <x v="663"/>
    <x v="8"/>
    <x v="16"/>
    <n v="4"/>
    <n v="8"/>
    <s v="USD"/>
    <x v="1"/>
    <s v="EMP0100"/>
    <n v="32"/>
    <s v="Wed"/>
    <x v="2"/>
    <x v="2"/>
  </r>
  <r>
    <x v="666"/>
    <d v="2024-05-11T14:49:03"/>
    <x v="664"/>
    <x v="6"/>
    <x v="14"/>
    <n v="2.2000000000000002"/>
    <n v="2"/>
    <s v="USD"/>
    <x v="5"/>
    <s v="EMP0085"/>
    <n v="4.4000000000000004"/>
    <s v="Sat"/>
    <x v="5"/>
    <x v="1"/>
  </r>
  <r>
    <x v="667"/>
    <d v="2021-12-26T17:30:03"/>
    <x v="665"/>
    <x v="5"/>
    <x v="12"/>
    <n v="1.8"/>
    <n v="7"/>
    <s v="USD"/>
    <x v="5"/>
    <s v="EMP0078"/>
    <n v="12.6"/>
    <s v="Sun"/>
    <x v="4"/>
    <x v="0"/>
  </r>
  <r>
    <x v="668"/>
    <d v="2021-06-21T06:09:03"/>
    <x v="666"/>
    <x v="8"/>
    <x v="4"/>
    <n v="3.2"/>
    <n v="5"/>
    <s v="USD"/>
    <x v="5"/>
    <s v="EMP0018"/>
    <n v="16"/>
    <s v="Mon"/>
    <x v="3"/>
    <x v="0"/>
  </r>
  <r>
    <x v="669"/>
    <d v="2024-07-30T23:48:03"/>
    <x v="667"/>
    <x v="0"/>
    <x v="12"/>
    <n v="1.8"/>
    <n v="5"/>
    <s v="USD"/>
    <x v="2"/>
    <s v="EMP0071"/>
    <n v="9"/>
    <s v="Tue"/>
    <x v="8"/>
    <x v="1"/>
  </r>
  <r>
    <x v="670"/>
    <d v="2023-08-05T14:39:03"/>
    <x v="668"/>
    <x v="1"/>
    <x v="1"/>
    <n v="1"/>
    <n v="4"/>
    <s v="USD"/>
    <x v="0"/>
    <s v="EMP0027"/>
    <n v="4"/>
    <s v="Sat"/>
    <x v="6"/>
    <x v="4"/>
  </r>
  <r>
    <x v="671"/>
    <d v="2021-11-07T15:08:03"/>
    <x v="669"/>
    <x v="3"/>
    <x v="7"/>
    <n v="2.8"/>
    <n v="3"/>
    <s v="USD"/>
    <x v="2"/>
    <s v="EMP0084"/>
    <n v="8.3999999999999986"/>
    <s v="Sun"/>
    <x v="10"/>
    <x v="0"/>
  </r>
  <r>
    <x v="672"/>
    <d v="2024-05-09T20:52:03"/>
    <x v="670"/>
    <x v="0"/>
    <x v="4"/>
    <n v="3.2"/>
    <n v="2"/>
    <s v="USD"/>
    <x v="4"/>
    <s v="EMP0072"/>
    <n v="6.4"/>
    <s v="Thu"/>
    <x v="5"/>
    <x v="1"/>
  </r>
  <r>
    <x v="673"/>
    <d v="2022-08-29T18:50:03"/>
    <x v="671"/>
    <x v="3"/>
    <x v="18"/>
    <n v="1.7"/>
    <n v="9"/>
    <s v="USD"/>
    <x v="4"/>
    <s v="EMP0055"/>
    <n v="15.299999999999999"/>
    <s v="Mon"/>
    <x v="6"/>
    <x v="3"/>
  </r>
  <r>
    <x v="674"/>
    <d v="2025-04-12T21:20:03"/>
    <x v="672"/>
    <x v="13"/>
    <x v="6"/>
    <n v="7"/>
    <n v="3"/>
    <s v="USD"/>
    <x v="3"/>
    <s v="EMP0086"/>
    <n v="21"/>
    <s v="Sat"/>
    <x v="11"/>
    <x v="2"/>
  </r>
  <r>
    <x v="675"/>
    <d v="2025-01-14T07:09:03"/>
    <x v="673"/>
    <x v="14"/>
    <x v="13"/>
    <n v="0.8"/>
    <n v="5"/>
    <s v="USD"/>
    <x v="2"/>
    <s v="EMP0033"/>
    <n v="4"/>
    <s v="Tue"/>
    <x v="2"/>
    <x v="2"/>
  </r>
  <r>
    <x v="676"/>
    <d v="2024-07-14T11:42:03"/>
    <x v="674"/>
    <x v="14"/>
    <x v="8"/>
    <n v="4.5"/>
    <n v="4"/>
    <s v="USD"/>
    <x v="1"/>
    <s v="EMP0005"/>
    <n v="18"/>
    <s v="Sun"/>
    <x v="8"/>
    <x v="1"/>
  </r>
  <r>
    <x v="677"/>
    <d v="2023-05-05T23:20:03"/>
    <x v="675"/>
    <x v="12"/>
    <x v="1"/>
    <n v="1"/>
    <n v="4"/>
    <s v="USD"/>
    <x v="2"/>
    <s v="EMP0083"/>
    <n v="4"/>
    <s v="Fri"/>
    <x v="5"/>
    <x v="4"/>
  </r>
  <r>
    <x v="678"/>
    <d v="2022-03-17T01:11:03"/>
    <x v="676"/>
    <x v="9"/>
    <x v="8"/>
    <n v="4.5"/>
    <n v="1"/>
    <s v="USD"/>
    <x v="5"/>
    <s v="EMP0050"/>
    <n v="4.5"/>
    <s v="Thu"/>
    <x v="1"/>
    <x v="3"/>
  </r>
  <r>
    <x v="679"/>
    <d v="2023-01-06T16:06:03"/>
    <x v="677"/>
    <x v="9"/>
    <x v="17"/>
    <n v="2.5"/>
    <n v="1"/>
    <s v="USD"/>
    <x v="2"/>
    <s v="EMP0033"/>
    <n v="2.5"/>
    <s v="Fri"/>
    <x v="2"/>
    <x v="4"/>
  </r>
  <r>
    <x v="680"/>
    <d v="2024-03-19T17:31:03"/>
    <x v="678"/>
    <x v="14"/>
    <x v="10"/>
    <n v="5"/>
    <n v="4"/>
    <s v="USD"/>
    <x v="2"/>
    <s v="EMP0091"/>
    <n v="20"/>
    <s v="Tue"/>
    <x v="1"/>
    <x v="1"/>
  </r>
  <r>
    <x v="681"/>
    <d v="2021-05-16T17:03:03"/>
    <x v="679"/>
    <x v="14"/>
    <x v="16"/>
    <n v="4"/>
    <n v="9"/>
    <s v="USD"/>
    <x v="2"/>
    <s v="EMP0078"/>
    <n v="36"/>
    <s v="Sun"/>
    <x v="5"/>
    <x v="0"/>
  </r>
  <r>
    <x v="682"/>
    <d v="2024-04-01T14:14:03"/>
    <x v="680"/>
    <x v="11"/>
    <x v="10"/>
    <n v="5"/>
    <n v="3"/>
    <s v="USD"/>
    <x v="2"/>
    <s v="EMP0010"/>
    <n v="15"/>
    <s v="Mon"/>
    <x v="11"/>
    <x v="1"/>
  </r>
  <r>
    <x v="683"/>
    <d v="2024-04-22T07:39:03"/>
    <x v="681"/>
    <x v="9"/>
    <x v="19"/>
    <n v="5.5"/>
    <n v="7"/>
    <s v="USD"/>
    <x v="3"/>
    <s v="EMP0055"/>
    <n v="38.5"/>
    <s v="Mon"/>
    <x v="11"/>
    <x v="1"/>
  </r>
  <r>
    <x v="684"/>
    <d v="2023-10-15T20:10:03"/>
    <x v="682"/>
    <x v="6"/>
    <x v="13"/>
    <n v="0.8"/>
    <n v="10"/>
    <s v="USD"/>
    <x v="4"/>
    <s v="EMP0001"/>
    <n v="8"/>
    <s v="Sun"/>
    <x v="0"/>
    <x v="4"/>
  </r>
  <r>
    <x v="685"/>
    <d v="2023-07-02T22:41:03"/>
    <x v="683"/>
    <x v="1"/>
    <x v="14"/>
    <n v="2.2000000000000002"/>
    <n v="1"/>
    <s v="USD"/>
    <x v="0"/>
    <s v="EMP0042"/>
    <n v="2.2000000000000002"/>
    <s v="Sun"/>
    <x v="8"/>
    <x v="4"/>
  </r>
  <r>
    <x v="686"/>
    <d v="2022-01-03T11:37:03"/>
    <x v="684"/>
    <x v="1"/>
    <x v="5"/>
    <n v="1"/>
    <n v="5"/>
    <s v="USD"/>
    <x v="5"/>
    <s v="EMP0074"/>
    <n v="5"/>
    <s v="Mon"/>
    <x v="2"/>
    <x v="3"/>
  </r>
  <r>
    <x v="687"/>
    <d v="2022-04-09T02:22:03"/>
    <x v="685"/>
    <x v="14"/>
    <x v="4"/>
    <n v="3.2"/>
    <n v="9"/>
    <s v="USD"/>
    <x v="0"/>
    <s v="EMP0024"/>
    <n v="28.8"/>
    <s v="Sat"/>
    <x v="11"/>
    <x v="3"/>
  </r>
  <r>
    <x v="688"/>
    <d v="2022-06-08T10:36:03"/>
    <x v="686"/>
    <x v="9"/>
    <x v="13"/>
    <n v="0.8"/>
    <n v="7"/>
    <s v="USD"/>
    <x v="1"/>
    <s v="EMP0069"/>
    <n v="5.6000000000000005"/>
    <s v="Wed"/>
    <x v="3"/>
    <x v="3"/>
  </r>
  <r>
    <x v="689"/>
    <d v="2023-02-03T11:04:03"/>
    <x v="687"/>
    <x v="2"/>
    <x v="11"/>
    <n v="4"/>
    <n v="6"/>
    <s v="USD"/>
    <x v="4"/>
    <s v="EMP0047"/>
    <n v="24"/>
    <s v="Fri"/>
    <x v="7"/>
    <x v="4"/>
  </r>
  <r>
    <x v="690"/>
    <d v="2023-09-16T06:38:03"/>
    <x v="688"/>
    <x v="12"/>
    <x v="12"/>
    <n v="1.8"/>
    <n v="8"/>
    <s v="USD"/>
    <x v="1"/>
    <s v="EMP0097"/>
    <n v="14.4"/>
    <s v="Sat"/>
    <x v="9"/>
    <x v="4"/>
  </r>
  <r>
    <x v="691"/>
    <d v="2021-09-18T13:19:03"/>
    <x v="689"/>
    <x v="3"/>
    <x v="7"/>
    <n v="2.8"/>
    <n v="8"/>
    <s v="USD"/>
    <x v="0"/>
    <s v="EMP0083"/>
    <n v="22.4"/>
    <s v="Sat"/>
    <x v="9"/>
    <x v="0"/>
  </r>
  <r>
    <x v="692"/>
    <d v="2021-11-29T18:11:03"/>
    <x v="690"/>
    <x v="13"/>
    <x v="4"/>
    <n v="3.2"/>
    <n v="7"/>
    <s v="USD"/>
    <x v="3"/>
    <s v="EMP0050"/>
    <n v="22.400000000000002"/>
    <s v="Mon"/>
    <x v="10"/>
    <x v="0"/>
  </r>
  <r>
    <x v="693"/>
    <d v="2023-11-30T19:40:03"/>
    <x v="691"/>
    <x v="11"/>
    <x v="3"/>
    <n v="1.2"/>
    <n v="9"/>
    <s v="USD"/>
    <x v="4"/>
    <s v="EMP0066"/>
    <n v="10.799999999999999"/>
    <s v="Thu"/>
    <x v="10"/>
    <x v="4"/>
  </r>
  <r>
    <x v="694"/>
    <d v="2022-07-02T22:55:03"/>
    <x v="692"/>
    <x v="13"/>
    <x v="8"/>
    <n v="4.5"/>
    <n v="4"/>
    <s v="USD"/>
    <x v="4"/>
    <s v="EMP0066"/>
    <n v="18"/>
    <s v="Sat"/>
    <x v="8"/>
    <x v="3"/>
  </r>
  <r>
    <x v="695"/>
    <d v="2024-11-22T10:16:03"/>
    <x v="693"/>
    <x v="14"/>
    <x v="1"/>
    <n v="1"/>
    <n v="9"/>
    <s v="USD"/>
    <x v="3"/>
    <s v="EMP0081"/>
    <n v="9"/>
    <s v="Fri"/>
    <x v="10"/>
    <x v="1"/>
  </r>
  <r>
    <x v="696"/>
    <d v="2024-12-26T06:44:03"/>
    <x v="694"/>
    <x v="3"/>
    <x v="11"/>
    <n v="4"/>
    <n v="7"/>
    <s v="USD"/>
    <x v="3"/>
    <s v="EMP0027"/>
    <n v="28"/>
    <s v="Thu"/>
    <x v="4"/>
    <x v="1"/>
  </r>
  <r>
    <x v="697"/>
    <d v="2022-05-03T14:30:03"/>
    <x v="695"/>
    <x v="0"/>
    <x v="18"/>
    <n v="1.7"/>
    <n v="2"/>
    <s v="USD"/>
    <x v="2"/>
    <s v="EMP0088"/>
    <n v="3.4"/>
    <s v="Tue"/>
    <x v="5"/>
    <x v="3"/>
  </r>
  <r>
    <x v="698"/>
    <d v="2024-06-29T12:57:03"/>
    <x v="696"/>
    <x v="0"/>
    <x v="4"/>
    <n v="3.2"/>
    <n v="1"/>
    <s v="USD"/>
    <x v="3"/>
    <s v="EMP0010"/>
    <n v="3.2"/>
    <s v="Sat"/>
    <x v="3"/>
    <x v="1"/>
  </r>
  <r>
    <x v="699"/>
    <d v="2025-01-18T07:36:03"/>
    <x v="697"/>
    <x v="11"/>
    <x v="1"/>
    <n v="1"/>
    <n v="2"/>
    <s v="USD"/>
    <x v="1"/>
    <s v="EMP0030"/>
    <n v="2"/>
    <s v="Sat"/>
    <x v="2"/>
    <x v="2"/>
  </r>
  <r>
    <x v="700"/>
    <d v="2023-11-27T00:02:03"/>
    <x v="698"/>
    <x v="10"/>
    <x v="6"/>
    <n v="7"/>
    <n v="7"/>
    <s v="USD"/>
    <x v="4"/>
    <s v="EMP0003"/>
    <n v="49"/>
    <s v="Mon"/>
    <x v="10"/>
    <x v="4"/>
  </r>
  <r>
    <x v="701"/>
    <d v="2023-03-03T16:19:03"/>
    <x v="699"/>
    <x v="9"/>
    <x v="3"/>
    <n v="1.2"/>
    <n v="10"/>
    <s v="USD"/>
    <x v="3"/>
    <s v="EMP0097"/>
    <n v="12"/>
    <s v="Fri"/>
    <x v="1"/>
    <x v="4"/>
  </r>
  <r>
    <x v="702"/>
    <d v="2022-01-26T11:42:03"/>
    <x v="700"/>
    <x v="4"/>
    <x v="9"/>
    <n v="3"/>
    <n v="6"/>
    <s v="USD"/>
    <x v="1"/>
    <s v="EMP0014"/>
    <n v="18"/>
    <s v="Wed"/>
    <x v="2"/>
    <x v="3"/>
  </r>
  <r>
    <x v="703"/>
    <d v="2023-09-23T16:07:03"/>
    <x v="701"/>
    <x v="12"/>
    <x v="9"/>
    <n v="3"/>
    <n v="5"/>
    <s v="USD"/>
    <x v="5"/>
    <s v="EMP0049"/>
    <n v="15"/>
    <s v="Sat"/>
    <x v="9"/>
    <x v="4"/>
  </r>
  <r>
    <x v="704"/>
    <d v="2023-02-19T16:25:03"/>
    <x v="702"/>
    <x v="10"/>
    <x v="13"/>
    <n v="0.8"/>
    <n v="9"/>
    <s v="USD"/>
    <x v="0"/>
    <s v="EMP0018"/>
    <n v="7.2"/>
    <s v="Sun"/>
    <x v="7"/>
    <x v="4"/>
  </r>
  <r>
    <x v="705"/>
    <d v="2023-02-28T20:08:03"/>
    <x v="703"/>
    <x v="3"/>
    <x v="14"/>
    <n v="2.2000000000000002"/>
    <n v="5"/>
    <s v="USD"/>
    <x v="2"/>
    <s v="EMP0094"/>
    <n v="11"/>
    <s v="Tue"/>
    <x v="7"/>
    <x v="4"/>
  </r>
  <r>
    <x v="706"/>
    <d v="2021-09-21T02:26:03"/>
    <x v="704"/>
    <x v="9"/>
    <x v="1"/>
    <n v="1"/>
    <n v="3"/>
    <s v="USD"/>
    <x v="3"/>
    <s v="EMP0006"/>
    <n v="3"/>
    <s v="Tue"/>
    <x v="9"/>
    <x v="0"/>
  </r>
  <r>
    <x v="707"/>
    <d v="2025-04-28T18:48:03"/>
    <x v="705"/>
    <x v="8"/>
    <x v="1"/>
    <n v="1"/>
    <n v="9"/>
    <s v="USD"/>
    <x v="3"/>
    <s v="EMP0040"/>
    <n v="9"/>
    <s v="Mon"/>
    <x v="11"/>
    <x v="2"/>
  </r>
  <r>
    <x v="708"/>
    <d v="2024-03-04T13:39:03"/>
    <x v="706"/>
    <x v="1"/>
    <x v="7"/>
    <n v="2.8"/>
    <n v="4"/>
    <s v="USD"/>
    <x v="5"/>
    <s v="EMP0083"/>
    <n v="11.2"/>
    <s v="Mon"/>
    <x v="1"/>
    <x v="1"/>
  </r>
  <r>
    <x v="709"/>
    <d v="2022-06-25T09:16:03"/>
    <x v="707"/>
    <x v="6"/>
    <x v="2"/>
    <n v="2.5"/>
    <n v="10"/>
    <s v="USD"/>
    <x v="4"/>
    <s v="EMP0025"/>
    <n v="25"/>
    <s v="Sat"/>
    <x v="3"/>
    <x v="3"/>
  </r>
  <r>
    <x v="710"/>
    <d v="2024-09-17T07:44:03"/>
    <x v="708"/>
    <x v="14"/>
    <x v="16"/>
    <n v="4"/>
    <n v="1"/>
    <s v="USD"/>
    <x v="1"/>
    <s v="EMP0060"/>
    <n v="4"/>
    <s v="Tue"/>
    <x v="9"/>
    <x v="1"/>
  </r>
  <r>
    <x v="711"/>
    <d v="2021-09-26T20:22:03"/>
    <x v="709"/>
    <x v="11"/>
    <x v="9"/>
    <n v="3"/>
    <n v="5"/>
    <s v="USD"/>
    <x v="3"/>
    <s v="EMP0026"/>
    <n v="15"/>
    <s v="Sun"/>
    <x v="9"/>
    <x v="0"/>
  </r>
  <r>
    <x v="712"/>
    <d v="2022-02-04T22:05:03"/>
    <x v="710"/>
    <x v="5"/>
    <x v="14"/>
    <n v="2.2000000000000002"/>
    <n v="4"/>
    <s v="USD"/>
    <x v="3"/>
    <s v="EMP0037"/>
    <n v="8.8000000000000007"/>
    <s v="Fri"/>
    <x v="7"/>
    <x v="3"/>
  </r>
  <r>
    <x v="713"/>
    <d v="2021-11-18T10:29:03"/>
    <x v="711"/>
    <x v="2"/>
    <x v="4"/>
    <n v="3.2"/>
    <n v="8"/>
    <s v="USD"/>
    <x v="5"/>
    <s v="EMP0043"/>
    <n v="25.6"/>
    <s v="Thu"/>
    <x v="10"/>
    <x v="0"/>
  </r>
  <r>
    <x v="714"/>
    <d v="2021-11-23T16:07:03"/>
    <x v="712"/>
    <x v="0"/>
    <x v="16"/>
    <n v="4"/>
    <n v="3"/>
    <s v="USD"/>
    <x v="1"/>
    <s v="EMP0073"/>
    <n v="12"/>
    <s v="Tue"/>
    <x v="10"/>
    <x v="0"/>
  </r>
  <r>
    <x v="715"/>
    <d v="2023-04-24T02:59:03"/>
    <x v="713"/>
    <x v="6"/>
    <x v="3"/>
    <n v="1.2"/>
    <n v="6"/>
    <s v="USD"/>
    <x v="0"/>
    <s v="EMP0029"/>
    <n v="7.1999999999999993"/>
    <s v="Mon"/>
    <x v="11"/>
    <x v="4"/>
  </r>
  <r>
    <x v="716"/>
    <d v="2021-05-11T13:45:03"/>
    <x v="714"/>
    <x v="8"/>
    <x v="0"/>
    <n v="3.1"/>
    <n v="6"/>
    <s v="USD"/>
    <x v="0"/>
    <s v="EMP0087"/>
    <n v="18.600000000000001"/>
    <s v="Tue"/>
    <x v="5"/>
    <x v="0"/>
  </r>
  <r>
    <x v="717"/>
    <d v="2023-06-29T21:57:03"/>
    <x v="715"/>
    <x v="10"/>
    <x v="7"/>
    <n v="2.8"/>
    <n v="5"/>
    <s v="USD"/>
    <x v="5"/>
    <s v="EMP0071"/>
    <n v="14"/>
    <s v="Thu"/>
    <x v="3"/>
    <x v="4"/>
  </r>
  <r>
    <x v="718"/>
    <d v="2024-09-29T07:45:03"/>
    <x v="716"/>
    <x v="12"/>
    <x v="9"/>
    <n v="3"/>
    <n v="5"/>
    <s v="USD"/>
    <x v="0"/>
    <s v="EMP0069"/>
    <n v="15"/>
    <s v="Sun"/>
    <x v="9"/>
    <x v="1"/>
  </r>
  <r>
    <x v="719"/>
    <d v="2024-04-02T04:40:03"/>
    <x v="717"/>
    <x v="1"/>
    <x v="9"/>
    <n v="3"/>
    <n v="2"/>
    <s v="USD"/>
    <x v="3"/>
    <s v="EMP0065"/>
    <n v="6"/>
    <s v="Tue"/>
    <x v="11"/>
    <x v="1"/>
  </r>
  <r>
    <x v="720"/>
    <d v="2021-10-24T12:34:03"/>
    <x v="718"/>
    <x v="12"/>
    <x v="16"/>
    <n v="4"/>
    <n v="7"/>
    <s v="USD"/>
    <x v="1"/>
    <s v="EMP0028"/>
    <n v="28"/>
    <s v="Sun"/>
    <x v="0"/>
    <x v="0"/>
  </r>
  <r>
    <x v="721"/>
    <d v="2025-02-22T20:10:03"/>
    <x v="719"/>
    <x v="9"/>
    <x v="1"/>
    <n v="1"/>
    <n v="8"/>
    <s v="USD"/>
    <x v="2"/>
    <s v="EMP0100"/>
    <n v="8"/>
    <s v="Sat"/>
    <x v="7"/>
    <x v="2"/>
  </r>
  <r>
    <x v="722"/>
    <d v="2024-07-09T02:01:03"/>
    <x v="720"/>
    <x v="2"/>
    <x v="16"/>
    <n v="4"/>
    <n v="5"/>
    <s v="USD"/>
    <x v="0"/>
    <s v="EMP0060"/>
    <n v="20"/>
    <s v="Tue"/>
    <x v="8"/>
    <x v="1"/>
  </r>
  <r>
    <x v="723"/>
    <d v="2022-07-17T21:21:03"/>
    <x v="721"/>
    <x v="8"/>
    <x v="7"/>
    <n v="2.8"/>
    <n v="9"/>
    <s v="USD"/>
    <x v="3"/>
    <s v="EMP0085"/>
    <n v="25.2"/>
    <s v="Sun"/>
    <x v="8"/>
    <x v="3"/>
  </r>
  <r>
    <x v="724"/>
    <d v="2024-01-05T17:43:03"/>
    <x v="722"/>
    <x v="6"/>
    <x v="12"/>
    <n v="1.8"/>
    <n v="3"/>
    <s v="USD"/>
    <x v="5"/>
    <s v="EMP0021"/>
    <n v="5.4"/>
    <s v="Fri"/>
    <x v="2"/>
    <x v="1"/>
  </r>
  <r>
    <x v="725"/>
    <d v="2024-05-07T18:50:03"/>
    <x v="723"/>
    <x v="3"/>
    <x v="14"/>
    <n v="2.2000000000000002"/>
    <n v="8"/>
    <s v="USD"/>
    <x v="4"/>
    <s v="EMP0006"/>
    <n v="17.600000000000001"/>
    <s v="Tue"/>
    <x v="5"/>
    <x v="1"/>
  </r>
  <r>
    <x v="726"/>
    <d v="2024-02-15T22:12:03"/>
    <x v="724"/>
    <x v="7"/>
    <x v="0"/>
    <n v="3.1"/>
    <n v="6"/>
    <s v="USD"/>
    <x v="0"/>
    <s v="EMP0006"/>
    <n v="18.600000000000001"/>
    <s v="Thu"/>
    <x v="7"/>
    <x v="1"/>
  </r>
  <r>
    <x v="727"/>
    <d v="2021-08-09T06:53:03"/>
    <x v="725"/>
    <x v="1"/>
    <x v="7"/>
    <n v="2.8"/>
    <n v="7"/>
    <s v="USD"/>
    <x v="5"/>
    <s v="EMP0059"/>
    <n v="19.599999999999998"/>
    <s v="Mon"/>
    <x v="6"/>
    <x v="0"/>
  </r>
  <r>
    <x v="728"/>
    <d v="2025-02-03T11:45:03"/>
    <x v="726"/>
    <x v="5"/>
    <x v="19"/>
    <n v="5.5"/>
    <n v="9"/>
    <s v="USD"/>
    <x v="2"/>
    <s v="EMP0036"/>
    <n v="49.5"/>
    <s v="Mon"/>
    <x v="7"/>
    <x v="2"/>
  </r>
  <r>
    <x v="729"/>
    <d v="2023-11-16T18:52:03"/>
    <x v="727"/>
    <x v="12"/>
    <x v="13"/>
    <n v="0.8"/>
    <n v="7"/>
    <s v="USD"/>
    <x v="2"/>
    <s v="EMP0049"/>
    <n v="5.6000000000000005"/>
    <s v="Thu"/>
    <x v="10"/>
    <x v="4"/>
  </r>
  <r>
    <x v="730"/>
    <d v="2023-04-21T18:45:03"/>
    <x v="728"/>
    <x v="1"/>
    <x v="9"/>
    <n v="3"/>
    <n v="9"/>
    <s v="USD"/>
    <x v="4"/>
    <s v="EMP0049"/>
    <n v="27"/>
    <s v="Fri"/>
    <x v="11"/>
    <x v="4"/>
  </r>
  <r>
    <x v="731"/>
    <d v="2024-02-07T21:01:03"/>
    <x v="729"/>
    <x v="5"/>
    <x v="7"/>
    <n v="2.8"/>
    <n v="8"/>
    <s v="USD"/>
    <x v="5"/>
    <s v="EMP0078"/>
    <n v="22.4"/>
    <s v="Wed"/>
    <x v="7"/>
    <x v="1"/>
  </r>
  <r>
    <x v="732"/>
    <d v="2025-04-25T20:30:03"/>
    <x v="730"/>
    <x v="6"/>
    <x v="10"/>
    <n v="5"/>
    <n v="3"/>
    <s v="USD"/>
    <x v="0"/>
    <s v="EMP0010"/>
    <n v="15"/>
    <s v="Fri"/>
    <x v="11"/>
    <x v="2"/>
  </r>
  <r>
    <x v="733"/>
    <d v="2022-06-20T17:09:03"/>
    <x v="731"/>
    <x v="2"/>
    <x v="14"/>
    <n v="2.2000000000000002"/>
    <n v="3"/>
    <s v="USD"/>
    <x v="0"/>
    <s v="EMP0047"/>
    <n v="6.6000000000000005"/>
    <s v="Mon"/>
    <x v="3"/>
    <x v="3"/>
  </r>
  <r>
    <x v="734"/>
    <d v="2021-12-23T14:34:03"/>
    <x v="732"/>
    <x v="7"/>
    <x v="2"/>
    <n v="2.5"/>
    <n v="7"/>
    <s v="USD"/>
    <x v="4"/>
    <s v="EMP0093"/>
    <n v="17.5"/>
    <s v="Thu"/>
    <x v="4"/>
    <x v="0"/>
  </r>
  <r>
    <x v="735"/>
    <d v="2024-09-18T21:43:03"/>
    <x v="733"/>
    <x v="10"/>
    <x v="15"/>
    <n v="1.5"/>
    <n v="4"/>
    <s v="USD"/>
    <x v="1"/>
    <s v="EMP0021"/>
    <n v="6"/>
    <s v="Wed"/>
    <x v="9"/>
    <x v="1"/>
  </r>
  <r>
    <x v="736"/>
    <d v="2021-09-22T00:25:03"/>
    <x v="734"/>
    <x v="2"/>
    <x v="17"/>
    <n v="2.5"/>
    <n v="3"/>
    <s v="USD"/>
    <x v="1"/>
    <s v="EMP0076"/>
    <n v="7.5"/>
    <s v="Wed"/>
    <x v="9"/>
    <x v="0"/>
  </r>
  <r>
    <x v="737"/>
    <d v="2024-06-14T08:46:03"/>
    <x v="735"/>
    <x v="9"/>
    <x v="17"/>
    <n v="2.5"/>
    <n v="10"/>
    <s v="USD"/>
    <x v="0"/>
    <s v="EMP0008"/>
    <n v="25"/>
    <s v="Fri"/>
    <x v="3"/>
    <x v="1"/>
  </r>
  <r>
    <x v="738"/>
    <d v="2024-06-03T04:27:03"/>
    <x v="736"/>
    <x v="6"/>
    <x v="12"/>
    <n v="1.8"/>
    <n v="7"/>
    <s v="USD"/>
    <x v="1"/>
    <s v="EMP0073"/>
    <n v="12.6"/>
    <s v="Mon"/>
    <x v="3"/>
    <x v="1"/>
  </r>
  <r>
    <x v="739"/>
    <d v="2021-10-12T12:30:03"/>
    <x v="737"/>
    <x v="0"/>
    <x v="8"/>
    <n v="4.5"/>
    <n v="2"/>
    <s v="USD"/>
    <x v="0"/>
    <s v="EMP0058"/>
    <n v="9"/>
    <s v="Tue"/>
    <x v="0"/>
    <x v="0"/>
  </r>
  <r>
    <x v="740"/>
    <d v="2021-12-13T21:31:03"/>
    <x v="738"/>
    <x v="10"/>
    <x v="13"/>
    <n v="0.8"/>
    <n v="4"/>
    <s v="USD"/>
    <x v="5"/>
    <s v="EMP0077"/>
    <n v="3.2"/>
    <s v="Mon"/>
    <x v="4"/>
    <x v="0"/>
  </r>
  <r>
    <x v="741"/>
    <d v="2024-07-20T18:34:03"/>
    <x v="739"/>
    <x v="14"/>
    <x v="13"/>
    <n v="0.8"/>
    <n v="10"/>
    <s v="USD"/>
    <x v="2"/>
    <s v="EMP0066"/>
    <n v="8"/>
    <s v="Sat"/>
    <x v="8"/>
    <x v="1"/>
  </r>
  <r>
    <x v="742"/>
    <d v="2023-11-15T07:40:03"/>
    <x v="740"/>
    <x v="3"/>
    <x v="4"/>
    <n v="3.2"/>
    <n v="8"/>
    <s v="USD"/>
    <x v="1"/>
    <s v="EMP0076"/>
    <n v="25.6"/>
    <s v="Wed"/>
    <x v="10"/>
    <x v="4"/>
  </r>
  <r>
    <x v="743"/>
    <d v="2024-12-20T06:02:03"/>
    <x v="741"/>
    <x v="8"/>
    <x v="14"/>
    <n v="2.2000000000000002"/>
    <n v="2"/>
    <s v="USD"/>
    <x v="3"/>
    <s v="EMP0026"/>
    <n v="4.4000000000000004"/>
    <s v="Fri"/>
    <x v="4"/>
    <x v="1"/>
  </r>
  <r>
    <x v="744"/>
    <d v="2022-06-03T20:43:03"/>
    <x v="742"/>
    <x v="8"/>
    <x v="14"/>
    <n v="2.2000000000000002"/>
    <n v="10"/>
    <s v="USD"/>
    <x v="3"/>
    <s v="EMP0023"/>
    <n v="22"/>
    <s v="Fri"/>
    <x v="3"/>
    <x v="3"/>
  </r>
  <r>
    <x v="745"/>
    <d v="2022-09-07T17:48:03"/>
    <x v="743"/>
    <x v="13"/>
    <x v="1"/>
    <n v="1"/>
    <n v="9"/>
    <s v="USD"/>
    <x v="3"/>
    <s v="EMP0012"/>
    <n v="9"/>
    <s v="Wed"/>
    <x v="9"/>
    <x v="3"/>
  </r>
  <r>
    <x v="746"/>
    <d v="2022-08-25T16:18:03"/>
    <x v="744"/>
    <x v="1"/>
    <x v="5"/>
    <n v="1"/>
    <n v="9"/>
    <s v="USD"/>
    <x v="3"/>
    <s v="EMP0100"/>
    <n v="9"/>
    <s v="Thu"/>
    <x v="6"/>
    <x v="3"/>
  </r>
  <r>
    <x v="747"/>
    <d v="2021-07-19T16:59:03"/>
    <x v="745"/>
    <x v="9"/>
    <x v="18"/>
    <n v="1.7"/>
    <n v="6"/>
    <s v="USD"/>
    <x v="3"/>
    <s v="EMP0090"/>
    <n v="10.199999999999999"/>
    <s v="Mon"/>
    <x v="8"/>
    <x v="0"/>
  </r>
  <r>
    <x v="748"/>
    <d v="2022-05-20T00:12:03"/>
    <x v="746"/>
    <x v="14"/>
    <x v="15"/>
    <n v="1.5"/>
    <n v="7"/>
    <s v="USD"/>
    <x v="4"/>
    <s v="EMP0076"/>
    <n v="10.5"/>
    <s v="Fri"/>
    <x v="5"/>
    <x v="3"/>
  </r>
  <r>
    <x v="749"/>
    <d v="2021-06-12T19:20:03"/>
    <x v="747"/>
    <x v="8"/>
    <x v="14"/>
    <n v="2.2000000000000002"/>
    <n v="5"/>
    <s v="USD"/>
    <x v="5"/>
    <s v="EMP0099"/>
    <n v="11"/>
    <s v="Sat"/>
    <x v="3"/>
    <x v="0"/>
  </r>
  <r>
    <x v="750"/>
    <d v="2024-01-19T11:08:03"/>
    <x v="748"/>
    <x v="12"/>
    <x v="1"/>
    <n v="1"/>
    <n v="7"/>
    <s v="USD"/>
    <x v="4"/>
    <s v="EMP0025"/>
    <n v="7"/>
    <s v="Fri"/>
    <x v="2"/>
    <x v="1"/>
  </r>
  <r>
    <x v="751"/>
    <d v="2025-04-27T14:39:03"/>
    <x v="749"/>
    <x v="14"/>
    <x v="3"/>
    <n v="1.2"/>
    <n v="10"/>
    <s v="USD"/>
    <x v="1"/>
    <s v="EMP0016"/>
    <n v="12"/>
    <s v="Sun"/>
    <x v="11"/>
    <x v="2"/>
  </r>
  <r>
    <x v="752"/>
    <d v="2022-06-10T13:02:03"/>
    <x v="750"/>
    <x v="3"/>
    <x v="11"/>
    <n v="4"/>
    <n v="6"/>
    <s v="USD"/>
    <x v="5"/>
    <s v="EMP0047"/>
    <n v="24"/>
    <s v="Fri"/>
    <x v="3"/>
    <x v="3"/>
  </r>
  <r>
    <x v="753"/>
    <d v="2024-10-03T08:59:03"/>
    <x v="751"/>
    <x v="3"/>
    <x v="16"/>
    <n v="4"/>
    <n v="5"/>
    <s v="USD"/>
    <x v="4"/>
    <s v="EMP0069"/>
    <n v="20"/>
    <s v="Thu"/>
    <x v="0"/>
    <x v="1"/>
  </r>
  <r>
    <x v="754"/>
    <d v="2022-12-23T19:03:03"/>
    <x v="752"/>
    <x v="12"/>
    <x v="0"/>
    <n v="3.1"/>
    <n v="7"/>
    <s v="USD"/>
    <x v="0"/>
    <s v="EMP0053"/>
    <n v="21.7"/>
    <s v="Fri"/>
    <x v="4"/>
    <x v="3"/>
  </r>
  <r>
    <x v="755"/>
    <d v="2022-04-04T19:56:03"/>
    <x v="753"/>
    <x v="6"/>
    <x v="7"/>
    <n v="2.8"/>
    <n v="9"/>
    <s v="USD"/>
    <x v="1"/>
    <s v="EMP0062"/>
    <n v="25.2"/>
    <s v="Mon"/>
    <x v="11"/>
    <x v="3"/>
  </r>
  <r>
    <x v="756"/>
    <d v="2023-12-07T03:50:03"/>
    <x v="754"/>
    <x v="5"/>
    <x v="6"/>
    <n v="7"/>
    <n v="3"/>
    <s v="USD"/>
    <x v="2"/>
    <s v="EMP0016"/>
    <n v="21"/>
    <s v="Thu"/>
    <x v="4"/>
    <x v="4"/>
  </r>
  <r>
    <x v="757"/>
    <d v="2024-01-24T22:36:03"/>
    <x v="755"/>
    <x v="0"/>
    <x v="13"/>
    <n v="0.8"/>
    <n v="2"/>
    <s v="USD"/>
    <x v="0"/>
    <s v="EMP0066"/>
    <n v="1.6"/>
    <s v="Wed"/>
    <x v="2"/>
    <x v="1"/>
  </r>
  <r>
    <x v="758"/>
    <d v="2023-02-09T02:35:03"/>
    <x v="756"/>
    <x v="9"/>
    <x v="5"/>
    <n v="1"/>
    <n v="1"/>
    <s v="USD"/>
    <x v="0"/>
    <s v="EMP0050"/>
    <n v="1"/>
    <s v="Thu"/>
    <x v="7"/>
    <x v="4"/>
  </r>
  <r>
    <x v="759"/>
    <d v="2021-10-15T12:35:03"/>
    <x v="757"/>
    <x v="7"/>
    <x v="14"/>
    <n v="2.2000000000000002"/>
    <n v="8"/>
    <s v="USD"/>
    <x v="1"/>
    <s v="EMP0056"/>
    <n v="17.600000000000001"/>
    <s v="Fri"/>
    <x v="0"/>
    <x v="0"/>
  </r>
  <r>
    <x v="760"/>
    <d v="2024-11-10T11:10:03"/>
    <x v="758"/>
    <x v="2"/>
    <x v="7"/>
    <n v="2.8"/>
    <n v="2"/>
    <s v="USD"/>
    <x v="1"/>
    <s v="EMP0005"/>
    <n v="5.6"/>
    <s v="Sun"/>
    <x v="10"/>
    <x v="1"/>
  </r>
  <r>
    <x v="761"/>
    <d v="2023-03-14T00:47:03"/>
    <x v="759"/>
    <x v="3"/>
    <x v="12"/>
    <n v="1.8"/>
    <n v="5"/>
    <s v="USD"/>
    <x v="2"/>
    <s v="EMP0077"/>
    <n v="9"/>
    <s v="Tue"/>
    <x v="1"/>
    <x v="4"/>
  </r>
  <r>
    <x v="762"/>
    <d v="2025-01-12T07:46:03"/>
    <x v="760"/>
    <x v="10"/>
    <x v="10"/>
    <n v="5"/>
    <n v="1"/>
    <s v="USD"/>
    <x v="0"/>
    <s v="EMP0085"/>
    <n v="5"/>
    <s v="Sun"/>
    <x v="2"/>
    <x v="2"/>
  </r>
  <r>
    <x v="763"/>
    <d v="2022-06-13T04:14:03"/>
    <x v="98"/>
    <x v="13"/>
    <x v="5"/>
    <n v="1"/>
    <n v="9"/>
    <s v="USD"/>
    <x v="1"/>
    <s v="EMP0090"/>
    <n v="9"/>
    <s v="Mon"/>
    <x v="3"/>
    <x v="3"/>
  </r>
  <r>
    <x v="764"/>
    <d v="2024-01-20T18:16:03"/>
    <x v="761"/>
    <x v="3"/>
    <x v="17"/>
    <n v="2.5"/>
    <n v="6"/>
    <s v="USD"/>
    <x v="0"/>
    <s v="EMP0084"/>
    <n v="15"/>
    <s v="Sat"/>
    <x v="2"/>
    <x v="1"/>
  </r>
  <r>
    <x v="765"/>
    <d v="2025-05-09T08:21:03"/>
    <x v="762"/>
    <x v="11"/>
    <x v="6"/>
    <n v="7"/>
    <n v="6"/>
    <s v="USD"/>
    <x v="2"/>
    <s v="EMP0051"/>
    <n v="42"/>
    <s v="Fri"/>
    <x v="5"/>
    <x v="2"/>
  </r>
  <r>
    <x v="766"/>
    <d v="2023-01-29T19:14:03"/>
    <x v="763"/>
    <x v="9"/>
    <x v="3"/>
    <n v="1.2"/>
    <n v="2"/>
    <s v="USD"/>
    <x v="3"/>
    <s v="EMP0071"/>
    <n v="2.4"/>
    <s v="Sun"/>
    <x v="2"/>
    <x v="4"/>
  </r>
  <r>
    <x v="767"/>
    <d v="2023-10-04T13:33:03"/>
    <x v="764"/>
    <x v="9"/>
    <x v="16"/>
    <n v="4"/>
    <n v="6"/>
    <s v="USD"/>
    <x v="4"/>
    <s v="EMP0036"/>
    <n v="24"/>
    <s v="Wed"/>
    <x v="0"/>
    <x v="4"/>
  </r>
  <r>
    <x v="768"/>
    <d v="2024-01-31T18:14:03"/>
    <x v="765"/>
    <x v="10"/>
    <x v="6"/>
    <n v="7"/>
    <n v="10"/>
    <s v="USD"/>
    <x v="3"/>
    <s v="EMP0034"/>
    <n v="70"/>
    <s v="Wed"/>
    <x v="2"/>
    <x v="1"/>
  </r>
  <r>
    <x v="769"/>
    <d v="2024-05-15T23:54:03"/>
    <x v="766"/>
    <x v="7"/>
    <x v="1"/>
    <n v="1"/>
    <n v="2"/>
    <s v="USD"/>
    <x v="1"/>
    <s v="EMP0038"/>
    <n v="2"/>
    <s v="Wed"/>
    <x v="5"/>
    <x v="1"/>
  </r>
  <r>
    <x v="770"/>
    <d v="2023-06-13T09:35:03"/>
    <x v="767"/>
    <x v="9"/>
    <x v="0"/>
    <n v="3.1"/>
    <n v="9"/>
    <s v="USD"/>
    <x v="1"/>
    <s v="EMP0033"/>
    <n v="27.900000000000002"/>
    <s v="Tue"/>
    <x v="3"/>
    <x v="4"/>
  </r>
  <r>
    <x v="771"/>
    <d v="2021-06-17T23:02:03"/>
    <x v="768"/>
    <x v="12"/>
    <x v="15"/>
    <n v="1.5"/>
    <n v="4"/>
    <s v="USD"/>
    <x v="4"/>
    <s v="EMP0100"/>
    <n v="6"/>
    <s v="Thu"/>
    <x v="3"/>
    <x v="0"/>
  </r>
  <r>
    <x v="772"/>
    <d v="2022-10-12T15:57:03"/>
    <x v="769"/>
    <x v="1"/>
    <x v="16"/>
    <n v="4"/>
    <n v="1"/>
    <s v="USD"/>
    <x v="5"/>
    <s v="EMP0015"/>
    <n v="4"/>
    <s v="Wed"/>
    <x v="0"/>
    <x v="3"/>
  </r>
  <r>
    <x v="773"/>
    <d v="2023-11-28T11:02:03"/>
    <x v="770"/>
    <x v="3"/>
    <x v="2"/>
    <n v="2.5"/>
    <n v="4"/>
    <s v="USD"/>
    <x v="4"/>
    <s v="EMP0053"/>
    <n v="10"/>
    <s v="Tue"/>
    <x v="10"/>
    <x v="4"/>
  </r>
  <r>
    <x v="774"/>
    <d v="2023-05-16T20:52:03"/>
    <x v="771"/>
    <x v="13"/>
    <x v="0"/>
    <n v="3.1"/>
    <n v="4"/>
    <s v="USD"/>
    <x v="4"/>
    <s v="EMP0012"/>
    <n v="12.4"/>
    <s v="Tue"/>
    <x v="5"/>
    <x v="4"/>
  </r>
  <r>
    <x v="775"/>
    <d v="2023-02-11T15:39:03"/>
    <x v="772"/>
    <x v="4"/>
    <x v="4"/>
    <n v="3.2"/>
    <n v="2"/>
    <s v="USD"/>
    <x v="1"/>
    <s v="EMP0023"/>
    <n v="6.4"/>
    <s v="Sat"/>
    <x v="7"/>
    <x v="4"/>
  </r>
  <r>
    <x v="776"/>
    <d v="2022-09-07T03:04:03"/>
    <x v="773"/>
    <x v="2"/>
    <x v="16"/>
    <n v="4"/>
    <n v="5"/>
    <s v="USD"/>
    <x v="0"/>
    <s v="EMP0096"/>
    <n v="20"/>
    <s v="Wed"/>
    <x v="9"/>
    <x v="3"/>
  </r>
  <r>
    <x v="777"/>
    <d v="2021-07-10T06:55:03"/>
    <x v="774"/>
    <x v="0"/>
    <x v="11"/>
    <n v="4"/>
    <n v="4"/>
    <s v="USD"/>
    <x v="2"/>
    <s v="EMP0031"/>
    <n v="16"/>
    <s v="Sat"/>
    <x v="8"/>
    <x v="0"/>
  </r>
  <r>
    <x v="778"/>
    <d v="2023-11-13T07:12:03"/>
    <x v="775"/>
    <x v="2"/>
    <x v="2"/>
    <n v="2.5"/>
    <n v="10"/>
    <s v="USD"/>
    <x v="4"/>
    <s v="EMP0020"/>
    <n v="25"/>
    <s v="Mon"/>
    <x v="10"/>
    <x v="4"/>
  </r>
  <r>
    <x v="779"/>
    <d v="2024-10-03T09:28:03"/>
    <x v="776"/>
    <x v="7"/>
    <x v="15"/>
    <n v="1.5"/>
    <n v="10"/>
    <s v="USD"/>
    <x v="3"/>
    <s v="EMP0098"/>
    <n v="15"/>
    <s v="Thu"/>
    <x v="0"/>
    <x v="1"/>
  </r>
  <r>
    <x v="780"/>
    <d v="2022-04-27T11:32:03"/>
    <x v="777"/>
    <x v="10"/>
    <x v="7"/>
    <n v="2.8"/>
    <n v="10"/>
    <s v="USD"/>
    <x v="4"/>
    <s v="EMP0064"/>
    <n v="28"/>
    <s v="Wed"/>
    <x v="11"/>
    <x v="3"/>
  </r>
  <r>
    <x v="781"/>
    <d v="2022-02-18T04:55:03"/>
    <x v="778"/>
    <x v="6"/>
    <x v="12"/>
    <n v="1.8"/>
    <n v="5"/>
    <s v="USD"/>
    <x v="5"/>
    <s v="EMP0029"/>
    <n v="9"/>
    <s v="Fri"/>
    <x v="7"/>
    <x v="3"/>
  </r>
  <r>
    <x v="782"/>
    <d v="2022-02-13T09:23:03"/>
    <x v="779"/>
    <x v="9"/>
    <x v="18"/>
    <n v="1.7"/>
    <n v="8"/>
    <s v="USD"/>
    <x v="1"/>
    <s v="EMP0005"/>
    <n v="13.6"/>
    <s v="Sun"/>
    <x v="7"/>
    <x v="3"/>
  </r>
  <r>
    <x v="783"/>
    <d v="2022-07-15T02:01:03"/>
    <x v="780"/>
    <x v="4"/>
    <x v="13"/>
    <n v="0.8"/>
    <n v="8"/>
    <s v="USD"/>
    <x v="3"/>
    <s v="EMP0090"/>
    <n v="6.4"/>
    <s v="Fri"/>
    <x v="8"/>
    <x v="3"/>
  </r>
  <r>
    <x v="784"/>
    <d v="2022-06-12T23:06:03"/>
    <x v="781"/>
    <x v="0"/>
    <x v="3"/>
    <n v="1.2"/>
    <n v="1"/>
    <s v="USD"/>
    <x v="2"/>
    <s v="EMP0027"/>
    <n v="1.2"/>
    <s v="Sun"/>
    <x v="3"/>
    <x v="3"/>
  </r>
  <r>
    <x v="785"/>
    <d v="2023-03-23T19:20:03"/>
    <x v="782"/>
    <x v="5"/>
    <x v="7"/>
    <n v="2.8"/>
    <n v="10"/>
    <s v="USD"/>
    <x v="4"/>
    <s v="EMP0024"/>
    <n v="28"/>
    <s v="Thu"/>
    <x v="1"/>
    <x v="4"/>
  </r>
  <r>
    <x v="786"/>
    <d v="2022-04-12T05:11:03"/>
    <x v="783"/>
    <x v="11"/>
    <x v="15"/>
    <n v="1.5"/>
    <n v="10"/>
    <s v="USD"/>
    <x v="4"/>
    <s v="EMP0047"/>
    <n v="15"/>
    <s v="Tue"/>
    <x v="11"/>
    <x v="3"/>
  </r>
  <r>
    <x v="787"/>
    <d v="2024-04-27T21:59:03"/>
    <x v="617"/>
    <x v="2"/>
    <x v="18"/>
    <n v="1.7"/>
    <n v="6"/>
    <s v="USD"/>
    <x v="4"/>
    <s v="EMP0052"/>
    <n v="10.199999999999999"/>
    <s v="Sat"/>
    <x v="11"/>
    <x v="1"/>
  </r>
  <r>
    <x v="788"/>
    <d v="2023-10-14T23:15:03"/>
    <x v="784"/>
    <x v="12"/>
    <x v="14"/>
    <n v="2.2000000000000002"/>
    <n v="10"/>
    <s v="USD"/>
    <x v="2"/>
    <s v="EMP0030"/>
    <n v="22"/>
    <s v="Sat"/>
    <x v="0"/>
    <x v="4"/>
  </r>
  <r>
    <x v="789"/>
    <d v="2024-10-16T14:09:03"/>
    <x v="785"/>
    <x v="14"/>
    <x v="2"/>
    <n v="2.5"/>
    <n v="9"/>
    <s v="USD"/>
    <x v="5"/>
    <s v="EMP0049"/>
    <n v="22.5"/>
    <s v="Wed"/>
    <x v="0"/>
    <x v="1"/>
  </r>
  <r>
    <x v="790"/>
    <d v="2024-04-03T08:35:03"/>
    <x v="786"/>
    <x v="0"/>
    <x v="14"/>
    <n v="2.2000000000000002"/>
    <n v="8"/>
    <s v="USD"/>
    <x v="3"/>
    <s v="EMP0023"/>
    <n v="17.600000000000001"/>
    <s v="Wed"/>
    <x v="11"/>
    <x v="1"/>
  </r>
  <r>
    <x v="791"/>
    <d v="2022-12-27T22:18:03"/>
    <x v="787"/>
    <x v="1"/>
    <x v="12"/>
    <n v="1.8"/>
    <n v="9"/>
    <s v="USD"/>
    <x v="2"/>
    <s v="EMP0041"/>
    <n v="16.2"/>
    <s v="Tue"/>
    <x v="4"/>
    <x v="3"/>
  </r>
  <r>
    <x v="792"/>
    <d v="2022-08-17T04:10:03"/>
    <x v="788"/>
    <x v="9"/>
    <x v="16"/>
    <n v="4"/>
    <n v="1"/>
    <s v="USD"/>
    <x v="5"/>
    <s v="EMP0013"/>
    <n v="4"/>
    <s v="Wed"/>
    <x v="6"/>
    <x v="3"/>
  </r>
  <r>
    <x v="793"/>
    <d v="2021-06-25T08:23:03"/>
    <x v="789"/>
    <x v="2"/>
    <x v="0"/>
    <n v="3.1"/>
    <n v="8"/>
    <s v="USD"/>
    <x v="2"/>
    <s v="EMP0013"/>
    <n v="24.8"/>
    <s v="Fri"/>
    <x v="3"/>
    <x v="0"/>
  </r>
  <r>
    <x v="794"/>
    <d v="2022-10-30T14:05:03"/>
    <x v="790"/>
    <x v="11"/>
    <x v="7"/>
    <n v="2.8"/>
    <n v="6"/>
    <s v="USD"/>
    <x v="1"/>
    <s v="EMP0072"/>
    <n v="16.799999999999997"/>
    <s v="Sun"/>
    <x v="0"/>
    <x v="3"/>
  </r>
  <r>
    <x v="795"/>
    <d v="2023-11-29T02:25:03"/>
    <x v="791"/>
    <x v="8"/>
    <x v="19"/>
    <n v="5.5"/>
    <n v="6"/>
    <s v="USD"/>
    <x v="2"/>
    <s v="EMP0078"/>
    <n v="33"/>
    <s v="Wed"/>
    <x v="10"/>
    <x v="4"/>
  </r>
  <r>
    <x v="796"/>
    <d v="2024-03-27T18:50:03"/>
    <x v="792"/>
    <x v="3"/>
    <x v="1"/>
    <n v="1"/>
    <n v="3"/>
    <s v="USD"/>
    <x v="4"/>
    <s v="EMP0046"/>
    <n v="3"/>
    <s v="Wed"/>
    <x v="1"/>
    <x v="1"/>
  </r>
  <r>
    <x v="797"/>
    <d v="2023-07-13T15:54:03"/>
    <x v="793"/>
    <x v="10"/>
    <x v="10"/>
    <n v="5"/>
    <n v="2"/>
    <s v="USD"/>
    <x v="5"/>
    <s v="EMP0079"/>
    <n v="10"/>
    <s v="Thu"/>
    <x v="8"/>
    <x v="4"/>
  </r>
  <r>
    <x v="798"/>
    <d v="2023-09-30T22:46:03"/>
    <x v="794"/>
    <x v="6"/>
    <x v="13"/>
    <n v="0.8"/>
    <n v="6"/>
    <s v="USD"/>
    <x v="5"/>
    <s v="EMP0081"/>
    <n v="4.8000000000000007"/>
    <s v="Sat"/>
    <x v="9"/>
    <x v="4"/>
  </r>
  <r>
    <x v="799"/>
    <d v="2021-12-01T19:01:03"/>
    <x v="795"/>
    <x v="4"/>
    <x v="9"/>
    <n v="3"/>
    <n v="2"/>
    <s v="USD"/>
    <x v="0"/>
    <s v="EMP0044"/>
    <n v="6"/>
    <s v="Wed"/>
    <x v="4"/>
    <x v="0"/>
  </r>
  <r>
    <x v="800"/>
    <d v="2024-01-28T03:06:03"/>
    <x v="796"/>
    <x v="3"/>
    <x v="8"/>
    <n v="4.5"/>
    <n v="5"/>
    <s v="USD"/>
    <x v="1"/>
    <s v="EMP0083"/>
    <n v="22.5"/>
    <s v="Sun"/>
    <x v="2"/>
    <x v="1"/>
  </r>
  <r>
    <x v="801"/>
    <d v="2023-02-20T04:30:03"/>
    <x v="797"/>
    <x v="10"/>
    <x v="7"/>
    <n v="2.8"/>
    <n v="10"/>
    <s v="USD"/>
    <x v="1"/>
    <s v="EMP0058"/>
    <n v="28"/>
    <s v="Mon"/>
    <x v="7"/>
    <x v="4"/>
  </r>
  <r>
    <x v="802"/>
    <d v="2023-01-13T08:15:03"/>
    <x v="798"/>
    <x v="4"/>
    <x v="3"/>
    <n v="1.2"/>
    <n v="3"/>
    <s v="USD"/>
    <x v="2"/>
    <s v="EMP0031"/>
    <n v="3.5999999999999996"/>
    <s v="Fri"/>
    <x v="2"/>
    <x v="4"/>
  </r>
  <r>
    <x v="803"/>
    <d v="2021-08-23T04:39:03"/>
    <x v="799"/>
    <x v="0"/>
    <x v="9"/>
    <n v="3"/>
    <n v="4"/>
    <s v="USD"/>
    <x v="0"/>
    <s v="EMP0051"/>
    <n v="12"/>
    <s v="Mon"/>
    <x v="6"/>
    <x v="0"/>
  </r>
  <r>
    <x v="804"/>
    <d v="2024-10-11T10:22:03"/>
    <x v="800"/>
    <x v="1"/>
    <x v="15"/>
    <n v="1.5"/>
    <n v="9"/>
    <s v="USD"/>
    <x v="3"/>
    <s v="EMP0004"/>
    <n v="13.5"/>
    <s v="Fri"/>
    <x v="0"/>
    <x v="1"/>
  </r>
  <r>
    <x v="805"/>
    <d v="2023-02-15T20:38:03"/>
    <x v="801"/>
    <x v="7"/>
    <x v="19"/>
    <n v="5.5"/>
    <n v="5"/>
    <s v="USD"/>
    <x v="1"/>
    <s v="EMP0020"/>
    <n v="27.5"/>
    <s v="Wed"/>
    <x v="7"/>
    <x v="4"/>
  </r>
  <r>
    <x v="806"/>
    <d v="2024-11-17T16:27:03"/>
    <x v="802"/>
    <x v="1"/>
    <x v="6"/>
    <n v="7"/>
    <n v="5"/>
    <s v="USD"/>
    <x v="0"/>
    <s v="EMP0032"/>
    <n v="35"/>
    <s v="Sun"/>
    <x v="10"/>
    <x v="1"/>
  </r>
  <r>
    <x v="807"/>
    <d v="2023-10-05T22:46:03"/>
    <x v="803"/>
    <x v="6"/>
    <x v="14"/>
    <n v="2.2000000000000002"/>
    <n v="9"/>
    <s v="USD"/>
    <x v="0"/>
    <s v="EMP0004"/>
    <n v="19.8"/>
    <s v="Thu"/>
    <x v="0"/>
    <x v="4"/>
  </r>
  <r>
    <x v="808"/>
    <d v="2025-02-26T16:04:03"/>
    <x v="804"/>
    <x v="4"/>
    <x v="4"/>
    <n v="3.2"/>
    <n v="8"/>
    <s v="USD"/>
    <x v="5"/>
    <s v="EMP0070"/>
    <n v="25.6"/>
    <s v="Wed"/>
    <x v="7"/>
    <x v="2"/>
  </r>
  <r>
    <x v="809"/>
    <d v="2023-10-29T19:58:03"/>
    <x v="805"/>
    <x v="6"/>
    <x v="1"/>
    <n v="1"/>
    <n v="3"/>
    <s v="USD"/>
    <x v="1"/>
    <s v="EMP0077"/>
    <n v="3"/>
    <s v="Sun"/>
    <x v="0"/>
    <x v="4"/>
  </r>
  <r>
    <x v="810"/>
    <d v="2022-10-16T16:39:03"/>
    <x v="806"/>
    <x v="3"/>
    <x v="16"/>
    <n v="4"/>
    <n v="7"/>
    <s v="USD"/>
    <x v="1"/>
    <s v="EMP0082"/>
    <n v="28"/>
    <s v="Sun"/>
    <x v="0"/>
    <x v="3"/>
  </r>
  <r>
    <x v="811"/>
    <d v="2021-10-07T20:07:03"/>
    <x v="807"/>
    <x v="1"/>
    <x v="7"/>
    <n v="2.8"/>
    <n v="8"/>
    <s v="USD"/>
    <x v="1"/>
    <s v="EMP0030"/>
    <n v="22.4"/>
    <s v="Thu"/>
    <x v="0"/>
    <x v="0"/>
  </r>
  <r>
    <x v="812"/>
    <d v="2024-11-06T23:07:03"/>
    <x v="808"/>
    <x v="5"/>
    <x v="18"/>
    <n v="1.7"/>
    <n v="5"/>
    <s v="USD"/>
    <x v="0"/>
    <s v="EMP0039"/>
    <n v="8.5"/>
    <s v="Wed"/>
    <x v="10"/>
    <x v="1"/>
  </r>
  <r>
    <x v="813"/>
    <d v="2025-04-18T12:53:03"/>
    <x v="809"/>
    <x v="4"/>
    <x v="14"/>
    <n v="2.2000000000000002"/>
    <n v="6"/>
    <s v="USD"/>
    <x v="4"/>
    <s v="EMP0061"/>
    <n v="13.200000000000001"/>
    <s v="Fri"/>
    <x v="11"/>
    <x v="2"/>
  </r>
  <r>
    <x v="814"/>
    <d v="2022-05-10T12:42:03"/>
    <x v="810"/>
    <x v="1"/>
    <x v="15"/>
    <n v="1.5"/>
    <n v="8"/>
    <s v="USD"/>
    <x v="4"/>
    <s v="EMP0002"/>
    <n v="12"/>
    <s v="Tue"/>
    <x v="5"/>
    <x v="3"/>
  </r>
  <r>
    <x v="815"/>
    <d v="2022-12-10T03:48:03"/>
    <x v="811"/>
    <x v="2"/>
    <x v="3"/>
    <n v="1.2"/>
    <n v="9"/>
    <s v="USD"/>
    <x v="4"/>
    <s v="EMP0025"/>
    <n v="10.799999999999999"/>
    <s v="Sat"/>
    <x v="4"/>
    <x v="3"/>
  </r>
  <r>
    <x v="816"/>
    <d v="2023-01-16T19:59:03"/>
    <x v="812"/>
    <x v="8"/>
    <x v="2"/>
    <n v="2.5"/>
    <n v="3"/>
    <s v="USD"/>
    <x v="2"/>
    <s v="EMP0095"/>
    <n v="7.5"/>
    <s v="Mon"/>
    <x v="2"/>
    <x v="4"/>
  </r>
  <r>
    <x v="817"/>
    <d v="2021-09-25T00:33:03"/>
    <x v="813"/>
    <x v="8"/>
    <x v="2"/>
    <n v="2.5"/>
    <n v="5"/>
    <s v="USD"/>
    <x v="3"/>
    <s v="EMP0055"/>
    <n v="12.5"/>
    <s v="Sat"/>
    <x v="9"/>
    <x v="0"/>
  </r>
  <r>
    <x v="818"/>
    <d v="2021-11-06T05:53:03"/>
    <x v="814"/>
    <x v="14"/>
    <x v="5"/>
    <n v="1"/>
    <n v="5"/>
    <s v="USD"/>
    <x v="4"/>
    <s v="EMP0084"/>
    <n v="5"/>
    <s v="Sat"/>
    <x v="10"/>
    <x v="0"/>
  </r>
  <r>
    <x v="819"/>
    <d v="2022-05-16T05:00:03"/>
    <x v="815"/>
    <x v="2"/>
    <x v="9"/>
    <n v="3"/>
    <n v="3"/>
    <s v="USD"/>
    <x v="0"/>
    <s v="EMP0038"/>
    <n v="9"/>
    <s v="Mon"/>
    <x v="5"/>
    <x v="3"/>
  </r>
  <r>
    <x v="820"/>
    <d v="2024-09-24T16:57:03"/>
    <x v="816"/>
    <x v="12"/>
    <x v="10"/>
    <n v="5"/>
    <n v="5"/>
    <s v="USD"/>
    <x v="2"/>
    <s v="EMP0080"/>
    <n v="25"/>
    <s v="Tue"/>
    <x v="9"/>
    <x v="1"/>
  </r>
  <r>
    <x v="821"/>
    <d v="2022-08-06T07:06:03"/>
    <x v="817"/>
    <x v="13"/>
    <x v="14"/>
    <n v="2.2000000000000002"/>
    <n v="1"/>
    <s v="USD"/>
    <x v="1"/>
    <s v="EMP0003"/>
    <n v="2.2000000000000002"/>
    <s v="Sat"/>
    <x v="6"/>
    <x v="3"/>
  </r>
  <r>
    <x v="822"/>
    <d v="2024-04-24T10:08:03"/>
    <x v="818"/>
    <x v="11"/>
    <x v="14"/>
    <n v="2.2000000000000002"/>
    <n v="8"/>
    <s v="USD"/>
    <x v="2"/>
    <s v="EMP0002"/>
    <n v="17.600000000000001"/>
    <s v="Wed"/>
    <x v="11"/>
    <x v="1"/>
  </r>
  <r>
    <x v="823"/>
    <d v="2024-01-19T11:17:03"/>
    <x v="819"/>
    <x v="13"/>
    <x v="15"/>
    <n v="1.5"/>
    <n v="4"/>
    <s v="USD"/>
    <x v="4"/>
    <s v="EMP0054"/>
    <n v="6"/>
    <s v="Fri"/>
    <x v="2"/>
    <x v="1"/>
  </r>
  <r>
    <x v="824"/>
    <d v="2023-08-09T22:03:03"/>
    <x v="820"/>
    <x v="10"/>
    <x v="17"/>
    <n v="2.5"/>
    <n v="6"/>
    <s v="USD"/>
    <x v="3"/>
    <s v="EMP0097"/>
    <n v="15"/>
    <s v="Wed"/>
    <x v="6"/>
    <x v="4"/>
  </r>
  <r>
    <x v="825"/>
    <d v="2024-07-14T12:09:03"/>
    <x v="821"/>
    <x v="14"/>
    <x v="6"/>
    <n v="7"/>
    <n v="2"/>
    <s v="USD"/>
    <x v="1"/>
    <s v="EMP0061"/>
    <n v="14"/>
    <s v="Sun"/>
    <x v="8"/>
    <x v="1"/>
  </r>
  <r>
    <x v="826"/>
    <d v="2024-05-03T06:29:03"/>
    <x v="822"/>
    <x v="4"/>
    <x v="0"/>
    <n v="3.1"/>
    <n v="7"/>
    <s v="USD"/>
    <x v="3"/>
    <s v="EMP0016"/>
    <n v="21.7"/>
    <s v="Fri"/>
    <x v="5"/>
    <x v="1"/>
  </r>
  <r>
    <x v="827"/>
    <d v="2023-12-17T00:37:03"/>
    <x v="823"/>
    <x v="10"/>
    <x v="2"/>
    <n v="2.5"/>
    <n v="1"/>
    <s v="USD"/>
    <x v="0"/>
    <s v="EMP0059"/>
    <n v="2.5"/>
    <s v="Sun"/>
    <x v="4"/>
    <x v="4"/>
  </r>
  <r>
    <x v="828"/>
    <d v="2024-10-28T20:44:03"/>
    <x v="824"/>
    <x v="2"/>
    <x v="15"/>
    <n v="1.5"/>
    <n v="7"/>
    <s v="USD"/>
    <x v="2"/>
    <s v="EMP0040"/>
    <n v="10.5"/>
    <s v="Mon"/>
    <x v="0"/>
    <x v="1"/>
  </r>
  <r>
    <x v="829"/>
    <d v="2023-07-18T07:46:03"/>
    <x v="825"/>
    <x v="0"/>
    <x v="17"/>
    <n v="2.5"/>
    <n v="9"/>
    <s v="USD"/>
    <x v="1"/>
    <s v="EMP0016"/>
    <n v="22.5"/>
    <s v="Tue"/>
    <x v="8"/>
    <x v="4"/>
  </r>
  <r>
    <x v="830"/>
    <d v="2023-12-07T21:46:03"/>
    <x v="826"/>
    <x v="11"/>
    <x v="11"/>
    <n v="4"/>
    <n v="6"/>
    <s v="USD"/>
    <x v="3"/>
    <s v="EMP0086"/>
    <n v="24"/>
    <s v="Thu"/>
    <x v="4"/>
    <x v="4"/>
  </r>
  <r>
    <x v="831"/>
    <d v="2024-02-18T10:11:03"/>
    <x v="827"/>
    <x v="3"/>
    <x v="18"/>
    <n v="1.7"/>
    <n v="6"/>
    <s v="USD"/>
    <x v="3"/>
    <s v="EMP0022"/>
    <n v="10.199999999999999"/>
    <s v="Sun"/>
    <x v="7"/>
    <x v="1"/>
  </r>
  <r>
    <x v="832"/>
    <d v="2023-10-21T19:19:03"/>
    <x v="828"/>
    <x v="8"/>
    <x v="2"/>
    <n v="2.5"/>
    <n v="1"/>
    <s v="USD"/>
    <x v="3"/>
    <s v="EMP0075"/>
    <n v="2.5"/>
    <s v="Sat"/>
    <x v="0"/>
    <x v="4"/>
  </r>
  <r>
    <x v="833"/>
    <d v="2021-06-24T21:42:03"/>
    <x v="829"/>
    <x v="12"/>
    <x v="14"/>
    <n v="2.2000000000000002"/>
    <n v="6"/>
    <s v="USD"/>
    <x v="3"/>
    <s v="EMP0032"/>
    <n v="13.200000000000001"/>
    <s v="Thu"/>
    <x v="3"/>
    <x v="0"/>
  </r>
  <r>
    <x v="834"/>
    <d v="2024-06-20T22:21:03"/>
    <x v="830"/>
    <x v="3"/>
    <x v="5"/>
    <n v="1"/>
    <n v="6"/>
    <s v="USD"/>
    <x v="2"/>
    <s v="EMP0008"/>
    <n v="6"/>
    <s v="Thu"/>
    <x v="3"/>
    <x v="1"/>
  </r>
  <r>
    <x v="835"/>
    <d v="2025-01-07T01:45:03"/>
    <x v="831"/>
    <x v="6"/>
    <x v="1"/>
    <n v="1"/>
    <n v="2"/>
    <s v="USD"/>
    <x v="0"/>
    <s v="EMP0063"/>
    <n v="2"/>
    <s v="Tue"/>
    <x v="2"/>
    <x v="2"/>
  </r>
  <r>
    <x v="836"/>
    <d v="2024-01-19T02:51:03"/>
    <x v="832"/>
    <x v="14"/>
    <x v="7"/>
    <n v="2.8"/>
    <n v="8"/>
    <s v="USD"/>
    <x v="2"/>
    <s v="EMP0025"/>
    <n v="22.4"/>
    <s v="Fri"/>
    <x v="2"/>
    <x v="1"/>
  </r>
  <r>
    <x v="837"/>
    <d v="2025-03-26T15:02:03"/>
    <x v="833"/>
    <x v="5"/>
    <x v="14"/>
    <n v="2.2000000000000002"/>
    <n v="5"/>
    <s v="USD"/>
    <x v="3"/>
    <s v="EMP0063"/>
    <n v="11"/>
    <s v="Wed"/>
    <x v="1"/>
    <x v="2"/>
  </r>
  <r>
    <x v="838"/>
    <d v="2021-05-22T22:51:03"/>
    <x v="834"/>
    <x v="11"/>
    <x v="1"/>
    <n v="1"/>
    <n v="8"/>
    <s v="USD"/>
    <x v="0"/>
    <s v="EMP0073"/>
    <n v="8"/>
    <s v="Sat"/>
    <x v="5"/>
    <x v="0"/>
  </r>
  <r>
    <x v="839"/>
    <d v="2024-04-21T20:04:03"/>
    <x v="835"/>
    <x v="5"/>
    <x v="10"/>
    <n v="5"/>
    <n v="5"/>
    <s v="USD"/>
    <x v="1"/>
    <s v="EMP0071"/>
    <n v="25"/>
    <s v="Sun"/>
    <x v="11"/>
    <x v="1"/>
  </r>
  <r>
    <x v="840"/>
    <d v="2024-06-15T10:53:03"/>
    <x v="836"/>
    <x v="6"/>
    <x v="10"/>
    <n v="5"/>
    <n v="5"/>
    <s v="USD"/>
    <x v="4"/>
    <s v="EMP0070"/>
    <n v="25"/>
    <s v="Sat"/>
    <x v="3"/>
    <x v="1"/>
  </r>
  <r>
    <x v="841"/>
    <d v="2023-04-18T23:26:03"/>
    <x v="837"/>
    <x v="14"/>
    <x v="12"/>
    <n v="1.8"/>
    <n v="7"/>
    <s v="USD"/>
    <x v="2"/>
    <s v="EMP0024"/>
    <n v="12.6"/>
    <s v="Tue"/>
    <x v="11"/>
    <x v="4"/>
  </r>
  <r>
    <x v="842"/>
    <d v="2025-03-31T17:32:03"/>
    <x v="838"/>
    <x v="5"/>
    <x v="5"/>
    <n v="1"/>
    <n v="4"/>
    <s v="USD"/>
    <x v="4"/>
    <s v="EMP0093"/>
    <n v="4"/>
    <s v="Mon"/>
    <x v="1"/>
    <x v="2"/>
  </r>
  <r>
    <x v="843"/>
    <d v="2024-12-30T15:52:03"/>
    <x v="839"/>
    <x v="4"/>
    <x v="6"/>
    <n v="7"/>
    <n v="4"/>
    <s v="USD"/>
    <x v="1"/>
    <s v="EMP0088"/>
    <n v="28"/>
    <s v="Mon"/>
    <x v="4"/>
    <x v="1"/>
  </r>
  <r>
    <x v="844"/>
    <d v="2022-07-25T20:17:03"/>
    <x v="840"/>
    <x v="12"/>
    <x v="8"/>
    <n v="4.5"/>
    <n v="6"/>
    <s v="USD"/>
    <x v="5"/>
    <s v="EMP0083"/>
    <n v="27"/>
    <s v="Mon"/>
    <x v="8"/>
    <x v="3"/>
  </r>
  <r>
    <x v="845"/>
    <d v="2023-07-20T10:20:03"/>
    <x v="841"/>
    <x v="9"/>
    <x v="9"/>
    <n v="3"/>
    <n v="1"/>
    <s v="USD"/>
    <x v="0"/>
    <s v="EMP0023"/>
    <n v="3"/>
    <s v="Thu"/>
    <x v="8"/>
    <x v="4"/>
  </r>
  <r>
    <x v="846"/>
    <d v="2025-03-06T07:20:03"/>
    <x v="842"/>
    <x v="10"/>
    <x v="11"/>
    <n v="4"/>
    <n v="2"/>
    <s v="USD"/>
    <x v="3"/>
    <s v="EMP0074"/>
    <n v="8"/>
    <s v="Thu"/>
    <x v="1"/>
    <x v="2"/>
  </r>
  <r>
    <x v="847"/>
    <d v="2021-10-03T00:44:03"/>
    <x v="843"/>
    <x v="10"/>
    <x v="12"/>
    <n v="1.8"/>
    <n v="10"/>
    <s v="USD"/>
    <x v="2"/>
    <s v="EMP0076"/>
    <n v="18"/>
    <s v="Sun"/>
    <x v="0"/>
    <x v="0"/>
  </r>
  <r>
    <x v="848"/>
    <d v="2023-12-02T12:03:03"/>
    <x v="844"/>
    <x v="2"/>
    <x v="5"/>
    <n v="1"/>
    <n v="2"/>
    <s v="USD"/>
    <x v="3"/>
    <s v="EMP0027"/>
    <n v="2"/>
    <s v="Sat"/>
    <x v="4"/>
    <x v="4"/>
  </r>
  <r>
    <x v="849"/>
    <d v="2021-09-04T21:27:03"/>
    <x v="845"/>
    <x v="1"/>
    <x v="9"/>
    <n v="3"/>
    <n v="8"/>
    <s v="USD"/>
    <x v="2"/>
    <s v="EMP0008"/>
    <n v="24"/>
    <s v="Sat"/>
    <x v="9"/>
    <x v="0"/>
  </r>
  <r>
    <x v="850"/>
    <d v="2023-04-30T19:39:03"/>
    <x v="846"/>
    <x v="1"/>
    <x v="18"/>
    <n v="1.7"/>
    <n v="6"/>
    <s v="USD"/>
    <x v="2"/>
    <s v="EMP0008"/>
    <n v="10.199999999999999"/>
    <s v="Sun"/>
    <x v="11"/>
    <x v="4"/>
  </r>
  <r>
    <x v="851"/>
    <d v="2021-11-23T04:53:03"/>
    <x v="847"/>
    <x v="13"/>
    <x v="9"/>
    <n v="3"/>
    <n v="5"/>
    <s v="USD"/>
    <x v="3"/>
    <s v="EMP0028"/>
    <n v="15"/>
    <s v="Tue"/>
    <x v="10"/>
    <x v="0"/>
  </r>
  <r>
    <x v="852"/>
    <d v="2022-06-11T10:20:03"/>
    <x v="848"/>
    <x v="0"/>
    <x v="2"/>
    <n v="2.5"/>
    <n v="9"/>
    <s v="USD"/>
    <x v="5"/>
    <s v="EMP0025"/>
    <n v="22.5"/>
    <s v="Sat"/>
    <x v="3"/>
    <x v="3"/>
  </r>
  <r>
    <x v="853"/>
    <d v="2024-04-08T20:44:03"/>
    <x v="849"/>
    <x v="2"/>
    <x v="16"/>
    <n v="4"/>
    <n v="3"/>
    <s v="USD"/>
    <x v="1"/>
    <s v="EMP0096"/>
    <n v="12"/>
    <s v="Mon"/>
    <x v="11"/>
    <x v="1"/>
  </r>
  <r>
    <x v="854"/>
    <d v="2022-03-22T23:39:03"/>
    <x v="850"/>
    <x v="7"/>
    <x v="16"/>
    <n v="4"/>
    <n v="6"/>
    <s v="USD"/>
    <x v="2"/>
    <s v="EMP0059"/>
    <n v="24"/>
    <s v="Tue"/>
    <x v="1"/>
    <x v="3"/>
  </r>
  <r>
    <x v="855"/>
    <d v="2021-05-31T15:59:03"/>
    <x v="851"/>
    <x v="1"/>
    <x v="19"/>
    <n v="5.5"/>
    <n v="3"/>
    <s v="USD"/>
    <x v="0"/>
    <s v="EMP0071"/>
    <n v="16.5"/>
    <s v="Mon"/>
    <x v="5"/>
    <x v="0"/>
  </r>
  <r>
    <x v="856"/>
    <d v="2023-02-06T21:05:03"/>
    <x v="852"/>
    <x v="3"/>
    <x v="13"/>
    <n v="0.8"/>
    <n v="9"/>
    <s v="USD"/>
    <x v="1"/>
    <s v="EMP0057"/>
    <n v="7.2"/>
    <s v="Mon"/>
    <x v="7"/>
    <x v="4"/>
  </r>
  <r>
    <x v="857"/>
    <d v="2023-05-19T02:51:03"/>
    <x v="853"/>
    <x v="5"/>
    <x v="7"/>
    <n v="2.8"/>
    <n v="7"/>
    <s v="USD"/>
    <x v="2"/>
    <s v="EMP0056"/>
    <n v="19.599999999999998"/>
    <s v="Fri"/>
    <x v="5"/>
    <x v="4"/>
  </r>
  <r>
    <x v="858"/>
    <d v="2023-07-16T18:11:03"/>
    <x v="854"/>
    <x v="12"/>
    <x v="1"/>
    <n v="1"/>
    <n v="4"/>
    <s v="USD"/>
    <x v="5"/>
    <s v="EMP0099"/>
    <n v="4"/>
    <s v="Sun"/>
    <x v="8"/>
    <x v="4"/>
  </r>
  <r>
    <x v="859"/>
    <d v="2022-04-08T14:10:03"/>
    <x v="855"/>
    <x v="5"/>
    <x v="10"/>
    <n v="5"/>
    <n v="8"/>
    <s v="USD"/>
    <x v="5"/>
    <s v="EMP0001"/>
    <n v="40"/>
    <s v="Fri"/>
    <x v="11"/>
    <x v="3"/>
  </r>
  <r>
    <x v="860"/>
    <d v="2025-02-28T03:48:03"/>
    <x v="856"/>
    <x v="13"/>
    <x v="12"/>
    <n v="1.8"/>
    <n v="3"/>
    <s v="USD"/>
    <x v="4"/>
    <s v="EMP0001"/>
    <n v="5.4"/>
    <s v="Fri"/>
    <x v="7"/>
    <x v="2"/>
  </r>
  <r>
    <x v="861"/>
    <d v="2023-09-02T06:13:03"/>
    <x v="857"/>
    <x v="4"/>
    <x v="4"/>
    <n v="3.2"/>
    <n v="1"/>
    <s v="USD"/>
    <x v="2"/>
    <s v="EMP0036"/>
    <n v="3.2"/>
    <s v="Sat"/>
    <x v="9"/>
    <x v="4"/>
  </r>
  <r>
    <x v="862"/>
    <d v="2022-04-01T20:51:03"/>
    <x v="858"/>
    <x v="12"/>
    <x v="16"/>
    <n v="4"/>
    <n v="3"/>
    <s v="USD"/>
    <x v="3"/>
    <s v="EMP0005"/>
    <n v="12"/>
    <s v="Fri"/>
    <x v="11"/>
    <x v="3"/>
  </r>
  <r>
    <x v="863"/>
    <d v="2022-10-10T02:17:03"/>
    <x v="859"/>
    <x v="6"/>
    <x v="0"/>
    <n v="3.1"/>
    <n v="6"/>
    <s v="USD"/>
    <x v="1"/>
    <s v="EMP0032"/>
    <n v="18.600000000000001"/>
    <s v="Mon"/>
    <x v="0"/>
    <x v="3"/>
  </r>
  <r>
    <x v="864"/>
    <d v="2024-01-18T04:35:03"/>
    <x v="860"/>
    <x v="11"/>
    <x v="9"/>
    <n v="3"/>
    <n v="10"/>
    <s v="USD"/>
    <x v="5"/>
    <s v="EMP0073"/>
    <n v="30"/>
    <s v="Thu"/>
    <x v="2"/>
    <x v="1"/>
  </r>
  <r>
    <x v="865"/>
    <d v="2024-02-18T14:22:03"/>
    <x v="861"/>
    <x v="0"/>
    <x v="4"/>
    <n v="3.2"/>
    <n v="8"/>
    <s v="USD"/>
    <x v="0"/>
    <s v="EMP0063"/>
    <n v="25.6"/>
    <s v="Sun"/>
    <x v="7"/>
    <x v="1"/>
  </r>
  <r>
    <x v="866"/>
    <d v="2021-06-26T14:50:03"/>
    <x v="862"/>
    <x v="4"/>
    <x v="19"/>
    <n v="5.5"/>
    <n v="10"/>
    <s v="USD"/>
    <x v="2"/>
    <s v="EMP0039"/>
    <n v="55"/>
    <s v="Sat"/>
    <x v="3"/>
    <x v="0"/>
  </r>
  <r>
    <x v="867"/>
    <d v="2025-02-21T13:35:03"/>
    <x v="623"/>
    <x v="12"/>
    <x v="6"/>
    <n v="7"/>
    <n v="2"/>
    <s v="USD"/>
    <x v="3"/>
    <s v="EMP0099"/>
    <n v="14"/>
    <s v="Fri"/>
    <x v="7"/>
    <x v="2"/>
  </r>
  <r>
    <x v="868"/>
    <d v="2023-06-25T01:30:03"/>
    <x v="863"/>
    <x v="4"/>
    <x v="18"/>
    <n v="1.7"/>
    <n v="7"/>
    <s v="USD"/>
    <x v="3"/>
    <s v="EMP0099"/>
    <n v="11.9"/>
    <s v="Sun"/>
    <x v="3"/>
    <x v="4"/>
  </r>
  <r>
    <x v="869"/>
    <d v="2024-01-30T13:45:03"/>
    <x v="864"/>
    <x v="4"/>
    <x v="5"/>
    <n v="1"/>
    <n v="1"/>
    <s v="USD"/>
    <x v="2"/>
    <s v="EMP0100"/>
    <n v="1"/>
    <s v="Tue"/>
    <x v="2"/>
    <x v="1"/>
  </r>
  <r>
    <x v="870"/>
    <d v="2021-10-23T01:23:03"/>
    <x v="865"/>
    <x v="11"/>
    <x v="12"/>
    <n v="1.8"/>
    <n v="1"/>
    <s v="USD"/>
    <x v="4"/>
    <s v="EMP0070"/>
    <n v="1.8"/>
    <s v="Sat"/>
    <x v="0"/>
    <x v="0"/>
  </r>
  <r>
    <x v="871"/>
    <d v="2022-03-10T09:06:03"/>
    <x v="866"/>
    <x v="9"/>
    <x v="2"/>
    <n v="2.5"/>
    <n v="3"/>
    <s v="USD"/>
    <x v="3"/>
    <s v="EMP0087"/>
    <n v="7.5"/>
    <s v="Thu"/>
    <x v="1"/>
    <x v="3"/>
  </r>
  <r>
    <x v="872"/>
    <d v="2023-02-24T22:38:03"/>
    <x v="867"/>
    <x v="12"/>
    <x v="16"/>
    <n v="4"/>
    <n v="9"/>
    <s v="USD"/>
    <x v="3"/>
    <s v="EMP0029"/>
    <n v="36"/>
    <s v="Fri"/>
    <x v="7"/>
    <x v="4"/>
  </r>
  <r>
    <x v="873"/>
    <d v="2022-12-07T03:36:03"/>
    <x v="868"/>
    <x v="8"/>
    <x v="14"/>
    <n v="2.2000000000000002"/>
    <n v="3"/>
    <s v="USD"/>
    <x v="4"/>
    <s v="EMP0011"/>
    <n v="6.6000000000000005"/>
    <s v="Wed"/>
    <x v="4"/>
    <x v="3"/>
  </r>
  <r>
    <x v="874"/>
    <d v="2022-09-07T18:39:03"/>
    <x v="869"/>
    <x v="13"/>
    <x v="1"/>
    <n v="1"/>
    <n v="7"/>
    <s v="USD"/>
    <x v="4"/>
    <s v="EMP0011"/>
    <n v="7"/>
    <s v="Wed"/>
    <x v="9"/>
    <x v="3"/>
  </r>
  <r>
    <x v="875"/>
    <d v="2023-02-12T20:59:03"/>
    <x v="870"/>
    <x v="14"/>
    <x v="14"/>
    <n v="2.2000000000000002"/>
    <n v="3"/>
    <s v="USD"/>
    <x v="5"/>
    <s v="EMP0072"/>
    <n v="6.6000000000000005"/>
    <s v="Sun"/>
    <x v="7"/>
    <x v="4"/>
  </r>
  <r>
    <x v="876"/>
    <d v="2024-03-29T22:01:03"/>
    <x v="871"/>
    <x v="3"/>
    <x v="16"/>
    <n v="4"/>
    <n v="4"/>
    <s v="USD"/>
    <x v="1"/>
    <s v="EMP0079"/>
    <n v="16"/>
    <s v="Fri"/>
    <x v="1"/>
    <x v="1"/>
  </r>
  <r>
    <x v="877"/>
    <d v="2022-06-01T06:11:03"/>
    <x v="872"/>
    <x v="7"/>
    <x v="0"/>
    <n v="3.1"/>
    <n v="7"/>
    <s v="USD"/>
    <x v="4"/>
    <s v="EMP0088"/>
    <n v="21.7"/>
    <s v="Wed"/>
    <x v="3"/>
    <x v="3"/>
  </r>
  <r>
    <x v="878"/>
    <d v="2022-02-15T11:19:03"/>
    <x v="873"/>
    <x v="3"/>
    <x v="18"/>
    <n v="1.7"/>
    <n v="7"/>
    <s v="USD"/>
    <x v="4"/>
    <s v="EMP0045"/>
    <n v="11.9"/>
    <s v="Tue"/>
    <x v="7"/>
    <x v="3"/>
  </r>
  <r>
    <x v="879"/>
    <d v="2024-04-14T03:04:03"/>
    <x v="874"/>
    <x v="12"/>
    <x v="3"/>
    <n v="1.2"/>
    <n v="5"/>
    <s v="USD"/>
    <x v="0"/>
    <s v="EMP0045"/>
    <n v="6"/>
    <s v="Sun"/>
    <x v="11"/>
    <x v="1"/>
  </r>
  <r>
    <x v="880"/>
    <d v="2021-11-23T22:47:03"/>
    <x v="875"/>
    <x v="6"/>
    <x v="10"/>
    <n v="5"/>
    <n v="1"/>
    <s v="USD"/>
    <x v="0"/>
    <s v="EMP0026"/>
    <n v="5"/>
    <s v="Tue"/>
    <x v="10"/>
    <x v="0"/>
  </r>
  <r>
    <x v="881"/>
    <d v="2021-07-06T02:17:03"/>
    <x v="876"/>
    <x v="14"/>
    <x v="9"/>
    <n v="3"/>
    <n v="2"/>
    <s v="USD"/>
    <x v="2"/>
    <s v="EMP0007"/>
    <n v="6"/>
    <s v="Tue"/>
    <x v="8"/>
    <x v="0"/>
  </r>
  <r>
    <x v="882"/>
    <d v="2023-12-28T17:27:03"/>
    <x v="877"/>
    <x v="6"/>
    <x v="8"/>
    <n v="4.5"/>
    <n v="1"/>
    <s v="USD"/>
    <x v="4"/>
    <s v="EMP0089"/>
    <n v="4.5"/>
    <s v="Thu"/>
    <x v="4"/>
    <x v="4"/>
  </r>
  <r>
    <x v="883"/>
    <d v="2024-09-24T03:58:03"/>
    <x v="878"/>
    <x v="10"/>
    <x v="3"/>
    <n v="1.2"/>
    <n v="6"/>
    <s v="USD"/>
    <x v="0"/>
    <s v="EMP0095"/>
    <n v="7.1999999999999993"/>
    <s v="Tue"/>
    <x v="9"/>
    <x v="1"/>
  </r>
  <r>
    <x v="884"/>
    <d v="2022-05-04T07:13:03"/>
    <x v="879"/>
    <x v="9"/>
    <x v="12"/>
    <n v="1.8"/>
    <n v="5"/>
    <s v="USD"/>
    <x v="1"/>
    <s v="EMP0062"/>
    <n v="9"/>
    <s v="Wed"/>
    <x v="5"/>
    <x v="3"/>
  </r>
  <r>
    <x v="885"/>
    <d v="2021-11-10T14:17:03"/>
    <x v="880"/>
    <x v="0"/>
    <x v="3"/>
    <n v="1.2"/>
    <n v="7"/>
    <s v="USD"/>
    <x v="1"/>
    <s v="EMP0085"/>
    <n v="8.4"/>
    <s v="Wed"/>
    <x v="10"/>
    <x v="0"/>
  </r>
  <r>
    <x v="886"/>
    <d v="2022-05-27T12:10:03"/>
    <x v="881"/>
    <x v="6"/>
    <x v="17"/>
    <n v="2.5"/>
    <n v="5"/>
    <s v="USD"/>
    <x v="0"/>
    <s v="EMP0090"/>
    <n v="12.5"/>
    <s v="Fri"/>
    <x v="5"/>
    <x v="3"/>
  </r>
  <r>
    <x v="887"/>
    <d v="2021-11-21T05:23:03"/>
    <x v="882"/>
    <x v="10"/>
    <x v="3"/>
    <n v="1.2"/>
    <n v="2"/>
    <s v="USD"/>
    <x v="5"/>
    <s v="EMP0085"/>
    <n v="2.4"/>
    <s v="Sun"/>
    <x v="10"/>
    <x v="0"/>
  </r>
  <r>
    <x v="888"/>
    <d v="2023-10-31T15:32:03"/>
    <x v="883"/>
    <x v="1"/>
    <x v="7"/>
    <n v="2.8"/>
    <n v="2"/>
    <s v="USD"/>
    <x v="3"/>
    <s v="EMP0038"/>
    <n v="5.6"/>
    <s v="Tue"/>
    <x v="0"/>
    <x v="4"/>
  </r>
  <r>
    <x v="889"/>
    <d v="2021-09-18T01:12:03"/>
    <x v="884"/>
    <x v="8"/>
    <x v="12"/>
    <n v="1.8"/>
    <n v="2"/>
    <s v="USD"/>
    <x v="4"/>
    <s v="EMP0063"/>
    <n v="3.6"/>
    <s v="Sat"/>
    <x v="9"/>
    <x v="0"/>
  </r>
  <r>
    <x v="890"/>
    <d v="2022-01-02T20:21:03"/>
    <x v="885"/>
    <x v="6"/>
    <x v="11"/>
    <n v="4"/>
    <n v="9"/>
    <s v="USD"/>
    <x v="5"/>
    <s v="EMP0072"/>
    <n v="36"/>
    <s v="Sun"/>
    <x v="2"/>
    <x v="3"/>
  </r>
  <r>
    <x v="891"/>
    <d v="2021-05-11T13:24:03"/>
    <x v="886"/>
    <x v="2"/>
    <x v="12"/>
    <n v="1.8"/>
    <n v="5"/>
    <s v="USD"/>
    <x v="4"/>
    <s v="EMP0063"/>
    <n v="9"/>
    <s v="Tue"/>
    <x v="5"/>
    <x v="0"/>
  </r>
  <r>
    <x v="892"/>
    <d v="2023-02-23T14:16:03"/>
    <x v="887"/>
    <x v="13"/>
    <x v="7"/>
    <n v="2.8"/>
    <n v="6"/>
    <s v="USD"/>
    <x v="4"/>
    <s v="EMP0081"/>
    <n v="16.799999999999997"/>
    <s v="Thu"/>
    <x v="7"/>
    <x v="4"/>
  </r>
  <r>
    <x v="893"/>
    <d v="2023-08-29T05:54:03"/>
    <x v="888"/>
    <x v="11"/>
    <x v="17"/>
    <n v="2.5"/>
    <n v="5"/>
    <s v="USD"/>
    <x v="5"/>
    <s v="EMP0004"/>
    <n v="12.5"/>
    <s v="Tue"/>
    <x v="6"/>
    <x v="4"/>
  </r>
  <r>
    <x v="894"/>
    <d v="2022-03-30T05:12:03"/>
    <x v="889"/>
    <x v="6"/>
    <x v="4"/>
    <n v="3.2"/>
    <n v="7"/>
    <s v="USD"/>
    <x v="2"/>
    <s v="EMP0018"/>
    <n v="22.400000000000002"/>
    <s v="Wed"/>
    <x v="1"/>
    <x v="3"/>
  </r>
  <r>
    <x v="895"/>
    <d v="2024-11-10T14:02:03"/>
    <x v="890"/>
    <x v="9"/>
    <x v="5"/>
    <n v="1"/>
    <n v="4"/>
    <s v="USD"/>
    <x v="5"/>
    <s v="EMP0031"/>
    <n v="4"/>
    <s v="Sun"/>
    <x v="10"/>
    <x v="1"/>
  </r>
  <r>
    <x v="896"/>
    <d v="2022-02-21T08:59:03"/>
    <x v="891"/>
    <x v="11"/>
    <x v="5"/>
    <n v="1"/>
    <n v="6"/>
    <s v="USD"/>
    <x v="5"/>
    <s v="EMP0070"/>
    <n v="6"/>
    <s v="Mon"/>
    <x v="7"/>
    <x v="3"/>
  </r>
  <r>
    <x v="897"/>
    <d v="2024-08-13T06:45:03"/>
    <x v="892"/>
    <x v="6"/>
    <x v="16"/>
    <n v="4"/>
    <n v="9"/>
    <s v="USD"/>
    <x v="2"/>
    <s v="EMP0026"/>
    <n v="36"/>
    <s v="Tue"/>
    <x v="6"/>
    <x v="1"/>
  </r>
  <r>
    <x v="898"/>
    <d v="2024-07-31T03:42:03"/>
    <x v="893"/>
    <x v="0"/>
    <x v="12"/>
    <n v="1.8"/>
    <n v="3"/>
    <s v="USD"/>
    <x v="5"/>
    <s v="EMP0099"/>
    <n v="5.4"/>
    <s v="Wed"/>
    <x v="8"/>
    <x v="1"/>
  </r>
  <r>
    <x v="899"/>
    <d v="2024-07-15T16:27:03"/>
    <x v="894"/>
    <x v="12"/>
    <x v="13"/>
    <n v="0.8"/>
    <n v="6"/>
    <s v="USD"/>
    <x v="3"/>
    <s v="EMP0072"/>
    <n v="4.8000000000000007"/>
    <s v="Mon"/>
    <x v="8"/>
    <x v="1"/>
  </r>
  <r>
    <x v="900"/>
    <d v="2022-05-13T14:19:03"/>
    <x v="895"/>
    <x v="6"/>
    <x v="4"/>
    <n v="3.2"/>
    <n v="3"/>
    <s v="USD"/>
    <x v="2"/>
    <s v="EMP0004"/>
    <n v="9.6000000000000014"/>
    <s v="Fri"/>
    <x v="5"/>
    <x v="3"/>
  </r>
  <r>
    <x v="901"/>
    <d v="2023-07-27T00:00:03"/>
    <x v="896"/>
    <x v="11"/>
    <x v="10"/>
    <n v="5"/>
    <n v="5"/>
    <s v="USD"/>
    <x v="0"/>
    <s v="EMP0100"/>
    <n v="25"/>
    <s v="Thu"/>
    <x v="8"/>
    <x v="4"/>
  </r>
  <r>
    <x v="902"/>
    <d v="2024-04-20T10:18:03"/>
    <x v="897"/>
    <x v="6"/>
    <x v="3"/>
    <n v="1.2"/>
    <n v="10"/>
    <s v="USD"/>
    <x v="1"/>
    <s v="EMP0035"/>
    <n v="12"/>
    <s v="Sat"/>
    <x v="11"/>
    <x v="1"/>
  </r>
  <r>
    <x v="903"/>
    <d v="2021-12-15T18:47:03"/>
    <x v="898"/>
    <x v="2"/>
    <x v="5"/>
    <n v="1"/>
    <n v="4"/>
    <s v="USD"/>
    <x v="0"/>
    <s v="EMP0088"/>
    <n v="4"/>
    <s v="Wed"/>
    <x v="4"/>
    <x v="0"/>
  </r>
  <r>
    <x v="904"/>
    <d v="2025-03-17T02:21:03"/>
    <x v="899"/>
    <x v="0"/>
    <x v="15"/>
    <n v="1.5"/>
    <n v="3"/>
    <s v="USD"/>
    <x v="1"/>
    <s v="EMP0078"/>
    <n v="4.5"/>
    <s v="Mon"/>
    <x v="1"/>
    <x v="2"/>
  </r>
  <r>
    <x v="905"/>
    <d v="2022-09-21T14:45:03"/>
    <x v="900"/>
    <x v="5"/>
    <x v="13"/>
    <n v="0.8"/>
    <n v="7"/>
    <s v="USD"/>
    <x v="5"/>
    <s v="EMP0061"/>
    <n v="5.6000000000000005"/>
    <s v="Wed"/>
    <x v="9"/>
    <x v="3"/>
  </r>
  <r>
    <x v="906"/>
    <d v="2024-08-01T08:14:03"/>
    <x v="901"/>
    <x v="2"/>
    <x v="17"/>
    <n v="2.5"/>
    <n v="7"/>
    <s v="USD"/>
    <x v="3"/>
    <s v="EMP0035"/>
    <n v="17.5"/>
    <s v="Thu"/>
    <x v="6"/>
    <x v="1"/>
  </r>
  <r>
    <x v="907"/>
    <d v="2023-01-15T05:39:03"/>
    <x v="902"/>
    <x v="3"/>
    <x v="11"/>
    <n v="4"/>
    <n v="4"/>
    <s v="USD"/>
    <x v="3"/>
    <s v="EMP0023"/>
    <n v="16"/>
    <s v="Sun"/>
    <x v="2"/>
    <x v="4"/>
  </r>
  <r>
    <x v="908"/>
    <d v="2022-11-21T17:55:03"/>
    <x v="903"/>
    <x v="0"/>
    <x v="4"/>
    <n v="3.2"/>
    <n v="8"/>
    <s v="USD"/>
    <x v="0"/>
    <s v="EMP0055"/>
    <n v="25.6"/>
    <s v="Mon"/>
    <x v="10"/>
    <x v="3"/>
  </r>
  <r>
    <x v="909"/>
    <d v="2023-01-31T11:48:03"/>
    <x v="904"/>
    <x v="0"/>
    <x v="6"/>
    <n v="7"/>
    <n v="6"/>
    <s v="USD"/>
    <x v="5"/>
    <s v="EMP0079"/>
    <n v="42"/>
    <s v="Tue"/>
    <x v="2"/>
    <x v="4"/>
  </r>
  <r>
    <x v="910"/>
    <d v="2022-02-22T17:52:03"/>
    <x v="905"/>
    <x v="9"/>
    <x v="17"/>
    <n v="2.5"/>
    <n v="9"/>
    <s v="USD"/>
    <x v="3"/>
    <s v="EMP0058"/>
    <n v="22.5"/>
    <s v="Tue"/>
    <x v="7"/>
    <x v="3"/>
  </r>
  <r>
    <x v="911"/>
    <d v="2022-10-17T11:30:03"/>
    <x v="906"/>
    <x v="2"/>
    <x v="12"/>
    <n v="1.8"/>
    <n v="9"/>
    <s v="USD"/>
    <x v="5"/>
    <s v="EMP0095"/>
    <n v="16.2"/>
    <s v="Mon"/>
    <x v="0"/>
    <x v="3"/>
  </r>
  <r>
    <x v="912"/>
    <d v="2025-02-17T20:02:03"/>
    <x v="907"/>
    <x v="9"/>
    <x v="17"/>
    <n v="2.5"/>
    <n v="4"/>
    <s v="USD"/>
    <x v="4"/>
    <s v="EMP0057"/>
    <n v="10"/>
    <s v="Mon"/>
    <x v="7"/>
    <x v="2"/>
  </r>
  <r>
    <x v="913"/>
    <d v="2023-02-14T03:37:03"/>
    <x v="908"/>
    <x v="4"/>
    <x v="8"/>
    <n v="4.5"/>
    <n v="8"/>
    <s v="USD"/>
    <x v="0"/>
    <s v="EMP0055"/>
    <n v="36"/>
    <s v="Tue"/>
    <x v="7"/>
    <x v="4"/>
  </r>
  <r>
    <x v="914"/>
    <d v="2023-09-14T17:28:03"/>
    <x v="909"/>
    <x v="13"/>
    <x v="12"/>
    <n v="1.8"/>
    <n v="3"/>
    <s v="USD"/>
    <x v="5"/>
    <s v="EMP0083"/>
    <n v="5.4"/>
    <s v="Thu"/>
    <x v="9"/>
    <x v="4"/>
  </r>
  <r>
    <x v="915"/>
    <d v="2022-10-27T10:40:03"/>
    <x v="910"/>
    <x v="9"/>
    <x v="19"/>
    <n v="5.5"/>
    <n v="3"/>
    <s v="USD"/>
    <x v="1"/>
    <s v="EMP0090"/>
    <n v="16.5"/>
    <s v="Thu"/>
    <x v="0"/>
    <x v="3"/>
  </r>
  <r>
    <x v="916"/>
    <d v="2022-04-16T09:01:03"/>
    <x v="911"/>
    <x v="8"/>
    <x v="4"/>
    <n v="3.2"/>
    <n v="8"/>
    <s v="USD"/>
    <x v="3"/>
    <s v="EMP0023"/>
    <n v="25.6"/>
    <s v="Sat"/>
    <x v="11"/>
    <x v="3"/>
  </r>
  <r>
    <x v="917"/>
    <d v="2022-10-22T18:29:03"/>
    <x v="912"/>
    <x v="0"/>
    <x v="11"/>
    <n v="4"/>
    <n v="8"/>
    <s v="USD"/>
    <x v="3"/>
    <s v="EMP0033"/>
    <n v="32"/>
    <s v="Sat"/>
    <x v="0"/>
    <x v="3"/>
  </r>
  <r>
    <x v="918"/>
    <d v="2023-07-15T14:45:03"/>
    <x v="913"/>
    <x v="1"/>
    <x v="13"/>
    <n v="0.8"/>
    <n v="2"/>
    <s v="USD"/>
    <x v="3"/>
    <s v="EMP0015"/>
    <n v="1.6"/>
    <s v="Sat"/>
    <x v="8"/>
    <x v="4"/>
  </r>
  <r>
    <x v="919"/>
    <d v="2021-05-23T22:46:03"/>
    <x v="914"/>
    <x v="5"/>
    <x v="9"/>
    <n v="3"/>
    <n v="9"/>
    <s v="USD"/>
    <x v="2"/>
    <s v="EMP0050"/>
    <n v="27"/>
    <s v="Sun"/>
    <x v="5"/>
    <x v="0"/>
  </r>
  <r>
    <x v="920"/>
    <d v="2022-06-26T18:16:03"/>
    <x v="915"/>
    <x v="8"/>
    <x v="1"/>
    <n v="1"/>
    <n v="7"/>
    <s v="USD"/>
    <x v="3"/>
    <s v="EMP0099"/>
    <n v="7"/>
    <s v="Sun"/>
    <x v="3"/>
    <x v="3"/>
  </r>
  <r>
    <x v="921"/>
    <d v="2024-05-25T02:50:03"/>
    <x v="916"/>
    <x v="4"/>
    <x v="14"/>
    <n v="2.2000000000000002"/>
    <n v="3"/>
    <s v="USD"/>
    <x v="0"/>
    <s v="EMP0023"/>
    <n v="6.6000000000000005"/>
    <s v="Sat"/>
    <x v="5"/>
    <x v="1"/>
  </r>
  <r>
    <x v="922"/>
    <d v="2021-05-12T12:00:03"/>
    <x v="917"/>
    <x v="11"/>
    <x v="8"/>
    <n v="4.5"/>
    <n v="8"/>
    <s v="USD"/>
    <x v="4"/>
    <s v="EMP0081"/>
    <n v="36"/>
    <s v="Wed"/>
    <x v="5"/>
    <x v="0"/>
  </r>
  <r>
    <x v="923"/>
    <d v="2024-05-04T09:29:03"/>
    <x v="918"/>
    <x v="6"/>
    <x v="11"/>
    <n v="4"/>
    <n v="1"/>
    <s v="USD"/>
    <x v="1"/>
    <s v="EMP0098"/>
    <n v="4"/>
    <s v="Sat"/>
    <x v="5"/>
    <x v="1"/>
  </r>
  <r>
    <x v="924"/>
    <d v="2023-12-08T12:57:03"/>
    <x v="919"/>
    <x v="10"/>
    <x v="15"/>
    <n v="1.5"/>
    <n v="9"/>
    <s v="USD"/>
    <x v="3"/>
    <s v="EMP0078"/>
    <n v="13.5"/>
    <s v="Fri"/>
    <x v="4"/>
    <x v="4"/>
  </r>
  <r>
    <x v="925"/>
    <d v="2022-08-03T06:13:03"/>
    <x v="920"/>
    <x v="12"/>
    <x v="15"/>
    <n v="1.5"/>
    <n v="8"/>
    <s v="USD"/>
    <x v="5"/>
    <s v="EMP0057"/>
    <n v="12"/>
    <s v="Wed"/>
    <x v="6"/>
    <x v="3"/>
  </r>
  <r>
    <x v="926"/>
    <d v="2024-11-27T17:48:03"/>
    <x v="921"/>
    <x v="13"/>
    <x v="2"/>
    <n v="2.5"/>
    <n v="9"/>
    <s v="USD"/>
    <x v="4"/>
    <s v="EMP0080"/>
    <n v="22.5"/>
    <s v="Wed"/>
    <x v="10"/>
    <x v="1"/>
  </r>
  <r>
    <x v="927"/>
    <d v="2021-10-29T19:34:03"/>
    <x v="922"/>
    <x v="4"/>
    <x v="11"/>
    <n v="4"/>
    <n v="1"/>
    <s v="USD"/>
    <x v="0"/>
    <s v="EMP0019"/>
    <n v="4"/>
    <s v="Fri"/>
    <x v="0"/>
    <x v="0"/>
  </r>
  <r>
    <x v="928"/>
    <d v="2025-01-16T17:04:03"/>
    <x v="923"/>
    <x v="13"/>
    <x v="14"/>
    <n v="2.2000000000000002"/>
    <n v="1"/>
    <s v="USD"/>
    <x v="2"/>
    <s v="EMP0074"/>
    <n v="2.2000000000000002"/>
    <s v="Thu"/>
    <x v="2"/>
    <x v="2"/>
  </r>
  <r>
    <x v="929"/>
    <d v="2021-12-21T04:05:03"/>
    <x v="924"/>
    <x v="1"/>
    <x v="9"/>
    <n v="3"/>
    <n v="1"/>
    <s v="USD"/>
    <x v="3"/>
    <s v="EMP0054"/>
    <n v="3"/>
    <s v="Tue"/>
    <x v="4"/>
    <x v="0"/>
  </r>
  <r>
    <x v="930"/>
    <d v="2024-05-09T07:43:03"/>
    <x v="925"/>
    <x v="11"/>
    <x v="5"/>
    <n v="1"/>
    <n v="10"/>
    <s v="USD"/>
    <x v="1"/>
    <s v="EMP0072"/>
    <n v="10"/>
    <s v="Thu"/>
    <x v="5"/>
    <x v="1"/>
  </r>
  <r>
    <x v="931"/>
    <d v="2024-05-10T22:39:03"/>
    <x v="926"/>
    <x v="12"/>
    <x v="7"/>
    <n v="2.8"/>
    <n v="1"/>
    <s v="USD"/>
    <x v="3"/>
    <s v="EMP0099"/>
    <n v="2.8"/>
    <s v="Fri"/>
    <x v="5"/>
    <x v="1"/>
  </r>
  <r>
    <x v="932"/>
    <d v="2023-09-05T03:03:03"/>
    <x v="927"/>
    <x v="1"/>
    <x v="6"/>
    <n v="7"/>
    <n v="2"/>
    <s v="USD"/>
    <x v="5"/>
    <s v="EMP0071"/>
    <n v="14"/>
    <s v="Tue"/>
    <x v="9"/>
    <x v="4"/>
  </r>
  <r>
    <x v="933"/>
    <d v="2024-12-28T03:56:03"/>
    <x v="928"/>
    <x v="6"/>
    <x v="19"/>
    <n v="5.5"/>
    <n v="5"/>
    <s v="USD"/>
    <x v="4"/>
    <s v="EMP0068"/>
    <n v="27.5"/>
    <s v="Sat"/>
    <x v="4"/>
    <x v="1"/>
  </r>
  <r>
    <x v="934"/>
    <d v="2023-01-12T21:13:03"/>
    <x v="929"/>
    <x v="0"/>
    <x v="11"/>
    <n v="4"/>
    <n v="10"/>
    <s v="USD"/>
    <x v="3"/>
    <s v="EMP0014"/>
    <n v="40"/>
    <s v="Thu"/>
    <x v="2"/>
    <x v="4"/>
  </r>
  <r>
    <x v="935"/>
    <d v="2022-02-23T13:46:03"/>
    <x v="930"/>
    <x v="9"/>
    <x v="9"/>
    <n v="3"/>
    <n v="8"/>
    <s v="USD"/>
    <x v="2"/>
    <s v="EMP0089"/>
    <n v="24"/>
    <s v="Wed"/>
    <x v="7"/>
    <x v="3"/>
  </r>
  <r>
    <x v="936"/>
    <d v="2021-12-17T15:08:03"/>
    <x v="931"/>
    <x v="8"/>
    <x v="5"/>
    <n v="1"/>
    <n v="6"/>
    <s v="USD"/>
    <x v="4"/>
    <s v="EMP0068"/>
    <n v="6"/>
    <s v="Fri"/>
    <x v="4"/>
    <x v="0"/>
  </r>
  <r>
    <x v="937"/>
    <d v="2022-02-16T18:04:03"/>
    <x v="932"/>
    <x v="1"/>
    <x v="14"/>
    <n v="2.2000000000000002"/>
    <n v="10"/>
    <s v="USD"/>
    <x v="1"/>
    <s v="EMP0064"/>
    <n v="22"/>
    <s v="Wed"/>
    <x v="7"/>
    <x v="3"/>
  </r>
  <r>
    <x v="938"/>
    <d v="2022-06-09T13:46:03"/>
    <x v="933"/>
    <x v="10"/>
    <x v="15"/>
    <n v="1.5"/>
    <n v="3"/>
    <s v="USD"/>
    <x v="1"/>
    <s v="EMP0030"/>
    <n v="4.5"/>
    <s v="Thu"/>
    <x v="3"/>
    <x v="3"/>
  </r>
  <r>
    <x v="939"/>
    <d v="2021-05-19T04:14:03"/>
    <x v="934"/>
    <x v="13"/>
    <x v="19"/>
    <n v="5.5"/>
    <n v="1"/>
    <s v="USD"/>
    <x v="5"/>
    <s v="EMP0081"/>
    <n v="5.5"/>
    <s v="Wed"/>
    <x v="5"/>
    <x v="0"/>
  </r>
  <r>
    <x v="940"/>
    <d v="2024-09-09T13:32:03"/>
    <x v="935"/>
    <x v="2"/>
    <x v="5"/>
    <n v="1"/>
    <n v="7"/>
    <s v="USD"/>
    <x v="5"/>
    <s v="EMP0006"/>
    <n v="7"/>
    <s v="Mon"/>
    <x v="9"/>
    <x v="1"/>
  </r>
  <r>
    <x v="941"/>
    <d v="2023-06-26T01:51:03"/>
    <x v="936"/>
    <x v="14"/>
    <x v="11"/>
    <n v="4"/>
    <n v="1"/>
    <s v="USD"/>
    <x v="2"/>
    <s v="EMP0026"/>
    <n v="4"/>
    <s v="Mon"/>
    <x v="3"/>
    <x v="4"/>
  </r>
  <r>
    <x v="942"/>
    <d v="2021-06-26T04:10:03"/>
    <x v="937"/>
    <x v="14"/>
    <x v="9"/>
    <n v="3"/>
    <n v="5"/>
    <s v="USD"/>
    <x v="4"/>
    <s v="EMP0065"/>
    <n v="15"/>
    <s v="Sat"/>
    <x v="3"/>
    <x v="0"/>
  </r>
  <r>
    <x v="943"/>
    <d v="2022-04-09T02:37:03"/>
    <x v="938"/>
    <x v="13"/>
    <x v="19"/>
    <n v="5.5"/>
    <n v="6"/>
    <s v="USD"/>
    <x v="4"/>
    <s v="EMP0051"/>
    <n v="33"/>
    <s v="Sat"/>
    <x v="11"/>
    <x v="3"/>
  </r>
  <r>
    <x v="944"/>
    <d v="2022-02-28T18:25:03"/>
    <x v="939"/>
    <x v="4"/>
    <x v="13"/>
    <n v="0.8"/>
    <n v="4"/>
    <s v="USD"/>
    <x v="4"/>
    <s v="EMP0044"/>
    <n v="3.2"/>
    <s v="Mon"/>
    <x v="7"/>
    <x v="3"/>
  </r>
  <r>
    <x v="945"/>
    <d v="2021-07-31T21:28:03"/>
    <x v="940"/>
    <x v="10"/>
    <x v="17"/>
    <n v="2.5"/>
    <n v="3"/>
    <s v="USD"/>
    <x v="5"/>
    <s v="EMP0020"/>
    <n v="7.5"/>
    <s v="Sat"/>
    <x v="8"/>
    <x v="0"/>
  </r>
  <r>
    <x v="946"/>
    <d v="2021-11-01T22:29:03"/>
    <x v="941"/>
    <x v="4"/>
    <x v="1"/>
    <n v="1"/>
    <n v="6"/>
    <s v="USD"/>
    <x v="5"/>
    <s v="EMP0053"/>
    <n v="6"/>
    <s v="Mon"/>
    <x v="10"/>
    <x v="0"/>
  </r>
  <r>
    <x v="947"/>
    <d v="2025-01-14T21:07:03"/>
    <x v="942"/>
    <x v="12"/>
    <x v="4"/>
    <n v="3.2"/>
    <n v="9"/>
    <s v="USD"/>
    <x v="1"/>
    <s v="EMP0003"/>
    <n v="28.8"/>
    <s v="Tue"/>
    <x v="2"/>
    <x v="2"/>
  </r>
  <r>
    <x v="948"/>
    <d v="2024-03-08T18:43:03"/>
    <x v="943"/>
    <x v="5"/>
    <x v="7"/>
    <n v="2.8"/>
    <n v="2"/>
    <s v="USD"/>
    <x v="0"/>
    <s v="EMP0036"/>
    <n v="5.6"/>
    <s v="Fri"/>
    <x v="1"/>
    <x v="1"/>
  </r>
  <r>
    <x v="949"/>
    <d v="2025-03-07T03:02:03"/>
    <x v="944"/>
    <x v="3"/>
    <x v="1"/>
    <n v="1"/>
    <n v="3"/>
    <s v="USD"/>
    <x v="1"/>
    <s v="EMP0078"/>
    <n v="3"/>
    <s v="Fri"/>
    <x v="1"/>
    <x v="2"/>
  </r>
  <r>
    <x v="950"/>
    <d v="2023-03-04T07:48:03"/>
    <x v="945"/>
    <x v="7"/>
    <x v="8"/>
    <n v="4.5"/>
    <n v="6"/>
    <s v="USD"/>
    <x v="2"/>
    <s v="EMP0005"/>
    <n v="27"/>
    <s v="Sat"/>
    <x v="1"/>
    <x v="4"/>
  </r>
  <r>
    <x v="951"/>
    <d v="2023-10-31T00:21:03"/>
    <x v="946"/>
    <x v="10"/>
    <x v="2"/>
    <n v="2.5"/>
    <n v="6"/>
    <s v="USD"/>
    <x v="5"/>
    <s v="EMP0039"/>
    <n v="15"/>
    <s v="Tue"/>
    <x v="0"/>
    <x v="4"/>
  </r>
  <r>
    <x v="952"/>
    <d v="2024-02-21T21:07:03"/>
    <x v="947"/>
    <x v="6"/>
    <x v="19"/>
    <n v="5.5"/>
    <n v="6"/>
    <s v="USD"/>
    <x v="3"/>
    <s v="EMP0100"/>
    <n v="33"/>
    <s v="Wed"/>
    <x v="7"/>
    <x v="1"/>
  </r>
  <r>
    <x v="953"/>
    <d v="2024-03-22T10:58:03"/>
    <x v="948"/>
    <x v="9"/>
    <x v="3"/>
    <n v="1.2"/>
    <n v="8"/>
    <s v="USD"/>
    <x v="1"/>
    <s v="EMP0020"/>
    <n v="9.6"/>
    <s v="Fri"/>
    <x v="1"/>
    <x v="1"/>
  </r>
  <r>
    <x v="954"/>
    <d v="2024-04-15T02:27:03"/>
    <x v="949"/>
    <x v="10"/>
    <x v="12"/>
    <n v="1.8"/>
    <n v="5"/>
    <s v="USD"/>
    <x v="4"/>
    <s v="EMP0019"/>
    <n v="9"/>
    <s v="Mon"/>
    <x v="11"/>
    <x v="1"/>
  </r>
  <r>
    <x v="955"/>
    <d v="2024-10-19T20:43:03"/>
    <x v="950"/>
    <x v="6"/>
    <x v="11"/>
    <n v="4"/>
    <n v="1"/>
    <s v="USD"/>
    <x v="5"/>
    <s v="EMP0050"/>
    <n v="4"/>
    <s v="Sat"/>
    <x v="0"/>
    <x v="1"/>
  </r>
  <r>
    <x v="956"/>
    <d v="2022-06-05T10:26:03"/>
    <x v="951"/>
    <x v="11"/>
    <x v="17"/>
    <n v="2.5"/>
    <n v="10"/>
    <s v="USD"/>
    <x v="3"/>
    <s v="EMP0043"/>
    <n v="25"/>
    <s v="Sun"/>
    <x v="3"/>
    <x v="3"/>
  </r>
  <r>
    <x v="957"/>
    <d v="2022-09-26T12:20:03"/>
    <x v="952"/>
    <x v="9"/>
    <x v="8"/>
    <n v="4.5"/>
    <n v="1"/>
    <s v="USD"/>
    <x v="1"/>
    <s v="EMP0098"/>
    <n v="4.5"/>
    <s v="Mon"/>
    <x v="9"/>
    <x v="3"/>
  </r>
  <r>
    <x v="958"/>
    <d v="2023-08-08T16:29:03"/>
    <x v="953"/>
    <x v="2"/>
    <x v="4"/>
    <n v="3.2"/>
    <n v="4"/>
    <s v="USD"/>
    <x v="0"/>
    <s v="EMP0037"/>
    <n v="12.8"/>
    <s v="Tue"/>
    <x v="6"/>
    <x v="4"/>
  </r>
  <r>
    <x v="959"/>
    <d v="2023-10-20T20:06:03"/>
    <x v="954"/>
    <x v="14"/>
    <x v="10"/>
    <n v="5"/>
    <n v="2"/>
    <s v="USD"/>
    <x v="4"/>
    <s v="EMP0020"/>
    <n v="10"/>
    <s v="Fri"/>
    <x v="0"/>
    <x v="4"/>
  </r>
  <r>
    <x v="960"/>
    <d v="2024-06-21T05:19:03"/>
    <x v="955"/>
    <x v="13"/>
    <x v="5"/>
    <n v="1"/>
    <n v="9"/>
    <s v="USD"/>
    <x v="1"/>
    <s v="EMP0014"/>
    <n v="9"/>
    <s v="Fri"/>
    <x v="3"/>
    <x v="1"/>
  </r>
  <r>
    <x v="961"/>
    <d v="2024-03-11T20:04:03"/>
    <x v="956"/>
    <x v="9"/>
    <x v="4"/>
    <n v="3.2"/>
    <n v="5"/>
    <s v="USD"/>
    <x v="0"/>
    <s v="EMP0091"/>
    <n v="16"/>
    <s v="Mon"/>
    <x v="1"/>
    <x v="1"/>
  </r>
  <r>
    <x v="962"/>
    <d v="2023-10-06T19:11:03"/>
    <x v="957"/>
    <x v="6"/>
    <x v="9"/>
    <n v="3"/>
    <n v="5"/>
    <s v="USD"/>
    <x v="1"/>
    <s v="EMP0044"/>
    <n v="15"/>
    <s v="Fri"/>
    <x v="0"/>
    <x v="4"/>
  </r>
  <r>
    <x v="963"/>
    <d v="2022-04-27T23:23:03"/>
    <x v="958"/>
    <x v="6"/>
    <x v="3"/>
    <n v="1.2"/>
    <n v="8"/>
    <s v="USD"/>
    <x v="2"/>
    <s v="EMP0007"/>
    <n v="9.6"/>
    <s v="Wed"/>
    <x v="11"/>
    <x v="3"/>
  </r>
  <r>
    <x v="964"/>
    <d v="2024-10-05T01:23:03"/>
    <x v="959"/>
    <x v="7"/>
    <x v="18"/>
    <n v="1.7"/>
    <n v="7"/>
    <s v="USD"/>
    <x v="0"/>
    <s v="EMP0091"/>
    <n v="11.9"/>
    <s v="Sat"/>
    <x v="0"/>
    <x v="1"/>
  </r>
  <r>
    <x v="965"/>
    <d v="2022-01-04T18:46:03"/>
    <x v="960"/>
    <x v="4"/>
    <x v="10"/>
    <n v="5"/>
    <n v="10"/>
    <s v="USD"/>
    <x v="4"/>
    <s v="EMP0040"/>
    <n v="50"/>
    <s v="Tue"/>
    <x v="2"/>
    <x v="3"/>
  </r>
  <r>
    <x v="966"/>
    <d v="2023-06-29T06:41:03"/>
    <x v="961"/>
    <x v="14"/>
    <x v="1"/>
    <n v="1"/>
    <n v="2"/>
    <s v="USD"/>
    <x v="5"/>
    <s v="EMP0073"/>
    <n v="2"/>
    <s v="Thu"/>
    <x v="3"/>
    <x v="4"/>
  </r>
  <r>
    <x v="967"/>
    <d v="2024-08-13T10:34:03"/>
    <x v="962"/>
    <x v="14"/>
    <x v="10"/>
    <n v="5"/>
    <n v="2"/>
    <s v="USD"/>
    <x v="5"/>
    <s v="EMP0040"/>
    <n v="10"/>
    <s v="Tue"/>
    <x v="6"/>
    <x v="1"/>
  </r>
  <r>
    <x v="968"/>
    <d v="2021-07-07T16:41:03"/>
    <x v="963"/>
    <x v="14"/>
    <x v="10"/>
    <n v="5"/>
    <n v="8"/>
    <s v="USD"/>
    <x v="0"/>
    <s v="EMP0029"/>
    <n v="40"/>
    <s v="Wed"/>
    <x v="8"/>
    <x v="0"/>
  </r>
  <r>
    <x v="969"/>
    <d v="2024-07-18T18:10:03"/>
    <x v="964"/>
    <x v="1"/>
    <x v="7"/>
    <n v="2.8"/>
    <n v="7"/>
    <s v="USD"/>
    <x v="0"/>
    <s v="EMP0090"/>
    <n v="19.599999999999998"/>
    <s v="Thu"/>
    <x v="8"/>
    <x v="1"/>
  </r>
  <r>
    <x v="970"/>
    <d v="2021-08-16T02:36:03"/>
    <x v="965"/>
    <x v="4"/>
    <x v="4"/>
    <n v="3.2"/>
    <n v="8"/>
    <s v="USD"/>
    <x v="5"/>
    <s v="EMP0004"/>
    <n v="25.6"/>
    <s v="Mon"/>
    <x v="6"/>
    <x v="0"/>
  </r>
  <r>
    <x v="971"/>
    <d v="2024-12-26T22:19:03"/>
    <x v="966"/>
    <x v="5"/>
    <x v="15"/>
    <n v="1.5"/>
    <n v="8"/>
    <s v="USD"/>
    <x v="0"/>
    <s v="EMP0037"/>
    <n v="12"/>
    <s v="Thu"/>
    <x v="4"/>
    <x v="1"/>
  </r>
  <r>
    <x v="972"/>
    <d v="2023-05-26T17:50:03"/>
    <x v="967"/>
    <x v="6"/>
    <x v="12"/>
    <n v="1.8"/>
    <n v="2"/>
    <s v="USD"/>
    <x v="5"/>
    <s v="EMP0092"/>
    <n v="3.6"/>
    <s v="Fri"/>
    <x v="5"/>
    <x v="4"/>
  </r>
  <r>
    <x v="973"/>
    <d v="2024-10-02T02:51:03"/>
    <x v="968"/>
    <x v="3"/>
    <x v="9"/>
    <n v="3"/>
    <n v="5"/>
    <s v="USD"/>
    <x v="1"/>
    <s v="EMP0060"/>
    <n v="15"/>
    <s v="Wed"/>
    <x v="0"/>
    <x v="1"/>
  </r>
  <r>
    <x v="974"/>
    <d v="2023-02-08T19:00:03"/>
    <x v="969"/>
    <x v="2"/>
    <x v="5"/>
    <n v="1"/>
    <n v="4"/>
    <s v="USD"/>
    <x v="1"/>
    <s v="EMP0021"/>
    <n v="4"/>
    <s v="Wed"/>
    <x v="7"/>
    <x v="4"/>
  </r>
  <r>
    <x v="975"/>
    <d v="2022-08-26T01:22:03"/>
    <x v="970"/>
    <x v="5"/>
    <x v="11"/>
    <n v="4"/>
    <n v="10"/>
    <s v="USD"/>
    <x v="5"/>
    <s v="EMP0056"/>
    <n v="40"/>
    <s v="Fri"/>
    <x v="6"/>
    <x v="3"/>
  </r>
  <r>
    <x v="976"/>
    <d v="2022-03-05T02:52:03"/>
    <x v="971"/>
    <x v="0"/>
    <x v="2"/>
    <n v="2.5"/>
    <n v="3"/>
    <s v="USD"/>
    <x v="2"/>
    <s v="EMP0086"/>
    <n v="7.5"/>
    <s v="Sat"/>
    <x v="1"/>
    <x v="3"/>
  </r>
  <r>
    <x v="977"/>
    <d v="2024-11-30T13:27:03"/>
    <x v="972"/>
    <x v="0"/>
    <x v="16"/>
    <n v="4"/>
    <n v="8"/>
    <s v="USD"/>
    <x v="3"/>
    <s v="EMP0076"/>
    <n v="32"/>
    <s v="Sat"/>
    <x v="10"/>
    <x v="1"/>
  </r>
  <r>
    <x v="978"/>
    <d v="2022-01-04T23:06:03"/>
    <x v="973"/>
    <x v="9"/>
    <x v="19"/>
    <n v="5.5"/>
    <n v="8"/>
    <s v="USD"/>
    <x v="0"/>
    <s v="EMP0040"/>
    <n v="44"/>
    <s v="Tue"/>
    <x v="2"/>
    <x v="3"/>
  </r>
  <r>
    <x v="979"/>
    <d v="2023-01-29T10:48:03"/>
    <x v="974"/>
    <x v="7"/>
    <x v="5"/>
    <n v="1"/>
    <n v="7"/>
    <s v="USD"/>
    <x v="4"/>
    <s v="EMP0064"/>
    <n v="7"/>
    <s v="Sun"/>
    <x v="2"/>
    <x v="4"/>
  </r>
  <r>
    <x v="980"/>
    <d v="2021-09-26T16:23:03"/>
    <x v="975"/>
    <x v="7"/>
    <x v="11"/>
    <n v="4"/>
    <n v="3"/>
    <s v="USD"/>
    <x v="1"/>
    <s v="EMP0097"/>
    <n v="12"/>
    <s v="Sun"/>
    <x v="9"/>
    <x v="0"/>
  </r>
  <r>
    <x v="981"/>
    <d v="2021-10-15T12:38:03"/>
    <x v="976"/>
    <x v="6"/>
    <x v="14"/>
    <n v="2.2000000000000002"/>
    <n v="8"/>
    <s v="USD"/>
    <x v="1"/>
    <s v="EMP0038"/>
    <n v="17.600000000000001"/>
    <s v="Fri"/>
    <x v="0"/>
    <x v="0"/>
  </r>
  <r>
    <x v="982"/>
    <d v="2023-03-02T17:50:03"/>
    <x v="977"/>
    <x v="10"/>
    <x v="11"/>
    <n v="4"/>
    <n v="4"/>
    <s v="USD"/>
    <x v="2"/>
    <s v="EMP0041"/>
    <n v="16"/>
    <s v="Thu"/>
    <x v="1"/>
    <x v="4"/>
  </r>
  <r>
    <x v="983"/>
    <d v="2023-09-03T18:36:03"/>
    <x v="978"/>
    <x v="1"/>
    <x v="8"/>
    <n v="4.5"/>
    <n v="7"/>
    <s v="USD"/>
    <x v="2"/>
    <s v="EMP0045"/>
    <n v="31.5"/>
    <s v="Sun"/>
    <x v="9"/>
    <x v="4"/>
  </r>
  <r>
    <x v="984"/>
    <d v="2024-11-07T19:26:03"/>
    <x v="979"/>
    <x v="12"/>
    <x v="12"/>
    <n v="1.8"/>
    <n v="7"/>
    <s v="USD"/>
    <x v="0"/>
    <s v="EMP0038"/>
    <n v="12.6"/>
    <s v="Thu"/>
    <x v="10"/>
    <x v="1"/>
  </r>
  <r>
    <x v="985"/>
    <d v="2025-01-02T01:29:03"/>
    <x v="980"/>
    <x v="9"/>
    <x v="17"/>
    <n v="2.5"/>
    <n v="1"/>
    <s v="USD"/>
    <x v="2"/>
    <s v="EMP0072"/>
    <n v="2.5"/>
    <s v="Thu"/>
    <x v="2"/>
    <x v="2"/>
  </r>
  <r>
    <x v="986"/>
    <d v="2023-05-05T09:31:03"/>
    <x v="981"/>
    <x v="11"/>
    <x v="3"/>
    <n v="1.2"/>
    <n v="4"/>
    <s v="USD"/>
    <x v="5"/>
    <s v="EMP0090"/>
    <n v="4.8"/>
    <s v="Fri"/>
    <x v="5"/>
    <x v="4"/>
  </r>
  <r>
    <x v="987"/>
    <d v="2022-01-17T00:46:03"/>
    <x v="982"/>
    <x v="5"/>
    <x v="6"/>
    <n v="7"/>
    <n v="7"/>
    <s v="USD"/>
    <x v="5"/>
    <s v="EMP0056"/>
    <n v="49"/>
    <s v="Mon"/>
    <x v="2"/>
    <x v="3"/>
  </r>
  <r>
    <x v="988"/>
    <d v="2022-04-19T06:44:03"/>
    <x v="983"/>
    <x v="6"/>
    <x v="15"/>
    <n v="1.5"/>
    <n v="3"/>
    <s v="USD"/>
    <x v="0"/>
    <s v="EMP0072"/>
    <n v="4.5"/>
    <s v="Tue"/>
    <x v="11"/>
    <x v="3"/>
  </r>
  <r>
    <x v="989"/>
    <d v="2023-03-14T01:33:03"/>
    <x v="984"/>
    <x v="8"/>
    <x v="14"/>
    <n v="2.2000000000000002"/>
    <n v="5"/>
    <s v="USD"/>
    <x v="2"/>
    <s v="EMP0017"/>
    <n v="11"/>
    <s v="Tue"/>
    <x v="1"/>
    <x v="4"/>
  </r>
  <r>
    <x v="990"/>
    <d v="2024-08-07T13:22:03"/>
    <x v="985"/>
    <x v="3"/>
    <x v="3"/>
    <n v="1.2"/>
    <n v="3"/>
    <s v="USD"/>
    <x v="2"/>
    <s v="EMP0063"/>
    <n v="3.5999999999999996"/>
    <s v="Wed"/>
    <x v="6"/>
    <x v="1"/>
  </r>
  <r>
    <x v="991"/>
    <d v="2021-08-31T00:18:03"/>
    <x v="986"/>
    <x v="7"/>
    <x v="14"/>
    <n v="2.2000000000000002"/>
    <n v="7"/>
    <s v="USD"/>
    <x v="5"/>
    <s v="EMP0090"/>
    <n v="15.400000000000002"/>
    <s v="Tue"/>
    <x v="6"/>
    <x v="0"/>
  </r>
  <r>
    <x v="992"/>
    <d v="2021-12-18T23:47:03"/>
    <x v="987"/>
    <x v="6"/>
    <x v="10"/>
    <n v="5"/>
    <n v="9"/>
    <s v="USD"/>
    <x v="5"/>
    <s v="EMP0071"/>
    <n v="45"/>
    <s v="Sat"/>
    <x v="4"/>
    <x v="0"/>
  </r>
  <r>
    <x v="993"/>
    <d v="2022-10-31T01:04:03"/>
    <x v="988"/>
    <x v="2"/>
    <x v="13"/>
    <n v="0.8"/>
    <n v="7"/>
    <s v="USD"/>
    <x v="1"/>
    <s v="EMP0001"/>
    <n v="5.6000000000000005"/>
    <s v="Mon"/>
    <x v="0"/>
    <x v="3"/>
  </r>
  <r>
    <x v="994"/>
    <d v="2022-02-10T21:32:03"/>
    <x v="989"/>
    <x v="0"/>
    <x v="2"/>
    <n v="2.5"/>
    <n v="9"/>
    <s v="USD"/>
    <x v="4"/>
    <s v="EMP0053"/>
    <n v="22.5"/>
    <s v="Thu"/>
    <x v="7"/>
    <x v="3"/>
  </r>
  <r>
    <x v="995"/>
    <d v="2022-04-16T19:03:03"/>
    <x v="990"/>
    <x v="13"/>
    <x v="17"/>
    <n v="2.5"/>
    <n v="10"/>
    <s v="USD"/>
    <x v="5"/>
    <s v="EMP0091"/>
    <n v="25"/>
    <s v="Sat"/>
    <x v="11"/>
    <x v="3"/>
  </r>
  <r>
    <x v="996"/>
    <d v="2023-04-16T09:49:03"/>
    <x v="991"/>
    <x v="10"/>
    <x v="9"/>
    <n v="3"/>
    <n v="3"/>
    <s v="USD"/>
    <x v="2"/>
    <s v="EMP0094"/>
    <n v="9"/>
    <s v="Sun"/>
    <x v="11"/>
    <x v="4"/>
  </r>
  <r>
    <x v="997"/>
    <d v="2022-05-27T04:57:03"/>
    <x v="992"/>
    <x v="9"/>
    <x v="9"/>
    <n v="3"/>
    <n v="9"/>
    <s v="USD"/>
    <x v="1"/>
    <s v="EMP0012"/>
    <n v="27"/>
    <s v="Fri"/>
    <x v="5"/>
    <x v="3"/>
  </r>
  <r>
    <x v="998"/>
    <d v="2023-12-23T21:46:03"/>
    <x v="993"/>
    <x v="0"/>
    <x v="9"/>
    <n v="3"/>
    <n v="9"/>
    <s v="USD"/>
    <x v="1"/>
    <s v="EMP0040"/>
    <n v="27"/>
    <s v="Sat"/>
    <x v="4"/>
    <x v="4"/>
  </r>
  <r>
    <x v="999"/>
    <d v="2021-12-01T11:29:03"/>
    <x v="994"/>
    <x v="5"/>
    <x v="1"/>
    <n v="1"/>
    <n v="1"/>
    <s v="USD"/>
    <x v="5"/>
    <s v="EMP0059"/>
    <n v="1"/>
    <s v="Wed"/>
    <x v="4"/>
    <x v="0"/>
  </r>
  <r>
    <x v="1000"/>
    <d v="2022-06-24T21:50:03"/>
    <x v="995"/>
    <x v="0"/>
    <x v="4"/>
    <n v="3.2"/>
    <n v="7"/>
    <s v="USD"/>
    <x v="4"/>
    <s v="EMP0038"/>
    <n v="22.400000000000002"/>
    <s v="Fri"/>
    <x v="3"/>
    <x v="3"/>
  </r>
  <r>
    <x v="1001"/>
    <d v="2023-09-25T08:24:03"/>
    <x v="996"/>
    <x v="0"/>
    <x v="5"/>
    <n v="1"/>
    <n v="5"/>
    <s v="USD"/>
    <x v="2"/>
    <s v="EMP0073"/>
    <n v="5"/>
    <s v="Mon"/>
    <x v="9"/>
    <x v="4"/>
  </r>
  <r>
    <x v="1002"/>
    <d v="2023-11-23T11:46:03"/>
    <x v="997"/>
    <x v="10"/>
    <x v="16"/>
    <n v="4"/>
    <n v="3"/>
    <s v="USD"/>
    <x v="1"/>
    <s v="EMP0007"/>
    <n v="12"/>
    <s v="Thu"/>
    <x v="10"/>
    <x v="4"/>
  </r>
  <r>
    <x v="1003"/>
    <d v="2021-09-03T03:35:03"/>
    <x v="998"/>
    <x v="0"/>
    <x v="5"/>
    <n v="1"/>
    <n v="1"/>
    <s v="USD"/>
    <x v="4"/>
    <s v="EMP0063"/>
    <n v="1"/>
    <s v="Fri"/>
    <x v="9"/>
    <x v="0"/>
  </r>
  <r>
    <x v="1004"/>
    <d v="2024-11-22T08:54:03"/>
    <x v="722"/>
    <x v="7"/>
    <x v="0"/>
    <n v="3.1"/>
    <n v="5"/>
    <s v="USD"/>
    <x v="0"/>
    <s v="EMP0079"/>
    <n v="15.5"/>
    <s v="Fri"/>
    <x v="10"/>
    <x v="1"/>
  </r>
  <r>
    <x v="1005"/>
    <d v="2023-10-12T04:32:03"/>
    <x v="999"/>
    <x v="11"/>
    <x v="3"/>
    <n v="1.2"/>
    <n v="2"/>
    <s v="USD"/>
    <x v="1"/>
    <s v="EMP0023"/>
    <n v="2.4"/>
    <s v="Thu"/>
    <x v="0"/>
    <x v="4"/>
  </r>
  <r>
    <x v="1006"/>
    <d v="2022-01-13T14:17:03"/>
    <x v="1000"/>
    <x v="3"/>
    <x v="10"/>
    <n v="5"/>
    <n v="6"/>
    <s v="USD"/>
    <x v="0"/>
    <s v="EMP0034"/>
    <n v="30"/>
    <s v="Thu"/>
    <x v="2"/>
    <x v="3"/>
  </r>
  <r>
    <x v="1007"/>
    <d v="2021-06-04T05:55:03"/>
    <x v="1001"/>
    <x v="6"/>
    <x v="12"/>
    <n v="1.8"/>
    <n v="1"/>
    <s v="USD"/>
    <x v="4"/>
    <s v="EMP0011"/>
    <n v="1.8"/>
    <s v="Fri"/>
    <x v="3"/>
    <x v="0"/>
  </r>
  <r>
    <x v="1008"/>
    <d v="2024-07-15T17:27:03"/>
    <x v="1002"/>
    <x v="4"/>
    <x v="14"/>
    <n v="2.2000000000000002"/>
    <n v="8"/>
    <s v="USD"/>
    <x v="5"/>
    <s v="EMP0099"/>
    <n v="17.600000000000001"/>
    <s v="Mon"/>
    <x v="8"/>
    <x v="1"/>
  </r>
  <r>
    <x v="1009"/>
    <d v="2023-03-17T05:44:03"/>
    <x v="1003"/>
    <x v="10"/>
    <x v="13"/>
    <n v="0.8"/>
    <n v="4"/>
    <s v="USD"/>
    <x v="1"/>
    <s v="EMP0094"/>
    <n v="3.2"/>
    <s v="Fri"/>
    <x v="1"/>
    <x v="4"/>
  </r>
  <r>
    <x v="1010"/>
    <d v="2023-06-03T11:45:03"/>
    <x v="1004"/>
    <x v="11"/>
    <x v="19"/>
    <n v="5.5"/>
    <n v="1"/>
    <s v="USD"/>
    <x v="0"/>
    <s v="EMP0060"/>
    <n v="5.5"/>
    <s v="Sat"/>
    <x v="3"/>
    <x v="4"/>
  </r>
  <r>
    <x v="1011"/>
    <d v="2023-02-12T22:07:03"/>
    <x v="1005"/>
    <x v="10"/>
    <x v="1"/>
    <n v="1"/>
    <n v="4"/>
    <s v="USD"/>
    <x v="5"/>
    <s v="EMP0088"/>
    <n v="4"/>
    <s v="Sun"/>
    <x v="7"/>
    <x v="4"/>
  </r>
  <r>
    <x v="1012"/>
    <d v="2021-05-25T00:56:03"/>
    <x v="1006"/>
    <x v="11"/>
    <x v="14"/>
    <n v="2.2000000000000002"/>
    <n v="9"/>
    <s v="USD"/>
    <x v="5"/>
    <s v="EMP0002"/>
    <n v="19.8"/>
    <s v="Tue"/>
    <x v="5"/>
    <x v="0"/>
  </r>
  <r>
    <x v="1013"/>
    <d v="2023-09-25T23:02:03"/>
    <x v="1007"/>
    <x v="3"/>
    <x v="4"/>
    <n v="3.2"/>
    <n v="9"/>
    <s v="USD"/>
    <x v="2"/>
    <s v="EMP0006"/>
    <n v="28.8"/>
    <s v="Mon"/>
    <x v="9"/>
    <x v="4"/>
  </r>
  <r>
    <x v="1014"/>
    <d v="2024-10-21T19:46:03"/>
    <x v="1008"/>
    <x v="5"/>
    <x v="18"/>
    <n v="1.7"/>
    <n v="10"/>
    <s v="USD"/>
    <x v="2"/>
    <s v="EMP0035"/>
    <n v="17"/>
    <s v="Mon"/>
    <x v="0"/>
    <x v="1"/>
  </r>
  <r>
    <x v="1015"/>
    <d v="2023-06-23T05:09:03"/>
    <x v="1009"/>
    <x v="14"/>
    <x v="19"/>
    <n v="5.5"/>
    <n v="5"/>
    <s v="USD"/>
    <x v="2"/>
    <s v="EMP0075"/>
    <n v="27.5"/>
    <s v="Fri"/>
    <x v="3"/>
    <x v="4"/>
  </r>
  <r>
    <x v="1016"/>
    <d v="2023-02-27T22:37:03"/>
    <x v="1010"/>
    <x v="3"/>
    <x v="2"/>
    <n v="2.5"/>
    <n v="10"/>
    <s v="USD"/>
    <x v="0"/>
    <s v="EMP0067"/>
    <n v="25"/>
    <s v="Mon"/>
    <x v="7"/>
    <x v="4"/>
  </r>
  <r>
    <x v="1017"/>
    <d v="2023-06-17T15:42:03"/>
    <x v="1011"/>
    <x v="6"/>
    <x v="4"/>
    <n v="3.2"/>
    <n v="9"/>
    <s v="USD"/>
    <x v="3"/>
    <s v="EMP0087"/>
    <n v="28.8"/>
    <s v="Sat"/>
    <x v="3"/>
    <x v="4"/>
  </r>
  <r>
    <x v="1018"/>
    <d v="2025-04-22T11:26:03"/>
    <x v="1012"/>
    <x v="8"/>
    <x v="19"/>
    <n v="5.5"/>
    <n v="9"/>
    <s v="USD"/>
    <x v="3"/>
    <s v="EMP0088"/>
    <n v="49.5"/>
    <s v="Tue"/>
    <x v="11"/>
    <x v="2"/>
  </r>
  <r>
    <x v="1019"/>
    <d v="2022-11-08T02:12:03"/>
    <x v="1013"/>
    <x v="0"/>
    <x v="8"/>
    <n v="4.5"/>
    <n v="5"/>
    <s v="USD"/>
    <x v="0"/>
    <s v="EMP0005"/>
    <n v="22.5"/>
    <s v="Tue"/>
    <x v="10"/>
    <x v="3"/>
  </r>
  <r>
    <x v="1020"/>
    <d v="2025-03-21T18:21:03"/>
    <x v="1014"/>
    <x v="13"/>
    <x v="5"/>
    <n v="1"/>
    <n v="4"/>
    <s v="USD"/>
    <x v="1"/>
    <s v="EMP0082"/>
    <n v="4"/>
    <s v="Fri"/>
    <x v="1"/>
    <x v="2"/>
  </r>
  <r>
    <x v="1021"/>
    <d v="2024-09-01T15:19:03"/>
    <x v="1015"/>
    <x v="7"/>
    <x v="5"/>
    <n v="1"/>
    <n v="3"/>
    <s v="USD"/>
    <x v="5"/>
    <s v="EMP0085"/>
    <n v="3"/>
    <s v="Sun"/>
    <x v="9"/>
    <x v="1"/>
  </r>
  <r>
    <x v="1022"/>
    <d v="2021-09-20T18:35:03"/>
    <x v="1016"/>
    <x v="6"/>
    <x v="19"/>
    <n v="5.5"/>
    <n v="3"/>
    <s v="USD"/>
    <x v="4"/>
    <s v="EMP0038"/>
    <n v="16.5"/>
    <s v="Mon"/>
    <x v="9"/>
    <x v="0"/>
  </r>
  <r>
    <x v="1023"/>
    <d v="2022-09-25T15:27:03"/>
    <x v="1017"/>
    <x v="7"/>
    <x v="10"/>
    <n v="5"/>
    <n v="5"/>
    <s v="USD"/>
    <x v="5"/>
    <s v="EMP0089"/>
    <n v="25"/>
    <s v="Sun"/>
    <x v="9"/>
    <x v="3"/>
  </r>
  <r>
    <x v="1024"/>
    <d v="2021-08-11T03:10:03"/>
    <x v="1018"/>
    <x v="6"/>
    <x v="9"/>
    <n v="3"/>
    <n v="5"/>
    <s v="USD"/>
    <x v="3"/>
    <s v="EMP0049"/>
    <n v="15"/>
    <s v="Wed"/>
    <x v="6"/>
    <x v="0"/>
  </r>
  <r>
    <x v="1025"/>
    <d v="2023-03-06T03:23:03"/>
    <x v="1019"/>
    <x v="11"/>
    <x v="0"/>
    <n v="3.1"/>
    <n v="3"/>
    <s v="USD"/>
    <x v="5"/>
    <s v="EMP0009"/>
    <n v="9.3000000000000007"/>
    <s v="Mon"/>
    <x v="1"/>
    <x v="4"/>
  </r>
  <r>
    <x v="1026"/>
    <d v="2022-08-06T06:47:03"/>
    <x v="1020"/>
    <x v="8"/>
    <x v="13"/>
    <n v="0.8"/>
    <n v="8"/>
    <s v="USD"/>
    <x v="3"/>
    <s v="EMP0019"/>
    <n v="6.4"/>
    <s v="Sat"/>
    <x v="6"/>
    <x v="3"/>
  </r>
  <r>
    <x v="1027"/>
    <d v="2022-04-28T00:13:03"/>
    <x v="1021"/>
    <x v="12"/>
    <x v="19"/>
    <n v="5.5"/>
    <n v="8"/>
    <s v="USD"/>
    <x v="2"/>
    <s v="EMP0034"/>
    <n v="44"/>
    <s v="Thu"/>
    <x v="11"/>
    <x v="3"/>
  </r>
  <r>
    <x v="1028"/>
    <d v="2024-10-10T12:22:03"/>
    <x v="1022"/>
    <x v="7"/>
    <x v="16"/>
    <n v="4"/>
    <n v="5"/>
    <s v="USD"/>
    <x v="5"/>
    <s v="EMP0003"/>
    <n v="20"/>
    <s v="Thu"/>
    <x v="0"/>
    <x v="1"/>
  </r>
  <r>
    <x v="1029"/>
    <d v="2022-07-25T08:45:03"/>
    <x v="1023"/>
    <x v="3"/>
    <x v="3"/>
    <n v="1.2"/>
    <n v="1"/>
    <s v="USD"/>
    <x v="2"/>
    <s v="EMP0050"/>
    <n v="1.2"/>
    <s v="Mon"/>
    <x v="8"/>
    <x v="3"/>
  </r>
  <r>
    <x v="1030"/>
    <d v="2023-11-11T08:42:03"/>
    <x v="1024"/>
    <x v="5"/>
    <x v="6"/>
    <n v="7"/>
    <n v="10"/>
    <s v="USD"/>
    <x v="3"/>
    <s v="EMP0066"/>
    <n v="70"/>
    <s v="Sat"/>
    <x v="10"/>
    <x v="4"/>
  </r>
  <r>
    <x v="1031"/>
    <d v="2021-05-20T21:56:03"/>
    <x v="1025"/>
    <x v="8"/>
    <x v="6"/>
    <n v="7"/>
    <n v="2"/>
    <s v="USD"/>
    <x v="1"/>
    <s v="EMP0029"/>
    <n v="14"/>
    <s v="Thu"/>
    <x v="5"/>
    <x v="0"/>
  </r>
  <r>
    <x v="1032"/>
    <d v="2025-05-03T00:42:03"/>
    <x v="1026"/>
    <x v="4"/>
    <x v="15"/>
    <n v="1.5"/>
    <n v="2"/>
    <s v="USD"/>
    <x v="1"/>
    <s v="EMP0069"/>
    <n v="3"/>
    <s v="Sat"/>
    <x v="5"/>
    <x v="2"/>
  </r>
  <r>
    <x v="1033"/>
    <d v="2023-05-05T02:43:03"/>
    <x v="1027"/>
    <x v="11"/>
    <x v="6"/>
    <n v="7"/>
    <n v="1"/>
    <s v="USD"/>
    <x v="2"/>
    <s v="EMP0083"/>
    <n v="7"/>
    <s v="Fri"/>
    <x v="5"/>
    <x v="4"/>
  </r>
  <r>
    <x v="1034"/>
    <d v="2024-11-05T01:52:03"/>
    <x v="1028"/>
    <x v="4"/>
    <x v="4"/>
    <n v="3.2"/>
    <n v="2"/>
    <s v="USD"/>
    <x v="5"/>
    <s v="EMP0098"/>
    <n v="6.4"/>
    <s v="Tue"/>
    <x v="10"/>
    <x v="1"/>
  </r>
  <r>
    <x v="1035"/>
    <d v="2023-09-23T17:14:03"/>
    <x v="1029"/>
    <x v="6"/>
    <x v="1"/>
    <n v="1"/>
    <n v="1"/>
    <s v="USD"/>
    <x v="5"/>
    <s v="EMP0085"/>
    <n v="1"/>
    <s v="Sat"/>
    <x v="9"/>
    <x v="4"/>
  </r>
  <r>
    <x v="1036"/>
    <d v="2024-04-13T03:42:03"/>
    <x v="608"/>
    <x v="8"/>
    <x v="19"/>
    <n v="5.5"/>
    <n v="6"/>
    <s v="USD"/>
    <x v="5"/>
    <s v="EMP0011"/>
    <n v="33"/>
    <s v="Sat"/>
    <x v="11"/>
    <x v="1"/>
  </r>
  <r>
    <x v="1037"/>
    <d v="2021-10-21T22:39:03"/>
    <x v="1030"/>
    <x v="2"/>
    <x v="14"/>
    <n v="2.2000000000000002"/>
    <n v="1"/>
    <s v="USD"/>
    <x v="0"/>
    <s v="EMP0004"/>
    <n v="2.2000000000000002"/>
    <s v="Thu"/>
    <x v="0"/>
    <x v="0"/>
  </r>
  <r>
    <x v="1038"/>
    <d v="2022-01-11T05:55:03"/>
    <x v="1031"/>
    <x v="8"/>
    <x v="9"/>
    <n v="3"/>
    <n v="9"/>
    <s v="USD"/>
    <x v="2"/>
    <s v="EMP0040"/>
    <n v="27"/>
    <s v="Tue"/>
    <x v="2"/>
    <x v="3"/>
  </r>
  <r>
    <x v="1039"/>
    <d v="2022-07-20T19:33:03"/>
    <x v="1032"/>
    <x v="14"/>
    <x v="10"/>
    <n v="5"/>
    <n v="1"/>
    <s v="USD"/>
    <x v="3"/>
    <s v="EMP0044"/>
    <n v="5"/>
    <s v="Wed"/>
    <x v="8"/>
    <x v="3"/>
  </r>
  <r>
    <x v="1040"/>
    <d v="2025-01-15T02:36:03"/>
    <x v="1033"/>
    <x v="0"/>
    <x v="17"/>
    <n v="2.5"/>
    <n v="7"/>
    <s v="USD"/>
    <x v="3"/>
    <s v="EMP0028"/>
    <n v="17.5"/>
    <s v="Wed"/>
    <x v="2"/>
    <x v="2"/>
  </r>
  <r>
    <x v="1041"/>
    <d v="2021-09-07T15:53:03"/>
    <x v="1034"/>
    <x v="10"/>
    <x v="1"/>
    <n v="1"/>
    <n v="3"/>
    <s v="USD"/>
    <x v="2"/>
    <s v="EMP0075"/>
    <n v="3"/>
    <s v="Tue"/>
    <x v="9"/>
    <x v="0"/>
  </r>
  <r>
    <x v="1042"/>
    <d v="2024-01-18T11:24:03"/>
    <x v="1035"/>
    <x v="0"/>
    <x v="14"/>
    <n v="2.2000000000000002"/>
    <n v="8"/>
    <s v="USD"/>
    <x v="2"/>
    <s v="EMP0003"/>
    <n v="17.600000000000001"/>
    <s v="Thu"/>
    <x v="2"/>
    <x v="1"/>
  </r>
  <r>
    <x v="1043"/>
    <d v="2022-09-16T18:24:03"/>
    <x v="1036"/>
    <x v="2"/>
    <x v="14"/>
    <n v="2.2000000000000002"/>
    <n v="1"/>
    <s v="USD"/>
    <x v="0"/>
    <s v="EMP0081"/>
    <n v="2.2000000000000002"/>
    <s v="Fri"/>
    <x v="9"/>
    <x v="3"/>
  </r>
  <r>
    <x v="1044"/>
    <d v="2025-01-27T03:34:03"/>
    <x v="1037"/>
    <x v="14"/>
    <x v="19"/>
    <n v="5.5"/>
    <n v="8"/>
    <s v="USD"/>
    <x v="1"/>
    <s v="EMP0022"/>
    <n v="44"/>
    <s v="Mon"/>
    <x v="2"/>
    <x v="2"/>
  </r>
  <r>
    <x v="1045"/>
    <d v="2022-01-15T10:34:03"/>
    <x v="1038"/>
    <x v="4"/>
    <x v="19"/>
    <n v="5.5"/>
    <n v="2"/>
    <s v="USD"/>
    <x v="5"/>
    <s v="EMP0077"/>
    <n v="11"/>
    <s v="Sat"/>
    <x v="2"/>
    <x v="3"/>
  </r>
  <r>
    <x v="1046"/>
    <d v="2021-11-26T06:22:03"/>
    <x v="1039"/>
    <x v="14"/>
    <x v="11"/>
    <n v="4"/>
    <n v="7"/>
    <s v="USD"/>
    <x v="4"/>
    <s v="EMP0095"/>
    <n v="28"/>
    <s v="Fri"/>
    <x v="10"/>
    <x v="0"/>
  </r>
  <r>
    <x v="1047"/>
    <d v="2021-07-20T01:06:03"/>
    <x v="1040"/>
    <x v="7"/>
    <x v="16"/>
    <n v="4"/>
    <n v="9"/>
    <s v="USD"/>
    <x v="0"/>
    <s v="EMP0042"/>
    <n v="36"/>
    <s v="Tue"/>
    <x v="8"/>
    <x v="0"/>
  </r>
  <r>
    <x v="1048"/>
    <d v="2024-02-28T11:49:03"/>
    <x v="1041"/>
    <x v="6"/>
    <x v="4"/>
    <n v="3.2"/>
    <n v="2"/>
    <s v="USD"/>
    <x v="3"/>
    <s v="EMP0036"/>
    <n v="6.4"/>
    <s v="Wed"/>
    <x v="7"/>
    <x v="1"/>
  </r>
  <r>
    <x v="1049"/>
    <d v="2024-07-24T00:16:03"/>
    <x v="1042"/>
    <x v="0"/>
    <x v="7"/>
    <n v="2.8"/>
    <n v="9"/>
    <s v="USD"/>
    <x v="0"/>
    <s v="EMP0057"/>
    <n v="25.2"/>
    <s v="Wed"/>
    <x v="8"/>
    <x v="1"/>
  </r>
  <r>
    <x v="1050"/>
    <d v="2023-12-27T19:24:03"/>
    <x v="1043"/>
    <x v="6"/>
    <x v="19"/>
    <n v="5.5"/>
    <n v="10"/>
    <s v="USD"/>
    <x v="5"/>
    <s v="EMP0100"/>
    <n v="55"/>
    <s v="Wed"/>
    <x v="4"/>
    <x v="4"/>
  </r>
  <r>
    <x v="1051"/>
    <d v="2024-06-20T12:30:03"/>
    <x v="1044"/>
    <x v="10"/>
    <x v="9"/>
    <n v="3"/>
    <n v="1"/>
    <s v="USD"/>
    <x v="3"/>
    <s v="EMP0023"/>
    <n v="3"/>
    <s v="Thu"/>
    <x v="3"/>
    <x v="1"/>
  </r>
  <r>
    <x v="1052"/>
    <d v="2024-11-07T14:45:03"/>
    <x v="1045"/>
    <x v="12"/>
    <x v="8"/>
    <n v="4.5"/>
    <n v="7"/>
    <s v="USD"/>
    <x v="2"/>
    <s v="EMP0099"/>
    <n v="31.5"/>
    <s v="Thu"/>
    <x v="10"/>
    <x v="1"/>
  </r>
  <r>
    <x v="1053"/>
    <d v="2022-09-07T15:18:03"/>
    <x v="1046"/>
    <x v="2"/>
    <x v="14"/>
    <n v="2.2000000000000002"/>
    <n v="5"/>
    <s v="USD"/>
    <x v="1"/>
    <s v="EMP0058"/>
    <n v="11"/>
    <s v="Wed"/>
    <x v="9"/>
    <x v="3"/>
  </r>
  <r>
    <x v="1054"/>
    <d v="2023-01-17T06:15:03"/>
    <x v="1047"/>
    <x v="12"/>
    <x v="17"/>
    <n v="2.5"/>
    <n v="10"/>
    <s v="USD"/>
    <x v="0"/>
    <s v="EMP0092"/>
    <n v="25"/>
    <s v="Tue"/>
    <x v="2"/>
    <x v="4"/>
  </r>
  <r>
    <x v="1055"/>
    <d v="2022-07-20T18:21:03"/>
    <x v="1048"/>
    <x v="3"/>
    <x v="8"/>
    <n v="4.5"/>
    <n v="6"/>
    <s v="USD"/>
    <x v="5"/>
    <s v="EMP0001"/>
    <n v="27"/>
    <s v="Wed"/>
    <x v="8"/>
    <x v="3"/>
  </r>
  <r>
    <x v="1056"/>
    <d v="2022-03-24T06:14:03"/>
    <x v="1049"/>
    <x v="7"/>
    <x v="12"/>
    <n v="1.8"/>
    <n v="2"/>
    <s v="USD"/>
    <x v="1"/>
    <s v="EMP0047"/>
    <n v="3.6"/>
    <s v="Thu"/>
    <x v="1"/>
    <x v="3"/>
  </r>
  <r>
    <x v="1057"/>
    <d v="2022-04-29T21:12:03"/>
    <x v="1050"/>
    <x v="10"/>
    <x v="11"/>
    <n v="4"/>
    <n v="5"/>
    <s v="USD"/>
    <x v="3"/>
    <s v="EMP0025"/>
    <n v="20"/>
    <s v="Fri"/>
    <x v="11"/>
    <x v="3"/>
  </r>
  <r>
    <x v="1058"/>
    <d v="2024-09-21T08:43:03"/>
    <x v="1051"/>
    <x v="4"/>
    <x v="15"/>
    <n v="1.5"/>
    <n v="8"/>
    <s v="USD"/>
    <x v="0"/>
    <s v="EMP0021"/>
    <n v="12"/>
    <s v="Sat"/>
    <x v="9"/>
    <x v="1"/>
  </r>
  <r>
    <x v="1059"/>
    <d v="2021-08-06T12:23:03"/>
    <x v="1052"/>
    <x v="3"/>
    <x v="7"/>
    <n v="2.8"/>
    <n v="5"/>
    <s v="USD"/>
    <x v="0"/>
    <s v="EMP0056"/>
    <n v="14"/>
    <s v="Fri"/>
    <x v="6"/>
    <x v="0"/>
  </r>
  <r>
    <x v="1060"/>
    <d v="2023-12-12T02:47:03"/>
    <x v="1053"/>
    <x v="14"/>
    <x v="10"/>
    <n v="5"/>
    <n v="1"/>
    <s v="USD"/>
    <x v="3"/>
    <s v="EMP0095"/>
    <n v="5"/>
    <s v="Tue"/>
    <x v="4"/>
    <x v="4"/>
  </r>
  <r>
    <x v="1061"/>
    <d v="2025-01-21T20:15:03"/>
    <x v="1054"/>
    <x v="6"/>
    <x v="3"/>
    <n v="1.2"/>
    <n v="8"/>
    <s v="USD"/>
    <x v="1"/>
    <s v="EMP0015"/>
    <n v="9.6"/>
    <s v="Tue"/>
    <x v="2"/>
    <x v="2"/>
  </r>
  <r>
    <x v="1062"/>
    <d v="2024-12-15T05:40:03"/>
    <x v="1055"/>
    <x v="10"/>
    <x v="16"/>
    <n v="4"/>
    <n v="10"/>
    <s v="USD"/>
    <x v="4"/>
    <s v="EMP0054"/>
    <n v="40"/>
    <s v="Sun"/>
    <x v="4"/>
    <x v="1"/>
  </r>
  <r>
    <x v="1063"/>
    <d v="2024-03-27T13:43:03"/>
    <x v="1056"/>
    <x v="1"/>
    <x v="4"/>
    <n v="3.2"/>
    <n v="4"/>
    <s v="USD"/>
    <x v="3"/>
    <s v="EMP0042"/>
    <n v="12.8"/>
    <s v="Wed"/>
    <x v="1"/>
    <x v="1"/>
  </r>
  <r>
    <x v="1064"/>
    <d v="2024-01-29T10:11:03"/>
    <x v="1057"/>
    <x v="0"/>
    <x v="18"/>
    <n v="1.7"/>
    <n v="4"/>
    <s v="USD"/>
    <x v="5"/>
    <s v="EMP0029"/>
    <n v="6.8"/>
    <s v="Mon"/>
    <x v="2"/>
    <x v="1"/>
  </r>
  <r>
    <x v="1065"/>
    <d v="2024-12-09T21:49:03"/>
    <x v="1058"/>
    <x v="10"/>
    <x v="17"/>
    <n v="2.5"/>
    <n v="7"/>
    <s v="USD"/>
    <x v="0"/>
    <s v="EMP0028"/>
    <n v="17.5"/>
    <s v="Mon"/>
    <x v="4"/>
    <x v="1"/>
  </r>
  <r>
    <x v="1066"/>
    <d v="2021-12-07T23:15:03"/>
    <x v="1059"/>
    <x v="8"/>
    <x v="7"/>
    <n v="2.8"/>
    <n v="3"/>
    <s v="USD"/>
    <x v="5"/>
    <s v="EMP0093"/>
    <n v="8.3999999999999986"/>
    <s v="Tue"/>
    <x v="4"/>
    <x v="0"/>
  </r>
  <r>
    <x v="1067"/>
    <d v="2024-04-06T17:04:03"/>
    <x v="1060"/>
    <x v="11"/>
    <x v="11"/>
    <n v="4"/>
    <n v="6"/>
    <s v="USD"/>
    <x v="0"/>
    <s v="EMP0005"/>
    <n v="24"/>
    <s v="Sat"/>
    <x v="11"/>
    <x v="1"/>
  </r>
  <r>
    <x v="1068"/>
    <d v="2021-06-21T19:23:03"/>
    <x v="1061"/>
    <x v="11"/>
    <x v="14"/>
    <n v="2.2000000000000002"/>
    <n v="2"/>
    <s v="USD"/>
    <x v="5"/>
    <s v="EMP0059"/>
    <n v="4.4000000000000004"/>
    <s v="Mon"/>
    <x v="3"/>
    <x v="0"/>
  </r>
  <r>
    <x v="1069"/>
    <d v="2023-01-04T07:38:03"/>
    <x v="1062"/>
    <x v="5"/>
    <x v="2"/>
    <n v="2.5"/>
    <n v="5"/>
    <s v="USD"/>
    <x v="1"/>
    <s v="EMP0021"/>
    <n v="12.5"/>
    <s v="Wed"/>
    <x v="2"/>
    <x v="4"/>
  </r>
  <r>
    <x v="1070"/>
    <d v="2021-10-10T17:29:03"/>
    <x v="1063"/>
    <x v="6"/>
    <x v="16"/>
    <n v="4"/>
    <n v="9"/>
    <s v="USD"/>
    <x v="0"/>
    <s v="EMP0012"/>
    <n v="36"/>
    <s v="Sun"/>
    <x v="0"/>
    <x v="0"/>
  </r>
  <r>
    <x v="1071"/>
    <d v="2023-01-16T20:55:03"/>
    <x v="1064"/>
    <x v="4"/>
    <x v="11"/>
    <n v="4"/>
    <n v="10"/>
    <s v="USD"/>
    <x v="5"/>
    <s v="EMP0060"/>
    <n v="40"/>
    <s v="Mon"/>
    <x v="2"/>
    <x v="4"/>
  </r>
  <r>
    <x v="1072"/>
    <d v="2023-10-16T12:40:03"/>
    <x v="1065"/>
    <x v="8"/>
    <x v="2"/>
    <n v="2.5"/>
    <n v="4"/>
    <s v="USD"/>
    <x v="4"/>
    <s v="EMP0056"/>
    <n v="10"/>
    <s v="Mon"/>
    <x v="0"/>
    <x v="4"/>
  </r>
  <r>
    <x v="1073"/>
    <d v="2022-02-08T05:29:03"/>
    <x v="1066"/>
    <x v="1"/>
    <x v="16"/>
    <n v="4"/>
    <n v="3"/>
    <s v="USD"/>
    <x v="1"/>
    <s v="EMP0001"/>
    <n v="12"/>
    <s v="Tue"/>
    <x v="7"/>
    <x v="3"/>
  </r>
  <r>
    <x v="1074"/>
    <d v="2023-01-05T12:24:03"/>
    <x v="1067"/>
    <x v="10"/>
    <x v="12"/>
    <n v="1.8"/>
    <n v="1"/>
    <s v="USD"/>
    <x v="5"/>
    <s v="EMP0068"/>
    <n v="1.8"/>
    <s v="Thu"/>
    <x v="2"/>
    <x v="4"/>
  </r>
  <r>
    <x v="1075"/>
    <d v="2023-02-21T21:35:03"/>
    <x v="1068"/>
    <x v="14"/>
    <x v="19"/>
    <n v="5.5"/>
    <n v="8"/>
    <s v="USD"/>
    <x v="5"/>
    <s v="EMP0031"/>
    <n v="44"/>
    <s v="Tue"/>
    <x v="7"/>
    <x v="4"/>
  </r>
  <r>
    <x v="1076"/>
    <d v="2024-11-19T19:38:03"/>
    <x v="1069"/>
    <x v="13"/>
    <x v="18"/>
    <n v="1.7"/>
    <n v="4"/>
    <s v="USD"/>
    <x v="0"/>
    <s v="EMP0046"/>
    <n v="6.8"/>
    <s v="Tue"/>
    <x v="10"/>
    <x v="1"/>
  </r>
  <r>
    <x v="1077"/>
    <d v="2023-09-12T05:45:03"/>
    <x v="1070"/>
    <x v="7"/>
    <x v="3"/>
    <n v="1.2"/>
    <n v="8"/>
    <s v="USD"/>
    <x v="2"/>
    <s v="EMP0040"/>
    <n v="9.6"/>
    <s v="Tue"/>
    <x v="9"/>
    <x v="4"/>
  </r>
  <r>
    <x v="1078"/>
    <d v="2024-06-11T14:57:03"/>
    <x v="1071"/>
    <x v="4"/>
    <x v="16"/>
    <n v="4"/>
    <n v="10"/>
    <s v="USD"/>
    <x v="3"/>
    <s v="EMP0059"/>
    <n v="40"/>
    <s v="Tue"/>
    <x v="3"/>
    <x v="1"/>
  </r>
  <r>
    <x v="1079"/>
    <d v="2022-10-03T08:31:03"/>
    <x v="1072"/>
    <x v="0"/>
    <x v="6"/>
    <n v="7"/>
    <n v="3"/>
    <s v="USD"/>
    <x v="4"/>
    <s v="EMP0081"/>
    <n v="21"/>
    <s v="Mon"/>
    <x v="0"/>
    <x v="3"/>
  </r>
  <r>
    <x v="1080"/>
    <d v="2022-10-01T14:46:03"/>
    <x v="1073"/>
    <x v="13"/>
    <x v="9"/>
    <n v="3"/>
    <n v="7"/>
    <s v="USD"/>
    <x v="2"/>
    <s v="EMP0043"/>
    <n v="21"/>
    <s v="Sat"/>
    <x v="0"/>
    <x v="3"/>
  </r>
  <r>
    <x v="1081"/>
    <d v="2022-05-18T12:08:03"/>
    <x v="1074"/>
    <x v="8"/>
    <x v="0"/>
    <n v="3.1"/>
    <n v="10"/>
    <s v="USD"/>
    <x v="1"/>
    <s v="EMP0074"/>
    <n v="31"/>
    <s v="Wed"/>
    <x v="5"/>
    <x v="3"/>
  </r>
  <r>
    <x v="1082"/>
    <d v="2024-03-10T16:21:03"/>
    <x v="1075"/>
    <x v="12"/>
    <x v="4"/>
    <n v="3.2"/>
    <n v="1"/>
    <s v="USD"/>
    <x v="1"/>
    <s v="EMP0087"/>
    <n v="3.2"/>
    <s v="Sun"/>
    <x v="1"/>
    <x v="1"/>
  </r>
  <r>
    <x v="1083"/>
    <d v="2023-04-25T12:19:03"/>
    <x v="1076"/>
    <x v="8"/>
    <x v="7"/>
    <n v="2.8"/>
    <n v="8"/>
    <s v="USD"/>
    <x v="1"/>
    <s v="EMP0006"/>
    <n v="22.4"/>
    <s v="Tue"/>
    <x v="11"/>
    <x v="4"/>
  </r>
  <r>
    <x v="1084"/>
    <d v="2023-04-22T02:15:03"/>
    <x v="1077"/>
    <x v="3"/>
    <x v="1"/>
    <n v="1"/>
    <n v="2"/>
    <s v="USD"/>
    <x v="1"/>
    <s v="EMP0091"/>
    <n v="2"/>
    <s v="Sat"/>
    <x v="11"/>
    <x v="4"/>
  </r>
  <r>
    <x v="1085"/>
    <d v="2024-03-16T09:05:03"/>
    <x v="1078"/>
    <x v="2"/>
    <x v="1"/>
    <n v="1"/>
    <n v="2"/>
    <s v="USD"/>
    <x v="2"/>
    <s v="EMP0062"/>
    <n v="2"/>
    <s v="Sat"/>
    <x v="1"/>
    <x v="1"/>
  </r>
  <r>
    <x v="1086"/>
    <d v="2022-02-05T15:13:03"/>
    <x v="1079"/>
    <x v="14"/>
    <x v="2"/>
    <n v="2.5"/>
    <n v="6"/>
    <s v="USD"/>
    <x v="4"/>
    <s v="EMP0035"/>
    <n v="15"/>
    <s v="Sat"/>
    <x v="7"/>
    <x v="3"/>
  </r>
  <r>
    <x v="1087"/>
    <d v="2022-07-12T15:59:03"/>
    <x v="1080"/>
    <x v="11"/>
    <x v="17"/>
    <n v="2.5"/>
    <n v="2"/>
    <s v="USD"/>
    <x v="4"/>
    <s v="EMP0045"/>
    <n v="5"/>
    <s v="Tue"/>
    <x v="8"/>
    <x v="3"/>
  </r>
  <r>
    <x v="1088"/>
    <d v="2022-10-25T21:54:03"/>
    <x v="1081"/>
    <x v="9"/>
    <x v="19"/>
    <n v="5.5"/>
    <n v="8"/>
    <s v="USD"/>
    <x v="2"/>
    <s v="EMP0069"/>
    <n v="44"/>
    <s v="Tue"/>
    <x v="0"/>
    <x v="3"/>
  </r>
  <r>
    <x v="1089"/>
    <d v="2021-07-19T19:29:03"/>
    <x v="1082"/>
    <x v="11"/>
    <x v="10"/>
    <n v="5"/>
    <n v="10"/>
    <s v="USD"/>
    <x v="4"/>
    <s v="EMP0087"/>
    <n v="50"/>
    <s v="Mon"/>
    <x v="8"/>
    <x v="0"/>
  </r>
  <r>
    <x v="1090"/>
    <d v="2021-06-20T11:14:03"/>
    <x v="1083"/>
    <x v="1"/>
    <x v="10"/>
    <n v="5"/>
    <n v="2"/>
    <s v="USD"/>
    <x v="3"/>
    <s v="EMP0051"/>
    <n v="10"/>
    <s v="Sun"/>
    <x v="3"/>
    <x v="0"/>
  </r>
  <r>
    <x v="1091"/>
    <d v="2024-05-08T04:22:03"/>
    <x v="1084"/>
    <x v="7"/>
    <x v="13"/>
    <n v="0.8"/>
    <n v="5"/>
    <s v="USD"/>
    <x v="3"/>
    <s v="EMP0090"/>
    <n v="4"/>
    <s v="Wed"/>
    <x v="5"/>
    <x v="1"/>
  </r>
  <r>
    <x v="1092"/>
    <d v="2024-07-09T22:17:03"/>
    <x v="1085"/>
    <x v="4"/>
    <x v="11"/>
    <n v="4"/>
    <n v="9"/>
    <s v="USD"/>
    <x v="2"/>
    <s v="EMP0003"/>
    <n v="36"/>
    <s v="Tue"/>
    <x v="8"/>
    <x v="1"/>
  </r>
  <r>
    <x v="1093"/>
    <d v="2023-09-16T23:43:03"/>
    <x v="1086"/>
    <x v="9"/>
    <x v="14"/>
    <n v="2.2000000000000002"/>
    <n v="8"/>
    <s v="USD"/>
    <x v="4"/>
    <s v="EMP0054"/>
    <n v="17.600000000000001"/>
    <s v="Sat"/>
    <x v="9"/>
    <x v="4"/>
  </r>
  <r>
    <x v="1094"/>
    <d v="2022-11-11T13:45:03"/>
    <x v="516"/>
    <x v="13"/>
    <x v="8"/>
    <n v="4.5"/>
    <n v="4"/>
    <s v="USD"/>
    <x v="3"/>
    <s v="EMP0003"/>
    <n v="18"/>
    <s v="Fri"/>
    <x v="10"/>
    <x v="3"/>
  </r>
  <r>
    <x v="1095"/>
    <d v="2024-01-19T20:45:03"/>
    <x v="1087"/>
    <x v="5"/>
    <x v="18"/>
    <n v="1.7"/>
    <n v="10"/>
    <s v="USD"/>
    <x v="4"/>
    <s v="EMP0084"/>
    <n v="17"/>
    <s v="Fri"/>
    <x v="2"/>
    <x v="1"/>
  </r>
  <r>
    <x v="1096"/>
    <d v="2021-09-24T02:55:03"/>
    <x v="1088"/>
    <x v="12"/>
    <x v="12"/>
    <n v="1.8"/>
    <n v="9"/>
    <s v="USD"/>
    <x v="5"/>
    <s v="EMP0059"/>
    <n v="16.2"/>
    <s v="Fri"/>
    <x v="9"/>
    <x v="0"/>
  </r>
  <r>
    <x v="1097"/>
    <d v="2023-08-25T19:18:03"/>
    <x v="1089"/>
    <x v="1"/>
    <x v="8"/>
    <n v="4.5"/>
    <n v="3"/>
    <s v="USD"/>
    <x v="4"/>
    <s v="EMP0030"/>
    <n v="13.5"/>
    <s v="Fri"/>
    <x v="6"/>
    <x v="4"/>
  </r>
  <r>
    <x v="1098"/>
    <d v="2022-08-22T02:08:03"/>
    <x v="1090"/>
    <x v="14"/>
    <x v="17"/>
    <n v="2.5"/>
    <n v="3"/>
    <s v="USD"/>
    <x v="4"/>
    <s v="EMP0037"/>
    <n v="7.5"/>
    <s v="Mon"/>
    <x v="6"/>
    <x v="3"/>
  </r>
  <r>
    <x v="1099"/>
    <d v="2022-10-19T07:47:03"/>
    <x v="1091"/>
    <x v="1"/>
    <x v="13"/>
    <n v="0.8"/>
    <n v="9"/>
    <s v="USD"/>
    <x v="4"/>
    <s v="EMP0024"/>
    <n v="7.2"/>
    <s v="Wed"/>
    <x v="0"/>
    <x v="3"/>
  </r>
  <r>
    <x v="1100"/>
    <d v="2024-05-14T14:42:03"/>
    <x v="1092"/>
    <x v="1"/>
    <x v="14"/>
    <n v="2.2000000000000002"/>
    <n v="3"/>
    <s v="USD"/>
    <x v="0"/>
    <s v="EMP0015"/>
    <n v="6.6000000000000005"/>
    <s v="Tue"/>
    <x v="5"/>
    <x v="1"/>
  </r>
  <r>
    <x v="1101"/>
    <d v="2025-02-14T02:50:03"/>
    <x v="1093"/>
    <x v="6"/>
    <x v="10"/>
    <n v="5"/>
    <n v="5"/>
    <s v="USD"/>
    <x v="4"/>
    <s v="EMP0024"/>
    <n v="25"/>
    <s v="Fri"/>
    <x v="7"/>
    <x v="2"/>
  </r>
  <r>
    <x v="1102"/>
    <d v="2024-03-14T19:41:03"/>
    <x v="1094"/>
    <x v="13"/>
    <x v="4"/>
    <n v="3.2"/>
    <n v="6"/>
    <s v="USD"/>
    <x v="0"/>
    <s v="EMP0048"/>
    <n v="19.200000000000003"/>
    <s v="Thu"/>
    <x v="1"/>
    <x v="1"/>
  </r>
  <r>
    <x v="1103"/>
    <d v="2022-11-02T20:16:03"/>
    <x v="1095"/>
    <x v="9"/>
    <x v="8"/>
    <n v="4.5"/>
    <n v="2"/>
    <s v="USD"/>
    <x v="3"/>
    <s v="EMP0052"/>
    <n v="9"/>
    <s v="Wed"/>
    <x v="10"/>
    <x v="3"/>
  </r>
  <r>
    <x v="1104"/>
    <d v="2022-07-22T08:57:03"/>
    <x v="1096"/>
    <x v="1"/>
    <x v="4"/>
    <n v="3.2"/>
    <n v="3"/>
    <s v="USD"/>
    <x v="3"/>
    <s v="EMP0095"/>
    <n v="9.6000000000000014"/>
    <s v="Fri"/>
    <x v="8"/>
    <x v="3"/>
  </r>
  <r>
    <x v="1105"/>
    <d v="2022-04-16T21:05:03"/>
    <x v="1097"/>
    <x v="3"/>
    <x v="8"/>
    <n v="4.5"/>
    <n v="8"/>
    <s v="USD"/>
    <x v="4"/>
    <s v="EMP0097"/>
    <n v="36"/>
    <s v="Sat"/>
    <x v="11"/>
    <x v="3"/>
  </r>
  <r>
    <x v="1106"/>
    <d v="2022-02-19T16:17:03"/>
    <x v="1098"/>
    <x v="14"/>
    <x v="16"/>
    <n v="4"/>
    <n v="8"/>
    <s v="USD"/>
    <x v="4"/>
    <s v="EMP0089"/>
    <n v="32"/>
    <s v="Sat"/>
    <x v="7"/>
    <x v="3"/>
  </r>
  <r>
    <x v="1107"/>
    <d v="2024-09-20T13:56:03"/>
    <x v="1099"/>
    <x v="1"/>
    <x v="17"/>
    <n v="2.5"/>
    <n v="3"/>
    <s v="USD"/>
    <x v="2"/>
    <s v="EMP0071"/>
    <n v="7.5"/>
    <s v="Fri"/>
    <x v="9"/>
    <x v="1"/>
  </r>
  <r>
    <x v="1108"/>
    <d v="2024-09-12T04:25:03"/>
    <x v="1100"/>
    <x v="8"/>
    <x v="5"/>
    <n v="1"/>
    <n v="4"/>
    <s v="USD"/>
    <x v="5"/>
    <s v="EMP0046"/>
    <n v="4"/>
    <s v="Thu"/>
    <x v="9"/>
    <x v="1"/>
  </r>
  <r>
    <x v="1109"/>
    <d v="2024-11-01T03:23:03"/>
    <x v="1101"/>
    <x v="12"/>
    <x v="11"/>
    <n v="4"/>
    <n v="10"/>
    <s v="USD"/>
    <x v="1"/>
    <s v="EMP0029"/>
    <n v="40"/>
    <s v="Fri"/>
    <x v="10"/>
    <x v="1"/>
  </r>
  <r>
    <x v="1110"/>
    <d v="2023-10-18T07:25:03"/>
    <x v="1102"/>
    <x v="7"/>
    <x v="1"/>
    <n v="1"/>
    <n v="8"/>
    <s v="USD"/>
    <x v="2"/>
    <s v="EMP0086"/>
    <n v="8"/>
    <s v="Wed"/>
    <x v="0"/>
    <x v="4"/>
  </r>
  <r>
    <x v="1111"/>
    <d v="2024-11-11T21:01:03"/>
    <x v="1103"/>
    <x v="2"/>
    <x v="15"/>
    <n v="1.5"/>
    <n v="6"/>
    <s v="USD"/>
    <x v="1"/>
    <s v="EMP0078"/>
    <n v="9"/>
    <s v="Mon"/>
    <x v="10"/>
    <x v="1"/>
  </r>
  <r>
    <x v="1112"/>
    <d v="2022-06-27T11:28:03"/>
    <x v="1104"/>
    <x v="3"/>
    <x v="7"/>
    <n v="2.8"/>
    <n v="7"/>
    <s v="USD"/>
    <x v="0"/>
    <s v="EMP0092"/>
    <n v="19.599999999999998"/>
    <s v="Mon"/>
    <x v="3"/>
    <x v="3"/>
  </r>
  <r>
    <x v="1113"/>
    <d v="2022-12-16T02:02:03"/>
    <x v="1105"/>
    <x v="5"/>
    <x v="3"/>
    <n v="1.2"/>
    <n v="5"/>
    <s v="USD"/>
    <x v="4"/>
    <s v="EMP0045"/>
    <n v="6"/>
    <s v="Fri"/>
    <x v="4"/>
    <x v="3"/>
  </r>
  <r>
    <x v="1114"/>
    <d v="2023-08-17T22:31:03"/>
    <x v="1106"/>
    <x v="9"/>
    <x v="9"/>
    <n v="3"/>
    <n v="4"/>
    <s v="USD"/>
    <x v="2"/>
    <s v="EMP0057"/>
    <n v="12"/>
    <s v="Thu"/>
    <x v="6"/>
    <x v="4"/>
  </r>
  <r>
    <x v="1115"/>
    <d v="2023-01-08T23:08:03"/>
    <x v="1107"/>
    <x v="6"/>
    <x v="18"/>
    <n v="1.7"/>
    <n v="7"/>
    <s v="USD"/>
    <x v="0"/>
    <s v="EMP0076"/>
    <n v="11.9"/>
    <s v="Sun"/>
    <x v="2"/>
    <x v="4"/>
  </r>
  <r>
    <x v="1116"/>
    <d v="2022-01-01T11:17:03"/>
    <x v="1108"/>
    <x v="2"/>
    <x v="8"/>
    <n v="4.5"/>
    <n v="8"/>
    <s v="USD"/>
    <x v="1"/>
    <s v="EMP0043"/>
    <n v="36"/>
    <s v="Sat"/>
    <x v="2"/>
    <x v="3"/>
  </r>
  <r>
    <x v="1117"/>
    <d v="2024-12-24T18:38:03"/>
    <x v="1109"/>
    <x v="8"/>
    <x v="9"/>
    <n v="3"/>
    <n v="1"/>
    <s v="USD"/>
    <x v="5"/>
    <s v="EMP0082"/>
    <n v="3"/>
    <s v="Tue"/>
    <x v="4"/>
    <x v="1"/>
  </r>
  <r>
    <x v="1118"/>
    <d v="2023-10-28T00:15:03"/>
    <x v="1110"/>
    <x v="9"/>
    <x v="10"/>
    <n v="5"/>
    <n v="10"/>
    <s v="USD"/>
    <x v="0"/>
    <s v="EMP0026"/>
    <n v="50"/>
    <s v="Sat"/>
    <x v="0"/>
    <x v="4"/>
  </r>
  <r>
    <x v="1119"/>
    <d v="2024-04-24T01:08:03"/>
    <x v="1111"/>
    <x v="9"/>
    <x v="15"/>
    <n v="1.5"/>
    <n v="1"/>
    <s v="USD"/>
    <x v="4"/>
    <s v="EMP0075"/>
    <n v="1.5"/>
    <s v="Wed"/>
    <x v="11"/>
    <x v="1"/>
  </r>
  <r>
    <x v="1120"/>
    <d v="2023-08-25T21:51:03"/>
    <x v="1112"/>
    <x v="0"/>
    <x v="10"/>
    <n v="5"/>
    <n v="4"/>
    <s v="USD"/>
    <x v="3"/>
    <s v="EMP0001"/>
    <n v="20"/>
    <s v="Fri"/>
    <x v="6"/>
    <x v="4"/>
  </r>
  <r>
    <x v="1121"/>
    <d v="2024-06-28T05:07:03"/>
    <x v="1113"/>
    <x v="3"/>
    <x v="15"/>
    <n v="1.5"/>
    <n v="2"/>
    <s v="USD"/>
    <x v="2"/>
    <s v="EMP0086"/>
    <n v="3"/>
    <s v="Fri"/>
    <x v="3"/>
    <x v="1"/>
  </r>
  <r>
    <x v="1122"/>
    <d v="2023-09-28T00:15:03"/>
    <x v="1114"/>
    <x v="10"/>
    <x v="2"/>
    <n v="2.5"/>
    <n v="1"/>
    <s v="USD"/>
    <x v="3"/>
    <s v="EMP0098"/>
    <n v="2.5"/>
    <s v="Thu"/>
    <x v="9"/>
    <x v="4"/>
  </r>
  <r>
    <x v="1123"/>
    <d v="2023-10-19T22:22:03"/>
    <x v="1115"/>
    <x v="12"/>
    <x v="7"/>
    <n v="2.8"/>
    <n v="10"/>
    <s v="USD"/>
    <x v="5"/>
    <s v="EMP0073"/>
    <n v="28"/>
    <s v="Thu"/>
    <x v="0"/>
    <x v="4"/>
  </r>
  <r>
    <x v="1124"/>
    <d v="2022-11-28T04:46:03"/>
    <x v="1116"/>
    <x v="3"/>
    <x v="15"/>
    <n v="1.5"/>
    <n v="2"/>
    <s v="USD"/>
    <x v="4"/>
    <s v="EMP0066"/>
    <n v="3"/>
    <s v="Mon"/>
    <x v="10"/>
    <x v="3"/>
  </r>
  <r>
    <x v="1125"/>
    <d v="2022-02-16T12:32:03"/>
    <x v="1117"/>
    <x v="11"/>
    <x v="13"/>
    <n v="0.8"/>
    <n v="10"/>
    <s v="USD"/>
    <x v="3"/>
    <s v="EMP0019"/>
    <n v="8"/>
    <s v="Wed"/>
    <x v="7"/>
    <x v="3"/>
  </r>
  <r>
    <x v="1126"/>
    <d v="2023-07-24T22:30:03"/>
    <x v="1118"/>
    <x v="0"/>
    <x v="14"/>
    <n v="2.2000000000000002"/>
    <n v="6"/>
    <s v="USD"/>
    <x v="0"/>
    <s v="EMP0007"/>
    <n v="13.200000000000001"/>
    <s v="Mon"/>
    <x v="8"/>
    <x v="4"/>
  </r>
  <r>
    <x v="1127"/>
    <d v="2023-10-29T02:00:03"/>
    <x v="1119"/>
    <x v="3"/>
    <x v="7"/>
    <n v="2.8"/>
    <n v="1"/>
    <s v="USD"/>
    <x v="4"/>
    <s v="EMP0038"/>
    <n v="2.8"/>
    <s v="Sun"/>
    <x v="0"/>
    <x v="4"/>
  </r>
  <r>
    <x v="1128"/>
    <d v="2022-05-20T16:27:03"/>
    <x v="1120"/>
    <x v="7"/>
    <x v="12"/>
    <n v="1.8"/>
    <n v="4"/>
    <s v="USD"/>
    <x v="2"/>
    <s v="EMP0024"/>
    <n v="7.2"/>
    <s v="Fri"/>
    <x v="5"/>
    <x v="3"/>
  </r>
  <r>
    <x v="1129"/>
    <d v="2024-10-27T17:38:03"/>
    <x v="1121"/>
    <x v="6"/>
    <x v="1"/>
    <n v="1"/>
    <n v="6"/>
    <s v="USD"/>
    <x v="4"/>
    <s v="EMP0088"/>
    <n v="6"/>
    <s v="Sun"/>
    <x v="0"/>
    <x v="1"/>
  </r>
  <r>
    <x v="1130"/>
    <d v="2023-09-01T04:43:03"/>
    <x v="1122"/>
    <x v="0"/>
    <x v="7"/>
    <n v="2.8"/>
    <n v="2"/>
    <s v="USD"/>
    <x v="1"/>
    <s v="EMP0075"/>
    <n v="5.6"/>
    <s v="Fri"/>
    <x v="9"/>
    <x v="4"/>
  </r>
  <r>
    <x v="1131"/>
    <d v="2023-05-20T09:26:03"/>
    <x v="1123"/>
    <x v="6"/>
    <x v="12"/>
    <n v="1.8"/>
    <n v="5"/>
    <s v="USD"/>
    <x v="4"/>
    <s v="EMP0100"/>
    <n v="9"/>
    <s v="Sat"/>
    <x v="5"/>
    <x v="4"/>
  </r>
  <r>
    <x v="1132"/>
    <d v="2022-08-20T00:05:03"/>
    <x v="1124"/>
    <x v="1"/>
    <x v="13"/>
    <n v="0.8"/>
    <n v="2"/>
    <s v="USD"/>
    <x v="0"/>
    <s v="EMP0020"/>
    <n v="1.6"/>
    <s v="Sat"/>
    <x v="6"/>
    <x v="3"/>
  </r>
  <r>
    <x v="1133"/>
    <d v="2022-07-14T05:33:03"/>
    <x v="1125"/>
    <x v="2"/>
    <x v="1"/>
    <n v="1"/>
    <n v="10"/>
    <s v="USD"/>
    <x v="2"/>
    <s v="EMP0068"/>
    <n v="10"/>
    <s v="Thu"/>
    <x v="8"/>
    <x v="3"/>
  </r>
  <r>
    <x v="1134"/>
    <d v="2022-05-15T14:51:03"/>
    <x v="1126"/>
    <x v="0"/>
    <x v="19"/>
    <n v="5.5"/>
    <n v="7"/>
    <s v="USD"/>
    <x v="5"/>
    <s v="EMP0010"/>
    <n v="38.5"/>
    <s v="Sun"/>
    <x v="5"/>
    <x v="3"/>
  </r>
  <r>
    <x v="1135"/>
    <d v="2024-09-13T08:27:03"/>
    <x v="1127"/>
    <x v="13"/>
    <x v="15"/>
    <n v="1.5"/>
    <n v="6"/>
    <s v="USD"/>
    <x v="4"/>
    <s v="EMP0089"/>
    <n v="9"/>
    <s v="Fri"/>
    <x v="9"/>
    <x v="1"/>
  </r>
  <r>
    <x v="1136"/>
    <d v="2023-04-28T08:34:03"/>
    <x v="1128"/>
    <x v="10"/>
    <x v="5"/>
    <n v="1"/>
    <n v="9"/>
    <s v="USD"/>
    <x v="4"/>
    <s v="EMP0023"/>
    <n v="9"/>
    <s v="Fri"/>
    <x v="11"/>
    <x v="4"/>
  </r>
  <r>
    <x v="1137"/>
    <d v="2021-05-17T04:25:03"/>
    <x v="1129"/>
    <x v="0"/>
    <x v="19"/>
    <n v="5.5"/>
    <n v="4"/>
    <s v="USD"/>
    <x v="0"/>
    <s v="EMP0089"/>
    <n v="22"/>
    <s v="Mon"/>
    <x v="5"/>
    <x v="0"/>
  </r>
  <r>
    <x v="1138"/>
    <d v="2024-07-21T15:12:03"/>
    <x v="1130"/>
    <x v="11"/>
    <x v="14"/>
    <n v="2.2000000000000002"/>
    <n v="4"/>
    <s v="USD"/>
    <x v="0"/>
    <s v="EMP0011"/>
    <n v="8.8000000000000007"/>
    <s v="Sun"/>
    <x v="8"/>
    <x v="1"/>
  </r>
  <r>
    <x v="1139"/>
    <d v="2022-12-20T14:38:03"/>
    <x v="1131"/>
    <x v="14"/>
    <x v="19"/>
    <n v="5.5"/>
    <n v="2"/>
    <s v="USD"/>
    <x v="3"/>
    <s v="EMP0100"/>
    <n v="11"/>
    <s v="Tue"/>
    <x v="4"/>
    <x v="3"/>
  </r>
  <r>
    <x v="1140"/>
    <d v="2022-08-22T00:24:03"/>
    <x v="1132"/>
    <x v="2"/>
    <x v="19"/>
    <n v="5.5"/>
    <n v="1"/>
    <s v="USD"/>
    <x v="2"/>
    <s v="EMP0066"/>
    <n v="5.5"/>
    <s v="Mon"/>
    <x v="6"/>
    <x v="3"/>
  </r>
  <r>
    <x v="1141"/>
    <d v="2022-01-11T11:56:03"/>
    <x v="1133"/>
    <x v="7"/>
    <x v="0"/>
    <n v="3.1"/>
    <n v="1"/>
    <s v="USD"/>
    <x v="3"/>
    <s v="EMP0039"/>
    <n v="3.1"/>
    <s v="Tue"/>
    <x v="2"/>
    <x v="3"/>
  </r>
  <r>
    <x v="1142"/>
    <d v="2021-08-11T12:38:03"/>
    <x v="1134"/>
    <x v="7"/>
    <x v="19"/>
    <n v="5.5"/>
    <n v="10"/>
    <s v="USD"/>
    <x v="0"/>
    <s v="EMP0076"/>
    <n v="55"/>
    <s v="Wed"/>
    <x v="6"/>
    <x v="0"/>
  </r>
  <r>
    <x v="1143"/>
    <d v="2024-03-26T07:44:03"/>
    <x v="1135"/>
    <x v="5"/>
    <x v="3"/>
    <n v="1.2"/>
    <n v="2"/>
    <s v="USD"/>
    <x v="0"/>
    <s v="EMP0096"/>
    <n v="2.4"/>
    <s v="Tue"/>
    <x v="1"/>
    <x v="1"/>
  </r>
  <r>
    <x v="1144"/>
    <d v="2023-10-18T19:04:03"/>
    <x v="1136"/>
    <x v="5"/>
    <x v="13"/>
    <n v="0.8"/>
    <n v="9"/>
    <s v="USD"/>
    <x v="2"/>
    <s v="EMP0079"/>
    <n v="7.2"/>
    <s v="Wed"/>
    <x v="0"/>
    <x v="4"/>
  </r>
  <r>
    <x v="1145"/>
    <d v="2023-12-30T20:50:03"/>
    <x v="1137"/>
    <x v="7"/>
    <x v="19"/>
    <n v="5.5"/>
    <n v="10"/>
    <s v="USD"/>
    <x v="3"/>
    <s v="EMP0068"/>
    <n v="55"/>
    <s v="Sat"/>
    <x v="4"/>
    <x v="4"/>
  </r>
  <r>
    <x v="1146"/>
    <d v="2024-02-19T15:14:03"/>
    <x v="1138"/>
    <x v="11"/>
    <x v="13"/>
    <n v="0.8"/>
    <n v="9"/>
    <s v="USD"/>
    <x v="3"/>
    <s v="EMP0093"/>
    <n v="7.2"/>
    <s v="Mon"/>
    <x v="7"/>
    <x v="1"/>
  </r>
  <r>
    <x v="1147"/>
    <d v="2024-10-19T06:28:03"/>
    <x v="1139"/>
    <x v="9"/>
    <x v="15"/>
    <n v="1.5"/>
    <n v="6"/>
    <s v="USD"/>
    <x v="2"/>
    <s v="EMP0076"/>
    <n v="9"/>
    <s v="Sat"/>
    <x v="0"/>
    <x v="1"/>
  </r>
  <r>
    <x v="1148"/>
    <d v="2024-04-24T22:43:03"/>
    <x v="1140"/>
    <x v="7"/>
    <x v="13"/>
    <n v="0.8"/>
    <n v="6"/>
    <s v="USD"/>
    <x v="5"/>
    <s v="EMP0055"/>
    <n v="4.8000000000000007"/>
    <s v="Wed"/>
    <x v="11"/>
    <x v="1"/>
  </r>
  <r>
    <x v="1149"/>
    <d v="2024-02-25T21:12:03"/>
    <x v="1141"/>
    <x v="8"/>
    <x v="19"/>
    <n v="5.5"/>
    <n v="6"/>
    <s v="USD"/>
    <x v="3"/>
    <s v="EMP0060"/>
    <n v="33"/>
    <s v="Sun"/>
    <x v="7"/>
    <x v="1"/>
  </r>
  <r>
    <x v="1150"/>
    <d v="2024-09-25T21:18:03"/>
    <x v="1142"/>
    <x v="10"/>
    <x v="7"/>
    <n v="2.8"/>
    <n v="5"/>
    <s v="USD"/>
    <x v="1"/>
    <s v="EMP0093"/>
    <n v="14"/>
    <s v="Wed"/>
    <x v="9"/>
    <x v="1"/>
  </r>
  <r>
    <x v="1151"/>
    <d v="2025-02-15T11:06:03"/>
    <x v="1143"/>
    <x v="10"/>
    <x v="19"/>
    <n v="5.5"/>
    <n v="7"/>
    <s v="USD"/>
    <x v="4"/>
    <s v="EMP0059"/>
    <n v="38.5"/>
    <s v="Sat"/>
    <x v="7"/>
    <x v="2"/>
  </r>
  <r>
    <x v="1152"/>
    <d v="2021-12-26T14:07:03"/>
    <x v="1144"/>
    <x v="3"/>
    <x v="10"/>
    <n v="5"/>
    <n v="4"/>
    <s v="USD"/>
    <x v="1"/>
    <s v="EMP0053"/>
    <n v="20"/>
    <s v="Sun"/>
    <x v="4"/>
    <x v="0"/>
  </r>
  <r>
    <x v="1153"/>
    <d v="2023-09-22T00:14:03"/>
    <x v="1145"/>
    <x v="4"/>
    <x v="9"/>
    <n v="3"/>
    <n v="8"/>
    <s v="USD"/>
    <x v="2"/>
    <s v="EMP0048"/>
    <n v="24"/>
    <s v="Fri"/>
    <x v="9"/>
    <x v="4"/>
  </r>
  <r>
    <x v="1154"/>
    <d v="2024-05-07T12:43:03"/>
    <x v="1146"/>
    <x v="10"/>
    <x v="19"/>
    <n v="5.5"/>
    <n v="7"/>
    <s v="USD"/>
    <x v="5"/>
    <s v="EMP0067"/>
    <n v="38.5"/>
    <s v="Tue"/>
    <x v="5"/>
    <x v="1"/>
  </r>
  <r>
    <x v="1155"/>
    <d v="2021-08-29T16:21:03"/>
    <x v="1147"/>
    <x v="7"/>
    <x v="14"/>
    <n v="2.2000000000000002"/>
    <n v="7"/>
    <s v="USD"/>
    <x v="5"/>
    <s v="EMP0089"/>
    <n v="15.400000000000002"/>
    <s v="Sun"/>
    <x v="6"/>
    <x v="0"/>
  </r>
  <r>
    <x v="1156"/>
    <d v="2022-01-16T09:39:03"/>
    <x v="1148"/>
    <x v="1"/>
    <x v="13"/>
    <n v="0.8"/>
    <n v="2"/>
    <s v="USD"/>
    <x v="4"/>
    <s v="EMP0026"/>
    <n v="1.6"/>
    <s v="Sun"/>
    <x v="2"/>
    <x v="3"/>
  </r>
  <r>
    <x v="1157"/>
    <d v="2023-06-16T06:48:03"/>
    <x v="1149"/>
    <x v="4"/>
    <x v="6"/>
    <n v="7"/>
    <n v="2"/>
    <s v="USD"/>
    <x v="0"/>
    <s v="EMP0055"/>
    <n v="14"/>
    <s v="Fri"/>
    <x v="3"/>
    <x v="4"/>
  </r>
  <r>
    <x v="1158"/>
    <d v="2022-07-22T04:38:03"/>
    <x v="1150"/>
    <x v="0"/>
    <x v="16"/>
    <n v="4"/>
    <n v="10"/>
    <s v="USD"/>
    <x v="4"/>
    <s v="EMP0097"/>
    <n v="40"/>
    <s v="Fri"/>
    <x v="8"/>
    <x v="3"/>
  </r>
  <r>
    <x v="1159"/>
    <d v="2021-09-29T01:04:03"/>
    <x v="1151"/>
    <x v="10"/>
    <x v="5"/>
    <n v="1"/>
    <n v="7"/>
    <s v="USD"/>
    <x v="5"/>
    <s v="EMP0066"/>
    <n v="7"/>
    <s v="Wed"/>
    <x v="9"/>
    <x v="0"/>
  </r>
  <r>
    <x v="1160"/>
    <d v="2023-10-16T08:37:03"/>
    <x v="1152"/>
    <x v="10"/>
    <x v="19"/>
    <n v="5.5"/>
    <n v="2"/>
    <s v="USD"/>
    <x v="4"/>
    <s v="EMP0063"/>
    <n v="11"/>
    <s v="Mon"/>
    <x v="0"/>
    <x v="4"/>
  </r>
  <r>
    <x v="1161"/>
    <d v="2022-07-26T05:46:03"/>
    <x v="1153"/>
    <x v="6"/>
    <x v="3"/>
    <n v="1.2"/>
    <n v="2"/>
    <s v="USD"/>
    <x v="2"/>
    <s v="EMP0007"/>
    <n v="2.4"/>
    <s v="Tue"/>
    <x v="8"/>
    <x v="3"/>
  </r>
  <r>
    <x v="1162"/>
    <d v="2024-12-20T21:43:03"/>
    <x v="1154"/>
    <x v="13"/>
    <x v="13"/>
    <n v="0.8"/>
    <n v="7"/>
    <s v="USD"/>
    <x v="1"/>
    <s v="EMP0087"/>
    <n v="5.6000000000000005"/>
    <s v="Fri"/>
    <x v="4"/>
    <x v="1"/>
  </r>
  <r>
    <x v="1163"/>
    <d v="2023-07-10T09:07:03"/>
    <x v="1155"/>
    <x v="12"/>
    <x v="5"/>
    <n v="1"/>
    <n v="2"/>
    <s v="USD"/>
    <x v="3"/>
    <s v="EMP0085"/>
    <n v="2"/>
    <s v="Mon"/>
    <x v="8"/>
    <x v="4"/>
  </r>
  <r>
    <x v="1164"/>
    <d v="2022-06-09T21:36:03"/>
    <x v="1156"/>
    <x v="10"/>
    <x v="11"/>
    <n v="4"/>
    <n v="5"/>
    <s v="USD"/>
    <x v="2"/>
    <s v="EMP0064"/>
    <n v="20"/>
    <s v="Thu"/>
    <x v="3"/>
    <x v="3"/>
  </r>
  <r>
    <x v="1165"/>
    <d v="2022-08-08T21:10:03"/>
    <x v="1157"/>
    <x v="9"/>
    <x v="4"/>
    <n v="3.2"/>
    <n v="9"/>
    <s v="USD"/>
    <x v="1"/>
    <s v="EMP0003"/>
    <n v="28.8"/>
    <s v="Mon"/>
    <x v="6"/>
    <x v="3"/>
  </r>
  <r>
    <x v="1166"/>
    <d v="2025-03-05T23:30:03"/>
    <x v="1158"/>
    <x v="1"/>
    <x v="19"/>
    <n v="5.5"/>
    <n v="7"/>
    <s v="USD"/>
    <x v="5"/>
    <s v="EMP0041"/>
    <n v="38.5"/>
    <s v="Wed"/>
    <x v="1"/>
    <x v="2"/>
  </r>
  <r>
    <x v="1167"/>
    <d v="2023-03-30T22:57:03"/>
    <x v="1159"/>
    <x v="13"/>
    <x v="17"/>
    <n v="2.5"/>
    <n v="3"/>
    <s v="USD"/>
    <x v="1"/>
    <s v="EMP0085"/>
    <n v="7.5"/>
    <s v="Thu"/>
    <x v="1"/>
    <x v="4"/>
  </r>
  <r>
    <x v="1168"/>
    <d v="2023-08-27T15:16:03"/>
    <x v="1160"/>
    <x v="10"/>
    <x v="18"/>
    <n v="1.7"/>
    <n v="3"/>
    <s v="USD"/>
    <x v="4"/>
    <s v="EMP0092"/>
    <n v="5.0999999999999996"/>
    <s v="Sun"/>
    <x v="6"/>
    <x v="4"/>
  </r>
  <r>
    <x v="1169"/>
    <d v="2023-03-04T21:38:03"/>
    <x v="1161"/>
    <x v="7"/>
    <x v="16"/>
    <n v="4"/>
    <n v="8"/>
    <s v="USD"/>
    <x v="2"/>
    <s v="EMP0071"/>
    <n v="32"/>
    <s v="Sat"/>
    <x v="1"/>
    <x v="4"/>
  </r>
  <r>
    <x v="1170"/>
    <d v="2021-07-05T19:50:03"/>
    <x v="1162"/>
    <x v="10"/>
    <x v="15"/>
    <n v="1.5"/>
    <n v="9"/>
    <s v="USD"/>
    <x v="0"/>
    <s v="EMP0065"/>
    <n v="13.5"/>
    <s v="Mon"/>
    <x v="8"/>
    <x v="0"/>
  </r>
  <r>
    <x v="1171"/>
    <d v="2025-01-15T01:10:03"/>
    <x v="1163"/>
    <x v="10"/>
    <x v="16"/>
    <n v="4"/>
    <n v="7"/>
    <s v="USD"/>
    <x v="1"/>
    <s v="EMP0087"/>
    <n v="28"/>
    <s v="Wed"/>
    <x v="2"/>
    <x v="2"/>
  </r>
  <r>
    <x v="1172"/>
    <d v="2023-05-18T04:06:03"/>
    <x v="1164"/>
    <x v="13"/>
    <x v="3"/>
    <n v="1.2"/>
    <n v="10"/>
    <s v="USD"/>
    <x v="3"/>
    <s v="EMP0017"/>
    <n v="12"/>
    <s v="Thu"/>
    <x v="5"/>
    <x v="4"/>
  </r>
  <r>
    <x v="1173"/>
    <d v="2023-04-20T01:35:03"/>
    <x v="1165"/>
    <x v="0"/>
    <x v="16"/>
    <n v="4"/>
    <n v="1"/>
    <s v="USD"/>
    <x v="2"/>
    <s v="EMP0044"/>
    <n v="4"/>
    <s v="Thu"/>
    <x v="11"/>
    <x v="4"/>
  </r>
  <r>
    <x v="1174"/>
    <d v="2023-03-22T09:59:03"/>
    <x v="1166"/>
    <x v="5"/>
    <x v="7"/>
    <n v="2.8"/>
    <n v="7"/>
    <s v="USD"/>
    <x v="4"/>
    <s v="EMP0008"/>
    <n v="19.599999999999998"/>
    <s v="Wed"/>
    <x v="1"/>
    <x v="4"/>
  </r>
  <r>
    <x v="1175"/>
    <d v="2021-08-24T06:11:03"/>
    <x v="1167"/>
    <x v="2"/>
    <x v="8"/>
    <n v="4.5"/>
    <n v="10"/>
    <s v="USD"/>
    <x v="3"/>
    <s v="EMP0089"/>
    <n v="45"/>
    <s v="Tue"/>
    <x v="6"/>
    <x v="0"/>
  </r>
  <r>
    <x v="1176"/>
    <d v="2024-12-26T04:19:03"/>
    <x v="1168"/>
    <x v="5"/>
    <x v="13"/>
    <n v="0.8"/>
    <n v="1"/>
    <s v="USD"/>
    <x v="1"/>
    <s v="EMP0042"/>
    <n v="0.8"/>
    <s v="Thu"/>
    <x v="4"/>
    <x v="1"/>
  </r>
  <r>
    <x v="1177"/>
    <d v="2025-02-21T22:44:03"/>
    <x v="1169"/>
    <x v="4"/>
    <x v="18"/>
    <n v="1.7"/>
    <n v="10"/>
    <s v="USD"/>
    <x v="1"/>
    <s v="EMP0054"/>
    <n v="17"/>
    <s v="Fri"/>
    <x v="7"/>
    <x v="2"/>
  </r>
  <r>
    <x v="1178"/>
    <d v="2023-11-10T12:42:03"/>
    <x v="1170"/>
    <x v="10"/>
    <x v="16"/>
    <n v="4"/>
    <n v="1"/>
    <s v="USD"/>
    <x v="4"/>
    <s v="EMP0049"/>
    <n v="4"/>
    <s v="Fri"/>
    <x v="10"/>
    <x v="4"/>
  </r>
  <r>
    <x v="1179"/>
    <d v="2022-02-26T01:06:03"/>
    <x v="1171"/>
    <x v="12"/>
    <x v="19"/>
    <n v="5.5"/>
    <n v="8"/>
    <s v="USD"/>
    <x v="3"/>
    <s v="EMP0089"/>
    <n v="44"/>
    <s v="Sat"/>
    <x v="7"/>
    <x v="3"/>
  </r>
  <r>
    <x v="1180"/>
    <d v="2021-07-27T07:05:03"/>
    <x v="1172"/>
    <x v="10"/>
    <x v="12"/>
    <n v="1.8"/>
    <n v="6"/>
    <s v="USD"/>
    <x v="0"/>
    <s v="EMP0079"/>
    <n v="10.8"/>
    <s v="Tue"/>
    <x v="8"/>
    <x v="0"/>
  </r>
  <r>
    <x v="1181"/>
    <d v="2023-09-04T01:59:03"/>
    <x v="1173"/>
    <x v="2"/>
    <x v="15"/>
    <n v="1.5"/>
    <n v="2"/>
    <s v="USD"/>
    <x v="1"/>
    <s v="EMP0028"/>
    <n v="3"/>
    <s v="Mon"/>
    <x v="9"/>
    <x v="4"/>
  </r>
  <r>
    <x v="1182"/>
    <d v="2023-09-29T05:23:03"/>
    <x v="1174"/>
    <x v="11"/>
    <x v="16"/>
    <n v="4"/>
    <n v="7"/>
    <s v="USD"/>
    <x v="0"/>
    <s v="EMP0080"/>
    <n v="28"/>
    <s v="Fri"/>
    <x v="9"/>
    <x v="4"/>
  </r>
  <r>
    <x v="1183"/>
    <d v="2024-11-01T14:32:03"/>
    <x v="1175"/>
    <x v="12"/>
    <x v="19"/>
    <n v="5.5"/>
    <n v="10"/>
    <s v="USD"/>
    <x v="4"/>
    <s v="EMP0035"/>
    <n v="55"/>
    <s v="Fri"/>
    <x v="10"/>
    <x v="1"/>
  </r>
  <r>
    <x v="1184"/>
    <d v="2024-12-22T18:35:03"/>
    <x v="1176"/>
    <x v="9"/>
    <x v="15"/>
    <n v="1.5"/>
    <n v="7"/>
    <s v="USD"/>
    <x v="0"/>
    <s v="EMP0045"/>
    <n v="10.5"/>
    <s v="Sun"/>
    <x v="4"/>
    <x v="1"/>
  </r>
  <r>
    <x v="1185"/>
    <d v="2024-12-02T16:34:03"/>
    <x v="1177"/>
    <x v="11"/>
    <x v="12"/>
    <n v="1.8"/>
    <n v="5"/>
    <s v="USD"/>
    <x v="5"/>
    <s v="EMP0085"/>
    <n v="9"/>
    <s v="Mon"/>
    <x v="4"/>
    <x v="1"/>
  </r>
  <r>
    <x v="1186"/>
    <d v="2022-04-30T03:14:03"/>
    <x v="161"/>
    <x v="8"/>
    <x v="6"/>
    <n v="7"/>
    <n v="5"/>
    <s v="USD"/>
    <x v="1"/>
    <s v="EMP0066"/>
    <n v="35"/>
    <s v="Sat"/>
    <x v="11"/>
    <x v="3"/>
  </r>
  <r>
    <x v="1187"/>
    <d v="2022-10-23T15:38:03"/>
    <x v="1178"/>
    <x v="9"/>
    <x v="13"/>
    <n v="0.8"/>
    <n v="1"/>
    <s v="USD"/>
    <x v="2"/>
    <s v="EMP0091"/>
    <n v="0.8"/>
    <s v="Sun"/>
    <x v="0"/>
    <x v="3"/>
  </r>
  <r>
    <x v="1188"/>
    <d v="2022-06-17T07:50:03"/>
    <x v="1179"/>
    <x v="10"/>
    <x v="11"/>
    <n v="4"/>
    <n v="8"/>
    <s v="USD"/>
    <x v="4"/>
    <s v="EMP0082"/>
    <n v="32"/>
    <s v="Fri"/>
    <x v="3"/>
    <x v="3"/>
  </r>
  <r>
    <x v="1189"/>
    <d v="2022-05-13T17:32:03"/>
    <x v="1180"/>
    <x v="14"/>
    <x v="18"/>
    <n v="1.7"/>
    <n v="10"/>
    <s v="USD"/>
    <x v="2"/>
    <s v="EMP0081"/>
    <n v="17"/>
    <s v="Fri"/>
    <x v="5"/>
    <x v="3"/>
  </r>
  <r>
    <x v="1190"/>
    <d v="2025-01-06T21:14:03"/>
    <x v="1181"/>
    <x v="5"/>
    <x v="10"/>
    <n v="5"/>
    <n v="3"/>
    <s v="USD"/>
    <x v="0"/>
    <s v="EMP0020"/>
    <n v="15"/>
    <s v="Mon"/>
    <x v="2"/>
    <x v="2"/>
  </r>
  <r>
    <x v="1191"/>
    <d v="2021-07-06T03:32:03"/>
    <x v="1182"/>
    <x v="8"/>
    <x v="18"/>
    <n v="1.7"/>
    <n v="6"/>
    <s v="USD"/>
    <x v="3"/>
    <s v="EMP0082"/>
    <n v="10.199999999999999"/>
    <s v="Tue"/>
    <x v="8"/>
    <x v="0"/>
  </r>
  <r>
    <x v="1192"/>
    <d v="2024-03-19T00:09:03"/>
    <x v="1183"/>
    <x v="4"/>
    <x v="8"/>
    <n v="4.5"/>
    <n v="3"/>
    <s v="USD"/>
    <x v="4"/>
    <s v="EMP0088"/>
    <n v="13.5"/>
    <s v="Tue"/>
    <x v="1"/>
    <x v="1"/>
  </r>
  <r>
    <x v="1193"/>
    <d v="2021-12-25T06:01:03"/>
    <x v="1184"/>
    <x v="2"/>
    <x v="19"/>
    <n v="5.5"/>
    <n v="3"/>
    <s v="USD"/>
    <x v="0"/>
    <s v="EMP0004"/>
    <n v="16.5"/>
    <s v="Sat"/>
    <x v="4"/>
    <x v="0"/>
  </r>
  <r>
    <x v="1194"/>
    <d v="2023-12-24T03:57:03"/>
    <x v="1185"/>
    <x v="10"/>
    <x v="1"/>
    <n v="1"/>
    <n v="7"/>
    <s v="USD"/>
    <x v="5"/>
    <s v="EMP0083"/>
    <n v="7"/>
    <s v="Sun"/>
    <x v="4"/>
    <x v="4"/>
  </r>
  <r>
    <x v="1195"/>
    <d v="2025-02-23T07:16:03"/>
    <x v="1186"/>
    <x v="11"/>
    <x v="14"/>
    <n v="2.2000000000000002"/>
    <n v="1"/>
    <s v="USD"/>
    <x v="4"/>
    <s v="EMP0036"/>
    <n v="2.2000000000000002"/>
    <s v="Sun"/>
    <x v="7"/>
    <x v="2"/>
  </r>
  <r>
    <x v="1196"/>
    <d v="2021-08-29T20:15:03"/>
    <x v="1187"/>
    <x v="3"/>
    <x v="17"/>
    <n v="2.5"/>
    <n v="8"/>
    <s v="USD"/>
    <x v="3"/>
    <s v="EMP0008"/>
    <n v="20"/>
    <s v="Sun"/>
    <x v="6"/>
    <x v="0"/>
  </r>
  <r>
    <x v="1197"/>
    <d v="2024-11-19T02:48:03"/>
    <x v="1188"/>
    <x v="11"/>
    <x v="9"/>
    <n v="3"/>
    <n v="7"/>
    <s v="USD"/>
    <x v="4"/>
    <s v="EMP0086"/>
    <n v="21"/>
    <s v="Tue"/>
    <x v="10"/>
    <x v="1"/>
  </r>
  <r>
    <x v="1198"/>
    <d v="2021-09-01T11:01:03"/>
    <x v="1189"/>
    <x v="4"/>
    <x v="14"/>
    <n v="2.2000000000000002"/>
    <n v="4"/>
    <s v="USD"/>
    <x v="3"/>
    <s v="EMP0074"/>
    <n v="8.8000000000000007"/>
    <s v="Wed"/>
    <x v="9"/>
    <x v="0"/>
  </r>
  <r>
    <x v="1199"/>
    <d v="2022-07-20T09:53:03"/>
    <x v="1190"/>
    <x v="3"/>
    <x v="16"/>
    <n v="4"/>
    <n v="9"/>
    <s v="USD"/>
    <x v="4"/>
    <s v="EMP0064"/>
    <n v="36"/>
    <s v="Wed"/>
    <x v="8"/>
    <x v="3"/>
  </r>
  <r>
    <x v="1200"/>
    <d v="2024-11-06T05:48:03"/>
    <x v="1191"/>
    <x v="7"/>
    <x v="4"/>
    <n v="3.2"/>
    <n v="6"/>
    <s v="USD"/>
    <x v="1"/>
    <s v="EMP0095"/>
    <n v="19.200000000000003"/>
    <s v="Wed"/>
    <x v="10"/>
    <x v="1"/>
  </r>
  <r>
    <x v="1201"/>
    <d v="2023-03-02T13:39:03"/>
    <x v="1192"/>
    <x v="2"/>
    <x v="18"/>
    <n v="1.7"/>
    <n v="4"/>
    <s v="USD"/>
    <x v="0"/>
    <s v="EMP0014"/>
    <n v="6.8"/>
    <s v="Thu"/>
    <x v="1"/>
    <x v="4"/>
  </r>
  <r>
    <x v="1202"/>
    <d v="2024-05-16T07:09:03"/>
    <x v="1193"/>
    <x v="10"/>
    <x v="18"/>
    <n v="1.7"/>
    <n v="5"/>
    <s v="USD"/>
    <x v="1"/>
    <s v="EMP0008"/>
    <n v="8.5"/>
    <s v="Thu"/>
    <x v="5"/>
    <x v="1"/>
  </r>
  <r>
    <x v="1203"/>
    <d v="2022-08-08T20:03:03"/>
    <x v="1194"/>
    <x v="0"/>
    <x v="19"/>
    <n v="5.5"/>
    <n v="6"/>
    <s v="USD"/>
    <x v="1"/>
    <s v="EMP0055"/>
    <n v="33"/>
    <s v="Mon"/>
    <x v="6"/>
    <x v="3"/>
  </r>
  <r>
    <x v="1204"/>
    <d v="2022-09-09T16:11:04"/>
    <x v="609"/>
    <x v="11"/>
    <x v="14"/>
    <n v="2.2000000000000002"/>
    <n v="6"/>
    <s v="USD"/>
    <x v="5"/>
    <s v="EMP0092"/>
    <n v="13.200000000000001"/>
    <s v="Fri"/>
    <x v="9"/>
    <x v="3"/>
  </r>
  <r>
    <x v="1205"/>
    <d v="2023-04-17T04:25:04"/>
    <x v="1195"/>
    <x v="3"/>
    <x v="5"/>
    <n v="1"/>
    <n v="1"/>
    <s v="USD"/>
    <x v="2"/>
    <s v="EMP0085"/>
    <n v="1"/>
    <s v="Mon"/>
    <x v="11"/>
    <x v="4"/>
  </r>
  <r>
    <x v="1206"/>
    <d v="2025-01-17T14:28:04"/>
    <x v="1196"/>
    <x v="14"/>
    <x v="2"/>
    <n v="2.5"/>
    <n v="5"/>
    <s v="USD"/>
    <x v="1"/>
    <s v="EMP0050"/>
    <n v="12.5"/>
    <s v="Fri"/>
    <x v="2"/>
    <x v="2"/>
  </r>
  <r>
    <x v="1207"/>
    <d v="2023-08-14T16:42:04"/>
    <x v="1197"/>
    <x v="5"/>
    <x v="19"/>
    <n v="5.5"/>
    <n v="9"/>
    <s v="USD"/>
    <x v="0"/>
    <s v="EMP0057"/>
    <n v="49.5"/>
    <s v="Mon"/>
    <x v="6"/>
    <x v="4"/>
  </r>
  <r>
    <x v="1208"/>
    <d v="2023-03-06T12:28:04"/>
    <x v="1198"/>
    <x v="8"/>
    <x v="0"/>
    <n v="3.1"/>
    <n v="5"/>
    <s v="USD"/>
    <x v="3"/>
    <s v="EMP0097"/>
    <n v="15.5"/>
    <s v="Mon"/>
    <x v="1"/>
    <x v="4"/>
  </r>
  <r>
    <x v="1209"/>
    <d v="2024-01-13T04:13:04"/>
    <x v="1199"/>
    <x v="4"/>
    <x v="13"/>
    <n v="0.8"/>
    <n v="8"/>
    <s v="USD"/>
    <x v="2"/>
    <s v="EMP0041"/>
    <n v="6.4"/>
    <s v="Sat"/>
    <x v="2"/>
    <x v="1"/>
  </r>
  <r>
    <x v="1210"/>
    <d v="2021-09-27T23:36:04"/>
    <x v="1200"/>
    <x v="13"/>
    <x v="0"/>
    <n v="3.1"/>
    <n v="2"/>
    <s v="USD"/>
    <x v="5"/>
    <s v="EMP0061"/>
    <n v="6.2"/>
    <s v="Mon"/>
    <x v="9"/>
    <x v="0"/>
  </r>
  <r>
    <x v="1211"/>
    <d v="2023-01-15T02:41:04"/>
    <x v="1201"/>
    <x v="8"/>
    <x v="19"/>
    <n v="5.5"/>
    <n v="3"/>
    <s v="USD"/>
    <x v="2"/>
    <s v="EMP0034"/>
    <n v="16.5"/>
    <s v="Sun"/>
    <x v="2"/>
    <x v="4"/>
  </r>
  <r>
    <x v="1212"/>
    <d v="2022-07-08T11:04:04"/>
    <x v="1202"/>
    <x v="8"/>
    <x v="5"/>
    <n v="1"/>
    <n v="9"/>
    <s v="USD"/>
    <x v="2"/>
    <s v="EMP0042"/>
    <n v="9"/>
    <s v="Fri"/>
    <x v="8"/>
    <x v="3"/>
  </r>
  <r>
    <x v="1213"/>
    <d v="2022-10-23T15:25:04"/>
    <x v="1203"/>
    <x v="14"/>
    <x v="17"/>
    <n v="2.5"/>
    <n v="3"/>
    <s v="USD"/>
    <x v="2"/>
    <s v="EMP0057"/>
    <n v="7.5"/>
    <s v="Sun"/>
    <x v="0"/>
    <x v="3"/>
  </r>
  <r>
    <x v="1214"/>
    <d v="2021-10-05T09:26:04"/>
    <x v="1204"/>
    <x v="8"/>
    <x v="11"/>
    <n v="4"/>
    <n v="5"/>
    <s v="USD"/>
    <x v="4"/>
    <s v="EMP0074"/>
    <n v="20"/>
    <s v="Tue"/>
    <x v="0"/>
    <x v="0"/>
  </r>
  <r>
    <x v="1215"/>
    <d v="2024-11-22T10:16:04"/>
    <x v="1205"/>
    <x v="2"/>
    <x v="12"/>
    <n v="1.8"/>
    <n v="3"/>
    <s v="USD"/>
    <x v="1"/>
    <s v="EMP0088"/>
    <n v="5.4"/>
    <s v="Fri"/>
    <x v="10"/>
    <x v="1"/>
  </r>
  <r>
    <x v="1216"/>
    <d v="2023-01-20T02:58:04"/>
    <x v="1206"/>
    <x v="10"/>
    <x v="14"/>
    <n v="2.2000000000000002"/>
    <n v="5"/>
    <s v="USD"/>
    <x v="0"/>
    <s v="EMP0088"/>
    <n v="11"/>
    <s v="Fri"/>
    <x v="2"/>
    <x v="4"/>
  </r>
  <r>
    <x v="1217"/>
    <d v="2022-01-11T02:35:04"/>
    <x v="1207"/>
    <x v="11"/>
    <x v="11"/>
    <n v="4"/>
    <n v="2"/>
    <s v="USD"/>
    <x v="5"/>
    <s v="EMP0048"/>
    <n v="8"/>
    <s v="Tue"/>
    <x v="2"/>
    <x v="3"/>
  </r>
  <r>
    <x v="1218"/>
    <d v="2024-05-02T00:30:04"/>
    <x v="1208"/>
    <x v="8"/>
    <x v="16"/>
    <n v="4"/>
    <n v="4"/>
    <s v="USD"/>
    <x v="3"/>
    <s v="EMP0003"/>
    <n v="16"/>
    <s v="Thu"/>
    <x v="5"/>
    <x v="1"/>
  </r>
  <r>
    <x v="1219"/>
    <d v="2022-03-22T16:47:04"/>
    <x v="1209"/>
    <x v="3"/>
    <x v="2"/>
    <n v="2.5"/>
    <n v="2"/>
    <s v="USD"/>
    <x v="5"/>
    <s v="EMP0026"/>
    <n v="5"/>
    <s v="Tue"/>
    <x v="1"/>
    <x v="3"/>
  </r>
  <r>
    <x v="1220"/>
    <d v="2023-11-19T14:32:04"/>
    <x v="1210"/>
    <x v="6"/>
    <x v="17"/>
    <n v="2.5"/>
    <n v="7"/>
    <s v="USD"/>
    <x v="1"/>
    <s v="EMP0055"/>
    <n v="17.5"/>
    <s v="Sun"/>
    <x v="10"/>
    <x v="4"/>
  </r>
  <r>
    <x v="1221"/>
    <d v="2021-12-27T05:17:04"/>
    <x v="1211"/>
    <x v="7"/>
    <x v="7"/>
    <n v="2.8"/>
    <n v="3"/>
    <s v="USD"/>
    <x v="1"/>
    <s v="EMP0016"/>
    <n v="8.3999999999999986"/>
    <s v="Mon"/>
    <x v="4"/>
    <x v="0"/>
  </r>
  <r>
    <x v="1222"/>
    <d v="2025-04-10T14:53:04"/>
    <x v="1212"/>
    <x v="8"/>
    <x v="10"/>
    <n v="5"/>
    <n v="8"/>
    <s v="USD"/>
    <x v="3"/>
    <s v="EMP0029"/>
    <n v="40"/>
    <s v="Thu"/>
    <x v="11"/>
    <x v="2"/>
  </r>
  <r>
    <x v="1223"/>
    <d v="2024-03-19T06:31:04"/>
    <x v="1213"/>
    <x v="4"/>
    <x v="0"/>
    <n v="3.1"/>
    <n v="5"/>
    <s v="USD"/>
    <x v="2"/>
    <s v="EMP0064"/>
    <n v="15.5"/>
    <s v="Tue"/>
    <x v="1"/>
    <x v="1"/>
  </r>
  <r>
    <x v="1224"/>
    <d v="2023-03-19T08:59:04"/>
    <x v="1214"/>
    <x v="4"/>
    <x v="11"/>
    <n v="4"/>
    <n v="10"/>
    <s v="USD"/>
    <x v="0"/>
    <s v="EMP0037"/>
    <n v="40"/>
    <s v="Sun"/>
    <x v="1"/>
    <x v="4"/>
  </r>
  <r>
    <x v="1225"/>
    <d v="2021-07-23T07:00:04"/>
    <x v="1215"/>
    <x v="6"/>
    <x v="18"/>
    <n v="1.7"/>
    <n v="3"/>
    <s v="USD"/>
    <x v="3"/>
    <s v="EMP0038"/>
    <n v="5.0999999999999996"/>
    <s v="Fri"/>
    <x v="8"/>
    <x v="0"/>
  </r>
  <r>
    <x v="1226"/>
    <d v="2023-11-20T05:47:04"/>
    <x v="1216"/>
    <x v="10"/>
    <x v="2"/>
    <n v="2.5"/>
    <n v="6"/>
    <s v="USD"/>
    <x v="1"/>
    <s v="EMP0088"/>
    <n v="15"/>
    <s v="Mon"/>
    <x v="10"/>
    <x v="4"/>
  </r>
  <r>
    <x v="1227"/>
    <d v="2021-09-21T23:21:04"/>
    <x v="1217"/>
    <x v="13"/>
    <x v="15"/>
    <n v="1.5"/>
    <n v="3"/>
    <s v="USD"/>
    <x v="4"/>
    <s v="EMP0089"/>
    <n v="4.5"/>
    <s v="Tue"/>
    <x v="9"/>
    <x v="0"/>
  </r>
  <r>
    <x v="1228"/>
    <d v="2023-02-14T16:13:04"/>
    <x v="281"/>
    <x v="0"/>
    <x v="6"/>
    <n v="7"/>
    <n v="7"/>
    <s v="USD"/>
    <x v="2"/>
    <s v="EMP0077"/>
    <n v="49"/>
    <s v="Tue"/>
    <x v="7"/>
    <x v="4"/>
  </r>
  <r>
    <x v="1229"/>
    <d v="2023-12-02T11:20:04"/>
    <x v="1218"/>
    <x v="9"/>
    <x v="17"/>
    <n v="2.5"/>
    <n v="1"/>
    <s v="USD"/>
    <x v="4"/>
    <s v="EMP0031"/>
    <n v="2.5"/>
    <s v="Sat"/>
    <x v="4"/>
    <x v="4"/>
  </r>
  <r>
    <x v="1230"/>
    <d v="2022-09-18T01:48:04"/>
    <x v="1219"/>
    <x v="3"/>
    <x v="5"/>
    <n v="1"/>
    <n v="1"/>
    <s v="USD"/>
    <x v="3"/>
    <s v="EMP0033"/>
    <n v="1"/>
    <s v="Sun"/>
    <x v="9"/>
    <x v="3"/>
  </r>
  <r>
    <x v="1231"/>
    <d v="2022-07-10T18:02:04"/>
    <x v="1220"/>
    <x v="11"/>
    <x v="6"/>
    <n v="7"/>
    <n v="6"/>
    <s v="USD"/>
    <x v="0"/>
    <s v="EMP0072"/>
    <n v="42"/>
    <s v="Sun"/>
    <x v="8"/>
    <x v="3"/>
  </r>
  <r>
    <x v="1232"/>
    <d v="2025-02-13T19:15:04"/>
    <x v="1221"/>
    <x v="11"/>
    <x v="13"/>
    <n v="0.8"/>
    <n v="9"/>
    <s v="USD"/>
    <x v="5"/>
    <s v="EMP0044"/>
    <n v="7.2"/>
    <s v="Thu"/>
    <x v="7"/>
    <x v="2"/>
  </r>
  <r>
    <x v="1233"/>
    <d v="2022-09-24T09:21:04"/>
    <x v="1222"/>
    <x v="5"/>
    <x v="12"/>
    <n v="1.8"/>
    <n v="7"/>
    <s v="USD"/>
    <x v="0"/>
    <s v="EMP0034"/>
    <n v="12.6"/>
    <s v="Sat"/>
    <x v="9"/>
    <x v="3"/>
  </r>
  <r>
    <x v="1234"/>
    <d v="2024-09-12T03:24:04"/>
    <x v="1223"/>
    <x v="6"/>
    <x v="15"/>
    <n v="1.5"/>
    <n v="5"/>
    <s v="USD"/>
    <x v="2"/>
    <s v="EMP0047"/>
    <n v="7.5"/>
    <s v="Thu"/>
    <x v="9"/>
    <x v="1"/>
  </r>
  <r>
    <x v="1235"/>
    <d v="2022-12-11T03:29:04"/>
    <x v="98"/>
    <x v="1"/>
    <x v="0"/>
    <n v="3.1"/>
    <n v="10"/>
    <s v="USD"/>
    <x v="4"/>
    <s v="EMP0067"/>
    <n v="31"/>
    <s v="Sun"/>
    <x v="4"/>
    <x v="3"/>
  </r>
  <r>
    <x v="1236"/>
    <d v="2023-08-06T23:29:04"/>
    <x v="1224"/>
    <x v="6"/>
    <x v="4"/>
    <n v="3.2"/>
    <n v="8"/>
    <s v="USD"/>
    <x v="0"/>
    <s v="EMP0072"/>
    <n v="25.6"/>
    <s v="Sun"/>
    <x v="6"/>
    <x v="4"/>
  </r>
  <r>
    <x v="1237"/>
    <d v="2021-08-31T16:35:04"/>
    <x v="1225"/>
    <x v="10"/>
    <x v="17"/>
    <n v="2.5"/>
    <n v="4"/>
    <s v="USD"/>
    <x v="0"/>
    <s v="EMP0007"/>
    <n v="10"/>
    <s v="Tue"/>
    <x v="6"/>
    <x v="0"/>
  </r>
  <r>
    <x v="1238"/>
    <d v="2024-01-25T08:24:04"/>
    <x v="1226"/>
    <x v="10"/>
    <x v="0"/>
    <n v="3.1"/>
    <n v="3"/>
    <s v="USD"/>
    <x v="2"/>
    <s v="EMP0060"/>
    <n v="9.3000000000000007"/>
    <s v="Thu"/>
    <x v="2"/>
    <x v="1"/>
  </r>
  <r>
    <x v="1239"/>
    <d v="2022-11-28T09:29:04"/>
    <x v="1227"/>
    <x v="1"/>
    <x v="15"/>
    <n v="1.5"/>
    <n v="1"/>
    <s v="USD"/>
    <x v="5"/>
    <s v="EMP0046"/>
    <n v="1.5"/>
    <s v="Mon"/>
    <x v="10"/>
    <x v="3"/>
  </r>
  <r>
    <x v="1240"/>
    <d v="2021-05-17T19:55:04"/>
    <x v="1228"/>
    <x v="10"/>
    <x v="15"/>
    <n v="1.5"/>
    <n v="2"/>
    <s v="USD"/>
    <x v="2"/>
    <s v="EMP0019"/>
    <n v="3"/>
    <s v="Mon"/>
    <x v="5"/>
    <x v="0"/>
  </r>
  <r>
    <x v="1241"/>
    <d v="2024-08-29T02:21:04"/>
    <x v="1229"/>
    <x v="2"/>
    <x v="8"/>
    <n v="4.5"/>
    <n v="3"/>
    <s v="USD"/>
    <x v="0"/>
    <s v="EMP0096"/>
    <n v="13.5"/>
    <s v="Thu"/>
    <x v="6"/>
    <x v="1"/>
  </r>
  <r>
    <x v="1242"/>
    <d v="2022-07-03T04:50:04"/>
    <x v="1230"/>
    <x v="1"/>
    <x v="16"/>
    <n v="4"/>
    <n v="4"/>
    <s v="USD"/>
    <x v="1"/>
    <s v="EMP0001"/>
    <n v="16"/>
    <s v="Sun"/>
    <x v="8"/>
    <x v="3"/>
  </r>
  <r>
    <x v="1243"/>
    <d v="2022-05-27T19:15:04"/>
    <x v="1231"/>
    <x v="8"/>
    <x v="9"/>
    <n v="3"/>
    <n v="4"/>
    <s v="USD"/>
    <x v="5"/>
    <s v="EMP0087"/>
    <n v="12"/>
    <s v="Fri"/>
    <x v="5"/>
    <x v="3"/>
  </r>
  <r>
    <x v="1244"/>
    <d v="2024-10-28T03:25:04"/>
    <x v="1232"/>
    <x v="11"/>
    <x v="19"/>
    <n v="5.5"/>
    <n v="7"/>
    <s v="USD"/>
    <x v="4"/>
    <s v="EMP0076"/>
    <n v="38.5"/>
    <s v="Mon"/>
    <x v="0"/>
    <x v="1"/>
  </r>
  <r>
    <x v="1245"/>
    <d v="2024-10-04T03:17:04"/>
    <x v="1233"/>
    <x v="13"/>
    <x v="9"/>
    <n v="3"/>
    <n v="8"/>
    <s v="USD"/>
    <x v="2"/>
    <s v="EMP0085"/>
    <n v="24"/>
    <s v="Fri"/>
    <x v="0"/>
    <x v="1"/>
  </r>
  <r>
    <x v="1246"/>
    <d v="2022-08-30T22:46:04"/>
    <x v="1234"/>
    <x v="11"/>
    <x v="5"/>
    <n v="1"/>
    <n v="1"/>
    <s v="USD"/>
    <x v="4"/>
    <s v="EMP0006"/>
    <n v="1"/>
    <s v="Tue"/>
    <x v="6"/>
    <x v="3"/>
  </r>
  <r>
    <x v="1247"/>
    <d v="2021-09-03T17:58:04"/>
    <x v="1235"/>
    <x v="5"/>
    <x v="16"/>
    <n v="4"/>
    <n v="3"/>
    <s v="USD"/>
    <x v="0"/>
    <s v="EMP0007"/>
    <n v="12"/>
    <s v="Fri"/>
    <x v="9"/>
    <x v="0"/>
  </r>
  <r>
    <x v="1248"/>
    <d v="2021-09-29T04:06:04"/>
    <x v="1236"/>
    <x v="14"/>
    <x v="17"/>
    <n v="2.5"/>
    <n v="2"/>
    <s v="USD"/>
    <x v="1"/>
    <s v="EMP0078"/>
    <n v="5"/>
    <s v="Wed"/>
    <x v="9"/>
    <x v="0"/>
  </r>
  <r>
    <x v="1249"/>
    <d v="2023-03-20T11:01:04"/>
    <x v="1237"/>
    <x v="11"/>
    <x v="13"/>
    <n v="0.8"/>
    <n v="4"/>
    <s v="USD"/>
    <x v="5"/>
    <s v="EMP0012"/>
    <n v="3.2"/>
    <s v="Mon"/>
    <x v="1"/>
    <x v="4"/>
  </r>
  <r>
    <x v="1250"/>
    <d v="2025-03-28T07:16:04"/>
    <x v="1238"/>
    <x v="8"/>
    <x v="6"/>
    <n v="7"/>
    <n v="5"/>
    <s v="USD"/>
    <x v="2"/>
    <s v="EMP0097"/>
    <n v="35"/>
    <s v="Fri"/>
    <x v="1"/>
    <x v="2"/>
  </r>
  <r>
    <x v="1251"/>
    <d v="2021-09-08T09:19:04"/>
    <x v="1239"/>
    <x v="11"/>
    <x v="15"/>
    <n v="1.5"/>
    <n v="7"/>
    <s v="USD"/>
    <x v="2"/>
    <s v="EMP0040"/>
    <n v="10.5"/>
    <s v="Wed"/>
    <x v="9"/>
    <x v="0"/>
  </r>
  <r>
    <x v="1252"/>
    <d v="2021-07-06T18:18:04"/>
    <x v="1240"/>
    <x v="5"/>
    <x v="19"/>
    <n v="5.5"/>
    <n v="6"/>
    <s v="USD"/>
    <x v="1"/>
    <s v="EMP0026"/>
    <n v="33"/>
    <s v="Tue"/>
    <x v="8"/>
    <x v="0"/>
  </r>
  <r>
    <x v="1253"/>
    <d v="2022-08-10T22:30:04"/>
    <x v="1241"/>
    <x v="8"/>
    <x v="15"/>
    <n v="1.5"/>
    <n v="5"/>
    <s v="USD"/>
    <x v="1"/>
    <s v="EMP0077"/>
    <n v="7.5"/>
    <s v="Wed"/>
    <x v="6"/>
    <x v="3"/>
  </r>
  <r>
    <x v="1254"/>
    <d v="2022-12-25T10:38:04"/>
    <x v="1242"/>
    <x v="8"/>
    <x v="7"/>
    <n v="2.8"/>
    <n v="10"/>
    <s v="USD"/>
    <x v="0"/>
    <s v="EMP0056"/>
    <n v="28"/>
    <s v="Sun"/>
    <x v="4"/>
    <x v="3"/>
  </r>
  <r>
    <x v="1255"/>
    <d v="2021-10-26T00:21:04"/>
    <x v="1243"/>
    <x v="13"/>
    <x v="12"/>
    <n v="1.8"/>
    <n v="6"/>
    <s v="USD"/>
    <x v="5"/>
    <s v="EMP0087"/>
    <n v="10.8"/>
    <s v="Tue"/>
    <x v="0"/>
    <x v="0"/>
  </r>
  <r>
    <x v="1256"/>
    <d v="2024-02-04T16:43:04"/>
    <x v="1244"/>
    <x v="0"/>
    <x v="14"/>
    <n v="2.2000000000000002"/>
    <n v="8"/>
    <s v="USD"/>
    <x v="1"/>
    <s v="EMP0081"/>
    <n v="17.600000000000001"/>
    <s v="Sun"/>
    <x v="7"/>
    <x v="1"/>
  </r>
  <r>
    <x v="1257"/>
    <d v="2021-09-21T21:21:04"/>
    <x v="1245"/>
    <x v="11"/>
    <x v="10"/>
    <n v="5"/>
    <n v="7"/>
    <s v="USD"/>
    <x v="3"/>
    <s v="EMP0062"/>
    <n v="35"/>
    <s v="Tue"/>
    <x v="9"/>
    <x v="0"/>
  </r>
  <r>
    <x v="1258"/>
    <d v="2023-09-02T09:18:04"/>
    <x v="1246"/>
    <x v="3"/>
    <x v="8"/>
    <n v="4.5"/>
    <n v="4"/>
    <s v="USD"/>
    <x v="1"/>
    <s v="EMP0055"/>
    <n v="18"/>
    <s v="Sat"/>
    <x v="9"/>
    <x v="4"/>
  </r>
  <r>
    <x v="1259"/>
    <d v="2023-09-11T19:23:04"/>
    <x v="1247"/>
    <x v="9"/>
    <x v="9"/>
    <n v="3"/>
    <n v="1"/>
    <s v="USD"/>
    <x v="1"/>
    <s v="EMP0014"/>
    <n v="3"/>
    <s v="Mon"/>
    <x v="9"/>
    <x v="4"/>
  </r>
  <r>
    <x v="1260"/>
    <d v="2022-06-29T00:00:04"/>
    <x v="1248"/>
    <x v="7"/>
    <x v="10"/>
    <n v="5"/>
    <n v="10"/>
    <s v="USD"/>
    <x v="4"/>
    <s v="EMP0046"/>
    <n v="50"/>
    <s v="Wed"/>
    <x v="3"/>
    <x v="3"/>
  </r>
  <r>
    <x v="1261"/>
    <d v="2023-12-04T19:21:04"/>
    <x v="1249"/>
    <x v="14"/>
    <x v="12"/>
    <n v="1.8"/>
    <n v="1"/>
    <s v="USD"/>
    <x v="3"/>
    <s v="EMP0095"/>
    <n v="1.8"/>
    <s v="Mon"/>
    <x v="4"/>
    <x v="4"/>
  </r>
  <r>
    <x v="1262"/>
    <d v="2021-08-23T23:15:04"/>
    <x v="1250"/>
    <x v="14"/>
    <x v="13"/>
    <n v="0.8"/>
    <n v="7"/>
    <s v="USD"/>
    <x v="3"/>
    <s v="EMP0011"/>
    <n v="5.6000000000000005"/>
    <s v="Mon"/>
    <x v="6"/>
    <x v="0"/>
  </r>
  <r>
    <x v="1263"/>
    <d v="2023-01-07T15:07:04"/>
    <x v="1251"/>
    <x v="5"/>
    <x v="16"/>
    <n v="4"/>
    <n v="8"/>
    <s v="USD"/>
    <x v="2"/>
    <s v="EMP0058"/>
    <n v="32"/>
    <s v="Sat"/>
    <x v="2"/>
    <x v="4"/>
  </r>
  <r>
    <x v="1264"/>
    <d v="2021-11-09T05:05:04"/>
    <x v="1252"/>
    <x v="1"/>
    <x v="13"/>
    <n v="0.8"/>
    <n v="4"/>
    <s v="USD"/>
    <x v="0"/>
    <s v="EMP0011"/>
    <n v="3.2"/>
    <s v="Tue"/>
    <x v="10"/>
    <x v="0"/>
  </r>
  <r>
    <x v="1265"/>
    <d v="2021-12-19T04:31:04"/>
    <x v="1253"/>
    <x v="3"/>
    <x v="19"/>
    <n v="5.5"/>
    <n v="7"/>
    <s v="USD"/>
    <x v="1"/>
    <s v="EMP0003"/>
    <n v="38.5"/>
    <s v="Sun"/>
    <x v="4"/>
    <x v="0"/>
  </r>
  <r>
    <x v="1266"/>
    <d v="2025-04-28T01:19:04"/>
    <x v="1254"/>
    <x v="13"/>
    <x v="13"/>
    <n v="0.8"/>
    <n v="8"/>
    <s v="USD"/>
    <x v="5"/>
    <s v="EMP0089"/>
    <n v="6.4"/>
    <s v="Mon"/>
    <x v="11"/>
    <x v="2"/>
  </r>
  <r>
    <x v="1267"/>
    <d v="2023-01-30T15:39:04"/>
    <x v="1255"/>
    <x v="12"/>
    <x v="15"/>
    <n v="1.5"/>
    <n v="5"/>
    <s v="USD"/>
    <x v="1"/>
    <s v="EMP0079"/>
    <n v="7.5"/>
    <s v="Mon"/>
    <x v="2"/>
    <x v="4"/>
  </r>
  <r>
    <x v="1268"/>
    <d v="2023-05-01T14:43:04"/>
    <x v="1256"/>
    <x v="0"/>
    <x v="6"/>
    <n v="7"/>
    <n v="5"/>
    <s v="USD"/>
    <x v="3"/>
    <s v="EMP0017"/>
    <n v="35"/>
    <s v="Mon"/>
    <x v="5"/>
    <x v="4"/>
  </r>
  <r>
    <x v="1269"/>
    <d v="2024-08-06T13:14:04"/>
    <x v="1257"/>
    <x v="7"/>
    <x v="3"/>
    <n v="1.2"/>
    <n v="4"/>
    <s v="USD"/>
    <x v="3"/>
    <s v="EMP0027"/>
    <n v="4.8"/>
    <s v="Tue"/>
    <x v="6"/>
    <x v="1"/>
  </r>
  <r>
    <x v="1270"/>
    <d v="2022-08-27T17:17:04"/>
    <x v="1258"/>
    <x v="3"/>
    <x v="2"/>
    <n v="2.5"/>
    <n v="7"/>
    <s v="USD"/>
    <x v="2"/>
    <s v="EMP0069"/>
    <n v="17.5"/>
    <s v="Sat"/>
    <x v="6"/>
    <x v="3"/>
  </r>
  <r>
    <x v="1271"/>
    <d v="2024-04-14T11:07:04"/>
    <x v="1259"/>
    <x v="14"/>
    <x v="10"/>
    <n v="5"/>
    <n v="3"/>
    <s v="USD"/>
    <x v="5"/>
    <s v="EMP0055"/>
    <n v="15"/>
    <s v="Sun"/>
    <x v="11"/>
    <x v="1"/>
  </r>
  <r>
    <x v="1272"/>
    <d v="2025-03-26T10:16:04"/>
    <x v="1260"/>
    <x v="1"/>
    <x v="14"/>
    <n v="2.2000000000000002"/>
    <n v="8"/>
    <s v="USD"/>
    <x v="5"/>
    <s v="EMP0061"/>
    <n v="17.600000000000001"/>
    <s v="Wed"/>
    <x v="1"/>
    <x v="2"/>
  </r>
  <r>
    <x v="1273"/>
    <d v="2025-03-29T22:49:04"/>
    <x v="1261"/>
    <x v="2"/>
    <x v="11"/>
    <n v="4"/>
    <n v="5"/>
    <s v="USD"/>
    <x v="1"/>
    <s v="EMP0051"/>
    <n v="20"/>
    <s v="Sat"/>
    <x v="1"/>
    <x v="2"/>
  </r>
  <r>
    <x v="1274"/>
    <d v="2025-01-25T03:26:04"/>
    <x v="1262"/>
    <x v="7"/>
    <x v="18"/>
    <n v="1.7"/>
    <n v="7"/>
    <s v="USD"/>
    <x v="5"/>
    <s v="EMP0095"/>
    <n v="11.9"/>
    <s v="Sat"/>
    <x v="2"/>
    <x v="2"/>
  </r>
  <r>
    <x v="1275"/>
    <d v="2022-02-08T17:40:04"/>
    <x v="1263"/>
    <x v="9"/>
    <x v="8"/>
    <n v="4.5"/>
    <n v="1"/>
    <s v="USD"/>
    <x v="5"/>
    <s v="EMP0052"/>
    <n v="4.5"/>
    <s v="Tue"/>
    <x v="7"/>
    <x v="3"/>
  </r>
  <r>
    <x v="1276"/>
    <d v="2022-08-17T20:49:04"/>
    <x v="1264"/>
    <x v="0"/>
    <x v="5"/>
    <n v="1"/>
    <n v="8"/>
    <s v="USD"/>
    <x v="0"/>
    <s v="EMP0092"/>
    <n v="8"/>
    <s v="Wed"/>
    <x v="6"/>
    <x v="3"/>
  </r>
  <r>
    <x v="1277"/>
    <d v="2025-01-04T21:25:04"/>
    <x v="1265"/>
    <x v="8"/>
    <x v="16"/>
    <n v="4"/>
    <n v="6"/>
    <s v="USD"/>
    <x v="1"/>
    <s v="EMP0009"/>
    <n v="24"/>
    <s v="Sat"/>
    <x v="2"/>
    <x v="2"/>
  </r>
  <r>
    <x v="1278"/>
    <d v="2023-11-07T17:00:04"/>
    <x v="1266"/>
    <x v="1"/>
    <x v="15"/>
    <n v="1.5"/>
    <n v="2"/>
    <s v="USD"/>
    <x v="5"/>
    <s v="EMP0080"/>
    <n v="3"/>
    <s v="Tue"/>
    <x v="10"/>
    <x v="4"/>
  </r>
  <r>
    <x v="1279"/>
    <d v="2021-09-24T01:58:04"/>
    <x v="1267"/>
    <x v="0"/>
    <x v="18"/>
    <n v="1.7"/>
    <n v="1"/>
    <s v="USD"/>
    <x v="0"/>
    <s v="EMP0037"/>
    <n v="1.7"/>
    <s v="Fri"/>
    <x v="9"/>
    <x v="0"/>
  </r>
  <r>
    <x v="1280"/>
    <d v="2024-04-10T22:04:04"/>
    <x v="1268"/>
    <x v="10"/>
    <x v="2"/>
    <n v="2.5"/>
    <n v="9"/>
    <s v="USD"/>
    <x v="0"/>
    <s v="EMP0076"/>
    <n v="22.5"/>
    <s v="Wed"/>
    <x v="11"/>
    <x v="1"/>
  </r>
  <r>
    <x v="1281"/>
    <d v="2021-07-07T02:28:04"/>
    <x v="1269"/>
    <x v="12"/>
    <x v="10"/>
    <n v="5"/>
    <n v="3"/>
    <s v="USD"/>
    <x v="4"/>
    <s v="EMP0093"/>
    <n v="15"/>
    <s v="Wed"/>
    <x v="8"/>
    <x v="0"/>
  </r>
  <r>
    <x v="1282"/>
    <d v="2021-05-14T01:00:04"/>
    <x v="1270"/>
    <x v="4"/>
    <x v="7"/>
    <n v="2.8"/>
    <n v="8"/>
    <s v="USD"/>
    <x v="0"/>
    <s v="EMP0080"/>
    <n v="22.4"/>
    <s v="Fri"/>
    <x v="5"/>
    <x v="0"/>
  </r>
  <r>
    <x v="1283"/>
    <d v="2024-03-11T03:42:04"/>
    <x v="1271"/>
    <x v="0"/>
    <x v="9"/>
    <n v="3"/>
    <n v="8"/>
    <s v="USD"/>
    <x v="0"/>
    <s v="EMP0023"/>
    <n v="24"/>
    <s v="Mon"/>
    <x v="1"/>
    <x v="1"/>
  </r>
  <r>
    <x v="1284"/>
    <d v="2024-03-27T07:48:04"/>
    <x v="1272"/>
    <x v="10"/>
    <x v="19"/>
    <n v="5.5"/>
    <n v="7"/>
    <s v="USD"/>
    <x v="5"/>
    <s v="EMP0039"/>
    <n v="38.5"/>
    <s v="Wed"/>
    <x v="1"/>
    <x v="1"/>
  </r>
  <r>
    <x v="1285"/>
    <d v="2024-01-15T06:51:04"/>
    <x v="1273"/>
    <x v="13"/>
    <x v="3"/>
    <n v="1.2"/>
    <n v="6"/>
    <s v="USD"/>
    <x v="4"/>
    <s v="EMP0046"/>
    <n v="7.1999999999999993"/>
    <s v="Mon"/>
    <x v="2"/>
    <x v="1"/>
  </r>
  <r>
    <x v="1286"/>
    <d v="2021-07-23T08:15:04"/>
    <x v="1274"/>
    <x v="4"/>
    <x v="12"/>
    <n v="1.8"/>
    <n v="1"/>
    <s v="USD"/>
    <x v="3"/>
    <s v="EMP0044"/>
    <n v="1.8"/>
    <s v="Fri"/>
    <x v="8"/>
    <x v="0"/>
  </r>
  <r>
    <x v="1287"/>
    <d v="2022-12-10T09:47:04"/>
    <x v="1275"/>
    <x v="2"/>
    <x v="19"/>
    <n v="5.5"/>
    <n v="9"/>
    <s v="USD"/>
    <x v="0"/>
    <s v="EMP0063"/>
    <n v="49.5"/>
    <s v="Sat"/>
    <x v="4"/>
    <x v="3"/>
  </r>
  <r>
    <x v="1288"/>
    <d v="2023-11-28T02:36:04"/>
    <x v="1276"/>
    <x v="5"/>
    <x v="17"/>
    <n v="2.5"/>
    <n v="9"/>
    <s v="USD"/>
    <x v="4"/>
    <s v="EMP0020"/>
    <n v="22.5"/>
    <s v="Tue"/>
    <x v="10"/>
    <x v="4"/>
  </r>
  <r>
    <x v="1289"/>
    <d v="2021-06-25T20:48:04"/>
    <x v="1277"/>
    <x v="3"/>
    <x v="19"/>
    <n v="5.5"/>
    <n v="1"/>
    <s v="USD"/>
    <x v="5"/>
    <s v="EMP0059"/>
    <n v="5.5"/>
    <s v="Fri"/>
    <x v="3"/>
    <x v="0"/>
  </r>
  <r>
    <x v="1290"/>
    <d v="2024-09-24T09:36:04"/>
    <x v="1278"/>
    <x v="12"/>
    <x v="5"/>
    <n v="1"/>
    <n v="2"/>
    <s v="USD"/>
    <x v="1"/>
    <s v="EMP0006"/>
    <n v="2"/>
    <s v="Tue"/>
    <x v="9"/>
    <x v="1"/>
  </r>
  <r>
    <x v="1291"/>
    <d v="2022-07-06T10:16:04"/>
    <x v="1279"/>
    <x v="3"/>
    <x v="19"/>
    <n v="5.5"/>
    <n v="4"/>
    <s v="USD"/>
    <x v="4"/>
    <s v="EMP0021"/>
    <n v="22"/>
    <s v="Wed"/>
    <x v="8"/>
    <x v="3"/>
  </r>
  <r>
    <x v="1292"/>
    <d v="2023-09-18T14:58:04"/>
    <x v="1280"/>
    <x v="14"/>
    <x v="12"/>
    <n v="1.8"/>
    <n v="8"/>
    <s v="USD"/>
    <x v="2"/>
    <s v="EMP0013"/>
    <n v="14.4"/>
    <s v="Mon"/>
    <x v="9"/>
    <x v="4"/>
  </r>
  <r>
    <x v="1293"/>
    <d v="2024-06-27T17:03:04"/>
    <x v="1281"/>
    <x v="5"/>
    <x v="14"/>
    <n v="2.2000000000000002"/>
    <n v="2"/>
    <s v="USD"/>
    <x v="0"/>
    <s v="EMP0057"/>
    <n v="4.4000000000000004"/>
    <s v="Thu"/>
    <x v="3"/>
    <x v="1"/>
  </r>
  <r>
    <x v="1294"/>
    <d v="2023-01-09T13:11:04"/>
    <x v="1282"/>
    <x v="4"/>
    <x v="15"/>
    <n v="1.5"/>
    <n v="6"/>
    <s v="USD"/>
    <x v="4"/>
    <s v="EMP0065"/>
    <n v="9"/>
    <s v="Mon"/>
    <x v="2"/>
    <x v="4"/>
  </r>
  <r>
    <x v="1295"/>
    <d v="2024-05-24T11:09:04"/>
    <x v="1283"/>
    <x v="5"/>
    <x v="18"/>
    <n v="1.7"/>
    <n v="6"/>
    <s v="USD"/>
    <x v="2"/>
    <s v="EMP0086"/>
    <n v="10.199999999999999"/>
    <s v="Fri"/>
    <x v="5"/>
    <x v="1"/>
  </r>
  <r>
    <x v="1296"/>
    <d v="2023-12-24T08:38:04"/>
    <x v="1284"/>
    <x v="14"/>
    <x v="12"/>
    <n v="1.8"/>
    <n v="7"/>
    <s v="USD"/>
    <x v="0"/>
    <s v="EMP0018"/>
    <n v="12.6"/>
    <s v="Sun"/>
    <x v="4"/>
    <x v="4"/>
  </r>
  <r>
    <x v="1297"/>
    <d v="2022-12-12T23:28:04"/>
    <x v="1285"/>
    <x v="8"/>
    <x v="10"/>
    <n v="5"/>
    <n v="9"/>
    <s v="USD"/>
    <x v="2"/>
    <s v="EMP0047"/>
    <n v="45"/>
    <s v="Mon"/>
    <x v="4"/>
    <x v="3"/>
  </r>
  <r>
    <x v="1298"/>
    <d v="2025-03-09T23:17:04"/>
    <x v="1286"/>
    <x v="14"/>
    <x v="3"/>
    <n v="1.2"/>
    <n v="9"/>
    <s v="USD"/>
    <x v="3"/>
    <s v="EMP0011"/>
    <n v="10.799999999999999"/>
    <s v="Sun"/>
    <x v="1"/>
    <x v="2"/>
  </r>
  <r>
    <x v="1299"/>
    <d v="2023-06-17T03:01:04"/>
    <x v="1287"/>
    <x v="14"/>
    <x v="13"/>
    <n v="0.8"/>
    <n v="7"/>
    <s v="USD"/>
    <x v="3"/>
    <s v="EMP0051"/>
    <n v="5.6000000000000005"/>
    <s v="Sat"/>
    <x v="3"/>
    <x v="4"/>
  </r>
  <r>
    <x v="1300"/>
    <d v="2025-02-22T15:27:04"/>
    <x v="1288"/>
    <x v="3"/>
    <x v="14"/>
    <n v="2.2000000000000002"/>
    <n v="10"/>
    <s v="USD"/>
    <x v="3"/>
    <s v="EMP0081"/>
    <n v="22"/>
    <s v="Sat"/>
    <x v="7"/>
    <x v="2"/>
  </r>
  <r>
    <x v="1301"/>
    <d v="2021-05-09T15:30:04"/>
    <x v="1289"/>
    <x v="9"/>
    <x v="8"/>
    <n v="4.5"/>
    <n v="7"/>
    <s v="USD"/>
    <x v="5"/>
    <s v="EMP0088"/>
    <n v="31.5"/>
    <s v="Sun"/>
    <x v="5"/>
    <x v="0"/>
  </r>
  <r>
    <x v="1302"/>
    <d v="2021-06-03T19:31:04"/>
    <x v="1290"/>
    <x v="11"/>
    <x v="4"/>
    <n v="3.2"/>
    <n v="6"/>
    <s v="USD"/>
    <x v="3"/>
    <s v="EMP0036"/>
    <n v="19.200000000000003"/>
    <s v="Thu"/>
    <x v="3"/>
    <x v="0"/>
  </r>
  <r>
    <x v="1303"/>
    <d v="2022-05-24T17:28:04"/>
    <x v="1291"/>
    <x v="6"/>
    <x v="6"/>
    <n v="7"/>
    <n v="8"/>
    <s v="USD"/>
    <x v="2"/>
    <s v="EMP0027"/>
    <n v="56"/>
    <s v="Tue"/>
    <x v="5"/>
    <x v="3"/>
  </r>
  <r>
    <x v="1304"/>
    <d v="2022-04-20T17:36:04"/>
    <x v="1292"/>
    <x v="12"/>
    <x v="10"/>
    <n v="5"/>
    <n v="6"/>
    <s v="USD"/>
    <x v="2"/>
    <s v="EMP0052"/>
    <n v="30"/>
    <s v="Wed"/>
    <x v="11"/>
    <x v="3"/>
  </r>
  <r>
    <x v="1305"/>
    <d v="2024-03-31T04:21:04"/>
    <x v="1293"/>
    <x v="13"/>
    <x v="1"/>
    <n v="1"/>
    <n v="6"/>
    <s v="USD"/>
    <x v="5"/>
    <s v="EMP0093"/>
    <n v="6"/>
    <s v="Sun"/>
    <x v="1"/>
    <x v="1"/>
  </r>
  <r>
    <x v="1306"/>
    <d v="2024-08-23T20:52:04"/>
    <x v="1294"/>
    <x v="11"/>
    <x v="11"/>
    <n v="4"/>
    <n v="2"/>
    <s v="USD"/>
    <x v="1"/>
    <s v="EMP0071"/>
    <n v="8"/>
    <s v="Fri"/>
    <x v="6"/>
    <x v="1"/>
  </r>
  <r>
    <x v="1307"/>
    <d v="2023-08-08T21:05:04"/>
    <x v="1295"/>
    <x v="14"/>
    <x v="13"/>
    <n v="0.8"/>
    <n v="1"/>
    <s v="USD"/>
    <x v="3"/>
    <s v="EMP0070"/>
    <n v="0.8"/>
    <s v="Tue"/>
    <x v="6"/>
    <x v="4"/>
  </r>
  <r>
    <x v="1308"/>
    <d v="2022-01-12T05:11:04"/>
    <x v="1296"/>
    <x v="4"/>
    <x v="8"/>
    <n v="4.5"/>
    <n v="7"/>
    <s v="USD"/>
    <x v="1"/>
    <s v="EMP0015"/>
    <n v="31.5"/>
    <s v="Wed"/>
    <x v="2"/>
    <x v="3"/>
  </r>
  <r>
    <x v="1309"/>
    <d v="2025-01-07T02:10:04"/>
    <x v="681"/>
    <x v="3"/>
    <x v="12"/>
    <n v="1.8"/>
    <n v="6"/>
    <s v="USD"/>
    <x v="3"/>
    <s v="EMP0007"/>
    <n v="10.8"/>
    <s v="Tue"/>
    <x v="2"/>
    <x v="2"/>
  </r>
  <r>
    <x v="1310"/>
    <d v="2021-09-14T09:58:04"/>
    <x v="1297"/>
    <x v="11"/>
    <x v="16"/>
    <n v="4"/>
    <n v="1"/>
    <s v="USD"/>
    <x v="5"/>
    <s v="EMP0044"/>
    <n v="4"/>
    <s v="Tue"/>
    <x v="9"/>
    <x v="0"/>
  </r>
  <r>
    <x v="1311"/>
    <d v="2024-01-11T13:49:04"/>
    <x v="1298"/>
    <x v="12"/>
    <x v="1"/>
    <n v="1"/>
    <n v="10"/>
    <s v="USD"/>
    <x v="0"/>
    <s v="EMP0045"/>
    <n v="10"/>
    <s v="Thu"/>
    <x v="2"/>
    <x v="1"/>
  </r>
  <r>
    <x v="1312"/>
    <d v="2023-09-05T03:44:04"/>
    <x v="165"/>
    <x v="14"/>
    <x v="16"/>
    <n v="4"/>
    <n v="3"/>
    <s v="USD"/>
    <x v="2"/>
    <s v="EMP0049"/>
    <n v="12"/>
    <s v="Tue"/>
    <x v="9"/>
    <x v="4"/>
  </r>
  <r>
    <x v="1313"/>
    <d v="2022-06-09T14:11:04"/>
    <x v="1299"/>
    <x v="7"/>
    <x v="4"/>
    <n v="3.2"/>
    <n v="9"/>
    <s v="USD"/>
    <x v="1"/>
    <s v="EMP0025"/>
    <n v="28.8"/>
    <s v="Thu"/>
    <x v="3"/>
    <x v="3"/>
  </r>
  <r>
    <x v="1314"/>
    <d v="2023-04-30T23:20:04"/>
    <x v="1300"/>
    <x v="6"/>
    <x v="18"/>
    <n v="1.7"/>
    <n v="7"/>
    <s v="USD"/>
    <x v="3"/>
    <s v="EMP0012"/>
    <n v="11.9"/>
    <s v="Sun"/>
    <x v="11"/>
    <x v="4"/>
  </r>
  <r>
    <x v="1315"/>
    <d v="2025-01-01T23:30:04"/>
    <x v="1301"/>
    <x v="6"/>
    <x v="15"/>
    <n v="1.5"/>
    <n v="4"/>
    <s v="USD"/>
    <x v="5"/>
    <s v="EMP0010"/>
    <n v="6"/>
    <s v="Wed"/>
    <x v="2"/>
    <x v="2"/>
  </r>
  <r>
    <x v="1316"/>
    <d v="2023-04-13T15:53:04"/>
    <x v="1302"/>
    <x v="8"/>
    <x v="16"/>
    <n v="4"/>
    <n v="9"/>
    <s v="USD"/>
    <x v="1"/>
    <s v="EMP0100"/>
    <n v="36"/>
    <s v="Thu"/>
    <x v="11"/>
    <x v="4"/>
  </r>
  <r>
    <x v="1317"/>
    <d v="2023-02-21T04:49:04"/>
    <x v="1303"/>
    <x v="10"/>
    <x v="18"/>
    <n v="1.7"/>
    <n v="8"/>
    <s v="USD"/>
    <x v="2"/>
    <s v="EMP0063"/>
    <n v="13.6"/>
    <s v="Tue"/>
    <x v="7"/>
    <x v="4"/>
  </r>
  <r>
    <x v="1318"/>
    <d v="2023-01-07T08:17:04"/>
    <x v="1304"/>
    <x v="9"/>
    <x v="14"/>
    <n v="2.2000000000000002"/>
    <n v="8"/>
    <s v="USD"/>
    <x v="2"/>
    <s v="EMP0059"/>
    <n v="17.600000000000001"/>
    <s v="Sat"/>
    <x v="2"/>
    <x v="4"/>
  </r>
  <r>
    <x v="1319"/>
    <d v="2024-08-17T14:54:04"/>
    <x v="1305"/>
    <x v="4"/>
    <x v="12"/>
    <n v="1.8"/>
    <n v="2"/>
    <s v="USD"/>
    <x v="2"/>
    <s v="EMP0028"/>
    <n v="3.6"/>
    <s v="Sat"/>
    <x v="6"/>
    <x v="1"/>
  </r>
  <r>
    <x v="1320"/>
    <d v="2022-10-19T22:24:04"/>
    <x v="1306"/>
    <x v="0"/>
    <x v="13"/>
    <n v="0.8"/>
    <n v="9"/>
    <s v="USD"/>
    <x v="4"/>
    <s v="EMP0016"/>
    <n v="7.2"/>
    <s v="Wed"/>
    <x v="0"/>
    <x v="3"/>
  </r>
  <r>
    <x v="1321"/>
    <d v="2021-12-24T00:19:04"/>
    <x v="1307"/>
    <x v="7"/>
    <x v="7"/>
    <n v="2.8"/>
    <n v="10"/>
    <s v="USD"/>
    <x v="4"/>
    <s v="EMP0006"/>
    <n v="28"/>
    <s v="Fri"/>
    <x v="4"/>
    <x v="0"/>
  </r>
  <r>
    <x v="1322"/>
    <d v="2022-06-04T09:19:04"/>
    <x v="1308"/>
    <x v="5"/>
    <x v="8"/>
    <n v="4.5"/>
    <n v="6"/>
    <s v="USD"/>
    <x v="4"/>
    <s v="EMP0038"/>
    <n v="27"/>
    <s v="Sat"/>
    <x v="3"/>
    <x v="3"/>
  </r>
  <r>
    <x v="1323"/>
    <d v="2022-08-18T12:36:04"/>
    <x v="1309"/>
    <x v="6"/>
    <x v="14"/>
    <n v="2.2000000000000002"/>
    <n v="10"/>
    <s v="USD"/>
    <x v="5"/>
    <s v="EMP0007"/>
    <n v="22"/>
    <s v="Thu"/>
    <x v="6"/>
    <x v="3"/>
  </r>
  <r>
    <x v="1324"/>
    <d v="2023-08-24T04:13:04"/>
    <x v="1310"/>
    <x v="6"/>
    <x v="15"/>
    <n v="1.5"/>
    <n v="1"/>
    <s v="USD"/>
    <x v="3"/>
    <s v="EMP0071"/>
    <n v="1.5"/>
    <s v="Thu"/>
    <x v="6"/>
    <x v="4"/>
  </r>
  <r>
    <x v="1325"/>
    <d v="2023-05-26T10:31:04"/>
    <x v="1311"/>
    <x v="13"/>
    <x v="18"/>
    <n v="1.7"/>
    <n v="8"/>
    <s v="USD"/>
    <x v="1"/>
    <s v="EMP0040"/>
    <n v="13.6"/>
    <s v="Fri"/>
    <x v="5"/>
    <x v="4"/>
  </r>
  <r>
    <x v="1326"/>
    <d v="2022-03-07T22:29:04"/>
    <x v="1312"/>
    <x v="5"/>
    <x v="6"/>
    <n v="7"/>
    <n v="8"/>
    <s v="USD"/>
    <x v="2"/>
    <s v="EMP0078"/>
    <n v="56"/>
    <s v="Mon"/>
    <x v="1"/>
    <x v="3"/>
  </r>
  <r>
    <x v="1327"/>
    <d v="2024-08-11T08:54:04"/>
    <x v="1313"/>
    <x v="3"/>
    <x v="10"/>
    <n v="5"/>
    <n v="8"/>
    <s v="USD"/>
    <x v="2"/>
    <s v="EMP0058"/>
    <n v="40"/>
    <s v="Sun"/>
    <x v="6"/>
    <x v="1"/>
  </r>
  <r>
    <x v="1328"/>
    <d v="2024-07-07T14:06:04"/>
    <x v="1314"/>
    <x v="7"/>
    <x v="5"/>
    <n v="1"/>
    <n v="10"/>
    <s v="USD"/>
    <x v="5"/>
    <s v="EMP0050"/>
    <n v="10"/>
    <s v="Sun"/>
    <x v="8"/>
    <x v="1"/>
  </r>
  <r>
    <x v="1329"/>
    <d v="2024-01-19T01:05:04"/>
    <x v="1315"/>
    <x v="9"/>
    <x v="17"/>
    <n v="2.5"/>
    <n v="8"/>
    <s v="USD"/>
    <x v="2"/>
    <s v="EMP0036"/>
    <n v="20"/>
    <s v="Fri"/>
    <x v="2"/>
    <x v="1"/>
  </r>
  <r>
    <x v="1330"/>
    <d v="2021-09-25T10:31:04"/>
    <x v="1316"/>
    <x v="6"/>
    <x v="3"/>
    <n v="1.2"/>
    <n v="10"/>
    <s v="USD"/>
    <x v="2"/>
    <s v="EMP0099"/>
    <n v="12"/>
    <s v="Sat"/>
    <x v="9"/>
    <x v="0"/>
  </r>
  <r>
    <x v="1331"/>
    <d v="2021-05-22T03:51:04"/>
    <x v="1317"/>
    <x v="3"/>
    <x v="19"/>
    <n v="5.5"/>
    <n v="9"/>
    <s v="USD"/>
    <x v="3"/>
    <s v="EMP0025"/>
    <n v="49.5"/>
    <s v="Sat"/>
    <x v="5"/>
    <x v="0"/>
  </r>
  <r>
    <x v="1332"/>
    <d v="2021-11-18T19:50:04"/>
    <x v="1318"/>
    <x v="14"/>
    <x v="17"/>
    <n v="2.5"/>
    <n v="10"/>
    <s v="USD"/>
    <x v="1"/>
    <s v="EMP0025"/>
    <n v="25"/>
    <s v="Thu"/>
    <x v="10"/>
    <x v="0"/>
  </r>
  <r>
    <x v="1333"/>
    <d v="2022-09-07T20:29:04"/>
    <x v="1319"/>
    <x v="13"/>
    <x v="19"/>
    <n v="5.5"/>
    <n v="9"/>
    <s v="USD"/>
    <x v="0"/>
    <s v="EMP0003"/>
    <n v="49.5"/>
    <s v="Wed"/>
    <x v="9"/>
    <x v="3"/>
  </r>
  <r>
    <x v="1334"/>
    <d v="2023-10-24T07:11:04"/>
    <x v="1320"/>
    <x v="4"/>
    <x v="16"/>
    <n v="4"/>
    <n v="8"/>
    <s v="USD"/>
    <x v="3"/>
    <s v="EMP0069"/>
    <n v="32"/>
    <s v="Tue"/>
    <x v="0"/>
    <x v="4"/>
  </r>
  <r>
    <x v="1335"/>
    <d v="2021-12-14T03:01:04"/>
    <x v="1321"/>
    <x v="12"/>
    <x v="17"/>
    <n v="2.5"/>
    <n v="8"/>
    <s v="USD"/>
    <x v="3"/>
    <s v="EMP0044"/>
    <n v="20"/>
    <s v="Tue"/>
    <x v="4"/>
    <x v="0"/>
  </r>
  <r>
    <x v="1336"/>
    <d v="2022-11-26T08:00:04"/>
    <x v="1322"/>
    <x v="13"/>
    <x v="12"/>
    <n v="1.8"/>
    <n v="6"/>
    <s v="USD"/>
    <x v="5"/>
    <s v="EMP0033"/>
    <n v="10.8"/>
    <s v="Sat"/>
    <x v="10"/>
    <x v="3"/>
  </r>
  <r>
    <x v="1337"/>
    <d v="2024-11-04T10:20:04"/>
    <x v="1323"/>
    <x v="9"/>
    <x v="13"/>
    <n v="0.8"/>
    <n v="5"/>
    <s v="USD"/>
    <x v="0"/>
    <s v="EMP0024"/>
    <n v="4"/>
    <s v="Mon"/>
    <x v="10"/>
    <x v="1"/>
  </r>
  <r>
    <x v="1338"/>
    <d v="2023-12-03T11:17:04"/>
    <x v="1324"/>
    <x v="11"/>
    <x v="18"/>
    <n v="1.7"/>
    <n v="3"/>
    <s v="USD"/>
    <x v="3"/>
    <s v="EMP0079"/>
    <n v="5.0999999999999996"/>
    <s v="Sun"/>
    <x v="4"/>
    <x v="4"/>
  </r>
  <r>
    <x v="1339"/>
    <d v="2023-07-13T08:25:04"/>
    <x v="1325"/>
    <x v="0"/>
    <x v="17"/>
    <n v="2.5"/>
    <n v="5"/>
    <s v="USD"/>
    <x v="5"/>
    <s v="EMP0013"/>
    <n v="12.5"/>
    <s v="Thu"/>
    <x v="8"/>
    <x v="4"/>
  </r>
  <r>
    <x v="1340"/>
    <d v="2023-07-24T09:00:04"/>
    <x v="1326"/>
    <x v="1"/>
    <x v="4"/>
    <n v="3.2"/>
    <n v="5"/>
    <s v="USD"/>
    <x v="5"/>
    <s v="EMP0016"/>
    <n v="16"/>
    <s v="Mon"/>
    <x v="8"/>
    <x v="4"/>
  </r>
  <r>
    <x v="1341"/>
    <d v="2025-01-23T07:11:04"/>
    <x v="1327"/>
    <x v="14"/>
    <x v="5"/>
    <n v="1"/>
    <n v="10"/>
    <s v="USD"/>
    <x v="0"/>
    <s v="EMP0064"/>
    <n v="10"/>
    <s v="Thu"/>
    <x v="2"/>
    <x v="2"/>
  </r>
  <r>
    <x v="1342"/>
    <d v="2022-07-02T21:02:04"/>
    <x v="1328"/>
    <x v="7"/>
    <x v="0"/>
    <n v="3.1"/>
    <n v="1"/>
    <s v="USD"/>
    <x v="4"/>
    <s v="EMP0060"/>
    <n v="3.1"/>
    <s v="Sat"/>
    <x v="8"/>
    <x v="3"/>
  </r>
  <r>
    <x v="1343"/>
    <d v="2022-04-03T00:22:04"/>
    <x v="1329"/>
    <x v="10"/>
    <x v="3"/>
    <n v="1.2"/>
    <n v="7"/>
    <s v="USD"/>
    <x v="2"/>
    <s v="EMP0030"/>
    <n v="8.4"/>
    <s v="Sun"/>
    <x v="11"/>
    <x v="3"/>
  </r>
  <r>
    <x v="1344"/>
    <d v="2025-04-01T04:51:04"/>
    <x v="1330"/>
    <x v="12"/>
    <x v="19"/>
    <n v="5.5"/>
    <n v="4"/>
    <s v="USD"/>
    <x v="1"/>
    <s v="EMP0084"/>
    <n v="22"/>
    <s v="Tue"/>
    <x v="11"/>
    <x v="2"/>
  </r>
  <r>
    <x v="1345"/>
    <d v="2024-08-25T03:50:04"/>
    <x v="1331"/>
    <x v="8"/>
    <x v="10"/>
    <n v="5"/>
    <n v="2"/>
    <s v="USD"/>
    <x v="2"/>
    <s v="EMP0065"/>
    <n v="10"/>
    <s v="Sun"/>
    <x v="6"/>
    <x v="1"/>
  </r>
  <r>
    <x v="1346"/>
    <d v="2024-03-19T09:03:04"/>
    <x v="1332"/>
    <x v="9"/>
    <x v="13"/>
    <n v="0.8"/>
    <n v="4"/>
    <s v="USD"/>
    <x v="1"/>
    <s v="EMP0055"/>
    <n v="3.2"/>
    <s v="Tue"/>
    <x v="1"/>
    <x v="1"/>
  </r>
  <r>
    <x v="1347"/>
    <d v="2022-03-29T23:24:04"/>
    <x v="1333"/>
    <x v="13"/>
    <x v="10"/>
    <n v="5"/>
    <n v="10"/>
    <s v="USD"/>
    <x v="4"/>
    <s v="EMP0084"/>
    <n v="50"/>
    <s v="Tue"/>
    <x v="1"/>
    <x v="3"/>
  </r>
  <r>
    <x v="1348"/>
    <d v="2024-06-01T13:23:04"/>
    <x v="1334"/>
    <x v="1"/>
    <x v="15"/>
    <n v="1.5"/>
    <n v="5"/>
    <s v="USD"/>
    <x v="1"/>
    <s v="EMP0033"/>
    <n v="7.5"/>
    <s v="Sat"/>
    <x v="3"/>
    <x v="1"/>
  </r>
  <r>
    <x v="1349"/>
    <d v="2021-07-17T01:04:04"/>
    <x v="1335"/>
    <x v="4"/>
    <x v="11"/>
    <n v="4"/>
    <n v="10"/>
    <s v="USD"/>
    <x v="1"/>
    <s v="EMP0037"/>
    <n v="40"/>
    <s v="Sat"/>
    <x v="8"/>
    <x v="0"/>
  </r>
  <r>
    <x v="1350"/>
    <d v="2025-02-05T07:39:04"/>
    <x v="1336"/>
    <x v="9"/>
    <x v="16"/>
    <n v="4"/>
    <n v="2"/>
    <s v="USD"/>
    <x v="4"/>
    <s v="EMP0012"/>
    <n v="8"/>
    <s v="Wed"/>
    <x v="7"/>
    <x v="2"/>
  </r>
  <r>
    <x v="1351"/>
    <d v="2023-02-19T15:19:04"/>
    <x v="1337"/>
    <x v="4"/>
    <x v="14"/>
    <n v="2.2000000000000002"/>
    <n v="9"/>
    <s v="USD"/>
    <x v="4"/>
    <s v="EMP0056"/>
    <n v="19.8"/>
    <s v="Sun"/>
    <x v="7"/>
    <x v="4"/>
  </r>
  <r>
    <x v="1352"/>
    <d v="2024-03-03T17:54:04"/>
    <x v="1338"/>
    <x v="14"/>
    <x v="4"/>
    <n v="3.2"/>
    <n v="6"/>
    <s v="USD"/>
    <x v="2"/>
    <s v="EMP0034"/>
    <n v="19.200000000000003"/>
    <s v="Sun"/>
    <x v="1"/>
    <x v="1"/>
  </r>
  <r>
    <x v="1353"/>
    <d v="2021-05-20T23:09:04"/>
    <x v="1339"/>
    <x v="2"/>
    <x v="4"/>
    <n v="3.2"/>
    <n v="6"/>
    <s v="USD"/>
    <x v="0"/>
    <s v="EMP0059"/>
    <n v="19.200000000000003"/>
    <s v="Thu"/>
    <x v="5"/>
    <x v="0"/>
  </r>
  <r>
    <x v="1354"/>
    <d v="2021-12-29T03:25:04"/>
    <x v="1340"/>
    <x v="1"/>
    <x v="14"/>
    <n v="2.2000000000000002"/>
    <n v="1"/>
    <s v="USD"/>
    <x v="1"/>
    <s v="EMP0061"/>
    <n v="2.2000000000000002"/>
    <s v="Wed"/>
    <x v="4"/>
    <x v="0"/>
  </r>
  <r>
    <x v="1355"/>
    <d v="2025-05-01T12:43:04"/>
    <x v="1341"/>
    <x v="6"/>
    <x v="18"/>
    <n v="1.7"/>
    <n v="9"/>
    <s v="USD"/>
    <x v="2"/>
    <s v="EMP0091"/>
    <n v="15.299999999999999"/>
    <s v="Thu"/>
    <x v="5"/>
    <x v="2"/>
  </r>
  <r>
    <x v="1356"/>
    <d v="2022-08-12T00:52:04"/>
    <x v="1342"/>
    <x v="7"/>
    <x v="9"/>
    <n v="3"/>
    <n v="9"/>
    <s v="USD"/>
    <x v="3"/>
    <s v="EMP0086"/>
    <n v="27"/>
    <s v="Fri"/>
    <x v="6"/>
    <x v="3"/>
  </r>
  <r>
    <x v="1357"/>
    <d v="2022-11-09T16:19:04"/>
    <x v="1343"/>
    <x v="5"/>
    <x v="6"/>
    <n v="7"/>
    <n v="10"/>
    <s v="USD"/>
    <x v="4"/>
    <s v="EMP0050"/>
    <n v="70"/>
    <s v="Wed"/>
    <x v="10"/>
    <x v="3"/>
  </r>
  <r>
    <x v="1358"/>
    <d v="2024-05-11T15:26:04"/>
    <x v="1344"/>
    <x v="7"/>
    <x v="10"/>
    <n v="5"/>
    <n v="6"/>
    <s v="USD"/>
    <x v="0"/>
    <s v="EMP0057"/>
    <n v="30"/>
    <s v="Sat"/>
    <x v="5"/>
    <x v="1"/>
  </r>
  <r>
    <x v="1359"/>
    <d v="2025-04-20T05:39:04"/>
    <x v="1345"/>
    <x v="13"/>
    <x v="0"/>
    <n v="3.1"/>
    <n v="6"/>
    <s v="USD"/>
    <x v="0"/>
    <s v="EMP0012"/>
    <n v="18.600000000000001"/>
    <s v="Sun"/>
    <x v="11"/>
    <x v="2"/>
  </r>
  <r>
    <x v="1360"/>
    <d v="2021-11-29T17:07:04"/>
    <x v="1346"/>
    <x v="14"/>
    <x v="2"/>
    <n v="2.5"/>
    <n v="4"/>
    <s v="USD"/>
    <x v="5"/>
    <s v="EMP0047"/>
    <n v="10"/>
    <s v="Mon"/>
    <x v="10"/>
    <x v="0"/>
  </r>
  <r>
    <x v="1361"/>
    <d v="2025-02-23T04:55:04"/>
    <x v="1347"/>
    <x v="1"/>
    <x v="5"/>
    <n v="1"/>
    <n v="4"/>
    <s v="USD"/>
    <x v="3"/>
    <s v="EMP0026"/>
    <n v="4"/>
    <s v="Sun"/>
    <x v="7"/>
    <x v="2"/>
  </r>
  <r>
    <x v="1362"/>
    <d v="2021-10-10T01:19:04"/>
    <x v="1348"/>
    <x v="4"/>
    <x v="0"/>
    <n v="3.1"/>
    <n v="10"/>
    <s v="USD"/>
    <x v="1"/>
    <s v="EMP0064"/>
    <n v="31"/>
    <s v="Sun"/>
    <x v="0"/>
    <x v="0"/>
  </r>
  <r>
    <x v="1363"/>
    <d v="2024-05-24T20:14:04"/>
    <x v="1349"/>
    <x v="3"/>
    <x v="16"/>
    <n v="4"/>
    <n v="10"/>
    <s v="USD"/>
    <x v="1"/>
    <s v="EMP0023"/>
    <n v="40"/>
    <s v="Fri"/>
    <x v="5"/>
    <x v="1"/>
  </r>
  <r>
    <x v="1364"/>
    <d v="2024-12-26T19:18:04"/>
    <x v="1350"/>
    <x v="0"/>
    <x v="9"/>
    <n v="3"/>
    <n v="3"/>
    <s v="USD"/>
    <x v="4"/>
    <s v="EMP0073"/>
    <n v="9"/>
    <s v="Thu"/>
    <x v="4"/>
    <x v="1"/>
  </r>
  <r>
    <x v="1365"/>
    <d v="2024-01-28T20:40:04"/>
    <x v="1351"/>
    <x v="14"/>
    <x v="0"/>
    <n v="3.1"/>
    <n v="4"/>
    <s v="USD"/>
    <x v="2"/>
    <s v="EMP0003"/>
    <n v="12.4"/>
    <s v="Sun"/>
    <x v="2"/>
    <x v="1"/>
  </r>
  <r>
    <x v="1366"/>
    <d v="2021-06-19T15:52:04"/>
    <x v="1352"/>
    <x v="12"/>
    <x v="0"/>
    <n v="3.1"/>
    <n v="9"/>
    <s v="USD"/>
    <x v="5"/>
    <s v="EMP0001"/>
    <n v="27.900000000000002"/>
    <s v="Sat"/>
    <x v="3"/>
    <x v="0"/>
  </r>
  <r>
    <x v="1367"/>
    <d v="2022-12-16T16:43:04"/>
    <x v="1353"/>
    <x v="3"/>
    <x v="17"/>
    <n v="2.5"/>
    <n v="6"/>
    <s v="USD"/>
    <x v="5"/>
    <s v="EMP0053"/>
    <n v="15"/>
    <s v="Fri"/>
    <x v="4"/>
    <x v="3"/>
  </r>
  <r>
    <x v="1368"/>
    <d v="2023-10-26T09:43:04"/>
    <x v="1354"/>
    <x v="9"/>
    <x v="10"/>
    <n v="5"/>
    <n v="8"/>
    <s v="USD"/>
    <x v="4"/>
    <s v="EMP0067"/>
    <n v="40"/>
    <s v="Thu"/>
    <x v="0"/>
    <x v="4"/>
  </r>
  <r>
    <x v="1369"/>
    <d v="2025-02-08T14:12:04"/>
    <x v="1355"/>
    <x v="13"/>
    <x v="0"/>
    <n v="3.1"/>
    <n v="7"/>
    <s v="USD"/>
    <x v="1"/>
    <s v="EMP0058"/>
    <n v="21.7"/>
    <s v="Sat"/>
    <x v="7"/>
    <x v="2"/>
  </r>
  <r>
    <x v="1370"/>
    <d v="2023-08-01T13:01:04"/>
    <x v="1356"/>
    <x v="2"/>
    <x v="4"/>
    <n v="3.2"/>
    <n v="2"/>
    <s v="USD"/>
    <x v="1"/>
    <s v="EMP0004"/>
    <n v="6.4"/>
    <s v="Tue"/>
    <x v="6"/>
    <x v="4"/>
  </r>
  <r>
    <x v="1371"/>
    <d v="2024-02-01T14:59:04"/>
    <x v="1357"/>
    <x v="7"/>
    <x v="2"/>
    <n v="2.5"/>
    <n v="4"/>
    <s v="USD"/>
    <x v="0"/>
    <s v="EMP0043"/>
    <n v="10"/>
    <s v="Thu"/>
    <x v="7"/>
    <x v="1"/>
  </r>
  <r>
    <x v="1372"/>
    <d v="2023-08-12T10:46:04"/>
    <x v="1358"/>
    <x v="3"/>
    <x v="19"/>
    <n v="5.5"/>
    <n v="1"/>
    <s v="USD"/>
    <x v="5"/>
    <s v="EMP0056"/>
    <n v="5.5"/>
    <s v="Sat"/>
    <x v="6"/>
    <x v="4"/>
  </r>
  <r>
    <x v="1373"/>
    <d v="2025-03-20T18:35:04"/>
    <x v="1359"/>
    <x v="3"/>
    <x v="4"/>
    <n v="3.2"/>
    <n v="5"/>
    <s v="USD"/>
    <x v="0"/>
    <s v="EMP0014"/>
    <n v="16"/>
    <s v="Thu"/>
    <x v="1"/>
    <x v="2"/>
  </r>
  <r>
    <x v="1374"/>
    <d v="2022-09-13T06:05:04"/>
    <x v="1360"/>
    <x v="4"/>
    <x v="17"/>
    <n v="2.5"/>
    <n v="6"/>
    <s v="USD"/>
    <x v="1"/>
    <s v="EMP0031"/>
    <n v="15"/>
    <s v="Tue"/>
    <x v="9"/>
    <x v="3"/>
  </r>
  <r>
    <x v="1375"/>
    <d v="2024-12-10T17:47:04"/>
    <x v="1286"/>
    <x v="10"/>
    <x v="19"/>
    <n v="5.5"/>
    <n v="8"/>
    <s v="USD"/>
    <x v="1"/>
    <s v="EMP0016"/>
    <n v="44"/>
    <s v="Tue"/>
    <x v="4"/>
    <x v="1"/>
  </r>
  <r>
    <x v="1376"/>
    <d v="2024-11-15T11:28:04"/>
    <x v="1361"/>
    <x v="13"/>
    <x v="6"/>
    <n v="7"/>
    <n v="6"/>
    <s v="USD"/>
    <x v="2"/>
    <s v="EMP0009"/>
    <n v="42"/>
    <s v="Fri"/>
    <x v="10"/>
    <x v="1"/>
  </r>
  <r>
    <x v="1377"/>
    <d v="2024-08-21T11:28:04"/>
    <x v="1362"/>
    <x v="14"/>
    <x v="10"/>
    <n v="5"/>
    <n v="1"/>
    <s v="USD"/>
    <x v="4"/>
    <s v="EMP0079"/>
    <n v="5"/>
    <s v="Wed"/>
    <x v="6"/>
    <x v="1"/>
  </r>
  <r>
    <x v="1378"/>
    <d v="2021-11-04T00:22:04"/>
    <x v="1363"/>
    <x v="7"/>
    <x v="17"/>
    <n v="2.5"/>
    <n v="9"/>
    <s v="USD"/>
    <x v="3"/>
    <s v="EMP0038"/>
    <n v="22.5"/>
    <s v="Thu"/>
    <x v="10"/>
    <x v="0"/>
  </r>
  <r>
    <x v="1379"/>
    <d v="2023-03-20T01:20:04"/>
    <x v="1364"/>
    <x v="12"/>
    <x v="18"/>
    <n v="1.7"/>
    <n v="4"/>
    <s v="USD"/>
    <x v="1"/>
    <s v="EMP0085"/>
    <n v="6.8"/>
    <s v="Mon"/>
    <x v="1"/>
    <x v="4"/>
  </r>
  <r>
    <x v="1380"/>
    <d v="2021-11-09T12:57:04"/>
    <x v="1365"/>
    <x v="8"/>
    <x v="10"/>
    <n v="5"/>
    <n v="7"/>
    <s v="USD"/>
    <x v="1"/>
    <s v="EMP0080"/>
    <n v="35"/>
    <s v="Tue"/>
    <x v="10"/>
    <x v="0"/>
  </r>
  <r>
    <x v="1381"/>
    <d v="2024-10-14T02:45:04"/>
    <x v="1366"/>
    <x v="3"/>
    <x v="3"/>
    <n v="1.2"/>
    <n v="8"/>
    <s v="USD"/>
    <x v="1"/>
    <s v="EMP0043"/>
    <n v="9.6"/>
    <s v="Mon"/>
    <x v="0"/>
    <x v="1"/>
  </r>
  <r>
    <x v="1382"/>
    <d v="2022-01-22T07:20:04"/>
    <x v="1367"/>
    <x v="7"/>
    <x v="3"/>
    <n v="1.2"/>
    <n v="10"/>
    <s v="USD"/>
    <x v="2"/>
    <s v="EMP0009"/>
    <n v="12"/>
    <s v="Sat"/>
    <x v="2"/>
    <x v="3"/>
  </r>
  <r>
    <x v="1383"/>
    <d v="2022-01-11T06:29:04"/>
    <x v="1368"/>
    <x v="12"/>
    <x v="14"/>
    <n v="2.2000000000000002"/>
    <n v="9"/>
    <s v="USD"/>
    <x v="4"/>
    <s v="EMP0046"/>
    <n v="19.8"/>
    <s v="Tue"/>
    <x v="2"/>
    <x v="3"/>
  </r>
  <r>
    <x v="1384"/>
    <d v="2022-12-28T21:40:04"/>
    <x v="1369"/>
    <x v="12"/>
    <x v="10"/>
    <n v="5"/>
    <n v="3"/>
    <s v="USD"/>
    <x v="0"/>
    <s v="EMP0018"/>
    <n v="15"/>
    <s v="Wed"/>
    <x v="4"/>
    <x v="3"/>
  </r>
  <r>
    <x v="1385"/>
    <d v="2025-02-08T12:18:04"/>
    <x v="1370"/>
    <x v="11"/>
    <x v="16"/>
    <n v="4"/>
    <n v="7"/>
    <s v="USD"/>
    <x v="1"/>
    <s v="EMP0084"/>
    <n v="28"/>
    <s v="Sat"/>
    <x v="7"/>
    <x v="2"/>
  </r>
  <r>
    <x v="1386"/>
    <d v="2023-05-08T03:49:04"/>
    <x v="1371"/>
    <x v="1"/>
    <x v="1"/>
    <n v="1"/>
    <n v="3"/>
    <s v="USD"/>
    <x v="0"/>
    <s v="EMP0061"/>
    <n v="3"/>
    <s v="Mon"/>
    <x v="5"/>
    <x v="4"/>
  </r>
  <r>
    <x v="1387"/>
    <d v="2023-08-15T18:05:04"/>
    <x v="1372"/>
    <x v="11"/>
    <x v="7"/>
    <n v="2.8"/>
    <n v="1"/>
    <s v="USD"/>
    <x v="1"/>
    <s v="EMP0076"/>
    <n v="2.8"/>
    <s v="Tue"/>
    <x v="6"/>
    <x v="4"/>
  </r>
  <r>
    <x v="1388"/>
    <d v="2021-08-31T16:17:04"/>
    <x v="1373"/>
    <x v="13"/>
    <x v="2"/>
    <n v="2.5"/>
    <n v="9"/>
    <s v="USD"/>
    <x v="1"/>
    <s v="EMP0007"/>
    <n v="22.5"/>
    <s v="Tue"/>
    <x v="6"/>
    <x v="0"/>
  </r>
  <r>
    <x v="1389"/>
    <d v="2022-12-27T02:14:04"/>
    <x v="1374"/>
    <x v="2"/>
    <x v="11"/>
    <n v="4"/>
    <n v="2"/>
    <s v="USD"/>
    <x v="4"/>
    <s v="EMP0025"/>
    <n v="8"/>
    <s v="Tue"/>
    <x v="4"/>
    <x v="3"/>
  </r>
  <r>
    <x v="1390"/>
    <d v="2021-08-10T21:42:04"/>
    <x v="1375"/>
    <x v="0"/>
    <x v="10"/>
    <n v="5"/>
    <n v="10"/>
    <s v="USD"/>
    <x v="2"/>
    <s v="EMP0043"/>
    <n v="50"/>
    <s v="Tue"/>
    <x v="6"/>
    <x v="0"/>
  </r>
  <r>
    <x v="1391"/>
    <d v="2022-02-09T19:05:04"/>
    <x v="1376"/>
    <x v="12"/>
    <x v="8"/>
    <n v="4.5"/>
    <n v="7"/>
    <s v="USD"/>
    <x v="4"/>
    <s v="EMP0021"/>
    <n v="31.5"/>
    <s v="Wed"/>
    <x v="7"/>
    <x v="3"/>
  </r>
  <r>
    <x v="1392"/>
    <d v="2024-10-06T22:30:04"/>
    <x v="1377"/>
    <x v="14"/>
    <x v="17"/>
    <n v="2.5"/>
    <n v="8"/>
    <s v="USD"/>
    <x v="0"/>
    <s v="EMP0001"/>
    <n v="20"/>
    <s v="Sun"/>
    <x v="0"/>
    <x v="1"/>
  </r>
  <r>
    <x v="1393"/>
    <d v="2021-10-09T05:42:04"/>
    <x v="1378"/>
    <x v="2"/>
    <x v="10"/>
    <n v="5"/>
    <n v="10"/>
    <s v="USD"/>
    <x v="0"/>
    <s v="EMP0031"/>
    <n v="50"/>
    <s v="Sat"/>
    <x v="0"/>
    <x v="0"/>
  </r>
  <r>
    <x v="1394"/>
    <d v="2022-08-28T13:37:04"/>
    <x v="1379"/>
    <x v="4"/>
    <x v="4"/>
    <n v="3.2"/>
    <n v="7"/>
    <s v="USD"/>
    <x v="0"/>
    <s v="EMP0052"/>
    <n v="22.400000000000002"/>
    <s v="Sun"/>
    <x v="6"/>
    <x v="3"/>
  </r>
  <r>
    <x v="1395"/>
    <d v="2024-04-27T13:03:04"/>
    <x v="1380"/>
    <x v="13"/>
    <x v="9"/>
    <n v="3"/>
    <n v="6"/>
    <s v="USD"/>
    <x v="3"/>
    <s v="EMP0072"/>
    <n v="18"/>
    <s v="Sat"/>
    <x v="11"/>
    <x v="1"/>
  </r>
  <r>
    <x v="1396"/>
    <d v="2024-09-16T09:08:04"/>
    <x v="1381"/>
    <x v="10"/>
    <x v="11"/>
    <n v="4"/>
    <n v="10"/>
    <s v="USD"/>
    <x v="4"/>
    <s v="EMP0006"/>
    <n v="40"/>
    <s v="Mon"/>
    <x v="9"/>
    <x v="1"/>
  </r>
  <r>
    <x v="1397"/>
    <d v="2025-03-10T07:14:04"/>
    <x v="1382"/>
    <x v="11"/>
    <x v="13"/>
    <n v="0.8"/>
    <n v="4"/>
    <s v="USD"/>
    <x v="4"/>
    <s v="EMP0093"/>
    <n v="3.2"/>
    <s v="Mon"/>
    <x v="1"/>
    <x v="2"/>
  </r>
  <r>
    <x v="1398"/>
    <d v="2024-05-18T02:32:04"/>
    <x v="1383"/>
    <x v="9"/>
    <x v="2"/>
    <n v="2.5"/>
    <n v="3"/>
    <s v="USD"/>
    <x v="0"/>
    <s v="EMP0003"/>
    <n v="7.5"/>
    <s v="Sat"/>
    <x v="5"/>
    <x v="1"/>
  </r>
  <r>
    <x v="1399"/>
    <d v="2024-05-14T04:28:04"/>
    <x v="1384"/>
    <x v="7"/>
    <x v="3"/>
    <n v="1.2"/>
    <n v="3"/>
    <s v="USD"/>
    <x v="5"/>
    <s v="EMP0084"/>
    <n v="3.5999999999999996"/>
    <s v="Tue"/>
    <x v="5"/>
    <x v="1"/>
  </r>
  <r>
    <x v="1400"/>
    <d v="2024-09-24T02:27:04"/>
    <x v="1385"/>
    <x v="2"/>
    <x v="8"/>
    <n v="4.5"/>
    <n v="8"/>
    <s v="USD"/>
    <x v="0"/>
    <s v="EMP0048"/>
    <n v="36"/>
    <s v="Tue"/>
    <x v="9"/>
    <x v="1"/>
  </r>
  <r>
    <x v="1401"/>
    <d v="2023-04-07T16:16:04"/>
    <x v="1386"/>
    <x v="9"/>
    <x v="5"/>
    <n v="1"/>
    <n v="7"/>
    <s v="USD"/>
    <x v="2"/>
    <s v="EMP0009"/>
    <n v="7"/>
    <s v="Fri"/>
    <x v="11"/>
    <x v="4"/>
  </r>
  <r>
    <x v="1402"/>
    <d v="2024-09-09T08:30:04"/>
    <x v="1387"/>
    <x v="1"/>
    <x v="14"/>
    <n v="2.2000000000000002"/>
    <n v="4"/>
    <s v="USD"/>
    <x v="0"/>
    <s v="EMP0069"/>
    <n v="8.8000000000000007"/>
    <s v="Mon"/>
    <x v="9"/>
    <x v="1"/>
  </r>
  <r>
    <x v="1403"/>
    <d v="2023-03-26T15:03:04"/>
    <x v="1388"/>
    <x v="5"/>
    <x v="5"/>
    <n v="1"/>
    <n v="7"/>
    <s v="USD"/>
    <x v="2"/>
    <s v="EMP0032"/>
    <n v="7"/>
    <s v="Sun"/>
    <x v="1"/>
    <x v="4"/>
  </r>
  <r>
    <x v="1404"/>
    <d v="2025-02-03T17:49:04"/>
    <x v="1389"/>
    <x v="2"/>
    <x v="1"/>
    <n v="1"/>
    <n v="5"/>
    <s v="USD"/>
    <x v="0"/>
    <s v="EMP0042"/>
    <n v="5"/>
    <s v="Mon"/>
    <x v="7"/>
    <x v="2"/>
  </r>
  <r>
    <x v="1405"/>
    <d v="2023-12-20T11:46:04"/>
    <x v="1390"/>
    <x v="14"/>
    <x v="0"/>
    <n v="3.1"/>
    <n v="3"/>
    <s v="USD"/>
    <x v="1"/>
    <s v="EMP0075"/>
    <n v="9.3000000000000007"/>
    <s v="Wed"/>
    <x v="4"/>
    <x v="4"/>
  </r>
  <r>
    <x v="1406"/>
    <d v="2022-08-12T06:40:04"/>
    <x v="1391"/>
    <x v="7"/>
    <x v="15"/>
    <n v="1.5"/>
    <n v="10"/>
    <s v="USD"/>
    <x v="3"/>
    <s v="EMP0022"/>
    <n v="15"/>
    <s v="Fri"/>
    <x v="6"/>
    <x v="3"/>
  </r>
  <r>
    <x v="1407"/>
    <d v="2022-07-03T00:38:04"/>
    <x v="1392"/>
    <x v="1"/>
    <x v="12"/>
    <n v="1.8"/>
    <n v="6"/>
    <s v="USD"/>
    <x v="5"/>
    <s v="EMP0067"/>
    <n v="10.8"/>
    <s v="Sun"/>
    <x v="8"/>
    <x v="3"/>
  </r>
  <r>
    <x v="1408"/>
    <d v="2022-10-02T08:06:04"/>
    <x v="1393"/>
    <x v="0"/>
    <x v="7"/>
    <n v="2.8"/>
    <n v="9"/>
    <s v="USD"/>
    <x v="2"/>
    <s v="EMP0062"/>
    <n v="25.2"/>
    <s v="Sun"/>
    <x v="0"/>
    <x v="3"/>
  </r>
  <r>
    <x v="1409"/>
    <d v="2022-07-30T22:09:04"/>
    <x v="1394"/>
    <x v="12"/>
    <x v="6"/>
    <n v="7"/>
    <n v="10"/>
    <s v="USD"/>
    <x v="2"/>
    <s v="EMP0005"/>
    <n v="70"/>
    <s v="Sat"/>
    <x v="8"/>
    <x v="3"/>
  </r>
  <r>
    <x v="1410"/>
    <d v="2024-03-11T05:29:04"/>
    <x v="1395"/>
    <x v="2"/>
    <x v="10"/>
    <n v="5"/>
    <n v="4"/>
    <s v="USD"/>
    <x v="5"/>
    <s v="EMP0028"/>
    <n v="20"/>
    <s v="Mon"/>
    <x v="1"/>
    <x v="1"/>
  </r>
  <r>
    <x v="1411"/>
    <d v="2023-08-21T23:30:04"/>
    <x v="1396"/>
    <x v="8"/>
    <x v="16"/>
    <n v="4"/>
    <n v="3"/>
    <s v="USD"/>
    <x v="4"/>
    <s v="EMP0033"/>
    <n v="12"/>
    <s v="Mon"/>
    <x v="6"/>
    <x v="4"/>
  </r>
  <r>
    <x v="1412"/>
    <d v="2022-04-08T11:18:04"/>
    <x v="1397"/>
    <x v="14"/>
    <x v="9"/>
    <n v="3"/>
    <n v="5"/>
    <s v="USD"/>
    <x v="5"/>
    <s v="EMP0067"/>
    <n v="15"/>
    <s v="Fri"/>
    <x v="11"/>
    <x v="3"/>
  </r>
  <r>
    <x v="1413"/>
    <d v="2023-05-20T05:49:04"/>
    <x v="1398"/>
    <x v="13"/>
    <x v="10"/>
    <n v="5"/>
    <n v="9"/>
    <s v="USD"/>
    <x v="1"/>
    <s v="EMP0044"/>
    <n v="45"/>
    <s v="Sat"/>
    <x v="5"/>
    <x v="4"/>
  </r>
  <r>
    <x v="1414"/>
    <d v="2022-12-18T22:57:04"/>
    <x v="1399"/>
    <x v="8"/>
    <x v="18"/>
    <n v="1.7"/>
    <n v="6"/>
    <s v="USD"/>
    <x v="5"/>
    <s v="EMP0041"/>
    <n v="10.199999999999999"/>
    <s v="Sun"/>
    <x v="4"/>
    <x v="3"/>
  </r>
  <r>
    <x v="1415"/>
    <d v="2023-10-28T01:25:04"/>
    <x v="1400"/>
    <x v="6"/>
    <x v="10"/>
    <n v="5"/>
    <n v="4"/>
    <s v="USD"/>
    <x v="4"/>
    <s v="EMP0083"/>
    <n v="20"/>
    <s v="Sat"/>
    <x v="0"/>
    <x v="4"/>
  </r>
  <r>
    <x v="1416"/>
    <d v="2024-12-05T01:29:04"/>
    <x v="1401"/>
    <x v="7"/>
    <x v="8"/>
    <n v="4.5"/>
    <n v="9"/>
    <s v="USD"/>
    <x v="1"/>
    <s v="EMP0070"/>
    <n v="40.5"/>
    <s v="Thu"/>
    <x v="4"/>
    <x v="1"/>
  </r>
  <r>
    <x v="1417"/>
    <d v="2021-09-29T10:36:04"/>
    <x v="1402"/>
    <x v="11"/>
    <x v="2"/>
    <n v="2.5"/>
    <n v="2"/>
    <s v="USD"/>
    <x v="3"/>
    <s v="EMP0010"/>
    <n v="5"/>
    <s v="Wed"/>
    <x v="9"/>
    <x v="0"/>
  </r>
  <r>
    <x v="1418"/>
    <d v="2023-05-03T11:52:04"/>
    <x v="1403"/>
    <x v="2"/>
    <x v="4"/>
    <n v="3.2"/>
    <n v="4"/>
    <s v="USD"/>
    <x v="2"/>
    <s v="EMP0043"/>
    <n v="12.8"/>
    <s v="Wed"/>
    <x v="5"/>
    <x v="4"/>
  </r>
  <r>
    <x v="1419"/>
    <d v="2023-12-14T03:39:04"/>
    <x v="1404"/>
    <x v="4"/>
    <x v="0"/>
    <n v="3.1"/>
    <n v="4"/>
    <s v="USD"/>
    <x v="2"/>
    <s v="EMP0078"/>
    <n v="12.4"/>
    <s v="Thu"/>
    <x v="4"/>
    <x v="4"/>
  </r>
  <r>
    <x v="1420"/>
    <d v="2024-07-30T14:39:04"/>
    <x v="1405"/>
    <x v="9"/>
    <x v="0"/>
    <n v="3.1"/>
    <n v="1"/>
    <s v="USD"/>
    <x v="4"/>
    <s v="EMP0037"/>
    <n v="3.1"/>
    <s v="Tue"/>
    <x v="8"/>
    <x v="1"/>
  </r>
  <r>
    <x v="1421"/>
    <d v="2023-05-31T01:01:04"/>
    <x v="1406"/>
    <x v="4"/>
    <x v="16"/>
    <n v="4"/>
    <n v="1"/>
    <s v="USD"/>
    <x v="5"/>
    <s v="EMP0084"/>
    <n v="4"/>
    <s v="Wed"/>
    <x v="5"/>
    <x v="4"/>
  </r>
  <r>
    <x v="1422"/>
    <d v="2022-06-25T08:31:04"/>
    <x v="1407"/>
    <x v="8"/>
    <x v="2"/>
    <n v="2.5"/>
    <n v="4"/>
    <s v="USD"/>
    <x v="2"/>
    <s v="EMP0096"/>
    <n v="10"/>
    <s v="Sat"/>
    <x v="3"/>
    <x v="3"/>
  </r>
  <r>
    <x v="1423"/>
    <d v="2024-03-05T22:12:04"/>
    <x v="1408"/>
    <x v="9"/>
    <x v="16"/>
    <n v="4"/>
    <n v="9"/>
    <s v="USD"/>
    <x v="5"/>
    <s v="EMP0093"/>
    <n v="36"/>
    <s v="Tue"/>
    <x v="1"/>
    <x v="1"/>
  </r>
  <r>
    <x v="1424"/>
    <d v="2022-10-08T02:36:04"/>
    <x v="1409"/>
    <x v="7"/>
    <x v="4"/>
    <n v="3.2"/>
    <n v="4"/>
    <s v="USD"/>
    <x v="5"/>
    <s v="EMP0099"/>
    <n v="12.8"/>
    <s v="Sat"/>
    <x v="0"/>
    <x v="3"/>
  </r>
  <r>
    <x v="1425"/>
    <d v="2021-06-10T00:13:04"/>
    <x v="1410"/>
    <x v="10"/>
    <x v="10"/>
    <n v="5"/>
    <n v="9"/>
    <s v="USD"/>
    <x v="3"/>
    <s v="EMP0048"/>
    <n v="45"/>
    <s v="Thu"/>
    <x v="3"/>
    <x v="0"/>
  </r>
  <r>
    <x v="1426"/>
    <d v="2024-07-28T18:31:04"/>
    <x v="1411"/>
    <x v="6"/>
    <x v="8"/>
    <n v="4.5"/>
    <n v="1"/>
    <s v="USD"/>
    <x v="5"/>
    <s v="EMP0085"/>
    <n v="4.5"/>
    <s v="Sun"/>
    <x v="8"/>
    <x v="1"/>
  </r>
  <r>
    <x v="1427"/>
    <d v="2023-05-14T03:12:04"/>
    <x v="1412"/>
    <x v="8"/>
    <x v="18"/>
    <n v="1.7"/>
    <n v="7"/>
    <s v="USD"/>
    <x v="2"/>
    <s v="EMP0069"/>
    <n v="11.9"/>
    <s v="Sun"/>
    <x v="5"/>
    <x v="4"/>
  </r>
  <r>
    <x v="1428"/>
    <d v="2023-09-04T02:49:04"/>
    <x v="1413"/>
    <x v="13"/>
    <x v="16"/>
    <n v="4"/>
    <n v="1"/>
    <s v="USD"/>
    <x v="0"/>
    <s v="EMP0020"/>
    <n v="4"/>
    <s v="Mon"/>
    <x v="9"/>
    <x v="4"/>
  </r>
  <r>
    <x v="1429"/>
    <d v="2023-07-02T18:46:04"/>
    <x v="1414"/>
    <x v="14"/>
    <x v="5"/>
    <n v="1"/>
    <n v="10"/>
    <s v="USD"/>
    <x v="1"/>
    <s v="EMP0051"/>
    <n v="10"/>
    <s v="Sun"/>
    <x v="8"/>
    <x v="4"/>
  </r>
  <r>
    <x v="1430"/>
    <d v="2023-03-21T07:01:04"/>
    <x v="1415"/>
    <x v="7"/>
    <x v="1"/>
    <n v="1"/>
    <n v="7"/>
    <s v="USD"/>
    <x v="0"/>
    <s v="EMP0061"/>
    <n v="7"/>
    <s v="Tue"/>
    <x v="1"/>
    <x v="4"/>
  </r>
  <r>
    <x v="1431"/>
    <d v="2024-09-29T02:50:04"/>
    <x v="1416"/>
    <x v="10"/>
    <x v="8"/>
    <n v="4.5"/>
    <n v="2"/>
    <s v="USD"/>
    <x v="0"/>
    <s v="EMP0014"/>
    <n v="9"/>
    <s v="Sun"/>
    <x v="9"/>
    <x v="1"/>
  </r>
  <r>
    <x v="1432"/>
    <d v="2021-07-26T20:15:04"/>
    <x v="1417"/>
    <x v="13"/>
    <x v="5"/>
    <n v="1"/>
    <n v="8"/>
    <s v="USD"/>
    <x v="3"/>
    <s v="EMP0024"/>
    <n v="8"/>
    <s v="Mon"/>
    <x v="8"/>
    <x v="0"/>
  </r>
  <r>
    <x v="1433"/>
    <d v="2024-03-28T10:28:04"/>
    <x v="1418"/>
    <x v="8"/>
    <x v="8"/>
    <n v="4.5"/>
    <n v="4"/>
    <s v="USD"/>
    <x v="0"/>
    <s v="EMP0038"/>
    <n v="18"/>
    <s v="Thu"/>
    <x v="1"/>
    <x v="1"/>
  </r>
  <r>
    <x v="1434"/>
    <d v="2021-08-27T21:22:04"/>
    <x v="1419"/>
    <x v="10"/>
    <x v="17"/>
    <n v="2.5"/>
    <n v="6"/>
    <s v="USD"/>
    <x v="1"/>
    <s v="EMP0002"/>
    <n v="15"/>
    <s v="Fri"/>
    <x v="6"/>
    <x v="0"/>
  </r>
  <r>
    <x v="1435"/>
    <d v="2024-05-23T02:31:04"/>
    <x v="1420"/>
    <x v="1"/>
    <x v="18"/>
    <n v="1.7"/>
    <n v="7"/>
    <s v="USD"/>
    <x v="0"/>
    <s v="EMP0015"/>
    <n v="11.9"/>
    <s v="Thu"/>
    <x v="5"/>
    <x v="1"/>
  </r>
  <r>
    <x v="1436"/>
    <d v="2024-08-17T20:00:04"/>
    <x v="1421"/>
    <x v="10"/>
    <x v="9"/>
    <n v="3"/>
    <n v="7"/>
    <s v="USD"/>
    <x v="0"/>
    <s v="EMP0017"/>
    <n v="21"/>
    <s v="Sat"/>
    <x v="6"/>
    <x v="1"/>
  </r>
  <r>
    <x v="1437"/>
    <d v="2024-03-14T03:59:04"/>
    <x v="1422"/>
    <x v="4"/>
    <x v="15"/>
    <n v="1.5"/>
    <n v="3"/>
    <s v="USD"/>
    <x v="1"/>
    <s v="EMP0074"/>
    <n v="4.5"/>
    <s v="Thu"/>
    <x v="1"/>
    <x v="1"/>
  </r>
  <r>
    <x v="1438"/>
    <d v="2023-08-12T19:14:04"/>
    <x v="1423"/>
    <x v="9"/>
    <x v="10"/>
    <n v="5"/>
    <n v="5"/>
    <s v="USD"/>
    <x v="0"/>
    <s v="EMP0001"/>
    <n v="25"/>
    <s v="Sat"/>
    <x v="6"/>
    <x v="4"/>
  </r>
  <r>
    <x v="1439"/>
    <d v="2024-07-20T23:22:04"/>
    <x v="1424"/>
    <x v="4"/>
    <x v="6"/>
    <n v="7"/>
    <n v="10"/>
    <s v="USD"/>
    <x v="0"/>
    <s v="EMP0068"/>
    <n v="70"/>
    <s v="Sat"/>
    <x v="8"/>
    <x v="1"/>
  </r>
  <r>
    <x v="1440"/>
    <d v="2023-07-05T18:30:04"/>
    <x v="1425"/>
    <x v="10"/>
    <x v="10"/>
    <n v="5"/>
    <n v="8"/>
    <s v="USD"/>
    <x v="1"/>
    <s v="EMP0006"/>
    <n v="40"/>
    <s v="Wed"/>
    <x v="8"/>
    <x v="4"/>
  </r>
  <r>
    <x v="1441"/>
    <d v="2024-11-04T03:45:04"/>
    <x v="1426"/>
    <x v="1"/>
    <x v="10"/>
    <n v="5"/>
    <n v="6"/>
    <s v="USD"/>
    <x v="2"/>
    <s v="EMP0092"/>
    <n v="30"/>
    <s v="Mon"/>
    <x v="10"/>
    <x v="1"/>
  </r>
  <r>
    <x v="1442"/>
    <d v="2023-09-08T00:47:04"/>
    <x v="1427"/>
    <x v="4"/>
    <x v="13"/>
    <n v="0.8"/>
    <n v="7"/>
    <s v="USD"/>
    <x v="0"/>
    <s v="EMP0023"/>
    <n v="5.6000000000000005"/>
    <s v="Fri"/>
    <x v="9"/>
    <x v="4"/>
  </r>
  <r>
    <x v="1443"/>
    <d v="2021-11-20T13:59:04"/>
    <x v="1428"/>
    <x v="10"/>
    <x v="6"/>
    <n v="7"/>
    <n v="3"/>
    <s v="USD"/>
    <x v="2"/>
    <s v="EMP0073"/>
    <n v="21"/>
    <s v="Sat"/>
    <x v="10"/>
    <x v="0"/>
  </r>
  <r>
    <x v="1444"/>
    <d v="2024-10-26T00:42:04"/>
    <x v="1429"/>
    <x v="13"/>
    <x v="2"/>
    <n v="2.5"/>
    <n v="3"/>
    <s v="USD"/>
    <x v="4"/>
    <s v="EMP0081"/>
    <n v="7.5"/>
    <s v="Sat"/>
    <x v="0"/>
    <x v="1"/>
  </r>
  <r>
    <x v="1445"/>
    <d v="2022-05-04T03:44:04"/>
    <x v="1430"/>
    <x v="1"/>
    <x v="9"/>
    <n v="3"/>
    <n v="4"/>
    <s v="USD"/>
    <x v="5"/>
    <s v="EMP0053"/>
    <n v="12"/>
    <s v="Wed"/>
    <x v="5"/>
    <x v="3"/>
  </r>
  <r>
    <x v="1446"/>
    <d v="2022-04-03T10:03:04"/>
    <x v="1431"/>
    <x v="7"/>
    <x v="19"/>
    <n v="5.5"/>
    <n v="9"/>
    <s v="USD"/>
    <x v="4"/>
    <s v="EMP0053"/>
    <n v="49.5"/>
    <s v="Sun"/>
    <x v="11"/>
    <x v="3"/>
  </r>
  <r>
    <x v="1447"/>
    <d v="2022-10-29T08:10:04"/>
    <x v="1432"/>
    <x v="2"/>
    <x v="12"/>
    <n v="1.8"/>
    <n v="1"/>
    <s v="USD"/>
    <x v="5"/>
    <s v="EMP0004"/>
    <n v="1.8"/>
    <s v="Sat"/>
    <x v="0"/>
    <x v="3"/>
  </r>
  <r>
    <x v="1448"/>
    <d v="2024-12-10T16:42:04"/>
    <x v="1433"/>
    <x v="3"/>
    <x v="10"/>
    <n v="5"/>
    <n v="7"/>
    <s v="USD"/>
    <x v="4"/>
    <s v="EMP0096"/>
    <n v="35"/>
    <s v="Tue"/>
    <x v="4"/>
    <x v="1"/>
  </r>
  <r>
    <x v="1449"/>
    <d v="2023-02-12T07:01:04"/>
    <x v="1434"/>
    <x v="13"/>
    <x v="3"/>
    <n v="1.2"/>
    <n v="5"/>
    <s v="USD"/>
    <x v="3"/>
    <s v="EMP0091"/>
    <n v="6"/>
    <s v="Sun"/>
    <x v="7"/>
    <x v="4"/>
  </r>
  <r>
    <x v="1450"/>
    <d v="2024-08-03T02:44:04"/>
    <x v="1435"/>
    <x v="0"/>
    <x v="10"/>
    <n v="5"/>
    <n v="8"/>
    <s v="USD"/>
    <x v="5"/>
    <s v="EMP0009"/>
    <n v="40"/>
    <s v="Sat"/>
    <x v="6"/>
    <x v="1"/>
  </r>
  <r>
    <x v="1451"/>
    <d v="2024-11-20T19:44:04"/>
    <x v="1436"/>
    <x v="2"/>
    <x v="10"/>
    <n v="5"/>
    <n v="3"/>
    <s v="USD"/>
    <x v="5"/>
    <s v="EMP0036"/>
    <n v="15"/>
    <s v="Wed"/>
    <x v="10"/>
    <x v="1"/>
  </r>
  <r>
    <x v="1452"/>
    <d v="2024-06-13T07:33:04"/>
    <x v="1437"/>
    <x v="13"/>
    <x v="5"/>
    <n v="1"/>
    <n v="2"/>
    <s v="USD"/>
    <x v="0"/>
    <s v="EMP0038"/>
    <n v="2"/>
    <s v="Thu"/>
    <x v="3"/>
    <x v="1"/>
  </r>
  <r>
    <x v="1453"/>
    <d v="2024-08-27T19:39:04"/>
    <x v="1438"/>
    <x v="8"/>
    <x v="13"/>
    <n v="0.8"/>
    <n v="2"/>
    <s v="USD"/>
    <x v="2"/>
    <s v="EMP0098"/>
    <n v="1.6"/>
    <s v="Tue"/>
    <x v="6"/>
    <x v="1"/>
  </r>
  <r>
    <x v="1454"/>
    <d v="2025-04-16T16:09:04"/>
    <x v="1439"/>
    <x v="6"/>
    <x v="10"/>
    <n v="5"/>
    <n v="6"/>
    <s v="USD"/>
    <x v="0"/>
    <s v="EMP0028"/>
    <n v="30"/>
    <s v="Wed"/>
    <x v="11"/>
    <x v="2"/>
  </r>
  <r>
    <x v="1455"/>
    <d v="2025-02-27T15:52:04"/>
    <x v="1440"/>
    <x v="2"/>
    <x v="10"/>
    <n v="5"/>
    <n v="1"/>
    <s v="USD"/>
    <x v="2"/>
    <s v="EMP0067"/>
    <n v="5"/>
    <s v="Thu"/>
    <x v="7"/>
    <x v="2"/>
  </r>
  <r>
    <x v="1456"/>
    <d v="2021-10-04T15:41:04"/>
    <x v="1441"/>
    <x v="3"/>
    <x v="19"/>
    <n v="5.5"/>
    <n v="7"/>
    <s v="USD"/>
    <x v="2"/>
    <s v="EMP0040"/>
    <n v="38.5"/>
    <s v="Mon"/>
    <x v="0"/>
    <x v="0"/>
  </r>
  <r>
    <x v="1457"/>
    <d v="2022-11-12T11:48:04"/>
    <x v="1442"/>
    <x v="13"/>
    <x v="17"/>
    <n v="2.5"/>
    <n v="7"/>
    <s v="USD"/>
    <x v="0"/>
    <s v="EMP0032"/>
    <n v="17.5"/>
    <s v="Sat"/>
    <x v="10"/>
    <x v="3"/>
  </r>
  <r>
    <x v="1458"/>
    <d v="2023-04-03T06:14:04"/>
    <x v="313"/>
    <x v="7"/>
    <x v="3"/>
    <n v="1.2"/>
    <n v="7"/>
    <s v="USD"/>
    <x v="3"/>
    <s v="EMP0002"/>
    <n v="8.4"/>
    <s v="Mon"/>
    <x v="11"/>
    <x v="4"/>
  </r>
  <r>
    <x v="1459"/>
    <d v="2023-06-19T06:43:04"/>
    <x v="1443"/>
    <x v="3"/>
    <x v="9"/>
    <n v="3"/>
    <n v="4"/>
    <s v="USD"/>
    <x v="3"/>
    <s v="EMP0086"/>
    <n v="12"/>
    <s v="Mon"/>
    <x v="3"/>
    <x v="4"/>
  </r>
  <r>
    <x v="1460"/>
    <d v="2024-05-30T14:16:04"/>
    <x v="1444"/>
    <x v="13"/>
    <x v="18"/>
    <n v="1.7"/>
    <n v="9"/>
    <s v="USD"/>
    <x v="3"/>
    <s v="EMP0042"/>
    <n v="15.299999999999999"/>
    <s v="Thu"/>
    <x v="5"/>
    <x v="1"/>
  </r>
  <r>
    <x v="1461"/>
    <d v="2023-07-18T19:46:04"/>
    <x v="1445"/>
    <x v="2"/>
    <x v="5"/>
    <n v="1"/>
    <n v="4"/>
    <s v="USD"/>
    <x v="1"/>
    <s v="EMP0051"/>
    <n v="4"/>
    <s v="Tue"/>
    <x v="8"/>
    <x v="4"/>
  </r>
  <r>
    <x v="1462"/>
    <d v="2022-12-15T10:12:04"/>
    <x v="1446"/>
    <x v="2"/>
    <x v="19"/>
    <n v="5.5"/>
    <n v="6"/>
    <s v="USD"/>
    <x v="4"/>
    <s v="EMP0023"/>
    <n v="33"/>
    <s v="Thu"/>
    <x v="4"/>
    <x v="3"/>
  </r>
  <r>
    <x v="1463"/>
    <d v="2025-04-09T00:45:04"/>
    <x v="1447"/>
    <x v="5"/>
    <x v="3"/>
    <n v="1.2"/>
    <n v="7"/>
    <s v="USD"/>
    <x v="0"/>
    <s v="EMP0059"/>
    <n v="8.4"/>
    <s v="Wed"/>
    <x v="11"/>
    <x v="2"/>
  </r>
  <r>
    <x v="1464"/>
    <d v="2024-02-14T10:44:04"/>
    <x v="1448"/>
    <x v="4"/>
    <x v="0"/>
    <n v="3.1"/>
    <n v="10"/>
    <s v="USD"/>
    <x v="4"/>
    <s v="EMP0006"/>
    <n v="31"/>
    <s v="Wed"/>
    <x v="7"/>
    <x v="1"/>
  </r>
  <r>
    <x v="1465"/>
    <d v="2024-12-23T07:00:04"/>
    <x v="1449"/>
    <x v="11"/>
    <x v="5"/>
    <n v="1"/>
    <n v="8"/>
    <s v="USD"/>
    <x v="3"/>
    <s v="EMP0092"/>
    <n v="8"/>
    <s v="Mon"/>
    <x v="4"/>
    <x v="1"/>
  </r>
  <r>
    <x v="1466"/>
    <d v="2022-05-06T19:16:04"/>
    <x v="1450"/>
    <x v="11"/>
    <x v="19"/>
    <n v="5.5"/>
    <n v="10"/>
    <s v="USD"/>
    <x v="4"/>
    <s v="EMP0081"/>
    <n v="55"/>
    <s v="Fri"/>
    <x v="5"/>
    <x v="3"/>
  </r>
  <r>
    <x v="1467"/>
    <d v="2021-06-13T00:43:04"/>
    <x v="1451"/>
    <x v="1"/>
    <x v="14"/>
    <n v="2.2000000000000002"/>
    <n v="6"/>
    <s v="USD"/>
    <x v="0"/>
    <s v="EMP0082"/>
    <n v="13.200000000000001"/>
    <s v="Sun"/>
    <x v="3"/>
    <x v="0"/>
  </r>
  <r>
    <x v="1468"/>
    <d v="2021-07-01T02:32:04"/>
    <x v="1452"/>
    <x v="3"/>
    <x v="15"/>
    <n v="1.5"/>
    <n v="2"/>
    <s v="USD"/>
    <x v="4"/>
    <s v="EMP0003"/>
    <n v="3"/>
    <s v="Thu"/>
    <x v="8"/>
    <x v="0"/>
  </r>
  <r>
    <x v="1469"/>
    <d v="2021-12-09T18:58:04"/>
    <x v="1453"/>
    <x v="8"/>
    <x v="12"/>
    <n v="1.8"/>
    <n v="4"/>
    <s v="USD"/>
    <x v="1"/>
    <s v="EMP0076"/>
    <n v="7.2"/>
    <s v="Thu"/>
    <x v="4"/>
    <x v="0"/>
  </r>
  <r>
    <x v="1470"/>
    <d v="2021-05-27T13:12:04"/>
    <x v="1454"/>
    <x v="13"/>
    <x v="5"/>
    <n v="1"/>
    <n v="2"/>
    <s v="USD"/>
    <x v="4"/>
    <s v="EMP0031"/>
    <n v="2"/>
    <s v="Thu"/>
    <x v="5"/>
    <x v="0"/>
  </r>
  <r>
    <x v="1471"/>
    <d v="2022-12-14T05:47:04"/>
    <x v="1455"/>
    <x v="7"/>
    <x v="17"/>
    <n v="2.5"/>
    <n v="3"/>
    <s v="USD"/>
    <x v="4"/>
    <s v="EMP0064"/>
    <n v="7.5"/>
    <s v="Wed"/>
    <x v="4"/>
    <x v="3"/>
  </r>
  <r>
    <x v="1472"/>
    <d v="2023-09-10T07:17:04"/>
    <x v="1456"/>
    <x v="8"/>
    <x v="11"/>
    <n v="4"/>
    <n v="1"/>
    <s v="USD"/>
    <x v="0"/>
    <s v="EMP0093"/>
    <n v="4"/>
    <s v="Sun"/>
    <x v="9"/>
    <x v="4"/>
  </r>
  <r>
    <x v="1473"/>
    <d v="2021-12-31T22:39:04"/>
    <x v="1457"/>
    <x v="1"/>
    <x v="4"/>
    <n v="3.2"/>
    <n v="3"/>
    <s v="USD"/>
    <x v="4"/>
    <s v="EMP0041"/>
    <n v="9.6000000000000014"/>
    <s v="Fri"/>
    <x v="4"/>
    <x v="0"/>
  </r>
  <r>
    <x v="1474"/>
    <d v="2021-09-29T11:53:04"/>
    <x v="1458"/>
    <x v="14"/>
    <x v="18"/>
    <n v="1.7"/>
    <n v="5"/>
    <s v="USD"/>
    <x v="3"/>
    <s v="EMP0030"/>
    <n v="8.5"/>
    <s v="Wed"/>
    <x v="9"/>
    <x v="0"/>
  </r>
  <r>
    <x v="1475"/>
    <d v="2023-07-01T03:11:04"/>
    <x v="1459"/>
    <x v="2"/>
    <x v="1"/>
    <n v="1"/>
    <n v="1"/>
    <s v="USD"/>
    <x v="2"/>
    <s v="EMP0032"/>
    <n v="1"/>
    <s v="Sat"/>
    <x v="8"/>
    <x v="4"/>
  </r>
  <r>
    <x v="1476"/>
    <d v="2021-07-01T14:40:04"/>
    <x v="1460"/>
    <x v="2"/>
    <x v="5"/>
    <n v="1"/>
    <n v="7"/>
    <s v="USD"/>
    <x v="1"/>
    <s v="EMP0042"/>
    <n v="7"/>
    <s v="Thu"/>
    <x v="8"/>
    <x v="0"/>
  </r>
  <r>
    <x v="1477"/>
    <d v="2024-04-28T22:46:04"/>
    <x v="1461"/>
    <x v="13"/>
    <x v="9"/>
    <n v="3"/>
    <n v="8"/>
    <s v="USD"/>
    <x v="3"/>
    <s v="EMP0025"/>
    <n v="24"/>
    <s v="Sun"/>
    <x v="11"/>
    <x v="1"/>
  </r>
  <r>
    <x v="1478"/>
    <d v="2025-01-22T17:17:04"/>
    <x v="1462"/>
    <x v="2"/>
    <x v="14"/>
    <n v="2.2000000000000002"/>
    <n v="2"/>
    <s v="USD"/>
    <x v="0"/>
    <s v="EMP0076"/>
    <n v="4.4000000000000004"/>
    <s v="Wed"/>
    <x v="2"/>
    <x v="2"/>
  </r>
  <r>
    <x v="1479"/>
    <d v="2022-04-11T07:11:04"/>
    <x v="1463"/>
    <x v="9"/>
    <x v="9"/>
    <n v="3"/>
    <n v="7"/>
    <s v="USD"/>
    <x v="2"/>
    <s v="EMP0060"/>
    <n v="21"/>
    <s v="Mon"/>
    <x v="11"/>
    <x v="3"/>
  </r>
  <r>
    <x v="1480"/>
    <d v="2023-08-11T07:40:04"/>
    <x v="1464"/>
    <x v="2"/>
    <x v="2"/>
    <n v="2.5"/>
    <n v="7"/>
    <s v="USD"/>
    <x v="0"/>
    <s v="EMP0078"/>
    <n v="17.5"/>
    <s v="Fri"/>
    <x v="6"/>
    <x v="4"/>
  </r>
  <r>
    <x v="1481"/>
    <d v="2023-12-17T04:08:04"/>
    <x v="1465"/>
    <x v="12"/>
    <x v="10"/>
    <n v="5"/>
    <n v="4"/>
    <s v="USD"/>
    <x v="4"/>
    <s v="EMP0062"/>
    <n v="20"/>
    <s v="Sun"/>
    <x v="4"/>
    <x v="4"/>
  </r>
  <r>
    <x v="1482"/>
    <d v="2024-11-27T02:01:04"/>
    <x v="1466"/>
    <x v="8"/>
    <x v="13"/>
    <n v="0.8"/>
    <n v="8"/>
    <s v="USD"/>
    <x v="5"/>
    <s v="EMP0055"/>
    <n v="6.4"/>
    <s v="Wed"/>
    <x v="10"/>
    <x v="1"/>
  </r>
  <r>
    <x v="1483"/>
    <d v="2022-07-09T17:39:04"/>
    <x v="1467"/>
    <x v="8"/>
    <x v="14"/>
    <n v="2.2000000000000002"/>
    <n v="8"/>
    <s v="USD"/>
    <x v="3"/>
    <s v="EMP0098"/>
    <n v="17.600000000000001"/>
    <s v="Sat"/>
    <x v="8"/>
    <x v="3"/>
  </r>
  <r>
    <x v="1484"/>
    <d v="2023-03-19T23:32:04"/>
    <x v="1468"/>
    <x v="7"/>
    <x v="8"/>
    <n v="4.5"/>
    <n v="10"/>
    <s v="USD"/>
    <x v="1"/>
    <s v="EMP0020"/>
    <n v="45"/>
    <s v="Sun"/>
    <x v="1"/>
    <x v="4"/>
  </r>
  <r>
    <x v="1485"/>
    <d v="2022-04-02T14:15:04"/>
    <x v="1469"/>
    <x v="11"/>
    <x v="6"/>
    <n v="7"/>
    <n v="8"/>
    <s v="USD"/>
    <x v="4"/>
    <s v="EMP0059"/>
    <n v="56"/>
    <s v="Sat"/>
    <x v="11"/>
    <x v="3"/>
  </r>
  <r>
    <x v="1486"/>
    <d v="2023-10-07T00:51:04"/>
    <x v="1470"/>
    <x v="12"/>
    <x v="15"/>
    <n v="1.5"/>
    <n v="2"/>
    <s v="USD"/>
    <x v="4"/>
    <s v="EMP0018"/>
    <n v="3"/>
    <s v="Sat"/>
    <x v="0"/>
    <x v="4"/>
  </r>
  <r>
    <x v="1487"/>
    <d v="2022-09-21T07:17:04"/>
    <x v="1471"/>
    <x v="1"/>
    <x v="11"/>
    <n v="4"/>
    <n v="1"/>
    <s v="USD"/>
    <x v="3"/>
    <s v="EMP0065"/>
    <n v="4"/>
    <s v="Wed"/>
    <x v="9"/>
    <x v="3"/>
  </r>
  <r>
    <x v="1488"/>
    <d v="2023-04-03T22:01:04"/>
    <x v="1472"/>
    <x v="1"/>
    <x v="18"/>
    <n v="1.7"/>
    <n v="7"/>
    <s v="USD"/>
    <x v="2"/>
    <s v="EMP0048"/>
    <n v="11.9"/>
    <s v="Mon"/>
    <x v="11"/>
    <x v="4"/>
  </r>
  <r>
    <x v="1489"/>
    <d v="2023-03-14T22:07:04"/>
    <x v="1473"/>
    <x v="3"/>
    <x v="16"/>
    <n v="4"/>
    <n v="2"/>
    <s v="USD"/>
    <x v="5"/>
    <s v="EMP0005"/>
    <n v="8"/>
    <s v="Tue"/>
    <x v="1"/>
    <x v="4"/>
  </r>
  <r>
    <x v="1490"/>
    <d v="2024-08-28T00:27:04"/>
    <x v="1474"/>
    <x v="12"/>
    <x v="13"/>
    <n v="0.8"/>
    <n v="4"/>
    <s v="USD"/>
    <x v="5"/>
    <s v="EMP0033"/>
    <n v="3.2"/>
    <s v="Wed"/>
    <x v="6"/>
    <x v="1"/>
  </r>
  <r>
    <x v="1491"/>
    <d v="2023-05-26T20:41:04"/>
    <x v="1475"/>
    <x v="10"/>
    <x v="7"/>
    <n v="2.8"/>
    <n v="1"/>
    <s v="USD"/>
    <x v="2"/>
    <s v="EMP0050"/>
    <n v="2.8"/>
    <s v="Fri"/>
    <x v="5"/>
    <x v="4"/>
  </r>
  <r>
    <x v="1492"/>
    <d v="2022-12-22T14:11:04"/>
    <x v="1476"/>
    <x v="2"/>
    <x v="15"/>
    <n v="1.5"/>
    <n v="1"/>
    <s v="USD"/>
    <x v="4"/>
    <s v="EMP0081"/>
    <n v="1.5"/>
    <s v="Thu"/>
    <x v="4"/>
    <x v="3"/>
  </r>
  <r>
    <x v="1493"/>
    <d v="2021-05-22T16:25:04"/>
    <x v="1477"/>
    <x v="0"/>
    <x v="14"/>
    <n v="2.2000000000000002"/>
    <n v="5"/>
    <s v="USD"/>
    <x v="1"/>
    <s v="EMP0059"/>
    <n v="11"/>
    <s v="Sat"/>
    <x v="5"/>
    <x v="0"/>
  </r>
  <r>
    <x v="1494"/>
    <d v="2021-07-15T09:10:04"/>
    <x v="1478"/>
    <x v="2"/>
    <x v="5"/>
    <n v="1"/>
    <n v="10"/>
    <s v="USD"/>
    <x v="2"/>
    <s v="EMP0021"/>
    <n v="10"/>
    <s v="Thu"/>
    <x v="8"/>
    <x v="0"/>
  </r>
  <r>
    <x v="1495"/>
    <d v="2025-04-14T09:37:04"/>
    <x v="1479"/>
    <x v="7"/>
    <x v="6"/>
    <n v="7"/>
    <n v="7"/>
    <s v="USD"/>
    <x v="2"/>
    <s v="EMP0076"/>
    <n v="49"/>
    <s v="Mon"/>
    <x v="11"/>
    <x v="2"/>
  </r>
  <r>
    <x v="1496"/>
    <d v="2024-11-25T20:28:04"/>
    <x v="1480"/>
    <x v="2"/>
    <x v="18"/>
    <n v="1.7"/>
    <n v="3"/>
    <s v="USD"/>
    <x v="5"/>
    <s v="EMP0033"/>
    <n v="5.0999999999999996"/>
    <s v="Mon"/>
    <x v="10"/>
    <x v="1"/>
  </r>
  <r>
    <x v="1497"/>
    <d v="2021-06-23T03:54:04"/>
    <x v="1319"/>
    <x v="9"/>
    <x v="6"/>
    <n v="7"/>
    <n v="10"/>
    <s v="USD"/>
    <x v="4"/>
    <s v="EMP0094"/>
    <n v="70"/>
    <s v="Wed"/>
    <x v="3"/>
    <x v="0"/>
  </r>
  <r>
    <x v="1498"/>
    <d v="2023-01-17T13:31:04"/>
    <x v="1481"/>
    <x v="7"/>
    <x v="19"/>
    <n v="5.5"/>
    <n v="10"/>
    <s v="USD"/>
    <x v="4"/>
    <s v="EMP0019"/>
    <n v="55"/>
    <s v="Tue"/>
    <x v="2"/>
    <x v="4"/>
  </r>
  <r>
    <x v="1499"/>
    <d v="2023-11-05T14:13:04"/>
    <x v="1482"/>
    <x v="1"/>
    <x v="6"/>
    <n v="7"/>
    <n v="5"/>
    <s v="USD"/>
    <x v="3"/>
    <s v="EMP0022"/>
    <n v="35"/>
    <s v="Sun"/>
    <x v="10"/>
    <x v="4"/>
  </r>
  <r>
    <x v="1500"/>
    <d v="2022-08-06T13:20:04"/>
    <x v="1483"/>
    <x v="7"/>
    <x v="18"/>
    <n v="1.7"/>
    <n v="9"/>
    <s v="USD"/>
    <x v="5"/>
    <s v="EMP0084"/>
    <n v="15.299999999999999"/>
    <s v="Sat"/>
    <x v="6"/>
    <x v="3"/>
  </r>
  <r>
    <x v="1501"/>
    <d v="2023-09-26T13:59:04"/>
    <x v="1484"/>
    <x v="6"/>
    <x v="13"/>
    <n v="0.8"/>
    <n v="6"/>
    <s v="USD"/>
    <x v="0"/>
    <s v="EMP0091"/>
    <n v="4.8000000000000007"/>
    <s v="Tue"/>
    <x v="9"/>
    <x v="4"/>
  </r>
  <r>
    <x v="1502"/>
    <d v="2024-08-07T06:55:04"/>
    <x v="1485"/>
    <x v="6"/>
    <x v="12"/>
    <n v="1.8"/>
    <n v="2"/>
    <s v="USD"/>
    <x v="5"/>
    <s v="EMP0073"/>
    <n v="3.6"/>
    <s v="Wed"/>
    <x v="6"/>
    <x v="1"/>
  </r>
  <r>
    <x v="1503"/>
    <d v="2024-02-29T08:14:04"/>
    <x v="1486"/>
    <x v="13"/>
    <x v="13"/>
    <n v="0.8"/>
    <n v="4"/>
    <s v="USD"/>
    <x v="4"/>
    <s v="EMP0053"/>
    <n v="3.2"/>
    <s v="Thu"/>
    <x v="7"/>
    <x v="1"/>
  </r>
  <r>
    <x v="1504"/>
    <d v="2022-11-18T16:28:04"/>
    <x v="1487"/>
    <x v="12"/>
    <x v="19"/>
    <n v="5.5"/>
    <n v="3"/>
    <s v="USD"/>
    <x v="3"/>
    <s v="EMP0038"/>
    <n v="16.5"/>
    <s v="Fri"/>
    <x v="10"/>
    <x v="3"/>
  </r>
  <r>
    <x v="1505"/>
    <d v="2024-11-15T01:19:04"/>
    <x v="1488"/>
    <x v="11"/>
    <x v="9"/>
    <n v="3"/>
    <n v="6"/>
    <s v="USD"/>
    <x v="3"/>
    <s v="EMP0075"/>
    <n v="18"/>
    <s v="Fri"/>
    <x v="10"/>
    <x v="1"/>
  </r>
  <r>
    <x v="1506"/>
    <d v="2024-01-14T21:55:04"/>
    <x v="1489"/>
    <x v="3"/>
    <x v="19"/>
    <n v="5.5"/>
    <n v="1"/>
    <s v="USD"/>
    <x v="3"/>
    <s v="EMP0035"/>
    <n v="5.5"/>
    <s v="Sun"/>
    <x v="2"/>
    <x v="1"/>
  </r>
  <r>
    <x v="1507"/>
    <d v="2025-04-24T15:49:04"/>
    <x v="1490"/>
    <x v="14"/>
    <x v="17"/>
    <n v="2.5"/>
    <n v="2"/>
    <s v="USD"/>
    <x v="0"/>
    <s v="EMP0067"/>
    <n v="5"/>
    <s v="Thu"/>
    <x v="11"/>
    <x v="2"/>
  </r>
  <r>
    <x v="1508"/>
    <d v="2025-04-25T00:48:04"/>
    <x v="1491"/>
    <x v="9"/>
    <x v="0"/>
    <n v="3.1"/>
    <n v="8"/>
    <s v="USD"/>
    <x v="5"/>
    <s v="EMP0097"/>
    <n v="24.8"/>
    <s v="Fri"/>
    <x v="11"/>
    <x v="2"/>
  </r>
  <r>
    <x v="1509"/>
    <d v="2023-06-18T17:59:04"/>
    <x v="1492"/>
    <x v="5"/>
    <x v="7"/>
    <n v="2.8"/>
    <n v="6"/>
    <s v="USD"/>
    <x v="4"/>
    <s v="EMP0031"/>
    <n v="16.799999999999997"/>
    <s v="Sun"/>
    <x v="3"/>
    <x v="4"/>
  </r>
  <r>
    <x v="1510"/>
    <d v="2023-04-30T16:01:04"/>
    <x v="1493"/>
    <x v="8"/>
    <x v="5"/>
    <n v="1"/>
    <n v="1"/>
    <s v="USD"/>
    <x v="4"/>
    <s v="EMP0043"/>
    <n v="1"/>
    <s v="Sun"/>
    <x v="11"/>
    <x v="4"/>
  </r>
  <r>
    <x v="1511"/>
    <d v="2024-10-16T12:57:04"/>
    <x v="1494"/>
    <x v="4"/>
    <x v="6"/>
    <n v="7"/>
    <n v="3"/>
    <s v="USD"/>
    <x v="3"/>
    <s v="EMP0078"/>
    <n v="21"/>
    <s v="Wed"/>
    <x v="0"/>
    <x v="1"/>
  </r>
  <r>
    <x v="1512"/>
    <d v="2024-08-30T21:09:04"/>
    <x v="1495"/>
    <x v="0"/>
    <x v="2"/>
    <n v="2.5"/>
    <n v="6"/>
    <s v="USD"/>
    <x v="5"/>
    <s v="EMP0080"/>
    <n v="15"/>
    <s v="Fri"/>
    <x v="6"/>
    <x v="1"/>
  </r>
  <r>
    <x v="1513"/>
    <d v="2021-07-03T15:31:04"/>
    <x v="1496"/>
    <x v="10"/>
    <x v="12"/>
    <n v="1.8"/>
    <n v="7"/>
    <s v="USD"/>
    <x v="2"/>
    <s v="EMP0025"/>
    <n v="12.6"/>
    <s v="Sat"/>
    <x v="8"/>
    <x v="0"/>
  </r>
  <r>
    <x v="1514"/>
    <d v="2025-05-02T16:34:04"/>
    <x v="1497"/>
    <x v="5"/>
    <x v="3"/>
    <n v="1.2"/>
    <n v="6"/>
    <s v="USD"/>
    <x v="3"/>
    <s v="EMP0095"/>
    <n v="7.1999999999999993"/>
    <s v="Fri"/>
    <x v="5"/>
    <x v="2"/>
  </r>
  <r>
    <x v="1515"/>
    <d v="2023-07-12T15:58:04"/>
    <x v="1498"/>
    <x v="2"/>
    <x v="5"/>
    <n v="1"/>
    <n v="8"/>
    <s v="USD"/>
    <x v="5"/>
    <s v="EMP0095"/>
    <n v="8"/>
    <s v="Wed"/>
    <x v="8"/>
    <x v="4"/>
  </r>
  <r>
    <x v="1516"/>
    <d v="2021-12-02T11:04:04"/>
    <x v="1499"/>
    <x v="8"/>
    <x v="15"/>
    <n v="1.5"/>
    <n v="2"/>
    <s v="USD"/>
    <x v="2"/>
    <s v="EMP0050"/>
    <n v="3"/>
    <s v="Thu"/>
    <x v="4"/>
    <x v="0"/>
  </r>
  <r>
    <x v="1517"/>
    <d v="2023-09-15T18:14:04"/>
    <x v="1500"/>
    <x v="0"/>
    <x v="14"/>
    <n v="2.2000000000000002"/>
    <n v="9"/>
    <s v="USD"/>
    <x v="1"/>
    <s v="EMP0092"/>
    <n v="19.8"/>
    <s v="Fri"/>
    <x v="9"/>
    <x v="4"/>
  </r>
  <r>
    <x v="1518"/>
    <d v="2022-07-11T12:18:04"/>
    <x v="1501"/>
    <x v="10"/>
    <x v="9"/>
    <n v="3"/>
    <n v="5"/>
    <s v="USD"/>
    <x v="2"/>
    <s v="EMP0071"/>
    <n v="15"/>
    <s v="Mon"/>
    <x v="8"/>
    <x v="3"/>
  </r>
  <r>
    <x v="1519"/>
    <d v="2022-09-26T07:29:04"/>
    <x v="1502"/>
    <x v="10"/>
    <x v="19"/>
    <n v="5.5"/>
    <n v="8"/>
    <s v="USD"/>
    <x v="2"/>
    <s v="EMP0070"/>
    <n v="44"/>
    <s v="Mon"/>
    <x v="9"/>
    <x v="3"/>
  </r>
  <r>
    <x v="1520"/>
    <d v="2024-01-02T06:13:04"/>
    <x v="1503"/>
    <x v="6"/>
    <x v="9"/>
    <n v="3"/>
    <n v="2"/>
    <s v="USD"/>
    <x v="5"/>
    <s v="EMP0092"/>
    <n v="6"/>
    <s v="Tue"/>
    <x v="2"/>
    <x v="1"/>
  </r>
  <r>
    <x v="1521"/>
    <d v="2025-03-11T07:27:04"/>
    <x v="1504"/>
    <x v="1"/>
    <x v="4"/>
    <n v="3.2"/>
    <n v="7"/>
    <s v="USD"/>
    <x v="4"/>
    <s v="EMP0029"/>
    <n v="22.400000000000002"/>
    <s v="Tue"/>
    <x v="1"/>
    <x v="2"/>
  </r>
  <r>
    <x v="1522"/>
    <d v="2023-11-28T15:56:04"/>
    <x v="1505"/>
    <x v="1"/>
    <x v="19"/>
    <n v="5.5"/>
    <n v="3"/>
    <s v="USD"/>
    <x v="1"/>
    <s v="EMP0082"/>
    <n v="16.5"/>
    <s v="Tue"/>
    <x v="10"/>
    <x v="4"/>
  </r>
  <r>
    <x v="1523"/>
    <d v="2022-08-06T10:36:04"/>
    <x v="1506"/>
    <x v="0"/>
    <x v="4"/>
    <n v="3.2"/>
    <n v="4"/>
    <s v="USD"/>
    <x v="1"/>
    <s v="EMP0099"/>
    <n v="12.8"/>
    <s v="Sat"/>
    <x v="6"/>
    <x v="3"/>
  </r>
  <r>
    <x v="1524"/>
    <d v="2021-12-26T10:45:04"/>
    <x v="1507"/>
    <x v="5"/>
    <x v="6"/>
    <n v="7"/>
    <n v="7"/>
    <s v="USD"/>
    <x v="2"/>
    <s v="EMP0083"/>
    <n v="49"/>
    <s v="Sun"/>
    <x v="4"/>
    <x v="0"/>
  </r>
  <r>
    <x v="1525"/>
    <d v="2022-03-15T23:35:04"/>
    <x v="1508"/>
    <x v="2"/>
    <x v="2"/>
    <n v="2.5"/>
    <n v="5"/>
    <s v="USD"/>
    <x v="3"/>
    <s v="EMP0038"/>
    <n v="12.5"/>
    <s v="Tue"/>
    <x v="1"/>
    <x v="3"/>
  </r>
  <r>
    <x v="1526"/>
    <d v="2024-11-11T10:21:04"/>
    <x v="1509"/>
    <x v="5"/>
    <x v="16"/>
    <n v="4"/>
    <n v="4"/>
    <s v="USD"/>
    <x v="2"/>
    <s v="EMP0015"/>
    <n v="16"/>
    <s v="Mon"/>
    <x v="10"/>
    <x v="1"/>
  </r>
  <r>
    <x v="1527"/>
    <d v="2022-02-21T02:18:04"/>
    <x v="1510"/>
    <x v="4"/>
    <x v="4"/>
    <n v="3.2"/>
    <n v="7"/>
    <s v="USD"/>
    <x v="1"/>
    <s v="EMP0095"/>
    <n v="22.400000000000002"/>
    <s v="Mon"/>
    <x v="7"/>
    <x v="3"/>
  </r>
  <r>
    <x v="1528"/>
    <d v="2025-05-06T04:23:04"/>
    <x v="1511"/>
    <x v="12"/>
    <x v="1"/>
    <n v="1"/>
    <n v="4"/>
    <s v="USD"/>
    <x v="5"/>
    <s v="EMP0055"/>
    <n v="4"/>
    <s v="Tue"/>
    <x v="5"/>
    <x v="2"/>
  </r>
  <r>
    <x v="1529"/>
    <d v="2023-07-25T01:35:04"/>
    <x v="1512"/>
    <x v="3"/>
    <x v="14"/>
    <n v="2.2000000000000002"/>
    <n v="9"/>
    <s v="USD"/>
    <x v="2"/>
    <s v="EMP0078"/>
    <n v="19.8"/>
    <s v="Tue"/>
    <x v="8"/>
    <x v="4"/>
  </r>
  <r>
    <x v="1530"/>
    <d v="2022-01-16T06:20:04"/>
    <x v="1513"/>
    <x v="8"/>
    <x v="3"/>
    <n v="1.2"/>
    <n v="9"/>
    <s v="USD"/>
    <x v="5"/>
    <s v="EMP0041"/>
    <n v="10.799999999999999"/>
    <s v="Sun"/>
    <x v="2"/>
    <x v="3"/>
  </r>
  <r>
    <x v="1531"/>
    <d v="2024-07-17T03:33:04"/>
    <x v="1514"/>
    <x v="2"/>
    <x v="15"/>
    <n v="1.5"/>
    <n v="8"/>
    <s v="USD"/>
    <x v="0"/>
    <s v="EMP0077"/>
    <n v="12"/>
    <s v="Wed"/>
    <x v="8"/>
    <x v="1"/>
  </r>
  <r>
    <x v="1532"/>
    <d v="2023-10-07T08:39:04"/>
    <x v="1515"/>
    <x v="3"/>
    <x v="17"/>
    <n v="2.5"/>
    <n v="10"/>
    <s v="USD"/>
    <x v="4"/>
    <s v="EMP0040"/>
    <n v="25"/>
    <s v="Sat"/>
    <x v="0"/>
    <x v="4"/>
  </r>
  <r>
    <x v="1533"/>
    <d v="2022-07-15T15:19:04"/>
    <x v="1516"/>
    <x v="11"/>
    <x v="16"/>
    <n v="4"/>
    <n v="8"/>
    <s v="USD"/>
    <x v="2"/>
    <s v="EMP0028"/>
    <n v="32"/>
    <s v="Fri"/>
    <x v="8"/>
    <x v="3"/>
  </r>
  <r>
    <x v="1534"/>
    <d v="2022-07-31T03:41:04"/>
    <x v="1517"/>
    <x v="8"/>
    <x v="17"/>
    <n v="2.5"/>
    <n v="6"/>
    <s v="USD"/>
    <x v="0"/>
    <s v="EMP0092"/>
    <n v="15"/>
    <s v="Sun"/>
    <x v="8"/>
    <x v="3"/>
  </r>
  <r>
    <x v="1535"/>
    <d v="2024-03-03T13:27:04"/>
    <x v="1518"/>
    <x v="14"/>
    <x v="2"/>
    <n v="2.5"/>
    <n v="1"/>
    <s v="USD"/>
    <x v="0"/>
    <s v="EMP0063"/>
    <n v="2.5"/>
    <s v="Sun"/>
    <x v="1"/>
    <x v="1"/>
  </r>
  <r>
    <x v="1536"/>
    <d v="2023-02-27T03:34:04"/>
    <x v="1519"/>
    <x v="3"/>
    <x v="13"/>
    <n v="0.8"/>
    <n v="1"/>
    <s v="USD"/>
    <x v="1"/>
    <s v="EMP0051"/>
    <n v="0.8"/>
    <s v="Mon"/>
    <x v="7"/>
    <x v="4"/>
  </r>
  <r>
    <x v="1537"/>
    <d v="2023-06-17T23:43:04"/>
    <x v="1520"/>
    <x v="10"/>
    <x v="7"/>
    <n v="2.8"/>
    <n v="7"/>
    <s v="USD"/>
    <x v="5"/>
    <s v="EMP0010"/>
    <n v="19.599999999999998"/>
    <s v="Sat"/>
    <x v="3"/>
    <x v="4"/>
  </r>
  <r>
    <x v="1538"/>
    <d v="2022-05-23T14:08:04"/>
    <x v="1521"/>
    <x v="11"/>
    <x v="11"/>
    <n v="4"/>
    <n v="9"/>
    <s v="USD"/>
    <x v="5"/>
    <s v="EMP0013"/>
    <n v="36"/>
    <s v="Mon"/>
    <x v="5"/>
    <x v="3"/>
  </r>
  <r>
    <x v="1539"/>
    <d v="2024-08-14T02:38:04"/>
    <x v="1522"/>
    <x v="14"/>
    <x v="16"/>
    <n v="4"/>
    <n v="1"/>
    <s v="USD"/>
    <x v="2"/>
    <s v="EMP0039"/>
    <n v="4"/>
    <s v="Wed"/>
    <x v="6"/>
    <x v="1"/>
  </r>
  <r>
    <x v="1540"/>
    <d v="2022-10-14T17:16:04"/>
    <x v="1523"/>
    <x v="12"/>
    <x v="14"/>
    <n v="2.2000000000000002"/>
    <n v="8"/>
    <s v="USD"/>
    <x v="2"/>
    <s v="EMP0062"/>
    <n v="17.600000000000001"/>
    <s v="Fri"/>
    <x v="0"/>
    <x v="3"/>
  </r>
  <r>
    <x v="1541"/>
    <d v="2023-09-21T09:13:04"/>
    <x v="1524"/>
    <x v="2"/>
    <x v="11"/>
    <n v="4"/>
    <n v="1"/>
    <s v="USD"/>
    <x v="4"/>
    <s v="EMP0093"/>
    <n v="4"/>
    <s v="Thu"/>
    <x v="9"/>
    <x v="4"/>
  </r>
  <r>
    <x v="1542"/>
    <d v="2022-02-16T09:43:04"/>
    <x v="1525"/>
    <x v="14"/>
    <x v="14"/>
    <n v="2.2000000000000002"/>
    <n v="7"/>
    <s v="USD"/>
    <x v="5"/>
    <s v="EMP0087"/>
    <n v="15.400000000000002"/>
    <s v="Wed"/>
    <x v="7"/>
    <x v="3"/>
  </r>
  <r>
    <x v="1543"/>
    <d v="2024-05-30T12:20:04"/>
    <x v="1526"/>
    <x v="5"/>
    <x v="15"/>
    <n v="1.5"/>
    <n v="3"/>
    <s v="USD"/>
    <x v="3"/>
    <s v="EMP0016"/>
    <n v="4.5"/>
    <s v="Thu"/>
    <x v="5"/>
    <x v="1"/>
  </r>
  <r>
    <x v="1544"/>
    <d v="2022-06-18T17:05:04"/>
    <x v="1527"/>
    <x v="12"/>
    <x v="18"/>
    <n v="1.7"/>
    <n v="3"/>
    <s v="USD"/>
    <x v="2"/>
    <s v="EMP0093"/>
    <n v="5.0999999999999996"/>
    <s v="Sat"/>
    <x v="3"/>
    <x v="3"/>
  </r>
  <r>
    <x v="1545"/>
    <d v="2023-02-02T06:24:04"/>
    <x v="1528"/>
    <x v="7"/>
    <x v="2"/>
    <n v="2.5"/>
    <n v="7"/>
    <s v="USD"/>
    <x v="5"/>
    <s v="EMP0039"/>
    <n v="17.5"/>
    <s v="Thu"/>
    <x v="7"/>
    <x v="4"/>
  </r>
  <r>
    <x v="1546"/>
    <d v="2021-06-30T18:15:04"/>
    <x v="1529"/>
    <x v="3"/>
    <x v="6"/>
    <n v="7"/>
    <n v="2"/>
    <s v="USD"/>
    <x v="5"/>
    <s v="EMP0084"/>
    <n v="14"/>
    <s v="Wed"/>
    <x v="3"/>
    <x v="0"/>
  </r>
  <r>
    <x v="1547"/>
    <d v="2023-03-19T04:46:04"/>
    <x v="1530"/>
    <x v="3"/>
    <x v="10"/>
    <n v="5"/>
    <n v="6"/>
    <s v="USD"/>
    <x v="3"/>
    <s v="EMP0016"/>
    <n v="30"/>
    <s v="Sun"/>
    <x v="1"/>
    <x v="4"/>
  </r>
  <r>
    <x v="1548"/>
    <d v="2024-09-13T11:19:04"/>
    <x v="1531"/>
    <x v="10"/>
    <x v="12"/>
    <n v="1.8"/>
    <n v="4"/>
    <s v="USD"/>
    <x v="3"/>
    <s v="EMP0076"/>
    <n v="7.2"/>
    <s v="Fri"/>
    <x v="9"/>
    <x v="1"/>
  </r>
  <r>
    <x v="1549"/>
    <d v="2022-02-20T18:56:04"/>
    <x v="1532"/>
    <x v="11"/>
    <x v="19"/>
    <n v="5.5"/>
    <n v="10"/>
    <s v="USD"/>
    <x v="0"/>
    <s v="EMP0050"/>
    <n v="55"/>
    <s v="Sun"/>
    <x v="7"/>
    <x v="3"/>
  </r>
  <r>
    <x v="1550"/>
    <d v="2022-08-21T16:42:04"/>
    <x v="1533"/>
    <x v="8"/>
    <x v="8"/>
    <n v="4.5"/>
    <n v="10"/>
    <s v="USD"/>
    <x v="0"/>
    <s v="EMP0013"/>
    <n v="45"/>
    <s v="Sun"/>
    <x v="6"/>
    <x v="3"/>
  </r>
  <r>
    <x v="1551"/>
    <d v="2023-07-13T10:41:04"/>
    <x v="1534"/>
    <x v="1"/>
    <x v="1"/>
    <n v="1"/>
    <n v="3"/>
    <s v="USD"/>
    <x v="5"/>
    <s v="EMP0090"/>
    <n v="3"/>
    <s v="Thu"/>
    <x v="8"/>
    <x v="4"/>
  </r>
  <r>
    <x v="1552"/>
    <d v="2025-03-30T00:51:04"/>
    <x v="1535"/>
    <x v="4"/>
    <x v="1"/>
    <n v="1"/>
    <n v="9"/>
    <s v="USD"/>
    <x v="5"/>
    <s v="EMP0009"/>
    <n v="9"/>
    <s v="Sun"/>
    <x v="1"/>
    <x v="2"/>
  </r>
  <r>
    <x v="1553"/>
    <d v="2022-06-11T18:52:04"/>
    <x v="1536"/>
    <x v="0"/>
    <x v="19"/>
    <n v="5.5"/>
    <n v="4"/>
    <s v="USD"/>
    <x v="2"/>
    <s v="EMP0016"/>
    <n v="22"/>
    <s v="Sat"/>
    <x v="3"/>
    <x v="3"/>
  </r>
  <r>
    <x v="1554"/>
    <d v="2024-05-03T17:42:04"/>
    <x v="1537"/>
    <x v="6"/>
    <x v="3"/>
    <n v="1.2"/>
    <n v="9"/>
    <s v="USD"/>
    <x v="5"/>
    <s v="EMP0041"/>
    <n v="10.799999999999999"/>
    <s v="Fri"/>
    <x v="5"/>
    <x v="1"/>
  </r>
  <r>
    <x v="1555"/>
    <d v="2024-08-31T12:18:04"/>
    <x v="1538"/>
    <x v="12"/>
    <x v="11"/>
    <n v="4"/>
    <n v="3"/>
    <s v="USD"/>
    <x v="3"/>
    <s v="EMP0072"/>
    <n v="12"/>
    <s v="Sat"/>
    <x v="6"/>
    <x v="1"/>
  </r>
  <r>
    <x v="1556"/>
    <d v="2023-12-01T12:21:04"/>
    <x v="1539"/>
    <x v="7"/>
    <x v="12"/>
    <n v="1.8"/>
    <n v="5"/>
    <s v="USD"/>
    <x v="4"/>
    <s v="EMP0070"/>
    <n v="9"/>
    <s v="Fri"/>
    <x v="4"/>
    <x v="4"/>
  </r>
  <r>
    <x v="1557"/>
    <d v="2024-05-22T23:44:04"/>
    <x v="1540"/>
    <x v="13"/>
    <x v="2"/>
    <n v="2.5"/>
    <n v="5"/>
    <s v="USD"/>
    <x v="3"/>
    <s v="EMP0067"/>
    <n v="12.5"/>
    <s v="Wed"/>
    <x v="5"/>
    <x v="1"/>
  </r>
  <r>
    <x v="1558"/>
    <d v="2023-09-16T15:52:04"/>
    <x v="1541"/>
    <x v="10"/>
    <x v="14"/>
    <n v="2.2000000000000002"/>
    <n v="10"/>
    <s v="USD"/>
    <x v="5"/>
    <s v="EMP0089"/>
    <n v="22"/>
    <s v="Sat"/>
    <x v="9"/>
    <x v="4"/>
  </r>
  <r>
    <x v="1559"/>
    <d v="2023-08-07T20:28:04"/>
    <x v="1542"/>
    <x v="5"/>
    <x v="5"/>
    <n v="1"/>
    <n v="9"/>
    <s v="USD"/>
    <x v="1"/>
    <s v="EMP0027"/>
    <n v="9"/>
    <s v="Mon"/>
    <x v="6"/>
    <x v="4"/>
  </r>
  <r>
    <x v="1560"/>
    <d v="2021-07-01T09:44:04"/>
    <x v="1543"/>
    <x v="4"/>
    <x v="17"/>
    <n v="2.5"/>
    <n v="4"/>
    <s v="USD"/>
    <x v="3"/>
    <s v="EMP0025"/>
    <n v="10"/>
    <s v="Thu"/>
    <x v="8"/>
    <x v="0"/>
  </r>
  <r>
    <x v="1561"/>
    <d v="2024-07-23T03:32:04"/>
    <x v="1544"/>
    <x v="4"/>
    <x v="11"/>
    <n v="4"/>
    <n v="3"/>
    <s v="USD"/>
    <x v="1"/>
    <s v="EMP0071"/>
    <n v="12"/>
    <s v="Tue"/>
    <x v="8"/>
    <x v="1"/>
  </r>
  <r>
    <x v="1562"/>
    <d v="2024-02-21T19:04:04"/>
    <x v="1545"/>
    <x v="11"/>
    <x v="14"/>
    <n v="2.2000000000000002"/>
    <n v="10"/>
    <s v="USD"/>
    <x v="5"/>
    <s v="EMP0010"/>
    <n v="22"/>
    <s v="Wed"/>
    <x v="7"/>
    <x v="1"/>
  </r>
  <r>
    <x v="1563"/>
    <d v="2022-04-09T05:10:04"/>
    <x v="1546"/>
    <x v="8"/>
    <x v="13"/>
    <n v="0.8"/>
    <n v="7"/>
    <s v="USD"/>
    <x v="5"/>
    <s v="EMP0011"/>
    <n v="5.6000000000000005"/>
    <s v="Sat"/>
    <x v="11"/>
    <x v="3"/>
  </r>
  <r>
    <x v="1564"/>
    <d v="2023-12-05T15:59:04"/>
    <x v="722"/>
    <x v="0"/>
    <x v="14"/>
    <n v="2.2000000000000002"/>
    <n v="9"/>
    <s v="USD"/>
    <x v="0"/>
    <s v="EMP0010"/>
    <n v="19.8"/>
    <s v="Tue"/>
    <x v="4"/>
    <x v="4"/>
  </r>
  <r>
    <x v="1565"/>
    <d v="2021-10-27T14:09:04"/>
    <x v="1547"/>
    <x v="3"/>
    <x v="11"/>
    <n v="4"/>
    <n v="6"/>
    <s v="USD"/>
    <x v="1"/>
    <s v="EMP0085"/>
    <n v="24"/>
    <s v="Wed"/>
    <x v="0"/>
    <x v="0"/>
  </r>
  <r>
    <x v="1566"/>
    <d v="2021-09-20T20:48:04"/>
    <x v="1548"/>
    <x v="6"/>
    <x v="18"/>
    <n v="1.7"/>
    <n v="3"/>
    <s v="USD"/>
    <x v="4"/>
    <s v="EMP0056"/>
    <n v="5.0999999999999996"/>
    <s v="Mon"/>
    <x v="9"/>
    <x v="0"/>
  </r>
  <r>
    <x v="1567"/>
    <d v="2023-03-25T12:48:04"/>
    <x v="1549"/>
    <x v="2"/>
    <x v="9"/>
    <n v="3"/>
    <n v="5"/>
    <s v="USD"/>
    <x v="3"/>
    <s v="EMP0069"/>
    <n v="15"/>
    <s v="Sat"/>
    <x v="1"/>
    <x v="4"/>
  </r>
  <r>
    <x v="1568"/>
    <d v="2024-09-25T15:51:04"/>
    <x v="1550"/>
    <x v="8"/>
    <x v="9"/>
    <n v="3"/>
    <n v="6"/>
    <s v="USD"/>
    <x v="2"/>
    <s v="EMP0012"/>
    <n v="18"/>
    <s v="Wed"/>
    <x v="9"/>
    <x v="1"/>
  </r>
  <r>
    <x v="1569"/>
    <d v="2023-04-27T02:37:04"/>
    <x v="1551"/>
    <x v="11"/>
    <x v="14"/>
    <n v="2.2000000000000002"/>
    <n v="4"/>
    <s v="USD"/>
    <x v="4"/>
    <s v="EMP0002"/>
    <n v="8.8000000000000007"/>
    <s v="Thu"/>
    <x v="11"/>
    <x v="4"/>
  </r>
  <r>
    <x v="1570"/>
    <d v="2024-10-21T01:12:04"/>
    <x v="1552"/>
    <x v="8"/>
    <x v="19"/>
    <n v="5.5"/>
    <n v="2"/>
    <s v="USD"/>
    <x v="0"/>
    <s v="EMP0068"/>
    <n v="11"/>
    <s v="Mon"/>
    <x v="0"/>
    <x v="1"/>
  </r>
  <r>
    <x v="1571"/>
    <d v="2023-08-20T18:34:04"/>
    <x v="1553"/>
    <x v="14"/>
    <x v="15"/>
    <n v="1.5"/>
    <n v="2"/>
    <s v="USD"/>
    <x v="1"/>
    <s v="EMP0045"/>
    <n v="3"/>
    <s v="Sun"/>
    <x v="6"/>
    <x v="4"/>
  </r>
  <r>
    <x v="1572"/>
    <d v="2021-06-04T18:31:04"/>
    <x v="1554"/>
    <x v="11"/>
    <x v="1"/>
    <n v="1"/>
    <n v="5"/>
    <s v="USD"/>
    <x v="1"/>
    <s v="EMP0013"/>
    <n v="5"/>
    <s v="Fri"/>
    <x v="3"/>
    <x v="0"/>
  </r>
  <r>
    <x v="1573"/>
    <d v="2025-01-31T08:06:04"/>
    <x v="1555"/>
    <x v="14"/>
    <x v="6"/>
    <n v="7"/>
    <n v="3"/>
    <s v="USD"/>
    <x v="4"/>
    <s v="EMP0095"/>
    <n v="21"/>
    <s v="Fri"/>
    <x v="2"/>
    <x v="2"/>
  </r>
  <r>
    <x v="1574"/>
    <d v="2021-07-20T19:51:04"/>
    <x v="1556"/>
    <x v="12"/>
    <x v="6"/>
    <n v="7"/>
    <n v="8"/>
    <s v="USD"/>
    <x v="1"/>
    <s v="EMP0017"/>
    <n v="56"/>
    <s v="Tue"/>
    <x v="8"/>
    <x v="0"/>
  </r>
  <r>
    <x v="1575"/>
    <d v="2023-11-26T12:43:04"/>
    <x v="1557"/>
    <x v="9"/>
    <x v="14"/>
    <n v="2.2000000000000002"/>
    <n v="3"/>
    <s v="USD"/>
    <x v="0"/>
    <s v="EMP0049"/>
    <n v="6.6000000000000005"/>
    <s v="Sun"/>
    <x v="10"/>
    <x v="4"/>
  </r>
  <r>
    <x v="1576"/>
    <d v="2022-03-03T14:09:04"/>
    <x v="1558"/>
    <x v="13"/>
    <x v="7"/>
    <n v="2.8"/>
    <n v="4"/>
    <s v="USD"/>
    <x v="2"/>
    <s v="EMP0078"/>
    <n v="11.2"/>
    <s v="Thu"/>
    <x v="1"/>
    <x v="3"/>
  </r>
  <r>
    <x v="1577"/>
    <d v="2023-01-03T14:57:04"/>
    <x v="1559"/>
    <x v="6"/>
    <x v="10"/>
    <n v="5"/>
    <n v="6"/>
    <s v="USD"/>
    <x v="5"/>
    <s v="EMP0065"/>
    <n v="30"/>
    <s v="Tue"/>
    <x v="2"/>
    <x v="4"/>
  </r>
  <r>
    <x v="1578"/>
    <d v="2023-09-30T04:59:04"/>
    <x v="1560"/>
    <x v="9"/>
    <x v="2"/>
    <n v="2.5"/>
    <n v="5"/>
    <s v="USD"/>
    <x v="2"/>
    <s v="EMP0012"/>
    <n v="12.5"/>
    <s v="Sat"/>
    <x v="9"/>
    <x v="4"/>
  </r>
  <r>
    <x v="1579"/>
    <d v="2023-08-22T23:37:04"/>
    <x v="1561"/>
    <x v="5"/>
    <x v="9"/>
    <n v="3"/>
    <n v="2"/>
    <s v="USD"/>
    <x v="3"/>
    <s v="EMP0094"/>
    <n v="6"/>
    <s v="Tue"/>
    <x v="6"/>
    <x v="4"/>
  </r>
  <r>
    <x v="1580"/>
    <d v="2024-01-04T11:16:04"/>
    <x v="1562"/>
    <x v="12"/>
    <x v="17"/>
    <n v="2.5"/>
    <n v="2"/>
    <s v="USD"/>
    <x v="2"/>
    <s v="EMP0037"/>
    <n v="5"/>
    <s v="Thu"/>
    <x v="2"/>
    <x v="1"/>
  </r>
  <r>
    <x v="1581"/>
    <d v="2022-03-31T21:35:04"/>
    <x v="1563"/>
    <x v="4"/>
    <x v="3"/>
    <n v="1.2"/>
    <n v="7"/>
    <s v="USD"/>
    <x v="2"/>
    <s v="EMP0066"/>
    <n v="8.4"/>
    <s v="Thu"/>
    <x v="1"/>
    <x v="3"/>
  </r>
  <r>
    <x v="1582"/>
    <d v="2024-08-02T21:55:04"/>
    <x v="1564"/>
    <x v="9"/>
    <x v="1"/>
    <n v="1"/>
    <n v="2"/>
    <s v="USD"/>
    <x v="5"/>
    <s v="EMP0002"/>
    <n v="2"/>
    <s v="Fri"/>
    <x v="6"/>
    <x v="1"/>
  </r>
  <r>
    <x v="1583"/>
    <d v="2021-11-24T06:28:04"/>
    <x v="1565"/>
    <x v="4"/>
    <x v="3"/>
    <n v="1.2"/>
    <n v="7"/>
    <s v="USD"/>
    <x v="2"/>
    <s v="EMP0069"/>
    <n v="8.4"/>
    <s v="Wed"/>
    <x v="10"/>
    <x v="0"/>
  </r>
  <r>
    <x v="1584"/>
    <d v="2023-06-03T05:39:04"/>
    <x v="1566"/>
    <x v="3"/>
    <x v="12"/>
    <n v="1.8"/>
    <n v="10"/>
    <s v="USD"/>
    <x v="3"/>
    <s v="EMP0078"/>
    <n v="18"/>
    <s v="Sat"/>
    <x v="3"/>
    <x v="4"/>
  </r>
  <r>
    <x v="1585"/>
    <d v="2022-11-03T07:43:04"/>
    <x v="1567"/>
    <x v="1"/>
    <x v="12"/>
    <n v="1.8"/>
    <n v="4"/>
    <s v="USD"/>
    <x v="0"/>
    <s v="EMP0010"/>
    <n v="7.2"/>
    <s v="Thu"/>
    <x v="10"/>
    <x v="3"/>
  </r>
  <r>
    <x v="1586"/>
    <d v="2023-04-19T08:54:04"/>
    <x v="1568"/>
    <x v="5"/>
    <x v="17"/>
    <n v="2.5"/>
    <n v="7"/>
    <s v="USD"/>
    <x v="5"/>
    <s v="EMP0049"/>
    <n v="17.5"/>
    <s v="Wed"/>
    <x v="11"/>
    <x v="4"/>
  </r>
  <r>
    <x v="1587"/>
    <d v="2024-05-25T02:19:04"/>
    <x v="1569"/>
    <x v="5"/>
    <x v="2"/>
    <n v="2.5"/>
    <n v="9"/>
    <s v="USD"/>
    <x v="3"/>
    <s v="EMP0038"/>
    <n v="22.5"/>
    <s v="Sat"/>
    <x v="5"/>
    <x v="1"/>
  </r>
  <r>
    <x v="1588"/>
    <d v="2023-09-04T22:08:04"/>
    <x v="1570"/>
    <x v="11"/>
    <x v="11"/>
    <n v="4"/>
    <n v="1"/>
    <s v="USD"/>
    <x v="2"/>
    <s v="EMP0081"/>
    <n v="4"/>
    <s v="Mon"/>
    <x v="9"/>
    <x v="4"/>
  </r>
  <r>
    <x v="1589"/>
    <d v="2022-03-02T01:13:04"/>
    <x v="1571"/>
    <x v="1"/>
    <x v="8"/>
    <n v="4.5"/>
    <n v="9"/>
    <s v="USD"/>
    <x v="3"/>
    <s v="EMP0060"/>
    <n v="40.5"/>
    <s v="Wed"/>
    <x v="1"/>
    <x v="3"/>
  </r>
  <r>
    <x v="1590"/>
    <d v="2021-11-20T22:23:04"/>
    <x v="1572"/>
    <x v="5"/>
    <x v="3"/>
    <n v="1.2"/>
    <n v="10"/>
    <s v="USD"/>
    <x v="5"/>
    <s v="EMP0043"/>
    <n v="12"/>
    <s v="Sat"/>
    <x v="10"/>
    <x v="0"/>
  </r>
  <r>
    <x v="1591"/>
    <d v="2023-09-06T02:20:04"/>
    <x v="1573"/>
    <x v="13"/>
    <x v="7"/>
    <n v="2.8"/>
    <n v="3"/>
    <s v="USD"/>
    <x v="5"/>
    <s v="EMP0046"/>
    <n v="8.3999999999999986"/>
    <s v="Wed"/>
    <x v="9"/>
    <x v="4"/>
  </r>
  <r>
    <x v="1592"/>
    <d v="2025-04-21T09:59:04"/>
    <x v="1574"/>
    <x v="10"/>
    <x v="11"/>
    <n v="4"/>
    <n v="2"/>
    <s v="USD"/>
    <x v="1"/>
    <s v="EMP0066"/>
    <n v="8"/>
    <s v="Mon"/>
    <x v="11"/>
    <x v="2"/>
  </r>
  <r>
    <x v="1593"/>
    <d v="2024-06-29T00:19:04"/>
    <x v="1575"/>
    <x v="1"/>
    <x v="15"/>
    <n v="1.5"/>
    <n v="1"/>
    <s v="USD"/>
    <x v="0"/>
    <s v="EMP0099"/>
    <n v="1.5"/>
    <s v="Sat"/>
    <x v="3"/>
    <x v="1"/>
  </r>
  <r>
    <x v="1594"/>
    <d v="2021-09-03T05:12:04"/>
    <x v="1576"/>
    <x v="10"/>
    <x v="6"/>
    <n v="7"/>
    <n v="6"/>
    <s v="USD"/>
    <x v="4"/>
    <s v="EMP0047"/>
    <n v="42"/>
    <s v="Fri"/>
    <x v="9"/>
    <x v="0"/>
  </r>
  <r>
    <x v="1595"/>
    <d v="2022-12-14T07:52:04"/>
    <x v="1577"/>
    <x v="14"/>
    <x v="0"/>
    <n v="3.1"/>
    <n v="2"/>
    <s v="USD"/>
    <x v="5"/>
    <s v="EMP0085"/>
    <n v="6.2"/>
    <s v="Wed"/>
    <x v="4"/>
    <x v="3"/>
  </r>
  <r>
    <x v="1596"/>
    <d v="2022-11-22T08:18:04"/>
    <x v="1578"/>
    <x v="5"/>
    <x v="18"/>
    <n v="1.7"/>
    <n v="1"/>
    <s v="USD"/>
    <x v="4"/>
    <s v="EMP0091"/>
    <n v="1.7"/>
    <s v="Tue"/>
    <x v="10"/>
    <x v="3"/>
  </r>
  <r>
    <x v="1597"/>
    <d v="2024-03-29T10:14:04"/>
    <x v="1579"/>
    <x v="11"/>
    <x v="17"/>
    <n v="2.5"/>
    <n v="3"/>
    <s v="USD"/>
    <x v="5"/>
    <s v="EMP0054"/>
    <n v="7.5"/>
    <s v="Fri"/>
    <x v="1"/>
    <x v="1"/>
  </r>
  <r>
    <x v="1598"/>
    <d v="2023-07-01T12:16:04"/>
    <x v="1580"/>
    <x v="3"/>
    <x v="11"/>
    <n v="4"/>
    <n v="8"/>
    <s v="USD"/>
    <x v="2"/>
    <s v="EMP0035"/>
    <n v="32"/>
    <s v="Sat"/>
    <x v="8"/>
    <x v="4"/>
  </r>
  <r>
    <x v="1599"/>
    <d v="2024-09-07T23:55:04"/>
    <x v="1581"/>
    <x v="9"/>
    <x v="15"/>
    <n v="1.5"/>
    <n v="3"/>
    <s v="USD"/>
    <x v="4"/>
    <s v="EMP0097"/>
    <n v="4.5"/>
    <s v="Sat"/>
    <x v="9"/>
    <x v="1"/>
  </r>
  <r>
    <x v="1600"/>
    <d v="2023-02-10T20:40:04"/>
    <x v="1582"/>
    <x v="1"/>
    <x v="6"/>
    <n v="7"/>
    <n v="3"/>
    <s v="USD"/>
    <x v="3"/>
    <s v="EMP0014"/>
    <n v="21"/>
    <s v="Fri"/>
    <x v="7"/>
    <x v="4"/>
  </r>
  <r>
    <x v="1601"/>
    <d v="2025-03-27T09:17:04"/>
    <x v="1583"/>
    <x v="5"/>
    <x v="12"/>
    <n v="1.8"/>
    <n v="1"/>
    <s v="USD"/>
    <x v="2"/>
    <s v="EMP0031"/>
    <n v="1.8"/>
    <s v="Thu"/>
    <x v="1"/>
    <x v="2"/>
  </r>
  <r>
    <x v="1602"/>
    <d v="2025-01-22T15:33:04"/>
    <x v="1104"/>
    <x v="5"/>
    <x v="18"/>
    <n v="1.7"/>
    <n v="10"/>
    <s v="USD"/>
    <x v="2"/>
    <s v="EMP0002"/>
    <n v="17"/>
    <s v="Wed"/>
    <x v="2"/>
    <x v="2"/>
  </r>
  <r>
    <x v="1603"/>
    <d v="2022-12-01T22:08:04"/>
    <x v="1584"/>
    <x v="11"/>
    <x v="15"/>
    <n v="1.5"/>
    <n v="2"/>
    <s v="USD"/>
    <x v="5"/>
    <s v="EMP0032"/>
    <n v="3"/>
    <s v="Thu"/>
    <x v="4"/>
    <x v="3"/>
  </r>
  <r>
    <x v="1604"/>
    <d v="2021-11-22T08:40:04"/>
    <x v="1585"/>
    <x v="9"/>
    <x v="13"/>
    <n v="0.8"/>
    <n v="4"/>
    <s v="USD"/>
    <x v="4"/>
    <s v="EMP0099"/>
    <n v="3.2"/>
    <s v="Mon"/>
    <x v="10"/>
    <x v="0"/>
  </r>
  <r>
    <x v="1605"/>
    <d v="2024-09-16T04:42:04"/>
    <x v="1586"/>
    <x v="2"/>
    <x v="18"/>
    <n v="1.7"/>
    <n v="4"/>
    <s v="USD"/>
    <x v="5"/>
    <s v="EMP0091"/>
    <n v="6.8"/>
    <s v="Mon"/>
    <x v="9"/>
    <x v="1"/>
  </r>
  <r>
    <x v="1606"/>
    <d v="2024-10-09T14:40:04"/>
    <x v="1587"/>
    <x v="9"/>
    <x v="5"/>
    <n v="1"/>
    <n v="3"/>
    <s v="USD"/>
    <x v="0"/>
    <s v="EMP0076"/>
    <n v="3"/>
    <s v="Wed"/>
    <x v="0"/>
    <x v="1"/>
  </r>
  <r>
    <x v="1607"/>
    <d v="2021-10-28T17:17:04"/>
    <x v="1588"/>
    <x v="2"/>
    <x v="19"/>
    <n v="5.5"/>
    <n v="3"/>
    <s v="USD"/>
    <x v="5"/>
    <s v="EMP0005"/>
    <n v="16.5"/>
    <s v="Thu"/>
    <x v="0"/>
    <x v="0"/>
  </r>
  <r>
    <x v="1608"/>
    <d v="2023-10-27T06:27:04"/>
    <x v="1589"/>
    <x v="6"/>
    <x v="18"/>
    <n v="1.7"/>
    <n v="1"/>
    <s v="USD"/>
    <x v="1"/>
    <s v="EMP0026"/>
    <n v="1.7"/>
    <s v="Fri"/>
    <x v="0"/>
    <x v="4"/>
  </r>
  <r>
    <x v="1609"/>
    <d v="2024-11-04T12:02:04"/>
    <x v="1590"/>
    <x v="8"/>
    <x v="12"/>
    <n v="1.8"/>
    <n v="5"/>
    <s v="USD"/>
    <x v="2"/>
    <s v="EMP0082"/>
    <n v="9"/>
    <s v="Mon"/>
    <x v="10"/>
    <x v="1"/>
  </r>
  <r>
    <x v="1610"/>
    <d v="2024-01-22T06:05:04"/>
    <x v="1591"/>
    <x v="8"/>
    <x v="15"/>
    <n v="1.5"/>
    <n v="1"/>
    <s v="USD"/>
    <x v="1"/>
    <s v="EMP0055"/>
    <n v="1.5"/>
    <s v="Mon"/>
    <x v="2"/>
    <x v="1"/>
  </r>
  <r>
    <x v="1611"/>
    <d v="2021-09-29T12:07:04"/>
    <x v="1592"/>
    <x v="7"/>
    <x v="0"/>
    <n v="3.1"/>
    <n v="6"/>
    <s v="USD"/>
    <x v="4"/>
    <s v="EMP0045"/>
    <n v="18.600000000000001"/>
    <s v="Wed"/>
    <x v="9"/>
    <x v="0"/>
  </r>
  <r>
    <x v="1612"/>
    <d v="2021-05-13T00:11:04"/>
    <x v="1593"/>
    <x v="5"/>
    <x v="17"/>
    <n v="2.5"/>
    <n v="3"/>
    <s v="USD"/>
    <x v="3"/>
    <s v="EMP0001"/>
    <n v="7.5"/>
    <s v="Thu"/>
    <x v="5"/>
    <x v="0"/>
  </r>
  <r>
    <x v="1613"/>
    <d v="2025-01-22T15:39:04"/>
    <x v="1594"/>
    <x v="5"/>
    <x v="11"/>
    <n v="4"/>
    <n v="5"/>
    <s v="USD"/>
    <x v="5"/>
    <s v="EMP0036"/>
    <n v="20"/>
    <s v="Wed"/>
    <x v="2"/>
    <x v="2"/>
  </r>
  <r>
    <x v="1614"/>
    <d v="2021-12-14T09:59:04"/>
    <x v="1595"/>
    <x v="6"/>
    <x v="0"/>
    <n v="3.1"/>
    <n v="8"/>
    <s v="USD"/>
    <x v="4"/>
    <s v="EMP0043"/>
    <n v="24.8"/>
    <s v="Tue"/>
    <x v="4"/>
    <x v="0"/>
  </r>
  <r>
    <x v="1615"/>
    <d v="2023-08-25T10:20:04"/>
    <x v="1596"/>
    <x v="3"/>
    <x v="3"/>
    <n v="1.2"/>
    <n v="9"/>
    <s v="USD"/>
    <x v="0"/>
    <s v="EMP0043"/>
    <n v="10.799999999999999"/>
    <s v="Fri"/>
    <x v="6"/>
    <x v="4"/>
  </r>
  <r>
    <x v="1616"/>
    <d v="2023-05-01T13:35:04"/>
    <x v="1597"/>
    <x v="5"/>
    <x v="16"/>
    <n v="4"/>
    <n v="9"/>
    <s v="USD"/>
    <x v="1"/>
    <s v="EMP0048"/>
    <n v="36"/>
    <s v="Mon"/>
    <x v="5"/>
    <x v="4"/>
  </r>
  <r>
    <x v="1617"/>
    <d v="2024-01-07T17:09:04"/>
    <x v="1598"/>
    <x v="2"/>
    <x v="16"/>
    <n v="4"/>
    <n v="7"/>
    <s v="USD"/>
    <x v="3"/>
    <s v="EMP0014"/>
    <n v="28"/>
    <s v="Sun"/>
    <x v="2"/>
    <x v="1"/>
  </r>
  <r>
    <x v="1618"/>
    <d v="2024-08-14T16:39:04"/>
    <x v="1599"/>
    <x v="12"/>
    <x v="19"/>
    <n v="5.5"/>
    <n v="1"/>
    <s v="USD"/>
    <x v="1"/>
    <s v="EMP0084"/>
    <n v="5.5"/>
    <s v="Wed"/>
    <x v="6"/>
    <x v="1"/>
  </r>
  <r>
    <x v="1619"/>
    <d v="2024-04-14T06:41:04"/>
    <x v="1600"/>
    <x v="10"/>
    <x v="19"/>
    <n v="5.5"/>
    <n v="2"/>
    <s v="USD"/>
    <x v="1"/>
    <s v="EMP0080"/>
    <n v="11"/>
    <s v="Sun"/>
    <x v="11"/>
    <x v="1"/>
  </r>
  <r>
    <x v="1620"/>
    <d v="2023-06-07T03:40:04"/>
    <x v="1601"/>
    <x v="10"/>
    <x v="11"/>
    <n v="4"/>
    <n v="9"/>
    <s v="USD"/>
    <x v="2"/>
    <s v="EMP0020"/>
    <n v="36"/>
    <s v="Wed"/>
    <x v="3"/>
    <x v="4"/>
  </r>
  <r>
    <x v="1621"/>
    <d v="2025-02-09T09:14:04"/>
    <x v="1602"/>
    <x v="8"/>
    <x v="1"/>
    <n v="1"/>
    <n v="5"/>
    <s v="USD"/>
    <x v="1"/>
    <s v="EMP0045"/>
    <n v="5"/>
    <s v="Sun"/>
    <x v="7"/>
    <x v="2"/>
  </r>
  <r>
    <x v="1622"/>
    <d v="2023-04-20T22:46:04"/>
    <x v="1603"/>
    <x v="0"/>
    <x v="19"/>
    <n v="5.5"/>
    <n v="7"/>
    <s v="USD"/>
    <x v="3"/>
    <s v="EMP0062"/>
    <n v="38.5"/>
    <s v="Thu"/>
    <x v="11"/>
    <x v="4"/>
  </r>
  <r>
    <x v="1623"/>
    <d v="2023-01-01T20:27:04"/>
    <x v="1604"/>
    <x v="9"/>
    <x v="3"/>
    <n v="1.2"/>
    <n v="3"/>
    <s v="USD"/>
    <x v="1"/>
    <s v="EMP0036"/>
    <n v="3.5999999999999996"/>
    <s v="Sun"/>
    <x v="2"/>
    <x v="4"/>
  </r>
  <r>
    <x v="1624"/>
    <d v="2021-06-13T09:08:04"/>
    <x v="1605"/>
    <x v="13"/>
    <x v="16"/>
    <n v="4"/>
    <n v="1"/>
    <s v="USD"/>
    <x v="2"/>
    <s v="EMP0025"/>
    <n v="4"/>
    <s v="Sun"/>
    <x v="3"/>
    <x v="0"/>
  </r>
  <r>
    <x v="1625"/>
    <d v="2023-02-14T21:43:04"/>
    <x v="1606"/>
    <x v="9"/>
    <x v="12"/>
    <n v="1.8"/>
    <n v="2"/>
    <s v="USD"/>
    <x v="0"/>
    <s v="EMP0057"/>
    <n v="3.6"/>
    <s v="Tue"/>
    <x v="7"/>
    <x v="4"/>
  </r>
  <r>
    <x v="1626"/>
    <d v="2022-07-01T00:51:04"/>
    <x v="1607"/>
    <x v="14"/>
    <x v="6"/>
    <n v="7"/>
    <n v="7"/>
    <s v="USD"/>
    <x v="1"/>
    <s v="EMP0035"/>
    <n v="49"/>
    <s v="Fri"/>
    <x v="8"/>
    <x v="3"/>
  </r>
  <r>
    <x v="1627"/>
    <d v="2024-03-12T08:26:04"/>
    <x v="1608"/>
    <x v="6"/>
    <x v="16"/>
    <n v="4"/>
    <n v="4"/>
    <s v="USD"/>
    <x v="1"/>
    <s v="EMP0090"/>
    <n v="16"/>
    <s v="Tue"/>
    <x v="1"/>
    <x v="1"/>
  </r>
  <r>
    <x v="1628"/>
    <d v="2025-04-20T20:57:04"/>
    <x v="1609"/>
    <x v="9"/>
    <x v="12"/>
    <n v="1.8"/>
    <n v="5"/>
    <s v="USD"/>
    <x v="4"/>
    <s v="EMP0029"/>
    <n v="9"/>
    <s v="Sun"/>
    <x v="11"/>
    <x v="2"/>
  </r>
  <r>
    <x v="1629"/>
    <d v="2023-09-10T15:09:04"/>
    <x v="1610"/>
    <x v="9"/>
    <x v="19"/>
    <n v="5.5"/>
    <n v="3"/>
    <s v="USD"/>
    <x v="0"/>
    <s v="EMP0006"/>
    <n v="16.5"/>
    <s v="Sun"/>
    <x v="9"/>
    <x v="4"/>
  </r>
  <r>
    <x v="1630"/>
    <d v="2022-05-13T06:08:04"/>
    <x v="1611"/>
    <x v="13"/>
    <x v="14"/>
    <n v="2.2000000000000002"/>
    <n v="5"/>
    <s v="USD"/>
    <x v="0"/>
    <s v="EMP0035"/>
    <n v="11"/>
    <s v="Fri"/>
    <x v="5"/>
    <x v="3"/>
  </r>
  <r>
    <x v="1631"/>
    <d v="2025-01-23T17:11:04"/>
    <x v="1612"/>
    <x v="4"/>
    <x v="11"/>
    <n v="4"/>
    <n v="9"/>
    <s v="USD"/>
    <x v="3"/>
    <s v="EMP0001"/>
    <n v="36"/>
    <s v="Thu"/>
    <x v="2"/>
    <x v="2"/>
  </r>
  <r>
    <x v="1632"/>
    <d v="2021-09-19T01:46:04"/>
    <x v="1613"/>
    <x v="12"/>
    <x v="7"/>
    <n v="2.8"/>
    <n v="6"/>
    <s v="USD"/>
    <x v="3"/>
    <s v="EMP0091"/>
    <n v="16.799999999999997"/>
    <s v="Sun"/>
    <x v="9"/>
    <x v="0"/>
  </r>
  <r>
    <x v="1633"/>
    <d v="2022-04-11T04:40:04"/>
    <x v="1614"/>
    <x v="6"/>
    <x v="18"/>
    <n v="1.7"/>
    <n v="10"/>
    <s v="USD"/>
    <x v="4"/>
    <s v="EMP0042"/>
    <n v="17"/>
    <s v="Mon"/>
    <x v="11"/>
    <x v="3"/>
  </r>
  <r>
    <x v="1634"/>
    <d v="2025-01-11T16:34:04"/>
    <x v="1615"/>
    <x v="13"/>
    <x v="7"/>
    <n v="2.8"/>
    <n v="4"/>
    <s v="USD"/>
    <x v="2"/>
    <s v="EMP0036"/>
    <n v="11.2"/>
    <s v="Sat"/>
    <x v="2"/>
    <x v="2"/>
  </r>
  <r>
    <x v="1635"/>
    <d v="2024-05-13T05:25:04"/>
    <x v="1616"/>
    <x v="9"/>
    <x v="16"/>
    <n v="4"/>
    <n v="2"/>
    <s v="USD"/>
    <x v="2"/>
    <s v="EMP0096"/>
    <n v="8"/>
    <s v="Mon"/>
    <x v="5"/>
    <x v="1"/>
  </r>
  <r>
    <x v="1636"/>
    <d v="2021-06-30T00:45:04"/>
    <x v="1617"/>
    <x v="11"/>
    <x v="5"/>
    <n v="1"/>
    <n v="9"/>
    <s v="USD"/>
    <x v="0"/>
    <s v="EMP0057"/>
    <n v="9"/>
    <s v="Wed"/>
    <x v="3"/>
    <x v="0"/>
  </r>
  <r>
    <x v="1637"/>
    <d v="2024-02-13T03:09:04"/>
    <x v="1618"/>
    <x v="2"/>
    <x v="16"/>
    <n v="4"/>
    <n v="7"/>
    <s v="USD"/>
    <x v="0"/>
    <s v="EMP0058"/>
    <n v="28"/>
    <s v="Tue"/>
    <x v="7"/>
    <x v="1"/>
  </r>
  <r>
    <x v="1638"/>
    <d v="2024-01-20T13:40:04"/>
    <x v="1619"/>
    <x v="8"/>
    <x v="7"/>
    <n v="2.8"/>
    <n v="3"/>
    <s v="USD"/>
    <x v="5"/>
    <s v="EMP0012"/>
    <n v="8.3999999999999986"/>
    <s v="Sat"/>
    <x v="2"/>
    <x v="1"/>
  </r>
  <r>
    <x v="1639"/>
    <d v="2022-07-29T07:57:04"/>
    <x v="1620"/>
    <x v="6"/>
    <x v="13"/>
    <n v="0.8"/>
    <n v="4"/>
    <s v="USD"/>
    <x v="1"/>
    <s v="EMP0063"/>
    <n v="3.2"/>
    <s v="Fri"/>
    <x v="8"/>
    <x v="3"/>
  </r>
  <r>
    <x v="1640"/>
    <d v="2024-05-04T17:08:04"/>
    <x v="1621"/>
    <x v="13"/>
    <x v="8"/>
    <n v="4.5"/>
    <n v="3"/>
    <s v="USD"/>
    <x v="0"/>
    <s v="EMP0051"/>
    <n v="13.5"/>
    <s v="Sat"/>
    <x v="5"/>
    <x v="1"/>
  </r>
  <r>
    <x v="1641"/>
    <d v="2021-07-01T18:14:04"/>
    <x v="1622"/>
    <x v="7"/>
    <x v="14"/>
    <n v="2.2000000000000002"/>
    <n v="2"/>
    <s v="USD"/>
    <x v="5"/>
    <s v="EMP0032"/>
    <n v="4.4000000000000004"/>
    <s v="Thu"/>
    <x v="8"/>
    <x v="0"/>
  </r>
  <r>
    <x v="1642"/>
    <d v="2022-10-20T17:01:04"/>
    <x v="1623"/>
    <x v="7"/>
    <x v="12"/>
    <n v="1.8"/>
    <n v="3"/>
    <s v="USD"/>
    <x v="2"/>
    <s v="EMP0097"/>
    <n v="5.4"/>
    <s v="Thu"/>
    <x v="0"/>
    <x v="3"/>
  </r>
  <r>
    <x v="1643"/>
    <d v="2025-04-14T18:20:04"/>
    <x v="1624"/>
    <x v="8"/>
    <x v="6"/>
    <n v="7"/>
    <n v="1"/>
    <s v="USD"/>
    <x v="3"/>
    <s v="EMP0002"/>
    <n v="7"/>
    <s v="Mon"/>
    <x v="11"/>
    <x v="2"/>
  </r>
  <r>
    <x v="1644"/>
    <d v="2021-09-28T12:18:04"/>
    <x v="1625"/>
    <x v="2"/>
    <x v="9"/>
    <n v="3"/>
    <n v="5"/>
    <s v="USD"/>
    <x v="0"/>
    <s v="EMP0081"/>
    <n v="15"/>
    <s v="Tue"/>
    <x v="9"/>
    <x v="0"/>
  </r>
  <r>
    <x v="1645"/>
    <d v="2021-12-28T12:36:04"/>
    <x v="1626"/>
    <x v="13"/>
    <x v="19"/>
    <n v="5.5"/>
    <n v="9"/>
    <s v="USD"/>
    <x v="2"/>
    <s v="EMP0044"/>
    <n v="49.5"/>
    <s v="Tue"/>
    <x v="4"/>
    <x v="0"/>
  </r>
  <r>
    <x v="1646"/>
    <d v="2021-05-22T11:14:04"/>
    <x v="1627"/>
    <x v="6"/>
    <x v="15"/>
    <n v="1.5"/>
    <n v="10"/>
    <s v="USD"/>
    <x v="5"/>
    <s v="EMP0021"/>
    <n v="15"/>
    <s v="Sat"/>
    <x v="5"/>
    <x v="0"/>
  </r>
  <r>
    <x v="1647"/>
    <d v="2023-08-19T02:56:04"/>
    <x v="1628"/>
    <x v="6"/>
    <x v="2"/>
    <n v="2.5"/>
    <n v="1"/>
    <s v="USD"/>
    <x v="1"/>
    <s v="EMP0089"/>
    <n v="2.5"/>
    <s v="Sat"/>
    <x v="6"/>
    <x v="4"/>
  </r>
  <r>
    <x v="1648"/>
    <d v="2023-11-08T16:52:04"/>
    <x v="1629"/>
    <x v="7"/>
    <x v="3"/>
    <n v="1.2"/>
    <n v="1"/>
    <s v="USD"/>
    <x v="3"/>
    <s v="EMP0070"/>
    <n v="1.2"/>
    <s v="Wed"/>
    <x v="10"/>
    <x v="4"/>
  </r>
  <r>
    <x v="1649"/>
    <d v="2023-09-10T09:54:04"/>
    <x v="1630"/>
    <x v="1"/>
    <x v="18"/>
    <n v="1.7"/>
    <n v="3"/>
    <s v="USD"/>
    <x v="3"/>
    <s v="EMP0029"/>
    <n v="5.0999999999999996"/>
    <s v="Sun"/>
    <x v="9"/>
    <x v="4"/>
  </r>
  <r>
    <x v="1650"/>
    <d v="2025-03-21T05:59:04"/>
    <x v="1631"/>
    <x v="8"/>
    <x v="14"/>
    <n v="2.2000000000000002"/>
    <n v="6"/>
    <s v="USD"/>
    <x v="2"/>
    <s v="EMP0037"/>
    <n v="13.200000000000001"/>
    <s v="Fri"/>
    <x v="1"/>
    <x v="2"/>
  </r>
  <r>
    <x v="1651"/>
    <d v="2024-02-01T16:02:04"/>
    <x v="1632"/>
    <x v="3"/>
    <x v="19"/>
    <n v="5.5"/>
    <n v="8"/>
    <s v="USD"/>
    <x v="0"/>
    <s v="EMP0015"/>
    <n v="44"/>
    <s v="Thu"/>
    <x v="7"/>
    <x v="1"/>
  </r>
  <r>
    <x v="1652"/>
    <d v="2024-02-05T10:08:04"/>
    <x v="1633"/>
    <x v="5"/>
    <x v="9"/>
    <n v="3"/>
    <n v="10"/>
    <s v="USD"/>
    <x v="4"/>
    <s v="EMP0016"/>
    <n v="30"/>
    <s v="Mon"/>
    <x v="7"/>
    <x v="1"/>
  </r>
  <r>
    <x v="1653"/>
    <d v="2023-05-02T10:29:04"/>
    <x v="1634"/>
    <x v="13"/>
    <x v="5"/>
    <n v="1"/>
    <n v="3"/>
    <s v="USD"/>
    <x v="0"/>
    <s v="EMP0055"/>
    <n v="3"/>
    <s v="Tue"/>
    <x v="5"/>
    <x v="4"/>
  </r>
  <r>
    <x v="1654"/>
    <d v="2022-05-19T02:48:04"/>
    <x v="1635"/>
    <x v="6"/>
    <x v="18"/>
    <n v="1.7"/>
    <n v="3"/>
    <s v="USD"/>
    <x v="2"/>
    <s v="EMP0088"/>
    <n v="5.0999999999999996"/>
    <s v="Thu"/>
    <x v="5"/>
    <x v="3"/>
  </r>
  <r>
    <x v="1655"/>
    <d v="2023-08-30T17:34:04"/>
    <x v="1636"/>
    <x v="11"/>
    <x v="7"/>
    <n v="2.8"/>
    <n v="2"/>
    <s v="USD"/>
    <x v="4"/>
    <s v="EMP0064"/>
    <n v="5.6"/>
    <s v="Wed"/>
    <x v="6"/>
    <x v="4"/>
  </r>
  <r>
    <x v="1656"/>
    <d v="2021-08-23T01:27:04"/>
    <x v="1637"/>
    <x v="11"/>
    <x v="9"/>
    <n v="3"/>
    <n v="1"/>
    <s v="USD"/>
    <x v="0"/>
    <s v="EMP0100"/>
    <n v="3"/>
    <s v="Mon"/>
    <x v="6"/>
    <x v="0"/>
  </r>
  <r>
    <x v="1657"/>
    <d v="2021-09-04T09:06:04"/>
    <x v="1638"/>
    <x v="6"/>
    <x v="6"/>
    <n v="7"/>
    <n v="8"/>
    <s v="USD"/>
    <x v="2"/>
    <s v="EMP0062"/>
    <n v="56"/>
    <s v="Sat"/>
    <x v="9"/>
    <x v="0"/>
  </r>
  <r>
    <x v="1658"/>
    <d v="2024-12-23T09:50:04"/>
    <x v="1639"/>
    <x v="8"/>
    <x v="0"/>
    <n v="3.1"/>
    <n v="3"/>
    <s v="USD"/>
    <x v="3"/>
    <s v="EMP0042"/>
    <n v="9.3000000000000007"/>
    <s v="Mon"/>
    <x v="4"/>
    <x v="1"/>
  </r>
  <r>
    <x v="1659"/>
    <d v="2024-08-21T07:37:04"/>
    <x v="1640"/>
    <x v="8"/>
    <x v="7"/>
    <n v="2.8"/>
    <n v="6"/>
    <s v="USD"/>
    <x v="5"/>
    <s v="EMP0055"/>
    <n v="16.799999999999997"/>
    <s v="Wed"/>
    <x v="6"/>
    <x v="1"/>
  </r>
  <r>
    <x v="1660"/>
    <d v="2022-08-27T15:00:04"/>
    <x v="1641"/>
    <x v="12"/>
    <x v="4"/>
    <n v="3.2"/>
    <n v="3"/>
    <s v="USD"/>
    <x v="2"/>
    <s v="EMP0032"/>
    <n v="9.6000000000000014"/>
    <s v="Sat"/>
    <x v="6"/>
    <x v="3"/>
  </r>
  <r>
    <x v="1661"/>
    <d v="2023-03-16T23:51:04"/>
    <x v="1642"/>
    <x v="10"/>
    <x v="1"/>
    <n v="1"/>
    <n v="9"/>
    <s v="USD"/>
    <x v="5"/>
    <s v="EMP0069"/>
    <n v="9"/>
    <s v="Thu"/>
    <x v="1"/>
    <x v="4"/>
  </r>
  <r>
    <x v="1662"/>
    <d v="2022-05-07T06:02:04"/>
    <x v="1643"/>
    <x v="7"/>
    <x v="16"/>
    <n v="4"/>
    <n v="7"/>
    <s v="USD"/>
    <x v="1"/>
    <s v="EMP0074"/>
    <n v="28"/>
    <s v="Sat"/>
    <x v="5"/>
    <x v="3"/>
  </r>
  <r>
    <x v="1663"/>
    <d v="2021-06-18T14:12:04"/>
    <x v="1644"/>
    <x v="0"/>
    <x v="9"/>
    <n v="3"/>
    <n v="4"/>
    <s v="USD"/>
    <x v="4"/>
    <s v="EMP0001"/>
    <n v="12"/>
    <s v="Fri"/>
    <x v="3"/>
    <x v="0"/>
  </r>
  <r>
    <x v="1664"/>
    <d v="2024-03-19T13:03:04"/>
    <x v="1645"/>
    <x v="9"/>
    <x v="15"/>
    <n v="1.5"/>
    <n v="3"/>
    <s v="USD"/>
    <x v="3"/>
    <s v="EMP0008"/>
    <n v="4.5"/>
    <s v="Tue"/>
    <x v="1"/>
    <x v="1"/>
  </r>
  <r>
    <x v="1665"/>
    <d v="2023-05-25T01:32:04"/>
    <x v="1646"/>
    <x v="4"/>
    <x v="14"/>
    <n v="2.2000000000000002"/>
    <n v="5"/>
    <s v="USD"/>
    <x v="5"/>
    <s v="EMP0019"/>
    <n v="11"/>
    <s v="Thu"/>
    <x v="5"/>
    <x v="4"/>
  </r>
  <r>
    <x v="1666"/>
    <d v="2022-04-06T00:11:04"/>
    <x v="1647"/>
    <x v="2"/>
    <x v="2"/>
    <n v="2.5"/>
    <n v="1"/>
    <s v="USD"/>
    <x v="2"/>
    <s v="EMP0018"/>
    <n v="2.5"/>
    <s v="Wed"/>
    <x v="11"/>
    <x v="3"/>
  </r>
  <r>
    <x v="1667"/>
    <d v="2024-09-10T14:41:04"/>
    <x v="1648"/>
    <x v="6"/>
    <x v="6"/>
    <n v="7"/>
    <n v="1"/>
    <s v="USD"/>
    <x v="2"/>
    <s v="EMP0055"/>
    <n v="7"/>
    <s v="Tue"/>
    <x v="9"/>
    <x v="1"/>
  </r>
  <r>
    <x v="1668"/>
    <d v="2023-04-09T11:42:04"/>
    <x v="1649"/>
    <x v="7"/>
    <x v="16"/>
    <n v="4"/>
    <n v="2"/>
    <s v="USD"/>
    <x v="5"/>
    <s v="EMP0077"/>
    <n v="8"/>
    <s v="Sun"/>
    <x v="11"/>
    <x v="4"/>
  </r>
  <r>
    <x v="1669"/>
    <d v="2024-06-20T13:17:04"/>
    <x v="1650"/>
    <x v="5"/>
    <x v="14"/>
    <n v="2.2000000000000002"/>
    <n v="2"/>
    <s v="USD"/>
    <x v="0"/>
    <s v="EMP0010"/>
    <n v="4.4000000000000004"/>
    <s v="Thu"/>
    <x v="3"/>
    <x v="1"/>
  </r>
  <r>
    <x v="1670"/>
    <d v="2025-04-13T18:33:04"/>
    <x v="1651"/>
    <x v="4"/>
    <x v="18"/>
    <n v="1.7"/>
    <n v="3"/>
    <s v="USD"/>
    <x v="0"/>
    <s v="EMP0061"/>
    <n v="5.0999999999999996"/>
    <s v="Sun"/>
    <x v="11"/>
    <x v="2"/>
  </r>
  <r>
    <x v="1671"/>
    <d v="2024-07-26T13:53:04"/>
    <x v="1652"/>
    <x v="0"/>
    <x v="8"/>
    <n v="4.5"/>
    <n v="8"/>
    <s v="USD"/>
    <x v="5"/>
    <s v="EMP0093"/>
    <n v="36"/>
    <s v="Fri"/>
    <x v="8"/>
    <x v="1"/>
  </r>
  <r>
    <x v="1672"/>
    <d v="2023-06-18T22:36:04"/>
    <x v="1653"/>
    <x v="3"/>
    <x v="3"/>
    <n v="1.2"/>
    <n v="5"/>
    <s v="USD"/>
    <x v="3"/>
    <s v="EMP0020"/>
    <n v="6"/>
    <s v="Sun"/>
    <x v="3"/>
    <x v="4"/>
  </r>
  <r>
    <x v="1673"/>
    <d v="2025-01-06T17:24:04"/>
    <x v="1654"/>
    <x v="12"/>
    <x v="13"/>
    <n v="0.8"/>
    <n v="9"/>
    <s v="USD"/>
    <x v="0"/>
    <s v="EMP0002"/>
    <n v="7.2"/>
    <s v="Mon"/>
    <x v="2"/>
    <x v="2"/>
  </r>
  <r>
    <x v="1674"/>
    <d v="2023-02-17T23:43:04"/>
    <x v="1655"/>
    <x v="1"/>
    <x v="10"/>
    <n v="5"/>
    <n v="9"/>
    <s v="USD"/>
    <x v="2"/>
    <s v="EMP0034"/>
    <n v="45"/>
    <s v="Fri"/>
    <x v="7"/>
    <x v="4"/>
  </r>
  <r>
    <x v="1675"/>
    <d v="2022-02-22T21:07:04"/>
    <x v="1656"/>
    <x v="0"/>
    <x v="2"/>
    <n v="2.5"/>
    <n v="7"/>
    <s v="USD"/>
    <x v="0"/>
    <s v="EMP0035"/>
    <n v="17.5"/>
    <s v="Tue"/>
    <x v="7"/>
    <x v="3"/>
  </r>
  <r>
    <x v="1676"/>
    <d v="2024-11-01T21:02:04"/>
    <x v="1657"/>
    <x v="6"/>
    <x v="11"/>
    <n v="4"/>
    <n v="7"/>
    <s v="USD"/>
    <x v="1"/>
    <s v="EMP0008"/>
    <n v="28"/>
    <s v="Fri"/>
    <x v="10"/>
    <x v="1"/>
  </r>
  <r>
    <x v="1677"/>
    <d v="2024-02-16T01:15:04"/>
    <x v="1658"/>
    <x v="4"/>
    <x v="1"/>
    <n v="1"/>
    <n v="10"/>
    <s v="USD"/>
    <x v="3"/>
    <s v="EMP0089"/>
    <n v="10"/>
    <s v="Fri"/>
    <x v="7"/>
    <x v="1"/>
  </r>
  <r>
    <x v="1678"/>
    <d v="2022-09-22T22:06:04"/>
    <x v="1659"/>
    <x v="3"/>
    <x v="6"/>
    <n v="7"/>
    <n v="7"/>
    <s v="USD"/>
    <x v="0"/>
    <s v="EMP0007"/>
    <n v="49"/>
    <s v="Thu"/>
    <x v="9"/>
    <x v="3"/>
  </r>
  <r>
    <x v="1679"/>
    <d v="2023-04-09T16:59:04"/>
    <x v="1660"/>
    <x v="2"/>
    <x v="0"/>
    <n v="3.1"/>
    <n v="2"/>
    <s v="USD"/>
    <x v="3"/>
    <s v="EMP0010"/>
    <n v="6.2"/>
    <s v="Sun"/>
    <x v="11"/>
    <x v="4"/>
  </r>
  <r>
    <x v="1680"/>
    <d v="2023-04-27T17:37:04"/>
    <x v="1661"/>
    <x v="4"/>
    <x v="4"/>
    <n v="3.2"/>
    <n v="1"/>
    <s v="USD"/>
    <x v="0"/>
    <s v="EMP0037"/>
    <n v="3.2"/>
    <s v="Thu"/>
    <x v="11"/>
    <x v="4"/>
  </r>
  <r>
    <x v="1681"/>
    <d v="2024-06-09T20:20:04"/>
    <x v="1662"/>
    <x v="7"/>
    <x v="11"/>
    <n v="4"/>
    <n v="10"/>
    <s v="USD"/>
    <x v="3"/>
    <s v="EMP0097"/>
    <n v="40"/>
    <s v="Sun"/>
    <x v="3"/>
    <x v="1"/>
  </r>
  <r>
    <x v="1682"/>
    <d v="2023-08-15T06:51:04"/>
    <x v="1663"/>
    <x v="2"/>
    <x v="17"/>
    <n v="2.5"/>
    <n v="4"/>
    <s v="USD"/>
    <x v="4"/>
    <s v="EMP0011"/>
    <n v="10"/>
    <s v="Tue"/>
    <x v="6"/>
    <x v="4"/>
  </r>
  <r>
    <x v="1683"/>
    <d v="2022-02-26T19:24:04"/>
    <x v="1664"/>
    <x v="12"/>
    <x v="15"/>
    <n v="1.5"/>
    <n v="1"/>
    <s v="USD"/>
    <x v="3"/>
    <s v="EMP0041"/>
    <n v="1.5"/>
    <s v="Sat"/>
    <x v="7"/>
    <x v="3"/>
  </r>
  <r>
    <x v="1684"/>
    <d v="2024-10-31T04:26:04"/>
    <x v="1665"/>
    <x v="5"/>
    <x v="8"/>
    <n v="4.5"/>
    <n v="7"/>
    <s v="USD"/>
    <x v="1"/>
    <s v="EMP0025"/>
    <n v="31.5"/>
    <s v="Thu"/>
    <x v="0"/>
    <x v="1"/>
  </r>
  <r>
    <x v="1685"/>
    <d v="2023-08-04T00:40:04"/>
    <x v="1666"/>
    <x v="5"/>
    <x v="14"/>
    <n v="2.2000000000000002"/>
    <n v="2"/>
    <s v="USD"/>
    <x v="4"/>
    <s v="EMP0053"/>
    <n v="4.4000000000000004"/>
    <s v="Fri"/>
    <x v="6"/>
    <x v="4"/>
  </r>
  <r>
    <x v="1686"/>
    <d v="2022-07-13T09:54:04"/>
    <x v="1667"/>
    <x v="14"/>
    <x v="14"/>
    <n v="2.2000000000000002"/>
    <n v="1"/>
    <s v="USD"/>
    <x v="1"/>
    <s v="EMP0049"/>
    <n v="2.2000000000000002"/>
    <s v="Wed"/>
    <x v="8"/>
    <x v="3"/>
  </r>
  <r>
    <x v="1687"/>
    <d v="2022-09-05T18:31:04"/>
    <x v="1668"/>
    <x v="4"/>
    <x v="17"/>
    <n v="2.5"/>
    <n v="5"/>
    <s v="USD"/>
    <x v="0"/>
    <s v="EMP0020"/>
    <n v="12.5"/>
    <s v="Mon"/>
    <x v="9"/>
    <x v="3"/>
  </r>
  <r>
    <x v="1688"/>
    <d v="2021-07-11T23:21:04"/>
    <x v="1669"/>
    <x v="1"/>
    <x v="9"/>
    <n v="3"/>
    <n v="4"/>
    <s v="USD"/>
    <x v="0"/>
    <s v="EMP0088"/>
    <n v="12"/>
    <s v="Sun"/>
    <x v="8"/>
    <x v="0"/>
  </r>
  <r>
    <x v="1689"/>
    <d v="2021-09-08T08:37:04"/>
    <x v="1670"/>
    <x v="0"/>
    <x v="13"/>
    <n v="0.8"/>
    <n v="9"/>
    <s v="USD"/>
    <x v="1"/>
    <s v="EMP0094"/>
    <n v="7.2"/>
    <s v="Wed"/>
    <x v="9"/>
    <x v="0"/>
  </r>
  <r>
    <x v="1690"/>
    <d v="2021-12-09T16:53:04"/>
    <x v="1671"/>
    <x v="1"/>
    <x v="4"/>
    <n v="3.2"/>
    <n v="8"/>
    <s v="USD"/>
    <x v="0"/>
    <s v="EMP0044"/>
    <n v="25.6"/>
    <s v="Thu"/>
    <x v="4"/>
    <x v="0"/>
  </r>
  <r>
    <x v="1691"/>
    <d v="2023-09-22T01:47:04"/>
    <x v="1672"/>
    <x v="4"/>
    <x v="18"/>
    <n v="1.7"/>
    <n v="1"/>
    <s v="USD"/>
    <x v="2"/>
    <s v="EMP0100"/>
    <n v="1.7"/>
    <s v="Fri"/>
    <x v="9"/>
    <x v="4"/>
  </r>
  <r>
    <x v="1692"/>
    <d v="2021-07-11T01:11:04"/>
    <x v="1673"/>
    <x v="2"/>
    <x v="5"/>
    <n v="1"/>
    <n v="10"/>
    <s v="USD"/>
    <x v="3"/>
    <s v="EMP0020"/>
    <n v="10"/>
    <s v="Sun"/>
    <x v="8"/>
    <x v="0"/>
  </r>
  <r>
    <x v="1693"/>
    <d v="2022-03-04T16:55:04"/>
    <x v="1674"/>
    <x v="7"/>
    <x v="3"/>
    <n v="1.2"/>
    <n v="3"/>
    <s v="USD"/>
    <x v="4"/>
    <s v="EMP0071"/>
    <n v="3.5999999999999996"/>
    <s v="Fri"/>
    <x v="1"/>
    <x v="3"/>
  </r>
  <r>
    <x v="1694"/>
    <d v="2024-11-11T22:20:04"/>
    <x v="1249"/>
    <x v="10"/>
    <x v="4"/>
    <n v="3.2"/>
    <n v="3"/>
    <s v="USD"/>
    <x v="4"/>
    <s v="EMP0021"/>
    <n v="9.6000000000000014"/>
    <s v="Mon"/>
    <x v="10"/>
    <x v="1"/>
  </r>
  <r>
    <x v="1695"/>
    <d v="2024-12-21T04:50:04"/>
    <x v="1675"/>
    <x v="5"/>
    <x v="7"/>
    <n v="2.8"/>
    <n v="2"/>
    <s v="USD"/>
    <x v="3"/>
    <s v="EMP0023"/>
    <n v="5.6"/>
    <s v="Sat"/>
    <x v="4"/>
    <x v="1"/>
  </r>
  <r>
    <x v="1696"/>
    <d v="2021-05-14T23:10:04"/>
    <x v="1676"/>
    <x v="10"/>
    <x v="0"/>
    <n v="3.1"/>
    <n v="8"/>
    <s v="USD"/>
    <x v="2"/>
    <s v="EMP0018"/>
    <n v="24.8"/>
    <s v="Fri"/>
    <x v="5"/>
    <x v="0"/>
  </r>
  <r>
    <x v="1697"/>
    <d v="2024-08-28T18:55:04"/>
    <x v="1677"/>
    <x v="13"/>
    <x v="7"/>
    <n v="2.8"/>
    <n v="5"/>
    <s v="USD"/>
    <x v="5"/>
    <s v="EMP0053"/>
    <n v="14"/>
    <s v="Wed"/>
    <x v="6"/>
    <x v="1"/>
  </r>
  <r>
    <x v="1698"/>
    <d v="2021-11-16T16:18:04"/>
    <x v="1678"/>
    <x v="10"/>
    <x v="7"/>
    <n v="2.8"/>
    <n v="9"/>
    <s v="USD"/>
    <x v="1"/>
    <s v="EMP0041"/>
    <n v="25.2"/>
    <s v="Tue"/>
    <x v="10"/>
    <x v="0"/>
  </r>
  <r>
    <x v="1699"/>
    <d v="2023-04-05T10:43:04"/>
    <x v="1679"/>
    <x v="8"/>
    <x v="12"/>
    <n v="1.8"/>
    <n v="8"/>
    <s v="USD"/>
    <x v="4"/>
    <s v="EMP0088"/>
    <n v="14.4"/>
    <s v="Wed"/>
    <x v="11"/>
    <x v="4"/>
  </r>
  <r>
    <x v="1700"/>
    <d v="2025-02-10T17:45:04"/>
    <x v="1680"/>
    <x v="13"/>
    <x v="2"/>
    <n v="2.5"/>
    <n v="9"/>
    <s v="USD"/>
    <x v="3"/>
    <s v="EMP0020"/>
    <n v="22.5"/>
    <s v="Mon"/>
    <x v="7"/>
    <x v="2"/>
  </r>
  <r>
    <x v="1701"/>
    <d v="2024-10-06T04:02:04"/>
    <x v="1681"/>
    <x v="6"/>
    <x v="16"/>
    <n v="4"/>
    <n v="7"/>
    <s v="USD"/>
    <x v="3"/>
    <s v="EMP0029"/>
    <n v="28"/>
    <s v="Sun"/>
    <x v="0"/>
    <x v="1"/>
  </r>
  <r>
    <x v="1702"/>
    <d v="2023-03-05T22:44:04"/>
    <x v="1682"/>
    <x v="7"/>
    <x v="7"/>
    <n v="2.8"/>
    <n v="8"/>
    <s v="USD"/>
    <x v="5"/>
    <s v="EMP0083"/>
    <n v="22.4"/>
    <s v="Sun"/>
    <x v="1"/>
    <x v="4"/>
  </r>
  <r>
    <x v="1703"/>
    <d v="2022-05-09T23:20:04"/>
    <x v="1683"/>
    <x v="7"/>
    <x v="13"/>
    <n v="0.8"/>
    <n v="2"/>
    <s v="USD"/>
    <x v="5"/>
    <s v="EMP0099"/>
    <n v="1.6"/>
    <s v="Mon"/>
    <x v="5"/>
    <x v="3"/>
  </r>
  <r>
    <x v="1704"/>
    <d v="2022-12-04T07:01:04"/>
    <x v="1684"/>
    <x v="5"/>
    <x v="9"/>
    <n v="3"/>
    <n v="6"/>
    <s v="USD"/>
    <x v="4"/>
    <s v="EMP0078"/>
    <n v="18"/>
    <s v="Sun"/>
    <x v="4"/>
    <x v="3"/>
  </r>
  <r>
    <x v="1705"/>
    <d v="2022-08-18T06:42:04"/>
    <x v="1685"/>
    <x v="0"/>
    <x v="15"/>
    <n v="1.5"/>
    <n v="2"/>
    <s v="USD"/>
    <x v="4"/>
    <s v="EMP0059"/>
    <n v="3"/>
    <s v="Thu"/>
    <x v="6"/>
    <x v="3"/>
  </r>
  <r>
    <x v="1706"/>
    <d v="2025-02-19T20:17:04"/>
    <x v="1686"/>
    <x v="10"/>
    <x v="14"/>
    <n v="2.2000000000000002"/>
    <n v="4"/>
    <s v="USD"/>
    <x v="4"/>
    <s v="EMP0073"/>
    <n v="8.8000000000000007"/>
    <s v="Wed"/>
    <x v="7"/>
    <x v="2"/>
  </r>
  <r>
    <x v="1707"/>
    <d v="2025-03-05T17:37:04"/>
    <x v="1687"/>
    <x v="8"/>
    <x v="17"/>
    <n v="2.5"/>
    <n v="6"/>
    <s v="USD"/>
    <x v="5"/>
    <s v="EMP0061"/>
    <n v="15"/>
    <s v="Wed"/>
    <x v="1"/>
    <x v="2"/>
  </r>
  <r>
    <x v="1708"/>
    <d v="2024-02-27T12:13:04"/>
    <x v="1337"/>
    <x v="4"/>
    <x v="3"/>
    <n v="1.2"/>
    <n v="7"/>
    <s v="USD"/>
    <x v="4"/>
    <s v="EMP0033"/>
    <n v="8.4"/>
    <s v="Tue"/>
    <x v="7"/>
    <x v="1"/>
  </r>
  <r>
    <x v="1709"/>
    <d v="2021-10-16T08:21:04"/>
    <x v="1688"/>
    <x v="6"/>
    <x v="9"/>
    <n v="3"/>
    <n v="5"/>
    <s v="USD"/>
    <x v="5"/>
    <s v="EMP0011"/>
    <n v="15"/>
    <s v="Sat"/>
    <x v="0"/>
    <x v="0"/>
  </r>
  <r>
    <x v="1710"/>
    <d v="2023-09-06T14:58:04"/>
    <x v="1689"/>
    <x v="4"/>
    <x v="18"/>
    <n v="1.7"/>
    <n v="9"/>
    <s v="USD"/>
    <x v="0"/>
    <s v="EMP0086"/>
    <n v="15.299999999999999"/>
    <s v="Wed"/>
    <x v="9"/>
    <x v="4"/>
  </r>
  <r>
    <x v="1711"/>
    <d v="2023-11-25T07:33:04"/>
    <x v="1690"/>
    <x v="13"/>
    <x v="9"/>
    <n v="3"/>
    <n v="7"/>
    <s v="USD"/>
    <x v="4"/>
    <s v="EMP0097"/>
    <n v="21"/>
    <s v="Sat"/>
    <x v="10"/>
    <x v="4"/>
  </r>
  <r>
    <x v="1712"/>
    <d v="2023-09-09T08:14:04"/>
    <x v="1691"/>
    <x v="5"/>
    <x v="18"/>
    <n v="1.7"/>
    <n v="8"/>
    <s v="USD"/>
    <x v="5"/>
    <s v="EMP0069"/>
    <n v="13.6"/>
    <s v="Sat"/>
    <x v="9"/>
    <x v="4"/>
  </r>
  <r>
    <x v="1713"/>
    <d v="2021-06-29T07:42:04"/>
    <x v="1692"/>
    <x v="8"/>
    <x v="7"/>
    <n v="2.8"/>
    <n v="10"/>
    <s v="USD"/>
    <x v="5"/>
    <s v="EMP0002"/>
    <n v="28"/>
    <s v="Tue"/>
    <x v="3"/>
    <x v="0"/>
  </r>
  <r>
    <x v="1714"/>
    <d v="2022-03-17T18:14:04"/>
    <x v="1693"/>
    <x v="7"/>
    <x v="16"/>
    <n v="4"/>
    <n v="10"/>
    <s v="USD"/>
    <x v="0"/>
    <s v="EMP0042"/>
    <n v="40"/>
    <s v="Thu"/>
    <x v="1"/>
    <x v="3"/>
  </r>
  <r>
    <x v="1715"/>
    <d v="2021-08-17T13:39:04"/>
    <x v="1694"/>
    <x v="4"/>
    <x v="4"/>
    <n v="3.2"/>
    <n v="1"/>
    <s v="USD"/>
    <x v="0"/>
    <s v="EMP0059"/>
    <n v="3.2"/>
    <s v="Tue"/>
    <x v="6"/>
    <x v="0"/>
  </r>
  <r>
    <x v="1716"/>
    <d v="2024-07-10T21:31:04"/>
    <x v="1695"/>
    <x v="5"/>
    <x v="19"/>
    <n v="5.5"/>
    <n v="7"/>
    <s v="USD"/>
    <x v="4"/>
    <s v="EMP0067"/>
    <n v="38.5"/>
    <s v="Wed"/>
    <x v="8"/>
    <x v="1"/>
  </r>
  <r>
    <x v="1717"/>
    <d v="2025-05-01T22:33:04"/>
    <x v="1696"/>
    <x v="4"/>
    <x v="14"/>
    <n v="2.2000000000000002"/>
    <n v="8"/>
    <s v="USD"/>
    <x v="2"/>
    <s v="EMP0075"/>
    <n v="17.600000000000001"/>
    <s v="Thu"/>
    <x v="5"/>
    <x v="2"/>
  </r>
  <r>
    <x v="1718"/>
    <d v="2024-10-22T12:13:04"/>
    <x v="1697"/>
    <x v="0"/>
    <x v="11"/>
    <n v="4"/>
    <n v="7"/>
    <s v="USD"/>
    <x v="2"/>
    <s v="EMP0070"/>
    <n v="28"/>
    <s v="Tue"/>
    <x v="0"/>
    <x v="1"/>
  </r>
  <r>
    <x v="1719"/>
    <d v="2024-06-02T18:02:04"/>
    <x v="1698"/>
    <x v="2"/>
    <x v="7"/>
    <n v="2.8"/>
    <n v="4"/>
    <s v="USD"/>
    <x v="0"/>
    <s v="EMP0087"/>
    <n v="11.2"/>
    <s v="Sun"/>
    <x v="3"/>
    <x v="1"/>
  </r>
  <r>
    <x v="1720"/>
    <d v="2022-02-13T13:03:04"/>
    <x v="1699"/>
    <x v="4"/>
    <x v="7"/>
    <n v="2.8"/>
    <n v="1"/>
    <s v="USD"/>
    <x v="4"/>
    <s v="EMP0040"/>
    <n v="2.8"/>
    <s v="Sun"/>
    <x v="7"/>
    <x v="3"/>
  </r>
  <r>
    <x v="1721"/>
    <d v="2022-07-16T09:42:04"/>
    <x v="1700"/>
    <x v="10"/>
    <x v="10"/>
    <n v="5"/>
    <n v="7"/>
    <s v="USD"/>
    <x v="5"/>
    <s v="EMP0046"/>
    <n v="35"/>
    <s v="Sat"/>
    <x v="8"/>
    <x v="3"/>
  </r>
  <r>
    <x v="1722"/>
    <d v="2023-05-18T19:59:04"/>
    <x v="1701"/>
    <x v="9"/>
    <x v="4"/>
    <n v="3.2"/>
    <n v="2"/>
    <s v="USD"/>
    <x v="0"/>
    <s v="EMP0059"/>
    <n v="6.4"/>
    <s v="Thu"/>
    <x v="5"/>
    <x v="4"/>
  </r>
  <r>
    <x v="1723"/>
    <d v="2022-12-14T02:15:04"/>
    <x v="1702"/>
    <x v="9"/>
    <x v="5"/>
    <n v="1"/>
    <n v="3"/>
    <s v="USD"/>
    <x v="1"/>
    <s v="EMP0056"/>
    <n v="3"/>
    <s v="Wed"/>
    <x v="4"/>
    <x v="3"/>
  </r>
  <r>
    <x v="1724"/>
    <d v="2023-03-20T03:32:04"/>
    <x v="1703"/>
    <x v="3"/>
    <x v="18"/>
    <n v="1.7"/>
    <n v="5"/>
    <s v="USD"/>
    <x v="2"/>
    <s v="EMP0080"/>
    <n v="8.5"/>
    <s v="Mon"/>
    <x v="1"/>
    <x v="4"/>
  </r>
  <r>
    <x v="1725"/>
    <d v="2024-10-18T10:35:04"/>
    <x v="1704"/>
    <x v="4"/>
    <x v="19"/>
    <n v="5.5"/>
    <n v="2"/>
    <s v="USD"/>
    <x v="2"/>
    <s v="EMP0003"/>
    <n v="11"/>
    <s v="Fri"/>
    <x v="0"/>
    <x v="1"/>
  </r>
  <r>
    <x v="1726"/>
    <d v="2021-11-24T00:20:04"/>
    <x v="1705"/>
    <x v="10"/>
    <x v="5"/>
    <n v="1"/>
    <n v="9"/>
    <s v="USD"/>
    <x v="3"/>
    <s v="EMP0082"/>
    <n v="9"/>
    <s v="Wed"/>
    <x v="10"/>
    <x v="0"/>
  </r>
  <r>
    <x v="1727"/>
    <d v="2022-11-11T20:49:04"/>
    <x v="1706"/>
    <x v="14"/>
    <x v="17"/>
    <n v="2.5"/>
    <n v="5"/>
    <s v="USD"/>
    <x v="5"/>
    <s v="EMP0028"/>
    <n v="12.5"/>
    <s v="Fri"/>
    <x v="10"/>
    <x v="3"/>
  </r>
  <r>
    <x v="1728"/>
    <d v="2024-02-07T22:51:04"/>
    <x v="1707"/>
    <x v="8"/>
    <x v="19"/>
    <n v="5.5"/>
    <n v="4"/>
    <s v="USD"/>
    <x v="5"/>
    <s v="EMP0016"/>
    <n v="22"/>
    <s v="Wed"/>
    <x v="7"/>
    <x v="1"/>
  </r>
  <r>
    <x v="1729"/>
    <d v="2023-05-21T23:00:04"/>
    <x v="1708"/>
    <x v="1"/>
    <x v="6"/>
    <n v="7"/>
    <n v="1"/>
    <s v="USD"/>
    <x v="4"/>
    <s v="EMP0029"/>
    <n v="7"/>
    <s v="Sun"/>
    <x v="5"/>
    <x v="4"/>
  </r>
  <r>
    <x v="1730"/>
    <d v="2022-07-05T04:09:04"/>
    <x v="225"/>
    <x v="1"/>
    <x v="0"/>
    <n v="3.1"/>
    <n v="5"/>
    <s v="USD"/>
    <x v="5"/>
    <s v="EMP0087"/>
    <n v="15.5"/>
    <s v="Tue"/>
    <x v="8"/>
    <x v="3"/>
  </r>
  <r>
    <x v="1731"/>
    <d v="2024-01-01T12:29:04"/>
    <x v="1709"/>
    <x v="1"/>
    <x v="18"/>
    <n v="1.7"/>
    <n v="1"/>
    <s v="USD"/>
    <x v="3"/>
    <s v="EMP0004"/>
    <n v="1.7"/>
    <s v="Mon"/>
    <x v="2"/>
    <x v="1"/>
  </r>
  <r>
    <x v="1732"/>
    <d v="2024-06-29T01:33:04"/>
    <x v="1710"/>
    <x v="4"/>
    <x v="12"/>
    <n v="1.8"/>
    <n v="10"/>
    <s v="USD"/>
    <x v="4"/>
    <s v="EMP0043"/>
    <n v="18"/>
    <s v="Sat"/>
    <x v="3"/>
    <x v="1"/>
  </r>
  <r>
    <x v="1733"/>
    <d v="2024-05-24T18:59:04"/>
    <x v="1711"/>
    <x v="2"/>
    <x v="1"/>
    <n v="1"/>
    <n v="7"/>
    <s v="USD"/>
    <x v="0"/>
    <s v="EMP0079"/>
    <n v="7"/>
    <s v="Fri"/>
    <x v="5"/>
    <x v="1"/>
  </r>
  <r>
    <x v="1734"/>
    <d v="2021-09-28T00:33:04"/>
    <x v="1712"/>
    <x v="13"/>
    <x v="16"/>
    <n v="4"/>
    <n v="7"/>
    <s v="USD"/>
    <x v="0"/>
    <s v="EMP0082"/>
    <n v="28"/>
    <s v="Tue"/>
    <x v="9"/>
    <x v="0"/>
  </r>
  <r>
    <x v="1735"/>
    <d v="2023-03-01T14:15:04"/>
    <x v="1713"/>
    <x v="8"/>
    <x v="4"/>
    <n v="3.2"/>
    <n v="9"/>
    <s v="USD"/>
    <x v="0"/>
    <s v="EMP0056"/>
    <n v="28.8"/>
    <s v="Wed"/>
    <x v="1"/>
    <x v="4"/>
  </r>
  <r>
    <x v="1736"/>
    <d v="2024-01-22T09:41:04"/>
    <x v="1714"/>
    <x v="14"/>
    <x v="14"/>
    <n v="2.2000000000000002"/>
    <n v="9"/>
    <s v="USD"/>
    <x v="3"/>
    <s v="EMP0081"/>
    <n v="19.8"/>
    <s v="Mon"/>
    <x v="2"/>
    <x v="1"/>
  </r>
  <r>
    <x v="1737"/>
    <d v="2022-02-13T00:33:04"/>
    <x v="1715"/>
    <x v="14"/>
    <x v="0"/>
    <n v="3.1"/>
    <n v="9"/>
    <s v="USD"/>
    <x v="0"/>
    <s v="EMP0042"/>
    <n v="27.900000000000002"/>
    <s v="Sun"/>
    <x v="7"/>
    <x v="3"/>
  </r>
  <r>
    <x v="1738"/>
    <d v="2024-03-18T11:21:04"/>
    <x v="1716"/>
    <x v="13"/>
    <x v="18"/>
    <n v="1.7"/>
    <n v="1"/>
    <s v="USD"/>
    <x v="2"/>
    <s v="EMP0099"/>
    <n v="1.7"/>
    <s v="Mon"/>
    <x v="1"/>
    <x v="1"/>
  </r>
  <r>
    <x v="1739"/>
    <d v="2022-01-10T09:25:04"/>
    <x v="1717"/>
    <x v="12"/>
    <x v="1"/>
    <n v="1"/>
    <n v="2"/>
    <s v="USD"/>
    <x v="1"/>
    <s v="EMP0049"/>
    <n v="2"/>
    <s v="Mon"/>
    <x v="2"/>
    <x v="3"/>
  </r>
  <r>
    <x v="1740"/>
    <d v="2025-03-18T13:40:04"/>
    <x v="1718"/>
    <x v="6"/>
    <x v="10"/>
    <n v="5"/>
    <n v="6"/>
    <s v="USD"/>
    <x v="0"/>
    <s v="EMP0031"/>
    <n v="30"/>
    <s v="Tue"/>
    <x v="1"/>
    <x v="2"/>
  </r>
  <r>
    <x v="1741"/>
    <d v="2021-09-11T06:07:04"/>
    <x v="1719"/>
    <x v="2"/>
    <x v="1"/>
    <n v="1"/>
    <n v="4"/>
    <s v="USD"/>
    <x v="2"/>
    <s v="EMP0100"/>
    <n v="4"/>
    <s v="Sat"/>
    <x v="9"/>
    <x v="0"/>
  </r>
  <r>
    <x v="1742"/>
    <d v="2023-03-27T04:44:04"/>
    <x v="1720"/>
    <x v="13"/>
    <x v="0"/>
    <n v="3.1"/>
    <n v="2"/>
    <s v="USD"/>
    <x v="0"/>
    <s v="EMP0081"/>
    <n v="6.2"/>
    <s v="Mon"/>
    <x v="1"/>
    <x v="4"/>
  </r>
  <r>
    <x v="1743"/>
    <d v="2025-03-22T16:49:04"/>
    <x v="1721"/>
    <x v="4"/>
    <x v="19"/>
    <n v="5.5"/>
    <n v="2"/>
    <s v="USD"/>
    <x v="5"/>
    <s v="EMP0077"/>
    <n v="11"/>
    <s v="Sat"/>
    <x v="1"/>
    <x v="2"/>
  </r>
  <r>
    <x v="1744"/>
    <d v="2024-08-31T10:17:04"/>
    <x v="1722"/>
    <x v="11"/>
    <x v="0"/>
    <n v="3.1"/>
    <n v="3"/>
    <s v="USD"/>
    <x v="3"/>
    <s v="EMP0010"/>
    <n v="9.3000000000000007"/>
    <s v="Sat"/>
    <x v="6"/>
    <x v="1"/>
  </r>
  <r>
    <x v="1745"/>
    <d v="2022-08-01T01:28:04"/>
    <x v="1723"/>
    <x v="4"/>
    <x v="11"/>
    <n v="4"/>
    <n v="7"/>
    <s v="USD"/>
    <x v="3"/>
    <s v="EMP0063"/>
    <n v="28"/>
    <s v="Mon"/>
    <x v="6"/>
    <x v="3"/>
  </r>
  <r>
    <x v="1746"/>
    <d v="2025-03-26T00:22:04"/>
    <x v="1724"/>
    <x v="10"/>
    <x v="9"/>
    <n v="3"/>
    <n v="4"/>
    <s v="USD"/>
    <x v="2"/>
    <s v="EMP0054"/>
    <n v="12"/>
    <s v="Wed"/>
    <x v="1"/>
    <x v="2"/>
  </r>
  <r>
    <x v="1747"/>
    <d v="2023-04-02T02:46:04"/>
    <x v="1725"/>
    <x v="1"/>
    <x v="10"/>
    <n v="5"/>
    <n v="3"/>
    <s v="USD"/>
    <x v="0"/>
    <s v="EMP0039"/>
    <n v="15"/>
    <s v="Sun"/>
    <x v="11"/>
    <x v="4"/>
  </r>
  <r>
    <x v="1748"/>
    <d v="2025-04-19T07:44:04"/>
    <x v="1726"/>
    <x v="12"/>
    <x v="5"/>
    <n v="1"/>
    <n v="1"/>
    <s v="USD"/>
    <x v="3"/>
    <s v="EMP0044"/>
    <n v="1"/>
    <s v="Sat"/>
    <x v="11"/>
    <x v="2"/>
  </r>
  <r>
    <x v="1749"/>
    <d v="2023-05-29T21:47:04"/>
    <x v="1727"/>
    <x v="12"/>
    <x v="1"/>
    <n v="1"/>
    <n v="1"/>
    <s v="USD"/>
    <x v="0"/>
    <s v="EMP0067"/>
    <n v="1"/>
    <s v="Mon"/>
    <x v="5"/>
    <x v="4"/>
  </r>
  <r>
    <x v="1750"/>
    <d v="2023-12-05T10:14:04"/>
    <x v="1728"/>
    <x v="12"/>
    <x v="3"/>
    <n v="1.2"/>
    <n v="9"/>
    <s v="USD"/>
    <x v="3"/>
    <s v="EMP0067"/>
    <n v="10.799999999999999"/>
    <s v="Tue"/>
    <x v="4"/>
    <x v="4"/>
  </r>
  <r>
    <x v="1751"/>
    <d v="2022-06-26T09:13:04"/>
    <x v="1729"/>
    <x v="4"/>
    <x v="7"/>
    <n v="2.8"/>
    <n v="2"/>
    <s v="USD"/>
    <x v="0"/>
    <s v="EMP0004"/>
    <n v="5.6"/>
    <s v="Sun"/>
    <x v="3"/>
    <x v="3"/>
  </r>
  <r>
    <x v="1752"/>
    <d v="2023-07-09T09:12:04"/>
    <x v="1730"/>
    <x v="7"/>
    <x v="14"/>
    <n v="2.2000000000000002"/>
    <n v="5"/>
    <s v="USD"/>
    <x v="4"/>
    <s v="EMP0062"/>
    <n v="11"/>
    <s v="Sun"/>
    <x v="8"/>
    <x v="4"/>
  </r>
  <r>
    <x v="1753"/>
    <d v="2024-03-27T11:04:04"/>
    <x v="1731"/>
    <x v="0"/>
    <x v="1"/>
    <n v="1"/>
    <n v="5"/>
    <s v="USD"/>
    <x v="5"/>
    <s v="EMP0096"/>
    <n v="5"/>
    <s v="Wed"/>
    <x v="1"/>
    <x v="1"/>
  </r>
  <r>
    <x v="1754"/>
    <d v="2022-07-28T23:54:04"/>
    <x v="1732"/>
    <x v="8"/>
    <x v="11"/>
    <n v="4"/>
    <n v="5"/>
    <s v="USD"/>
    <x v="0"/>
    <s v="EMP0026"/>
    <n v="20"/>
    <s v="Thu"/>
    <x v="8"/>
    <x v="3"/>
  </r>
  <r>
    <x v="1755"/>
    <d v="2021-07-01T15:09:04"/>
    <x v="1733"/>
    <x v="8"/>
    <x v="19"/>
    <n v="5.5"/>
    <n v="10"/>
    <s v="USD"/>
    <x v="1"/>
    <s v="EMP0040"/>
    <n v="55"/>
    <s v="Thu"/>
    <x v="8"/>
    <x v="0"/>
  </r>
  <r>
    <x v="1756"/>
    <d v="2024-06-04T06:40:04"/>
    <x v="1734"/>
    <x v="10"/>
    <x v="18"/>
    <n v="1.7"/>
    <n v="8"/>
    <s v="USD"/>
    <x v="5"/>
    <s v="EMP0077"/>
    <n v="13.6"/>
    <s v="Tue"/>
    <x v="3"/>
    <x v="1"/>
  </r>
  <r>
    <x v="1757"/>
    <d v="2023-10-31T02:47:04"/>
    <x v="1735"/>
    <x v="7"/>
    <x v="5"/>
    <n v="1"/>
    <n v="7"/>
    <s v="USD"/>
    <x v="5"/>
    <s v="EMP0026"/>
    <n v="7"/>
    <s v="Tue"/>
    <x v="0"/>
    <x v="4"/>
  </r>
  <r>
    <x v="1758"/>
    <d v="2022-03-05T02:03:04"/>
    <x v="1736"/>
    <x v="1"/>
    <x v="9"/>
    <n v="3"/>
    <n v="8"/>
    <s v="USD"/>
    <x v="0"/>
    <s v="EMP0005"/>
    <n v="24"/>
    <s v="Sat"/>
    <x v="1"/>
    <x v="3"/>
  </r>
  <r>
    <x v="1759"/>
    <d v="2022-06-27T04:49:04"/>
    <x v="1737"/>
    <x v="8"/>
    <x v="8"/>
    <n v="4.5"/>
    <n v="10"/>
    <s v="USD"/>
    <x v="2"/>
    <s v="EMP0068"/>
    <n v="45"/>
    <s v="Mon"/>
    <x v="3"/>
    <x v="3"/>
  </r>
  <r>
    <x v="1760"/>
    <d v="2023-05-19T01:25:04"/>
    <x v="1738"/>
    <x v="7"/>
    <x v="13"/>
    <n v="0.8"/>
    <n v="6"/>
    <s v="USD"/>
    <x v="5"/>
    <s v="EMP0024"/>
    <n v="4.8000000000000007"/>
    <s v="Fri"/>
    <x v="5"/>
    <x v="4"/>
  </r>
  <r>
    <x v="1761"/>
    <d v="2023-05-08T06:22:04"/>
    <x v="1739"/>
    <x v="2"/>
    <x v="7"/>
    <n v="2.8"/>
    <n v="6"/>
    <s v="USD"/>
    <x v="0"/>
    <s v="EMP0100"/>
    <n v="16.799999999999997"/>
    <s v="Mon"/>
    <x v="5"/>
    <x v="4"/>
  </r>
  <r>
    <x v="1762"/>
    <d v="2023-08-05T10:26:04"/>
    <x v="1740"/>
    <x v="5"/>
    <x v="3"/>
    <n v="1.2"/>
    <n v="6"/>
    <s v="USD"/>
    <x v="0"/>
    <s v="EMP0060"/>
    <n v="7.1999999999999993"/>
    <s v="Sat"/>
    <x v="6"/>
    <x v="4"/>
  </r>
  <r>
    <x v="1763"/>
    <d v="2022-03-04T02:29:04"/>
    <x v="1741"/>
    <x v="2"/>
    <x v="1"/>
    <n v="1"/>
    <n v="2"/>
    <s v="USD"/>
    <x v="5"/>
    <s v="EMP0037"/>
    <n v="2"/>
    <s v="Fri"/>
    <x v="1"/>
    <x v="3"/>
  </r>
  <r>
    <x v="1764"/>
    <d v="2021-12-24T06:53:04"/>
    <x v="1742"/>
    <x v="2"/>
    <x v="19"/>
    <n v="5.5"/>
    <n v="9"/>
    <s v="USD"/>
    <x v="4"/>
    <s v="EMP0092"/>
    <n v="49.5"/>
    <s v="Fri"/>
    <x v="4"/>
    <x v="0"/>
  </r>
  <r>
    <x v="1765"/>
    <d v="2021-12-11T16:22:04"/>
    <x v="1743"/>
    <x v="12"/>
    <x v="18"/>
    <n v="1.7"/>
    <n v="7"/>
    <s v="USD"/>
    <x v="4"/>
    <s v="EMP0041"/>
    <n v="11.9"/>
    <s v="Sat"/>
    <x v="4"/>
    <x v="0"/>
  </r>
  <r>
    <x v="1766"/>
    <d v="2024-03-30T07:23:04"/>
    <x v="1744"/>
    <x v="14"/>
    <x v="15"/>
    <n v="1.5"/>
    <n v="8"/>
    <s v="USD"/>
    <x v="3"/>
    <s v="EMP0036"/>
    <n v="12"/>
    <s v="Sat"/>
    <x v="1"/>
    <x v="1"/>
  </r>
  <r>
    <x v="1767"/>
    <d v="2022-12-29T10:19:04"/>
    <x v="1745"/>
    <x v="10"/>
    <x v="13"/>
    <n v="0.8"/>
    <n v="10"/>
    <s v="USD"/>
    <x v="4"/>
    <s v="EMP0076"/>
    <n v="8"/>
    <s v="Thu"/>
    <x v="4"/>
    <x v="3"/>
  </r>
  <r>
    <x v="1768"/>
    <d v="2023-03-17T05:50:04"/>
    <x v="1746"/>
    <x v="13"/>
    <x v="8"/>
    <n v="4.5"/>
    <n v="1"/>
    <s v="USD"/>
    <x v="2"/>
    <s v="EMP0074"/>
    <n v="4.5"/>
    <s v="Fri"/>
    <x v="1"/>
    <x v="4"/>
  </r>
  <r>
    <x v="1769"/>
    <d v="2025-04-29T23:08:04"/>
    <x v="1747"/>
    <x v="6"/>
    <x v="6"/>
    <n v="7"/>
    <n v="1"/>
    <s v="USD"/>
    <x v="1"/>
    <s v="EMP0068"/>
    <n v="7"/>
    <s v="Tue"/>
    <x v="11"/>
    <x v="2"/>
  </r>
  <r>
    <x v="1770"/>
    <d v="2025-02-18T02:45:04"/>
    <x v="1748"/>
    <x v="13"/>
    <x v="9"/>
    <n v="3"/>
    <n v="8"/>
    <s v="USD"/>
    <x v="3"/>
    <s v="EMP0054"/>
    <n v="24"/>
    <s v="Tue"/>
    <x v="7"/>
    <x v="2"/>
  </r>
  <r>
    <x v="1771"/>
    <d v="2023-09-01T05:06:04"/>
    <x v="1749"/>
    <x v="14"/>
    <x v="7"/>
    <n v="2.8"/>
    <n v="7"/>
    <s v="USD"/>
    <x v="3"/>
    <s v="EMP0072"/>
    <n v="19.599999999999998"/>
    <s v="Fri"/>
    <x v="9"/>
    <x v="4"/>
  </r>
  <r>
    <x v="1772"/>
    <d v="2023-08-06T21:47:04"/>
    <x v="1750"/>
    <x v="13"/>
    <x v="6"/>
    <n v="7"/>
    <n v="5"/>
    <s v="USD"/>
    <x v="2"/>
    <s v="EMP0059"/>
    <n v="35"/>
    <s v="Sun"/>
    <x v="6"/>
    <x v="4"/>
  </r>
  <r>
    <x v="1773"/>
    <d v="2022-08-02T16:28:04"/>
    <x v="1751"/>
    <x v="7"/>
    <x v="7"/>
    <n v="2.8"/>
    <n v="10"/>
    <s v="USD"/>
    <x v="3"/>
    <s v="EMP0004"/>
    <n v="28"/>
    <s v="Tue"/>
    <x v="6"/>
    <x v="3"/>
  </r>
  <r>
    <x v="1774"/>
    <d v="2024-02-06T11:34:04"/>
    <x v="1752"/>
    <x v="13"/>
    <x v="14"/>
    <n v="2.2000000000000002"/>
    <n v="2"/>
    <s v="USD"/>
    <x v="4"/>
    <s v="EMP0089"/>
    <n v="4.4000000000000004"/>
    <s v="Tue"/>
    <x v="7"/>
    <x v="1"/>
  </r>
  <r>
    <x v="1775"/>
    <d v="2022-11-29T06:16:04"/>
    <x v="1753"/>
    <x v="7"/>
    <x v="11"/>
    <n v="4"/>
    <n v="6"/>
    <s v="USD"/>
    <x v="1"/>
    <s v="EMP0001"/>
    <n v="24"/>
    <s v="Tue"/>
    <x v="10"/>
    <x v="3"/>
  </r>
  <r>
    <x v="1776"/>
    <d v="2021-06-30T12:10:04"/>
    <x v="1754"/>
    <x v="1"/>
    <x v="17"/>
    <n v="2.5"/>
    <n v="2"/>
    <s v="USD"/>
    <x v="3"/>
    <s v="EMP0039"/>
    <n v="5"/>
    <s v="Wed"/>
    <x v="3"/>
    <x v="0"/>
  </r>
  <r>
    <x v="1777"/>
    <d v="2024-12-07T05:05:04"/>
    <x v="1755"/>
    <x v="0"/>
    <x v="5"/>
    <n v="1"/>
    <n v="7"/>
    <s v="USD"/>
    <x v="4"/>
    <s v="EMP0090"/>
    <n v="7"/>
    <s v="Sat"/>
    <x v="4"/>
    <x v="1"/>
  </r>
  <r>
    <x v="1778"/>
    <d v="2024-05-26T08:49:04"/>
    <x v="1756"/>
    <x v="10"/>
    <x v="19"/>
    <n v="5.5"/>
    <n v="3"/>
    <s v="USD"/>
    <x v="4"/>
    <s v="EMP0019"/>
    <n v="16.5"/>
    <s v="Sun"/>
    <x v="5"/>
    <x v="1"/>
  </r>
  <r>
    <x v="1779"/>
    <d v="2022-01-28T23:46:04"/>
    <x v="1757"/>
    <x v="10"/>
    <x v="19"/>
    <n v="5.5"/>
    <n v="9"/>
    <s v="USD"/>
    <x v="1"/>
    <s v="EMP0031"/>
    <n v="49.5"/>
    <s v="Fri"/>
    <x v="2"/>
    <x v="3"/>
  </r>
  <r>
    <x v="1780"/>
    <d v="2022-02-10T21:44:04"/>
    <x v="1758"/>
    <x v="10"/>
    <x v="0"/>
    <n v="3.1"/>
    <n v="6"/>
    <s v="USD"/>
    <x v="2"/>
    <s v="EMP0062"/>
    <n v="18.600000000000001"/>
    <s v="Thu"/>
    <x v="7"/>
    <x v="3"/>
  </r>
  <r>
    <x v="1781"/>
    <d v="2024-02-02T11:10:04"/>
    <x v="1759"/>
    <x v="14"/>
    <x v="8"/>
    <n v="4.5"/>
    <n v="2"/>
    <s v="USD"/>
    <x v="4"/>
    <s v="EMP0072"/>
    <n v="9"/>
    <s v="Fri"/>
    <x v="7"/>
    <x v="1"/>
  </r>
  <r>
    <x v="1782"/>
    <d v="2023-12-29T15:45:04"/>
    <x v="1760"/>
    <x v="0"/>
    <x v="11"/>
    <n v="4"/>
    <n v="2"/>
    <s v="USD"/>
    <x v="3"/>
    <s v="EMP0064"/>
    <n v="8"/>
    <s v="Fri"/>
    <x v="4"/>
    <x v="4"/>
  </r>
  <r>
    <x v="1783"/>
    <d v="2025-01-06T07:26:04"/>
    <x v="1761"/>
    <x v="3"/>
    <x v="11"/>
    <n v="4"/>
    <n v="8"/>
    <s v="USD"/>
    <x v="5"/>
    <s v="EMP0025"/>
    <n v="32"/>
    <s v="Mon"/>
    <x v="2"/>
    <x v="2"/>
  </r>
  <r>
    <x v="1784"/>
    <d v="2022-08-15T10:05:04"/>
    <x v="1762"/>
    <x v="2"/>
    <x v="16"/>
    <n v="4"/>
    <n v="9"/>
    <s v="USD"/>
    <x v="1"/>
    <s v="EMP0041"/>
    <n v="36"/>
    <s v="Mon"/>
    <x v="6"/>
    <x v="3"/>
  </r>
  <r>
    <x v="1785"/>
    <d v="2023-08-09T14:57:04"/>
    <x v="1763"/>
    <x v="3"/>
    <x v="14"/>
    <n v="2.2000000000000002"/>
    <n v="9"/>
    <s v="USD"/>
    <x v="3"/>
    <s v="EMP0017"/>
    <n v="19.8"/>
    <s v="Wed"/>
    <x v="6"/>
    <x v="4"/>
  </r>
  <r>
    <x v="1786"/>
    <d v="2024-02-16T02:02:04"/>
    <x v="1764"/>
    <x v="10"/>
    <x v="5"/>
    <n v="1"/>
    <n v="9"/>
    <s v="USD"/>
    <x v="0"/>
    <s v="EMP0100"/>
    <n v="9"/>
    <s v="Fri"/>
    <x v="7"/>
    <x v="1"/>
  </r>
  <r>
    <x v="1787"/>
    <d v="2023-02-10T07:22:04"/>
    <x v="1765"/>
    <x v="11"/>
    <x v="18"/>
    <n v="1.7"/>
    <n v="3"/>
    <s v="USD"/>
    <x v="2"/>
    <s v="EMP0040"/>
    <n v="5.0999999999999996"/>
    <s v="Fri"/>
    <x v="7"/>
    <x v="4"/>
  </r>
  <r>
    <x v="1788"/>
    <d v="2022-02-11T17:20:04"/>
    <x v="1766"/>
    <x v="6"/>
    <x v="10"/>
    <n v="5"/>
    <n v="2"/>
    <s v="USD"/>
    <x v="2"/>
    <s v="EMP0015"/>
    <n v="10"/>
    <s v="Fri"/>
    <x v="7"/>
    <x v="3"/>
  </r>
  <r>
    <x v="1789"/>
    <d v="2024-01-03T12:29:04"/>
    <x v="1767"/>
    <x v="10"/>
    <x v="13"/>
    <n v="0.8"/>
    <n v="5"/>
    <s v="USD"/>
    <x v="3"/>
    <s v="EMP0061"/>
    <n v="4"/>
    <s v="Wed"/>
    <x v="2"/>
    <x v="1"/>
  </r>
  <r>
    <x v="1790"/>
    <d v="2021-08-22T20:58:04"/>
    <x v="1279"/>
    <x v="5"/>
    <x v="0"/>
    <n v="3.1"/>
    <n v="2"/>
    <s v="USD"/>
    <x v="1"/>
    <s v="EMP0011"/>
    <n v="6.2"/>
    <s v="Sun"/>
    <x v="6"/>
    <x v="0"/>
  </r>
  <r>
    <x v="1791"/>
    <d v="2023-05-15T00:13:04"/>
    <x v="1768"/>
    <x v="6"/>
    <x v="6"/>
    <n v="7"/>
    <n v="9"/>
    <s v="USD"/>
    <x v="5"/>
    <s v="EMP0066"/>
    <n v="63"/>
    <s v="Mon"/>
    <x v="5"/>
    <x v="4"/>
  </r>
  <r>
    <x v="1792"/>
    <d v="2023-06-26T11:58:04"/>
    <x v="1769"/>
    <x v="11"/>
    <x v="7"/>
    <n v="2.8"/>
    <n v="2"/>
    <s v="USD"/>
    <x v="3"/>
    <s v="EMP0084"/>
    <n v="5.6"/>
    <s v="Mon"/>
    <x v="3"/>
    <x v="4"/>
  </r>
  <r>
    <x v="1793"/>
    <d v="2023-03-17T13:27:04"/>
    <x v="1770"/>
    <x v="8"/>
    <x v="11"/>
    <n v="4"/>
    <n v="5"/>
    <s v="USD"/>
    <x v="0"/>
    <s v="EMP0052"/>
    <n v="20"/>
    <s v="Fri"/>
    <x v="1"/>
    <x v="4"/>
  </r>
  <r>
    <x v="1794"/>
    <d v="2024-05-12T18:09:04"/>
    <x v="1771"/>
    <x v="9"/>
    <x v="5"/>
    <n v="1"/>
    <n v="8"/>
    <s v="USD"/>
    <x v="1"/>
    <s v="EMP0056"/>
    <n v="8"/>
    <s v="Sun"/>
    <x v="5"/>
    <x v="1"/>
  </r>
  <r>
    <x v="1795"/>
    <d v="2024-09-27T16:23:04"/>
    <x v="1772"/>
    <x v="3"/>
    <x v="2"/>
    <n v="2.5"/>
    <n v="2"/>
    <s v="USD"/>
    <x v="0"/>
    <s v="EMP0015"/>
    <n v="5"/>
    <s v="Fri"/>
    <x v="9"/>
    <x v="1"/>
  </r>
  <r>
    <x v="1796"/>
    <d v="2025-01-21T11:50:04"/>
    <x v="1773"/>
    <x v="11"/>
    <x v="2"/>
    <n v="2.5"/>
    <n v="2"/>
    <s v="USD"/>
    <x v="1"/>
    <s v="EMP0013"/>
    <n v="5"/>
    <s v="Tue"/>
    <x v="2"/>
    <x v="2"/>
  </r>
  <r>
    <x v="1797"/>
    <d v="2023-10-23T05:30:04"/>
    <x v="1774"/>
    <x v="12"/>
    <x v="6"/>
    <n v="7"/>
    <n v="7"/>
    <s v="USD"/>
    <x v="5"/>
    <s v="EMP0013"/>
    <n v="49"/>
    <s v="Mon"/>
    <x v="0"/>
    <x v="4"/>
  </r>
  <r>
    <x v="1798"/>
    <d v="2024-02-13T13:34:04"/>
    <x v="1775"/>
    <x v="1"/>
    <x v="0"/>
    <n v="3.1"/>
    <n v="8"/>
    <s v="USD"/>
    <x v="0"/>
    <s v="EMP0022"/>
    <n v="24.8"/>
    <s v="Tue"/>
    <x v="7"/>
    <x v="1"/>
  </r>
  <r>
    <x v="1799"/>
    <d v="2024-03-19T01:46:04"/>
    <x v="1776"/>
    <x v="11"/>
    <x v="5"/>
    <n v="1"/>
    <n v="5"/>
    <s v="USD"/>
    <x v="2"/>
    <s v="EMP0001"/>
    <n v="5"/>
    <s v="Tue"/>
    <x v="1"/>
    <x v="1"/>
  </r>
  <r>
    <x v="1800"/>
    <d v="2024-10-28T07:54:04"/>
    <x v="1777"/>
    <x v="1"/>
    <x v="5"/>
    <n v="1"/>
    <n v="8"/>
    <s v="USD"/>
    <x v="2"/>
    <s v="EMP0040"/>
    <n v="8"/>
    <s v="Mon"/>
    <x v="0"/>
    <x v="1"/>
  </r>
  <r>
    <x v="1801"/>
    <d v="2021-07-01T06:16:04"/>
    <x v="1778"/>
    <x v="5"/>
    <x v="9"/>
    <n v="3"/>
    <n v="3"/>
    <s v="USD"/>
    <x v="0"/>
    <s v="EMP0043"/>
    <n v="9"/>
    <s v="Thu"/>
    <x v="8"/>
    <x v="0"/>
  </r>
  <r>
    <x v="1802"/>
    <d v="2022-10-20T09:26:04"/>
    <x v="1779"/>
    <x v="3"/>
    <x v="15"/>
    <n v="1.5"/>
    <n v="7"/>
    <s v="USD"/>
    <x v="4"/>
    <s v="EMP0003"/>
    <n v="10.5"/>
    <s v="Thu"/>
    <x v="0"/>
    <x v="3"/>
  </r>
  <r>
    <x v="1803"/>
    <d v="2024-05-11T04:30:04"/>
    <x v="1780"/>
    <x v="7"/>
    <x v="13"/>
    <n v="0.8"/>
    <n v="1"/>
    <s v="USD"/>
    <x v="1"/>
    <s v="EMP0046"/>
    <n v="0.8"/>
    <s v="Sat"/>
    <x v="5"/>
    <x v="1"/>
  </r>
  <r>
    <x v="1804"/>
    <d v="2022-09-11T19:26:04"/>
    <x v="1781"/>
    <x v="10"/>
    <x v="2"/>
    <n v="2.5"/>
    <n v="8"/>
    <s v="USD"/>
    <x v="3"/>
    <s v="EMP0006"/>
    <n v="20"/>
    <s v="Sun"/>
    <x v="9"/>
    <x v="3"/>
  </r>
  <r>
    <x v="1805"/>
    <d v="2025-04-03T18:43:04"/>
    <x v="1782"/>
    <x v="11"/>
    <x v="2"/>
    <n v="2.5"/>
    <n v="9"/>
    <s v="USD"/>
    <x v="1"/>
    <s v="EMP0022"/>
    <n v="22.5"/>
    <s v="Thu"/>
    <x v="11"/>
    <x v="2"/>
  </r>
  <r>
    <x v="1806"/>
    <d v="2024-07-13T10:20:04"/>
    <x v="1783"/>
    <x v="11"/>
    <x v="4"/>
    <n v="3.2"/>
    <n v="8"/>
    <s v="USD"/>
    <x v="5"/>
    <s v="EMP0095"/>
    <n v="25.6"/>
    <s v="Sat"/>
    <x v="8"/>
    <x v="1"/>
  </r>
  <r>
    <x v="1807"/>
    <d v="2023-05-21T20:10:04"/>
    <x v="1784"/>
    <x v="3"/>
    <x v="15"/>
    <n v="1.5"/>
    <n v="5"/>
    <s v="USD"/>
    <x v="4"/>
    <s v="EMP0059"/>
    <n v="7.5"/>
    <s v="Sun"/>
    <x v="5"/>
    <x v="4"/>
  </r>
  <r>
    <x v="1808"/>
    <d v="2025-04-12T02:07:04"/>
    <x v="1785"/>
    <x v="0"/>
    <x v="4"/>
    <n v="3.2"/>
    <n v="9"/>
    <s v="USD"/>
    <x v="2"/>
    <s v="EMP0077"/>
    <n v="28.8"/>
    <s v="Sat"/>
    <x v="11"/>
    <x v="2"/>
  </r>
  <r>
    <x v="1809"/>
    <d v="2022-08-22T10:09:04"/>
    <x v="1786"/>
    <x v="3"/>
    <x v="12"/>
    <n v="1.8"/>
    <n v="1"/>
    <s v="USD"/>
    <x v="0"/>
    <s v="EMP0053"/>
    <n v="1.8"/>
    <s v="Mon"/>
    <x v="6"/>
    <x v="3"/>
  </r>
  <r>
    <x v="1810"/>
    <d v="2024-02-12T16:17:04"/>
    <x v="1787"/>
    <x v="5"/>
    <x v="15"/>
    <n v="1.5"/>
    <n v="1"/>
    <s v="USD"/>
    <x v="0"/>
    <s v="EMP0074"/>
    <n v="1.5"/>
    <s v="Mon"/>
    <x v="7"/>
    <x v="1"/>
  </r>
  <r>
    <x v="1811"/>
    <d v="2021-06-14T00:03:04"/>
    <x v="1788"/>
    <x v="2"/>
    <x v="9"/>
    <n v="3"/>
    <n v="4"/>
    <s v="USD"/>
    <x v="5"/>
    <s v="EMP0082"/>
    <n v="12"/>
    <s v="Mon"/>
    <x v="3"/>
    <x v="0"/>
  </r>
  <r>
    <x v="1812"/>
    <d v="2024-09-30T04:30:04"/>
    <x v="1789"/>
    <x v="3"/>
    <x v="1"/>
    <n v="1"/>
    <n v="8"/>
    <s v="USD"/>
    <x v="1"/>
    <s v="EMP0023"/>
    <n v="8"/>
    <s v="Mon"/>
    <x v="9"/>
    <x v="1"/>
  </r>
  <r>
    <x v="1813"/>
    <d v="2023-11-12T16:04:04"/>
    <x v="1790"/>
    <x v="1"/>
    <x v="4"/>
    <n v="3.2"/>
    <n v="7"/>
    <s v="USD"/>
    <x v="1"/>
    <s v="EMP0054"/>
    <n v="22.400000000000002"/>
    <s v="Sun"/>
    <x v="10"/>
    <x v="4"/>
  </r>
  <r>
    <x v="1814"/>
    <d v="2023-10-22T04:14:04"/>
    <x v="1791"/>
    <x v="13"/>
    <x v="16"/>
    <n v="4"/>
    <n v="9"/>
    <s v="USD"/>
    <x v="2"/>
    <s v="EMP0044"/>
    <n v="36"/>
    <s v="Sun"/>
    <x v="0"/>
    <x v="4"/>
  </r>
  <r>
    <x v="1815"/>
    <d v="2021-12-02T09:59:04"/>
    <x v="1792"/>
    <x v="14"/>
    <x v="10"/>
    <n v="5"/>
    <n v="10"/>
    <s v="USD"/>
    <x v="4"/>
    <s v="EMP0037"/>
    <n v="50"/>
    <s v="Thu"/>
    <x v="4"/>
    <x v="0"/>
  </r>
  <r>
    <x v="1816"/>
    <d v="2024-09-26T12:55:04"/>
    <x v="1793"/>
    <x v="1"/>
    <x v="14"/>
    <n v="2.2000000000000002"/>
    <n v="8"/>
    <s v="USD"/>
    <x v="2"/>
    <s v="EMP0020"/>
    <n v="17.600000000000001"/>
    <s v="Thu"/>
    <x v="9"/>
    <x v="1"/>
  </r>
  <r>
    <x v="1817"/>
    <d v="2022-06-03T03:47:04"/>
    <x v="1794"/>
    <x v="9"/>
    <x v="13"/>
    <n v="0.8"/>
    <n v="5"/>
    <s v="USD"/>
    <x v="5"/>
    <s v="EMP0037"/>
    <n v="4"/>
    <s v="Fri"/>
    <x v="3"/>
    <x v="3"/>
  </r>
  <r>
    <x v="1818"/>
    <d v="2024-12-28T04:26:04"/>
    <x v="1795"/>
    <x v="10"/>
    <x v="17"/>
    <n v="2.5"/>
    <n v="4"/>
    <s v="USD"/>
    <x v="4"/>
    <s v="EMP0076"/>
    <n v="10"/>
    <s v="Sat"/>
    <x v="4"/>
    <x v="1"/>
  </r>
  <r>
    <x v="1819"/>
    <d v="2024-08-30T11:55:04"/>
    <x v="1796"/>
    <x v="11"/>
    <x v="3"/>
    <n v="1.2"/>
    <n v="7"/>
    <s v="USD"/>
    <x v="4"/>
    <s v="EMP0085"/>
    <n v="8.4"/>
    <s v="Fri"/>
    <x v="6"/>
    <x v="1"/>
  </r>
  <r>
    <x v="1820"/>
    <d v="2025-05-08T12:10:04"/>
    <x v="1797"/>
    <x v="6"/>
    <x v="7"/>
    <n v="2.8"/>
    <n v="5"/>
    <s v="USD"/>
    <x v="1"/>
    <s v="EMP0086"/>
    <n v="14"/>
    <s v="Thu"/>
    <x v="5"/>
    <x v="2"/>
  </r>
  <r>
    <x v="1821"/>
    <d v="2022-03-18T09:21:04"/>
    <x v="1798"/>
    <x v="0"/>
    <x v="0"/>
    <n v="3.1"/>
    <n v="3"/>
    <s v="USD"/>
    <x v="2"/>
    <s v="EMP0026"/>
    <n v="9.3000000000000007"/>
    <s v="Fri"/>
    <x v="1"/>
    <x v="3"/>
  </r>
  <r>
    <x v="1822"/>
    <d v="2022-12-06T18:28:04"/>
    <x v="1799"/>
    <x v="7"/>
    <x v="8"/>
    <n v="4.5"/>
    <n v="4"/>
    <s v="USD"/>
    <x v="3"/>
    <s v="EMP0061"/>
    <n v="18"/>
    <s v="Tue"/>
    <x v="4"/>
    <x v="3"/>
  </r>
  <r>
    <x v="1823"/>
    <d v="2023-05-14T05:35:04"/>
    <x v="1800"/>
    <x v="3"/>
    <x v="6"/>
    <n v="7"/>
    <n v="7"/>
    <s v="USD"/>
    <x v="5"/>
    <s v="EMP0013"/>
    <n v="49"/>
    <s v="Sun"/>
    <x v="5"/>
    <x v="4"/>
  </r>
  <r>
    <x v="1824"/>
    <d v="2023-11-21T03:48:04"/>
    <x v="1801"/>
    <x v="11"/>
    <x v="13"/>
    <n v="0.8"/>
    <n v="10"/>
    <s v="USD"/>
    <x v="5"/>
    <s v="EMP0087"/>
    <n v="8"/>
    <s v="Tue"/>
    <x v="10"/>
    <x v="4"/>
  </r>
  <r>
    <x v="1825"/>
    <d v="2023-07-18T19:18:04"/>
    <x v="1802"/>
    <x v="3"/>
    <x v="11"/>
    <n v="4"/>
    <n v="5"/>
    <s v="USD"/>
    <x v="0"/>
    <s v="EMP0054"/>
    <n v="20"/>
    <s v="Tue"/>
    <x v="8"/>
    <x v="4"/>
  </r>
  <r>
    <x v="1826"/>
    <d v="2022-03-31T07:07:04"/>
    <x v="1803"/>
    <x v="11"/>
    <x v="9"/>
    <n v="3"/>
    <n v="5"/>
    <s v="USD"/>
    <x v="1"/>
    <s v="EMP0081"/>
    <n v="15"/>
    <s v="Thu"/>
    <x v="1"/>
    <x v="3"/>
  </r>
  <r>
    <x v="1827"/>
    <d v="2022-10-07T20:15:04"/>
    <x v="1804"/>
    <x v="8"/>
    <x v="18"/>
    <n v="1.7"/>
    <n v="2"/>
    <s v="USD"/>
    <x v="0"/>
    <s v="EMP0068"/>
    <n v="3.4"/>
    <s v="Fri"/>
    <x v="0"/>
    <x v="3"/>
  </r>
  <r>
    <x v="1828"/>
    <d v="2022-11-15T15:06:04"/>
    <x v="1805"/>
    <x v="9"/>
    <x v="7"/>
    <n v="2.8"/>
    <n v="8"/>
    <s v="USD"/>
    <x v="4"/>
    <s v="EMP0055"/>
    <n v="22.4"/>
    <s v="Tue"/>
    <x v="10"/>
    <x v="3"/>
  </r>
  <r>
    <x v="1829"/>
    <d v="2022-09-27T00:00:04"/>
    <x v="1806"/>
    <x v="10"/>
    <x v="3"/>
    <n v="1.2"/>
    <n v="9"/>
    <s v="USD"/>
    <x v="3"/>
    <s v="EMP0099"/>
    <n v="10.799999999999999"/>
    <s v="Tue"/>
    <x v="9"/>
    <x v="3"/>
  </r>
  <r>
    <x v="1830"/>
    <d v="2022-12-29T10:38:04"/>
    <x v="1807"/>
    <x v="6"/>
    <x v="5"/>
    <n v="1"/>
    <n v="5"/>
    <s v="USD"/>
    <x v="0"/>
    <s v="EMP0075"/>
    <n v="5"/>
    <s v="Thu"/>
    <x v="4"/>
    <x v="3"/>
  </r>
  <r>
    <x v="1831"/>
    <d v="2022-06-26T02:18:04"/>
    <x v="1808"/>
    <x v="12"/>
    <x v="1"/>
    <n v="1"/>
    <n v="10"/>
    <s v="USD"/>
    <x v="4"/>
    <s v="EMP0007"/>
    <n v="10"/>
    <s v="Sun"/>
    <x v="3"/>
    <x v="3"/>
  </r>
  <r>
    <x v="1832"/>
    <d v="2023-02-25T09:01:04"/>
    <x v="1809"/>
    <x v="3"/>
    <x v="3"/>
    <n v="1.2"/>
    <n v="8"/>
    <s v="USD"/>
    <x v="1"/>
    <s v="EMP0059"/>
    <n v="9.6"/>
    <s v="Sat"/>
    <x v="7"/>
    <x v="4"/>
  </r>
  <r>
    <x v="1833"/>
    <d v="2025-01-18T11:23:04"/>
    <x v="1810"/>
    <x v="11"/>
    <x v="19"/>
    <n v="5.5"/>
    <n v="6"/>
    <s v="USD"/>
    <x v="1"/>
    <s v="EMP0013"/>
    <n v="33"/>
    <s v="Sat"/>
    <x v="2"/>
    <x v="2"/>
  </r>
  <r>
    <x v="1834"/>
    <d v="2023-09-21T18:56:04"/>
    <x v="1811"/>
    <x v="0"/>
    <x v="4"/>
    <n v="3.2"/>
    <n v="1"/>
    <s v="USD"/>
    <x v="3"/>
    <s v="EMP0095"/>
    <n v="3.2"/>
    <s v="Thu"/>
    <x v="9"/>
    <x v="4"/>
  </r>
  <r>
    <x v="1835"/>
    <d v="2022-01-27T15:54:04"/>
    <x v="1812"/>
    <x v="0"/>
    <x v="17"/>
    <n v="2.5"/>
    <n v="4"/>
    <s v="USD"/>
    <x v="1"/>
    <s v="EMP0019"/>
    <n v="10"/>
    <s v="Thu"/>
    <x v="2"/>
    <x v="3"/>
  </r>
  <r>
    <x v="1836"/>
    <d v="2022-03-14T13:55:04"/>
    <x v="1813"/>
    <x v="6"/>
    <x v="2"/>
    <n v="2.5"/>
    <n v="3"/>
    <s v="USD"/>
    <x v="4"/>
    <s v="EMP0081"/>
    <n v="7.5"/>
    <s v="Mon"/>
    <x v="1"/>
    <x v="3"/>
  </r>
  <r>
    <x v="1837"/>
    <d v="2023-08-11T13:27:04"/>
    <x v="1814"/>
    <x v="13"/>
    <x v="15"/>
    <n v="1.5"/>
    <n v="10"/>
    <s v="USD"/>
    <x v="2"/>
    <s v="EMP0026"/>
    <n v="15"/>
    <s v="Fri"/>
    <x v="6"/>
    <x v="4"/>
  </r>
  <r>
    <x v="1838"/>
    <d v="2024-09-17T11:26:04"/>
    <x v="1815"/>
    <x v="6"/>
    <x v="5"/>
    <n v="1"/>
    <n v="2"/>
    <s v="USD"/>
    <x v="1"/>
    <s v="EMP0013"/>
    <n v="2"/>
    <s v="Tue"/>
    <x v="9"/>
    <x v="1"/>
  </r>
  <r>
    <x v="1839"/>
    <d v="2023-12-20T07:20:04"/>
    <x v="1816"/>
    <x v="10"/>
    <x v="3"/>
    <n v="1.2"/>
    <n v="9"/>
    <s v="USD"/>
    <x v="5"/>
    <s v="EMP0051"/>
    <n v="10.799999999999999"/>
    <s v="Wed"/>
    <x v="4"/>
    <x v="4"/>
  </r>
  <r>
    <x v="1840"/>
    <d v="2025-01-16T10:07:04"/>
    <x v="1817"/>
    <x v="8"/>
    <x v="15"/>
    <n v="1.5"/>
    <n v="3"/>
    <s v="USD"/>
    <x v="0"/>
    <s v="EMP0070"/>
    <n v="4.5"/>
    <s v="Thu"/>
    <x v="2"/>
    <x v="2"/>
  </r>
  <r>
    <x v="1841"/>
    <d v="2023-11-22T17:43:04"/>
    <x v="1818"/>
    <x v="10"/>
    <x v="5"/>
    <n v="1"/>
    <n v="2"/>
    <s v="USD"/>
    <x v="5"/>
    <s v="EMP0019"/>
    <n v="2"/>
    <s v="Wed"/>
    <x v="10"/>
    <x v="4"/>
  </r>
  <r>
    <x v="1842"/>
    <d v="2021-10-15T13:15:04"/>
    <x v="1819"/>
    <x v="6"/>
    <x v="2"/>
    <n v="2.5"/>
    <n v="3"/>
    <s v="USD"/>
    <x v="1"/>
    <s v="EMP0095"/>
    <n v="7.5"/>
    <s v="Fri"/>
    <x v="0"/>
    <x v="0"/>
  </r>
  <r>
    <x v="1843"/>
    <d v="2021-06-06T20:14:04"/>
    <x v="1820"/>
    <x v="10"/>
    <x v="15"/>
    <n v="1.5"/>
    <n v="5"/>
    <s v="USD"/>
    <x v="4"/>
    <s v="EMP0086"/>
    <n v="7.5"/>
    <s v="Sun"/>
    <x v="3"/>
    <x v="0"/>
  </r>
  <r>
    <x v="1844"/>
    <d v="2024-10-16T18:55:04"/>
    <x v="1821"/>
    <x v="5"/>
    <x v="0"/>
    <n v="3.1"/>
    <n v="7"/>
    <s v="USD"/>
    <x v="5"/>
    <s v="EMP0090"/>
    <n v="21.7"/>
    <s v="Wed"/>
    <x v="0"/>
    <x v="1"/>
  </r>
  <r>
    <x v="1845"/>
    <d v="2024-10-01T23:00:04"/>
    <x v="1822"/>
    <x v="4"/>
    <x v="18"/>
    <n v="1.7"/>
    <n v="3"/>
    <s v="USD"/>
    <x v="3"/>
    <s v="EMP0037"/>
    <n v="5.0999999999999996"/>
    <s v="Tue"/>
    <x v="0"/>
    <x v="1"/>
  </r>
  <r>
    <x v="1846"/>
    <d v="2022-10-16T09:50:04"/>
    <x v="1823"/>
    <x v="8"/>
    <x v="3"/>
    <n v="1.2"/>
    <n v="10"/>
    <s v="USD"/>
    <x v="4"/>
    <s v="EMP0005"/>
    <n v="12"/>
    <s v="Sun"/>
    <x v="0"/>
    <x v="3"/>
  </r>
  <r>
    <x v="1847"/>
    <d v="2021-09-25T16:29:04"/>
    <x v="1824"/>
    <x v="3"/>
    <x v="5"/>
    <n v="1"/>
    <n v="8"/>
    <s v="USD"/>
    <x v="3"/>
    <s v="EMP0046"/>
    <n v="8"/>
    <s v="Sat"/>
    <x v="9"/>
    <x v="0"/>
  </r>
  <r>
    <x v="1848"/>
    <d v="2024-07-27T22:30:04"/>
    <x v="1825"/>
    <x v="0"/>
    <x v="10"/>
    <n v="5"/>
    <n v="5"/>
    <s v="USD"/>
    <x v="3"/>
    <s v="EMP0021"/>
    <n v="25"/>
    <s v="Sat"/>
    <x v="8"/>
    <x v="1"/>
  </r>
  <r>
    <x v="1849"/>
    <d v="2023-05-07T20:32:04"/>
    <x v="1826"/>
    <x v="4"/>
    <x v="12"/>
    <n v="1.8"/>
    <n v="4"/>
    <s v="USD"/>
    <x v="4"/>
    <s v="EMP0091"/>
    <n v="7.2"/>
    <s v="Sun"/>
    <x v="5"/>
    <x v="4"/>
  </r>
  <r>
    <x v="1850"/>
    <d v="2022-05-30T00:54:04"/>
    <x v="1827"/>
    <x v="7"/>
    <x v="13"/>
    <n v="0.8"/>
    <n v="3"/>
    <s v="USD"/>
    <x v="4"/>
    <s v="EMP0084"/>
    <n v="2.4000000000000004"/>
    <s v="Mon"/>
    <x v="5"/>
    <x v="3"/>
  </r>
  <r>
    <x v="1851"/>
    <d v="2022-03-13T02:57:04"/>
    <x v="1828"/>
    <x v="0"/>
    <x v="14"/>
    <n v="2.2000000000000002"/>
    <n v="5"/>
    <s v="USD"/>
    <x v="2"/>
    <s v="EMP0039"/>
    <n v="11"/>
    <s v="Sun"/>
    <x v="1"/>
    <x v="3"/>
  </r>
  <r>
    <x v="1852"/>
    <d v="2023-02-23T10:28:04"/>
    <x v="1829"/>
    <x v="4"/>
    <x v="15"/>
    <n v="1.5"/>
    <n v="7"/>
    <s v="USD"/>
    <x v="5"/>
    <s v="EMP0078"/>
    <n v="10.5"/>
    <s v="Thu"/>
    <x v="7"/>
    <x v="4"/>
  </r>
  <r>
    <x v="1853"/>
    <d v="2021-08-29T07:50:04"/>
    <x v="1830"/>
    <x v="0"/>
    <x v="12"/>
    <n v="1.8"/>
    <n v="9"/>
    <s v="USD"/>
    <x v="4"/>
    <s v="EMP0017"/>
    <n v="16.2"/>
    <s v="Sun"/>
    <x v="6"/>
    <x v="0"/>
  </r>
  <r>
    <x v="1854"/>
    <d v="2021-06-10T02:49:04"/>
    <x v="1831"/>
    <x v="12"/>
    <x v="7"/>
    <n v="2.8"/>
    <n v="10"/>
    <s v="USD"/>
    <x v="1"/>
    <s v="EMP0052"/>
    <n v="28"/>
    <s v="Thu"/>
    <x v="3"/>
    <x v="0"/>
  </r>
  <r>
    <x v="1855"/>
    <d v="2024-12-22T12:25:04"/>
    <x v="1832"/>
    <x v="4"/>
    <x v="13"/>
    <n v="0.8"/>
    <n v="4"/>
    <s v="USD"/>
    <x v="3"/>
    <s v="EMP0086"/>
    <n v="3.2"/>
    <s v="Sun"/>
    <x v="4"/>
    <x v="1"/>
  </r>
  <r>
    <x v="1856"/>
    <d v="2024-10-03T21:27:04"/>
    <x v="1833"/>
    <x v="3"/>
    <x v="15"/>
    <n v="1.5"/>
    <n v="6"/>
    <s v="USD"/>
    <x v="0"/>
    <s v="EMP0099"/>
    <n v="9"/>
    <s v="Thu"/>
    <x v="0"/>
    <x v="1"/>
  </r>
  <r>
    <x v="1857"/>
    <d v="2024-01-11T09:29:04"/>
    <x v="1834"/>
    <x v="1"/>
    <x v="13"/>
    <n v="0.8"/>
    <n v="7"/>
    <s v="USD"/>
    <x v="5"/>
    <s v="EMP0009"/>
    <n v="5.6000000000000005"/>
    <s v="Thu"/>
    <x v="2"/>
    <x v="1"/>
  </r>
  <r>
    <x v="1858"/>
    <d v="2025-01-02T18:10:04"/>
    <x v="1835"/>
    <x v="7"/>
    <x v="17"/>
    <n v="2.5"/>
    <n v="2"/>
    <s v="USD"/>
    <x v="5"/>
    <s v="EMP0098"/>
    <n v="5"/>
    <s v="Thu"/>
    <x v="2"/>
    <x v="2"/>
  </r>
  <r>
    <x v="1859"/>
    <d v="2023-04-03T17:46:04"/>
    <x v="1836"/>
    <x v="4"/>
    <x v="3"/>
    <n v="1.2"/>
    <n v="3"/>
    <s v="USD"/>
    <x v="4"/>
    <s v="EMP0014"/>
    <n v="3.5999999999999996"/>
    <s v="Mon"/>
    <x v="11"/>
    <x v="4"/>
  </r>
  <r>
    <x v="1860"/>
    <d v="2021-06-08T23:02:04"/>
    <x v="1837"/>
    <x v="6"/>
    <x v="16"/>
    <n v="4"/>
    <n v="9"/>
    <s v="USD"/>
    <x v="0"/>
    <s v="EMP0026"/>
    <n v="36"/>
    <s v="Tue"/>
    <x v="3"/>
    <x v="0"/>
  </r>
  <r>
    <x v="1861"/>
    <d v="2023-12-08T21:58:04"/>
    <x v="1838"/>
    <x v="3"/>
    <x v="8"/>
    <n v="4.5"/>
    <n v="4"/>
    <s v="USD"/>
    <x v="0"/>
    <s v="EMP0095"/>
    <n v="18"/>
    <s v="Fri"/>
    <x v="4"/>
    <x v="4"/>
  </r>
  <r>
    <x v="1862"/>
    <d v="2024-06-11T23:34:04"/>
    <x v="1839"/>
    <x v="9"/>
    <x v="11"/>
    <n v="4"/>
    <n v="2"/>
    <s v="USD"/>
    <x v="1"/>
    <s v="EMP0004"/>
    <n v="8"/>
    <s v="Tue"/>
    <x v="3"/>
    <x v="1"/>
  </r>
  <r>
    <x v="1863"/>
    <d v="2021-10-28T16:20:04"/>
    <x v="1840"/>
    <x v="2"/>
    <x v="17"/>
    <n v="2.5"/>
    <n v="3"/>
    <s v="USD"/>
    <x v="3"/>
    <s v="EMP0047"/>
    <n v="7.5"/>
    <s v="Thu"/>
    <x v="0"/>
    <x v="0"/>
  </r>
  <r>
    <x v="1864"/>
    <d v="2023-01-24T18:52:04"/>
    <x v="1841"/>
    <x v="4"/>
    <x v="9"/>
    <n v="3"/>
    <n v="6"/>
    <s v="USD"/>
    <x v="0"/>
    <s v="EMP0088"/>
    <n v="18"/>
    <s v="Tue"/>
    <x v="2"/>
    <x v="4"/>
  </r>
  <r>
    <x v="1865"/>
    <d v="2021-10-01T20:55:04"/>
    <x v="1124"/>
    <x v="2"/>
    <x v="11"/>
    <n v="4"/>
    <n v="10"/>
    <s v="USD"/>
    <x v="5"/>
    <s v="EMP0065"/>
    <n v="40"/>
    <s v="Fri"/>
    <x v="0"/>
    <x v="0"/>
  </r>
  <r>
    <x v="1866"/>
    <d v="2023-05-19T01:47:04"/>
    <x v="1842"/>
    <x v="1"/>
    <x v="1"/>
    <n v="1"/>
    <n v="3"/>
    <s v="USD"/>
    <x v="3"/>
    <s v="EMP0057"/>
    <n v="3"/>
    <s v="Fri"/>
    <x v="5"/>
    <x v="4"/>
  </r>
  <r>
    <x v="1867"/>
    <d v="2022-12-15T17:02:04"/>
    <x v="1843"/>
    <x v="4"/>
    <x v="9"/>
    <n v="3"/>
    <n v="10"/>
    <s v="USD"/>
    <x v="3"/>
    <s v="EMP0017"/>
    <n v="30"/>
    <s v="Thu"/>
    <x v="4"/>
    <x v="3"/>
  </r>
  <r>
    <x v="1868"/>
    <d v="2022-06-15T04:20:04"/>
    <x v="1844"/>
    <x v="7"/>
    <x v="15"/>
    <n v="1.5"/>
    <n v="4"/>
    <s v="USD"/>
    <x v="3"/>
    <s v="EMP0077"/>
    <n v="6"/>
    <s v="Wed"/>
    <x v="3"/>
    <x v="3"/>
  </r>
  <r>
    <x v="1869"/>
    <d v="2022-04-28T03:25:04"/>
    <x v="1845"/>
    <x v="2"/>
    <x v="8"/>
    <n v="4.5"/>
    <n v="5"/>
    <s v="USD"/>
    <x v="5"/>
    <s v="EMP0091"/>
    <n v="22.5"/>
    <s v="Thu"/>
    <x v="11"/>
    <x v="3"/>
  </r>
  <r>
    <x v="1870"/>
    <d v="2023-05-08T10:31:04"/>
    <x v="1846"/>
    <x v="4"/>
    <x v="13"/>
    <n v="0.8"/>
    <n v="5"/>
    <s v="USD"/>
    <x v="3"/>
    <s v="EMP0069"/>
    <n v="4"/>
    <s v="Mon"/>
    <x v="5"/>
    <x v="4"/>
  </r>
  <r>
    <x v="1871"/>
    <d v="2022-02-16T05:32:04"/>
    <x v="1847"/>
    <x v="9"/>
    <x v="5"/>
    <n v="1"/>
    <n v="9"/>
    <s v="USD"/>
    <x v="4"/>
    <s v="EMP0052"/>
    <n v="9"/>
    <s v="Wed"/>
    <x v="7"/>
    <x v="3"/>
  </r>
  <r>
    <x v="1872"/>
    <d v="2021-11-20T11:52:04"/>
    <x v="1848"/>
    <x v="0"/>
    <x v="19"/>
    <n v="5.5"/>
    <n v="10"/>
    <s v="USD"/>
    <x v="5"/>
    <s v="EMP0034"/>
    <n v="55"/>
    <s v="Sat"/>
    <x v="10"/>
    <x v="0"/>
  </r>
  <r>
    <x v="1873"/>
    <d v="2021-09-10T13:24:04"/>
    <x v="1849"/>
    <x v="5"/>
    <x v="18"/>
    <n v="1.7"/>
    <n v="5"/>
    <s v="USD"/>
    <x v="0"/>
    <s v="EMP0043"/>
    <n v="8.5"/>
    <s v="Fri"/>
    <x v="9"/>
    <x v="0"/>
  </r>
  <r>
    <x v="1874"/>
    <d v="2025-01-08T09:13:04"/>
    <x v="1850"/>
    <x v="9"/>
    <x v="4"/>
    <n v="3.2"/>
    <n v="1"/>
    <s v="USD"/>
    <x v="0"/>
    <s v="EMP0064"/>
    <n v="3.2"/>
    <s v="Wed"/>
    <x v="2"/>
    <x v="2"/>
  </r>
  <r>
    <x v="1875"/>
    <d v="2024-12-10T18:29:04"/>
    <x v="1851"/>
    <x v="12"/>
    <x v="17"/>
    <n v="2.5"/>
    <n v="6"/>
    <s v="USD"/>
    <x v="3"/>
    <s v="EMP0054"/>
    <n v="15"/>
    <s v="Tue"/>
    <x v="4"/>
    <x v="1"/>
  </r>
  <r>
    <x v="1876"/>
    <d v="2021-12-30T13:47:04"/>
    <x v="1852"/>
    <x v="1"/>
    <x v="9"/>
    <n v="3"/>
    <n v="9"/>
    <s v="USD"/>
    <x v="5"/>
    <s v="EMP0017"/>
    <n v="27"/>
    <s v="Thu"/>
    <x v="4"/>
    <x v="0"/>
  </r>
  <r>
    <x v="1877"/>
    <d v="2023-11-01T14:24:04"/>
    <x v="1853"/>
    <x v="7"/>
    <x v="17"/>
    <n v="2.5"/>
    <n v="8"/>
    <s v="USD"/>
    <x v="1"/>
    <s v="EMP0029"/>
    <n v="20"/>
    <s v="Wed"/>
    <x v="10"/>
    <x v="4"/>
  </r>
  <r>
    <x v="1878"/>
    <d v="2021-09-16T01:59:04"/>
    <x v="1854"/>
    <x v="10"/>
    <x v="8"/>
    <n v="4.5"/>
    <n v="4"/>
    <s v="USD"/>
    <x v="3"/>
    <s v="EMP0008"/>
    <n v="18"/>
    <s v="Thu"/>
    <x v="9"/>
    <x v="0"/>
  </r>
  <r>
    <x v="1879"/>
    <d v="2025-03-17T06:52:04"/>
    <x v="1855"/>
    <x v="12"/>
    <x v="6"/>
    <n v="7"/>
    <n v="1"/>
    <s v="USD"/>
    <x v="1"/>
    <s v="EMP0062"/>
    <n v="7"/>
    <s v="Mon"/>
    <x v="1"/>
    <x v="2"/>
  </r>
  <r>
    <x v="1880"/>
    <d v="2025-01-23T00:37:04"/>
    <x v="1856"/>
    <x v="8"/>
    <x v="14"/>
    <n v="2.2000000000000002"/>
    <n v="7"/>
    <s v="USD"/>
    <x v="2"/>
    <s v="EMP0055"/>
    <n v="15.400000000000002"/>
    <s v="Thu"/>
    <x v="2"/>
    <x v="2"/>
  </r>
  <r>
    <x v="1881"/>
    <d v="2022-04-10T09:19:04"/>
    <x v="1857"/>
    <x v="10"/>
    <x v="19"/>
    <n v="5.5"/>
    <n v="10"/>
    <s v="USD"/>
    <x v="4"/>
    <s v="EMP0046"/>
    <n v="55"/>
    <s v="Sun"/>
    <x v="11"/>
    <x v="3"/>
  </r>
  <r>
    <x v="1882"/>
    <d v="2024-04-08T02:59:04"/>
    <x v="1858"/>
    <x v="1"/>
    <x v="17"/>
    <n v="2.5"/>
    <n v="4"/>
    <s v="USD"/>
    <x v="0"/>
    <s v="EMP0012"/>
    <n v="10"/>
    <s v="Mon"/>
    <x v="11"/>
    <x v="1"/>
  </r>
  <r>
    <x v="1883"/>
    <d v="2022-01-20T13:12:04"/>
    <x v="1859"/>
    <x v="8"/>
    <x v="1"/>
    <n v="1"/>
    <n v="10"/>
    <s v="USD"/>
    <x v="3"/>
    <s v="EMP0002"/>
    <n v="10"/>
    <s v="Thu"/>
    <x v="2"/>
    <x v="3"/>
  </r>
  <r>
    <x v="1884"/>
    <d v="2023-12-15T12:22:04"/>
    <x v="1860"/>
    <x v="13"/>
    <x v="14"/>
    <n v="2.2000000000000002"/>
    <n v="8"/>
    <s v="USD"/>
    <x v="0"/>
    <s v="EMP0037"/>
    <n v="17.600000000000001"/>
    <s v="Fri"/>
    <x v="4"/>
    <x v="4"/>
  </r>
  <r>
    <x v="1885"/>
    <d v="2025-02-09T03:04:04"/>
    <x v="1861"/>
    <x v="12"/>
    <x v="2"/>
    <n v="2.5"/>
    <n v="5"/>
    <s v="USD"/>
    <x v="0"/>
    <s v="EMP0078"/>
    <n v="12.5"/>
    <s v="Sun"/>
    <x v="7"/>
    <x v="2"/>
  </r>
  <r>
    <x v="1886"/>
    <d v="2023-02-14T21:44:04"/>
    <x v="1862"/>
    <x v="7"/>
    <x v="9"/>
    <n v="3"/>
    <n v="2"/>
    <s v="USD"/>
    <x v="4"/>
    <s v="EMP0070"/>
    <n v="6"/>
    <s v="Tue"/>
    <x v="7"/>
    <x v="4"/>
  </r>
  <r>
    <x v="1887"/>
    <d v="2024-03-13T21:41:04"/>
    <x v="1863"/>
    <x v="0"/>
    <x v="7"/>
    <n v="2.8"/>
    <n v="4"/>
    <s v="USD"/>
    <x v="5"/>
    <s v="EMP0092"/>
    <n v="11.2"/>
    <s v="Wed"/>
    <x v="1"/>
    <x v="1"/>
  </r>
  <r>
    <x v="1888"/>
    <d v="2023-08-29T01:37:04"/>
    <x v="1864"/>
    <x v="9"/>
    <x v="8"/>
    <n v="4.5"/>
    <n v="4"/>
    <s v="USD"/>
    <x v="1"/>
    <s v="EMP0035"/>
    <n v="18"/>
    <s v="Tue"/>
    <x v="6"/>
    <x v="4"/>
  </r>
  <r>
    <x v="1889"/>
    <d v="2023-07-25T14:52:04"/>
    <x v="1865"/>
    <x v="9"/>
    <x v="19"/>
    <n v="5.5"/>
    <n v="1"/>
    <s v="USD"/>
    <x v="4"/>
    <s v="EMP0053"/>
    <n v="5.5"/>
    <s v="Tue"/>
    <x v="8"/>
    <x v="4"/>
  </r>
  <r>
    <x v="1890"/>
    <d v="2021-05-25T17:55:04"/>
    <x v="1866"/>
    <x v="11"/>
    <x v="9"/>
    <n v="3"/>
    <n v="4"/>
    <s v="USD"/>
    <x v="0"/>
    <s v="EMP0067"/>
    <n v="12"/>
    <s v="Tue"/>
    <x v="5"/>
    <x v="0"/>
  </r>
  <r>
    <x v="1891"/>
    <d v="2024-01-23T03:39:04"/>
    <x v="1867"/>
    <x v="9"/>
    <x v="11"/>
    <n v="4"/>
    <n v="2"/>
    <s v="USD"/>
    <x v="4"/>
    <s v="EMP0093"/>
    <n v="8"/>
    <s v="Tue"/>
    <x v="2"/>
    <x v="1"/>
  </r>
  <r>
    <x v="1892"/>
    <d v="2024-07-23T12:11:04"/>
    <x v="1868"/>
    <x v="0"/>
    <x v="10"/>
    <n v="5"/>
    <n v="8"/>
    <s v="USD"/>
    <x v="3"/>
    <s v="EMP0003"/>
    <n v="40"/>
    <s v="Tue"/>
    <x v="8"/>
    <x v="1"/>
  </r>
  <r>
    <x v="1893"/>
    <d v="2022-07-23T12:09:04"/>
    <x v="1869"/>
    <x v="11"/>
    <x v="16"/>
    <n v="4"/>
    <n v="7"/>
    <s v="USD"/>
    <x v="4"/>
    <s v="EMP0011"/>
    <n v="28"/>
    <s v="Sat"/>
    <x v="8"/>
    <x v="3"/>
  </r>
  <r>
    <x v="1894"/>
    <d v="2025-01-07T04:32:04"/>
    <x v="1870"/>
    <x v="12"/>
    <x v="6"/>
    <n v="7"/>
    <n v="8"/>
    <s v="USD"/>
    <x v="3"/>
    <s v="EMP0049"/>
    <n v="56"/>
    <s v="Tue"/>
    <x v="2"/>
    <x v="2"/>
  </r>
  <r>
    <x v="1895"/>
    <d v="2023-03-13T23:24:04"/>
    <x v="1871"/>
    <x v="2"/>
    <x v="11"/>
    <n v="4"/>
    <n v="7"/>
    <s v="USD"/>
    <x v="0"/>
    <s v="EMP0085"/>
    <n v="28"/>
    <s v="Mon"/>
    <x v="1"/>
    <x v="4"/>
  </r>
  <r>
    <x v="1896"/>
    <d v="2022-12-08T20:23:04"/>
    <x v="1872"/>
    <x v="3"/>
    <x v="8"/>
    <n v="4.5"/>
    <n v="1"/>
    <s v="USD"/>
    <x v="1"/>
    <s v="EMP0098"/>
    <n v="4.5"/>
    <s v="Thu"/>
    <x v="4"/>
    <x v="3"/>
  </r>
  <r>
    <x v="1897"/>
    <d v="2023-05-28T12:28:04"/>
    <x v="1873"/>
    <x v="12"/>
    <x v="4"/>
    <n v="3.2"/>
    <n v="5"/>
    <s v="USD"/>
    <x v="1"/>
    <s v="EMP0028"/>
    <n v="16"/>
    <s v="Sun"/>
    <x v="5"/>
    <x v="4"/>
  </r>
  <r>
    <x v="1898"/>
    <d v="2025-03-14T02:40:04"/>
    <x v="1874"/>
    <x v="4"/>
    <x v="5"/>
    <n v="1"/>
    <n v="7"/>
    <s v="USD"/>
    <x v="5"/>
    <s v="EMP0094"/>
    <n v="7"/>
    <s v="Fri"/>
    <x v="1"/>
    <x v="2"/>
  </r>
  <r>
    <x v="1899"/>
    <d v="2025-01-13T09:51:04"/>
    <x v="1875"/>
    <x v="8"/>
    <x v="8"/>
    <n v="4.5"/>
    <n v="9"/>
    <s v="USD"/>
    <x v="5"/>
    <s v="EMP0055"/>
    <n v="40.5"/>
    <s v="Mon"/>
    <x v="2"/>
    <x v="2"/>
  </r>
  <r>
    <x v="1900"/>
    <d v="2022-02-21T13:50:04"/>
    <x v="1876"/>
    <x v="14"/>
    <x v="12"/>
    <n v="1.8"/>
    <n v="5"/>
    <s v="USD"/>
    <x v="0"/>
    <s v="EMP0049"/>
    <n v="9"/>
    <s v="Mon"/>
    <x v="7"/>
    <x v="3"/>
  </r>
  <r>
    <x v="1901"/>
    <d v="2022-09-24T13:27:04"/>
    <x v="1877"/>
    <x v="2"/>
    <x v="14"/>
    <n v="2.2000000000000002"/>
    <n v="1"/>
    <s v="USD"/>
    <x v="4"/>
    <s v="EMP0088"/>
    <n v="2.2000000000000002"/>
    <s v="Sat"/>
    <x v="9"/>
    <x v="3"/>
  </r>
  <r>
    <x v="1902"/>
    <d v="2023-10-26T11:11:04"/>
    <x v="1878"/>
    <x v="14"/>
    <x v="1"/>
    <n v="1"/>
    <n v="5"/>
    <s v="USD"/>
    <x v="4"/>
    <s v="EMP0074"/>
    <n v="5"/>
    <s v="Thu"/>
    <x v="0"/>
    <x v="4"/>
  </r>
  <r>
    <x v="1903"/>
    <d v="2023-02-21T11:47:04"/>
    <x v="1879"/>
    <x v="11"/>
    <x v="7"/>
    <n v="2.8"/>
    <n v="5"/>
    <s v="USD"/>
    <x v="2"/>
    <s v="EMP0033"/>
    <n v="14"/>
    <s v="Tue"/>
    <x v="7"/>
    <x v="4"/>
  </r>
  <r>
    <x v="1904"/>
    <d v="2021-09-09T18:26:04"/>
    <x v="1880"/>
    <x v="7"/>
    <x v="8"/>
    <n v="4.5"/>
    <n v="10"/>
    <s v="USD"/>
    <x v="2"/>
    <s v="EMP0042"/>
    <n v="45"/>
    <s v="Thu"/>
    <x v="9"/>
    <x v="0"/>
  </r>
  <r>
    <x v="1905"/>
    <d v="2023-11-15T07:58:04"/>
    <x v="1881"/>
    <x v="10"/>
    <x v="3"/>
    <n v="1.2"/>
    <n v="8"/>
    <s v="USD"/>
    <x v="3"/>
    <s v="EMP0060"/>
    <n v="9.6"/>
    <s v="Wed"/>
    <x v="10"/>
    <x v="4"/>
  </r>
  <r>
    <x v="1906"/>
    <d v="2025-02-23T01:56:04"/>
    <x v="531"/>
    <x v="3"/>
    <x v="1"/>
    <n v="1"/>
    <n v="4"/>
    <s v="USD"/>
    <x v="5"/>
    <s v="EMP0008"/>
    <n v="4"/>
    <s v="Sun"/>
    <x v="7"/>
    <x v="2"/>
  </r>
  <r>
    <x v="1907"/>
    <d v="2022-02-08T11:09:04"/>
    <x v="1882"/>
    <x v="1"/>
    <x v="5"/>
    <n v="1"/>
    <n v="9"/>
    <s v="USD"/>
    <x v="4"/>
    <s v="EMP0009"/>
    <n v="9"/>
    <s v="Tue"/>
    <x v="7"/>
    <x v="3"/>
  </r>
  <r>
    <x v="1908"/>
    <d v="2022-11-19T08:10:04"/>
    <x v="1883"/>
    <x v="14"/>
    <x v="0"/>
    <n v="3.1"/>
    <n v="5"/>
    <s v="USD"/>
    <x v="5"/>
    <s v="EMP0017"/>
    <n v="15.5"/>
    <s v="Sat"/>
    <x v="10"/>
    <x v="3"/>
  </r>
  <r>
    <x v="1909"/>
    <d v="2024-01-29T17:15:04"/>
    <x v="1884"/>
    <x v="6"/>
    <x v="5"/>
    <n v="1"/>
    <n v="1"/>
    <s v="USD"/>
    <x v="0"/>
    <s v="EMP0015"/>
    <n v="1"/>
    <s v="Mon"/>
    <x v="2"/>
    <x v="1"/>
  </r>
  <r>
    <x v="1910"/>
    <d v="2021-09-07T12:15:04"/>
    <x v="1885"/>
    <x v="3"/>
    <x v="12"/>
    <n v="1.8"/>
    <n v="8"/>
    <s v="USD"/>
    <x v="1"/>
    <s v="EMP0041"/>
    <n v="14.4"/>
    <s v="Tue"/>
    <x v="9"/>
    <x v="0"/>
  </r>
  <r>
    <x v="1911"/>
    <d v="2025-02-12T19:41:04"/>
    <x v="1886"/>
    <x v="2"/>
    <x v="17"/>
    <n v="2.5"/>
    <n v="5"/>
    <s v="USD"/>
    <x v="4"/>
    <s v="EMP0003"/>
    <n v="12.5"/>
    <s v="Wed"/>
    <x v="7"/>
    <x v="2"/>
  </r>
  <r>
    <x v="1912"/>
    <d v="2021-07-20T01:52:04"/>
    <x v="1887"/>
    <x v="0"/>
    <x v="17"/>
    <n v="2.5"/>
    <n v="10"/>
    <s v="USD"/>
    <x v="0"/>
    <s v="EMP0045"/>
    <n v="25"/>
    <s v="Tue"/>
    <x v="8"/>
    <x v="0"/>
  </r>
  <r>
    <x v="1913"/>
    <d v="2024-09-28T10:54:04"/>
    <x v="1888"/>
    <x v="10"/>
    <x v="19"/>
    <n v="5.5"/>
    <n v="9"/>
    <s v="USD"/>
    <x v="3"/>
    <s v="EMP0031"/>
    <n v="49.5"/>
    <s v="Sat"/>
    <x v="9"/>
    <x v="1"/>
  </r>
  <r>
    <x v="1914"/>
    <d v="2024-03-18T02:50:04"/>
    <x v="1889"/>
    <x v="5"/>
    <x v="18"/>
    <n v="1.7"/>
    <n v="2"/>
    <s v="USD"/>
    <x v="2"/>
    <s v="EMP0055"/>
    <n v="3.4"/>
    <s v="Mon"/>
    <x v="1"/>
    <x v="1"/>
  </r>
  <r>
    <x v="1915"/>
    <d v="2023-10-08T09:25:04"/>
    <x v="1890"/>
    <x v="5"/>
    <x v="5"/>
    <n v="1"/>
    <n v="6"/>
    <s v="USD"/>
    <x v="4"/>
    <s v="EMP0053"/>
    <n v="6"/>
    <s v="Sun"/>
    <x v="0"/>
    <x v="4"/>
  </r>
  <r>
    <x v="1916"/>
    <d v="2021-09-12T01:56:04"/>
    <x v="1891"/>
    <x v="11"/>
    <x v="5"/>
    <n v="1"/>
    <n v="1"/>
    <s v="USD"/>
    <x v="0"/>
    <s v="EMP0048"/>
    <n v="1"/>
    <s v="Sun"/>
    <x v="9"/>
    <x v="0"/>
  </r>
  <r>
    <x v="1917"/>
    <d v="2025-02-07T03:27:04"/>
    <x v="1892"/>
    <x v="6"/>
    <x v="16"/>
    <n v="4"/>
    <n v="1"/>
    <s v="USD"/>
    <x v="3"/>
    <s v="EMP0078"/>
    <n v="4"/>
    <s v="Fri"/>
    <x v="7"/>
    <x v="2"/>
  </r>
  <r>
    <x v="1918"/>
    <d v="2024-03-02T02:54:04"/>
    <x v="1893"/>
    <x v="0"/>
    <x v="12"/>
    <n v="1.8"/>
    <n v="10"/>
    <s v="USD"/>
    <x v="2"/>
    <s v="EMP0045"/>
    <n v="18"/>
    <s v="Sat"/>
    <x v="1"/>
    <x v="1"/>
  </r>
  <r>
    <x v="1919"/>
    <d v="2024-02-24T00:33:04"/>
    <x v="1894"/>
    <x v="12"/>
    <x v="17"/>
    <n v="2.5"/>
    <n v="3"/>
    <s v="USD"/>
    <x v="5"/>
    <s v="EMP0098"/>
    <n v="7.5"/>
    <s v="Sat"/>
    <x v="7"/>
    <x v="1"/>
  </r>
  <r>
    <x v="1920"/>
    <d v="2021-09-18T11:22:04"/>
    <x v="1895"/>
    <x v="1"/>
    <x v="2"/>
    <n v="2.5"/>
    <n v="10"/>
    <s v="USD"/>
    <x v="1"/>
    <s v="EMP0074"/>
    <n v="25"/>
    <s v="Sat"/>
    <x v="9"/>
    <x v="0"/>
  </r>
  <r>
    <x v="1921"/>
    <d v="2021-10-26T19:40:04"/>
    <x v="1896"/>
    <x v="8"/>
    <x v="1"/>
    <n v="1"/>
    <n v="2"/>
    <s v="USD"/>
    <x v="1"/>
    <s v="EMP0007"/>
    <n v="2"/>
    <s v="Tue"/>
    <x v="0"/>
    <x v="0"/>
  </r>
  <r>
    <x v="1922"/>
    <d v="2021-12-12T21:44:04"/>
    <x v="1897"/>
    <x v="9"/>
    <x v="12"/>
    <n v="1.8"/>
    <n v="8"/>
    <s v="USD"/>
    <x v="4"/>
    <s v="EMP0035"/>
    <n v="14.4"/>
    <s v="Sun"/>
    <x v="4"/>
    <x v="0"/>
  </r>
  <r>
    <x v="1923"/>
    <d v="2024-04-04T19:08:04"/>
    <x v="1898"/>
    <x v="1"/>
    <x v="2"/>
    <n v="2.5"/>
    <n v="6"/>
    <s v="USD"/>
    <x v="0"/>
    <s v="EMP0099"/>
    <n v="15"/>
    <s v="Thu"/>
    <x v="11"/>
    <x v="1"/>
  </r>
  <r>
    <x v="1924"/>
    <d v="2023-04-29T05:57:04"/>
    <x v="1899"/>
    <x v="5"/>
    <x v="19"/>
    <n v="5.5"/>
    <n v="4"/>
    <s v="USD"/>
    <x v="5"/>
    <s v="EMP0094"/>
    <n v="22"/>
    <s v="Sat"/>
    <x v="11"/>
    <x v="4"/>
  </r>
  <r>
    <x v="1925"/>
    <d v="2023-01-21T02:21:04"/>
    <x v="1900"/>
    <x v="5"/>
    <x v="1"/>
    <n v="1"/>
    <n v="9"/>
    <s v="USD"/>
    <x v="3"/>
    <s v="EMP0047"/>
    <n v="9"/>
    <s v="Sat"/>
    <x v="2"/>
    <x v="4"/>
  </r>
  <r>
    <x v="1926"/>
    <d v="2021-09-08T21:48:04"/>
    <x v="1901"/>
    <x v="2"/>
    <x v="10"/>
    <n v="5"/>
    <n v="7"/>
    <s v="USD"/>
    <x v="0"/>
    <s v="EMP0073"/>
    <n v="35"/>
    <s v="Wed"/>
    <x v="9"/>
    <x v="0"/>
  </r>
  <r>
    <x v="1927"/>
    <d v="2024-08-25T20:11:04"/>
    <x v="1902"/>
    <x v="14"/>
    <x v="18"/>
    <n v="1.7"/>
    <n v="10"/>
    <s v="USD"/>
    <x v="2"/>
    <s v="EMP0018"/>
    <n v="17"/>
    <s v="Sun"/>
    <x v="6"/>
    <x v="1"/>
  </r>
  <r>
    <x v="1928"/>
    <d v="2021-12-16T04:36:04"/>
    <x v="1903"/>
    <x v="11"/>
    <x v="4"/>
    <n v="3.2"/>
    <n v="6"/>
    <s v="USD"/>
    <x v="3"/>
    <s v="EMP0011"/>
    <n v="19.200000000000003"/>
    <s v="Thu"/>
    <x v="4"/>
    <x v="0"/>
  </r>
  <r>
    <x v="1929"/>
    <d v="2023-01-23T23:54:04"/>
    <x v="1904"/>
    <x v="6"/>
    <x v="16"/>
    <n v="4"/>
    <n v="8"/>
    <s v="USD"/>
    <x v="2"/>
    <s v="EMP0099"/>
    <n v="32"/>
    <s v="Mon"/>
    <x v="2"/>
    <x v="4"/>
  </r>
  <r>
    <x v="1930"/>
    <d v="2024-03-30T07:30:04"/>
    <x v="1905"/>
    <x v="10"/>
    <x v="3"/>
    <n v="1.2"/>
    <n v="3"/>
    <s v="USD"/>
    <x v="3"/>
    <s v="EMP0054"/>
    <n v="3.5999999999999996"/>
    <s v="Sat"/>
    <x v="1"/>
    <x v="1"/>
  </r>
  <r>
    <x v="1931"/>
    <d v="2023-11-16T19:41:04"/>
    <x v="1906"/>
    <x v="1"/>
    <x v="15"/>
    <n v="1.5"/>
    <n v="2"/>
    <s v="USD"/>
    <x v="0"/>
    <s v="EMP0005"/>
    <n v="3"/>
    <s v="Thu"/>
    <x v="10"/>
    <x v="4"/>
  </r>
  <r>
    <x v="1932"/>
    <d v="2022-12-08T12:42:04"/>
    <x v="1907"/>
    <x v="6"/>
    <x v="9"/>
    <n v="3"/>
    <n v="3"/>
    <s v="USD"/>
    <x v="1"/>
    <s v="EMP0068"/>
    <n v="9"/>
    <s v="Thu"/>
    <x v="4"/>
    <x v="3"/>
  </r>
  <r>
    <x v="1933"/>
    <d v="2023-03-07T00:04:04"/>
    <x v="1908"/>
    <x v="6"/>
    <x v="6"/>
    <n v="7"/>
    <n v="9"/>
    <s v="USD"/>
    <x v="0"/>
    <s v="EMP0092"/>
    <n v="63"/>
    <s v="Tue"/>
    <x v="1"/>
    <x v="4"/>
  </r>
  <r>
    <x v="1934"/>
    <d v="2023-09-17T10:05:04"/>
    <x v="1909"/>
    <x v="1"/>
    <x v="4"/>
    <n v="3.2"/>
    <n v="10"/>
    <s v="USD"/>
    <x v="1"/>
    <s v="EMP0079"/>
    <n v="32"/>
    <s v="Sun"/>
    <x v="9"/>
    <x v="4"/>
  </r>
  <r>
    <x v="1935"/>
    <d v="2024-09-30T14:24:04"/>
    <x v="1910"/>
    <x v="7"/>
    <x v="7"/>
    <n v="2.8"/>
    <n v="8"/>
    <s v="USD"/>
    <x v="5"/>
    <s v="EMP0081"/>
    <n v="22.4"/>
    <s v="Mon"/>
    <x v="9"/>
    <x v="1"/>
  </r>
  <r>
    <x v="1936"/>
    <d v="2022-10-30T13:33:04"/>
    <x v="1221"/>
    <x v="8"/>
    <x v="8"/>
    <n v="4.5"/>
    <n v="8"/>
    <s v="USD"/>
    <x v="2"/>
    <s v="EMP0018"/>
    <n v="36"/>
    <s v="Sun"/>
    <x v="0"/>
    <x v="3"/>
  </r>
  <r>
    <x v="1937"/>
    <d v="2024-04-28T13:37:04"/>
    <x v="1911"/>
    <x v="12"/>
    <x v="12"/>
    <n v="1.8"/>
    <n v="2"/>
    <s v="USD"/>
    <x v="0"/>
    <s v="EMP0001"/>
    <n v="3.6"/>
    <s v="Sun"/>
    <x v="11"/>
    <x v="1"/>
  </r>
  <r>
    <x v="1938"/>
    <d v="2022-01-09T19:03:04"/>
    <x v="1912"/>
    <x v="3"/>
    <x v="10"/>
    <n v="5"/>
    <n v="7"/>
    <s v="USD"/>
    <x v="4"/>
    <s v="EMP0057"/>
    <n v="35"/>
    <s v="Sun"/>
    <x v="2"/>
    <x v="3"/>
  </r>
  <r>
    <x v="1939"/>
    <d v="2024-05-12T20:40:04"/>
    <x v="1913"/>
    <x v="12"/>
    <x v="0"/>
    <n v="3.1"/>
    <n v="2"/>
    <s v="USD"/>
    <x v="0"/>
    <s v="EMP0039"/>
    <n v="6.2"/>
    <s v="Sun"/>
    <x v="5"/>
    <x v="1"/>
  </r>
  <r>
    <x v="1940"/>
    <d v="2022-08-03T03:23:04"/>
    <x v="1914"/>
    <x v="12"/>
    <x v="12"/>
    <n v="1.8"/>
    <n v="9"/>
    <s v="USD"/>
    <x v="1"/>
    <s v="EMP0066"/>
    <n v="16.2"/>
    <s v="Wed"/>
    <x v="6"/>
    <x v="3"/>
  </r>
  <r>
    <x v="1941"/>
    <d v="2022-12-18T04:06:04"/>
    <x v="1915"/>
    <x v="8"/>
    <x v="4"/>
    <n v="3.2"/>
    <n v="3"/>
    <s v="USD"/>
    <x v="0"/>
    <s v="EMP0006"/>
    <n v="9.6000000000000014"/>
    <s v="Sun"/>
    <x v="4"/>
    <x v="3"/>
  </r>
  <r>
    <x v="1942"/>
    <d v="2024-03-03T23:53:04"/>
    <x v="1916"/>
    <x v="11"/>
    <x v="16"/>
    <n v="4"/>
    <n v="10"/>
    <s v="USD"/>
    <x v="4"/>
    <s v="EMP0013"/>
    <n v="40"/>
    <s v="Sun"/>
    <x v="1"/>
    <x v="1"/>
  </r>
  <r>
    <x v="1943"/>
    <d v="2023-05-29T04:16:04"/>
    <x v="1917"/>
    <x v="7"/>
    <x v="8"/>
    <n v="4.5"/>
    <n v="5"/>
    <s v="USD"/>
    <x v="5"/>
    <s v="EMP0057"/>
    <n v="22.5"/>
    <s v="Mon"/>
    <x v="5"/>
    <x v="4"/>
  </r>
  <r>
    <x v="1944"/>
    <d v="2024-02-06T08:08:04"/>
    <x v="1918"/>
    <x v="1"/>
    <x v="0"/>
    <n v="3.1"/>
    <n v="10"/>
    <s v="USD"/>
    <x v="3"/>
    <s v="EMP0030"/>
    <n v="31"/>
    <s v="Tue"/>
    <x v="7"/>
    <x v="1"/>
  </r>
  <r>
    <x v="1945"/>
    <d v="2021-08-14T05:17:04"/>
    <x v="1919"/>
    <x v="7"/>
    <x v="11"/>
    <n v="4"/>
    <n v="9"/>
    <s v="USD"/>
    <x v="1"/>
    <s v="EMP0097"/>
    <n v="36"/>
    <s v="Sat"/>
    <x v="6"/>
    <x v="0"/>
  </r>
  <r>
    <x v="1946"/>
    <d v="2024-05-29T12:48:04"/>
    <x v="1920"/>
    <x v="1"/>
    <x v="17"/>
    <n v="2.5"/>
    <n v="9"/>
    <s v="USD"/>
    <x v="1"/>
    <s v="EMP0025"/>
    <n v="22.5"/>
    <s v="Wed"/>
    <x v="5"/>
    <x v="1"/>
  </r>
  <r>
    <x v="1947"/>
    <d v="2025-04-25T21:33:04"/>
    <x v="1921"/>
    <x v="4"/>
    <x v="3"/>
    <n v="1.2"/>
    <n v="6"/>
    <s v="USD"/>
    <x v="0"/>
    <s v="EMP0037"/>
    <n v="7.1999999999999993"/>
    <s v="Fri"/>
    <x v="11"/>
    <x v="2"/>
  </r>
  <r>
    <x v="1948"/>
    <d v="2022-02-24T23:40:04"/>
    <x v="1922"/>
    <x v="10"/>
    <x v="12"/>
    <n v="1.8"/>
    <n v="3"/>
    <s v="USD"/>
    <x v="5"/>
    <s v="EMP0038"/>
    <n v="5.4"/>
    <s v="Thu"/>
    <x v="7"/>
    <x v="3"/>
  </r>
  <r>
    <x v="1949"/>
    <d v="2024-09-26T14:41:04"/>
    <x v="1923"/>
    <x v="1"/>
    <x v="19"/>
    <n v="5.5"/>
    <n v="8"/>
    <s v="USD"/>
    <x v="5"/>
    <s v="EMP0064"/>
    <n v="44"/>
    <s v="Thu"/>
    <x v="9"/>
    <x v="1"/>
  </r>
  <r>
    <x v="1950"/>
    <d v="2023-11-18T10:31:04"/>
    <x v="1924"/>
    <x v="6"/>
    <x v="0"/>
    <n v="3.1"/>
    <n v="2"/>
    <s v="USD"/>
    <x v="4"/>
    <s v="EMP0011"/>
    <n v="6.2"/>
    <s v="Sat"/>
    <x v="10"/>
    <x v="4"/>
  </r>
  <r>
    <x v="1951"/>
    <d v="2024-02-08T14:22:04"/>
    <x v="1925"/>
    <x v="5"/>
    <x v="13"/>
    <n v="0.8"/>
    <n v="9"/>
    <s v="USD"/>
    <x v="4"/>
    <s v="EMP0036"/>
    <n v="7.2"/>
    <s v="Thu"/>
    <x v="7"/>
    <x v="1"/>
  </r>
  <r>
    <x v="1952"/>
    <d v="2022-10-23T16:39:04"/>
    <x v="1926"/>
    <x v="9"/>
    <x v="9"/>
    <n v="3"/>
    <n v="6"/>
    <s v="USD"/>
    <x v="3"/>
    <s v="EMP0056"/>
    <n v="18"/>
    <s v="Sun"/>
    <x v="0"/>
    <x v="3"/>
  </r>
  <r>
    <x v="1953"/>
    <d v="2024-10-15T14:36:04"/>
    <x v="1927"/>
    <x v="9"/>
    <x v="4"/>
    <n v="3.2"/>
    <n v="4"/>
    <s v="USD"/>
    <x v="1"/>
    <s v="EMP0085"/>
    <n v="12.8"/>
    <s v="Tue"/>
    <x v="0"/>
    <x v="1"/>
  </r>
  <r>
    <x v="1954"/>
    <d v="2021-11-04T11:46:04"/>
    <x v="1928"/>
    <x v="3"/>
    <x v="3"/>
    <n v="1.2"/>
    <n v="4"/>
    <s v="USD"/>
    <x v="0"/>
    <s v="EMP0076"/>
    <n v="4.8"/>
    <s v="Thu"/>
    <x v="10"/>
    <x v="0"/>
  </r>
  <r>
    <x v="1955"/>
    <d v="2023-03-31T05:43:04"/>
    <x v="1929"/>
    <x v="2"/>
    <x v="0"/>
    <n v="3.1"/>
    <n v="8"/>
    <s v="USD"/>
    <x v="0"/>
    <s v="EMP0063"/>
    <n v="24.8"/>
    <s v="Fri"/>
    <x v="1"/>
    <x v="4"/>
  </r>
  <r>
    <x v="1956"/>
    <d v="2024-04-20T13:55:04"/>
    <x v="1930"/>
    <x v="11"/>
    <x v="14"/>
    <n v="2.2000000000000002"/>
    <n v="4"/>
    <s v="USD"/>
    <x v="2"/>
    <s v="EMP0012"/>
    <n v="8.8000000000000007"/>
    <s v="Sat"/>
    <x v="11"/>
    <x v="1"/>
  </r>
  <r>
    <x v="1957"/>
    <d v="2022-06-16T13:39:04"/>
    <x v="1931"/>
    <x v="2"/>
    <x v="3"/>
    <n v="1.2"/>
    <n v="7"/>
    <s v="USD"/>
    <x v="3"/>
    <s v="EMP0063"/>
    <n v="8.4"/>
    <s v="Thu"/>
    <x v="3"/>
    <x v="3"/>
  </r>
  <r>
    <x v="1958"/>
    <d v="2022-03-23T18:13:04"/>
    <x v="1932"/>
    <x v="0"/>
    <x v="13"/>
    <n v="0.8"/>
    <n v="1"/>
    <s v="USD"/>
    <x v="5"/>
    <s v="EMP0089"/>
    <n v="0.8"/>
    <s v="Wed"/>
    <x v="1"/>
    <x v="3"/>
  </r>
  <r>
    <x v="1959"/>
    <d v="2023-11-17T18:02:04"/>
    <x v="1933"/>
    <x v="3"/>
    <x v="16"/>
    <n v="4"/>
    <n v="4"/>
    <s v="USD"/>
    <x v="2"/>
    <s v="EMP0045"/>
    <n v="16"/>
    <s v="Fri"/>
    <x v="10"/>
    <x v="4"/>
  </r>
  <r>
    <x v="1960"/>
    <d v="2022-08-21T20:44:04"/>
    <x v="1934"/>
    <x v="6"/>
    <x v="8"/>
    <n v="4.5"/>
    <n v="4"/>
    <s v="USD"/>
    <x v="4"/>
    <s v="EMP0086"/>
    <n v="18"/>
    <s v="Sun"/>
    <x v="6"/>
    <x v="3"/>
  </r>
  <r>
    <x v="1961"/>
    <d v="2022-08-19T21:36:04"/>
    <x v="1935"/>
    <x v="3"/>
    <x v="6"/>
    <n v="7"/>
    <n v="10"/>
    <s v="USD"/>
    <x v="4"/>
    <s v="EMP0070"/>
    <n v="70"/>
    <s v="Fri"/>
    <x v="6"/>
    <x v="3"/>
  </r>
  <r>
    <x v="1962"/>
    <d v="2022-08-28T04:20:04"/>
    <x v="1936"/>
    <x v="2"/>
    <x v="19"/>
    <n v="5.5"/>
    <n v="5"/>
    <s v="USD"/>
    <x v="5"/>
    <s v="EMP0058"/>
    <n v="27.5"/>
    <s v="Sun"/>
    <x v="6"/>
    <x v="3"/>
  </r>
  <r>
    <x v="1963"/>
    <d v="2023-07-13T05:44:04"/>
    <x v="1937"/>
    <x v="8"/>
    <x v="19"/>
    <n v="5.5"/>
    <n v="3"/>
    <s v="USD"/>
    <x v="5"/>
    <s v="EMP0041"/>
    <n v="16.5"/>
    <s v="Thu"/>
    <x v="8"/>
    <x v="4"/>
  </r>
  <r>
    <x v="1964"/>
    <d v="2021-08-26T10:04:04"/>
    <x v="1938"/>
    <x v="0"/>
    <x v="6"/>
    <n v="7"/>
    <n v="3"/>
    <s v="USD"/>
    <x v="5"/>
    <s v="EMP0063"/>
    <n v="21"/>
    <s v="Thu"/>
    <x v="6"/>
    <x v="0"/>
  </r>
  <r>
    <x v="1965"/>
    <d v="2021-12-25T23:43:04"/>
    <x v="1939"/>
    <x v="2"/>
    <x v="3"/>
    <n v="1.2"/>
    <n v="5"/>
    <s v="USD"/>
    <x v="4"/>
    <s v="EMP0065"/>
    <n v="6"/>
    <s v="Sat"/>
    <x v="4"/>
    <x v="0"/>
  </r>
  <r>
    <x v="1966"/>
    <d v="2024-02-24T00:23:04"/>
    <x v="1940"/>
    <x v="9"/>
    <x v="4"/>
    <n v="3.2"/>
    <n v="5"/>
    <s v="USD"/>
    <x v="2"/>
    <s v="EMP0041"/>
    <n v="16"/>
    <s v="Sat"/>
    <x v="7"/>
    <x v="1"/>
  </r>
  <r>
    <x v="1967"/>
    <d v="2023-01-18T00:35:04"/>
    <x v="1941"/>
    <x v="10"/>
    <x v="18"/>
    <n v="1.7"/>
    <n v="7"/>
    <s v="USD"/>
    <x v="4"/>
    <s v="EMP0007"/>
    <n v="11.9"/>
    <s v="Wed"/>
    <x v="2"/>
    <x v="4"/>
  </r>
  <r>
    <x v="1968"/>
    <d v="2023-11-06T21:40:04"/>
    <x v="1942"/>
    <x v="2"/>
    <x v="4"/>
    <n v="3.2"/>
    <n v="1"/>
    <s v="USD"/>
    <x v="4"/>
    <s v="EMP0058"/>
    <n v="3.2"/>
    <s v="Mon"/>
    <x v="10"/>
    <x v="4"/>
  </r>
  <r>
    <x v="1969"/>
    <d v="2023-01-21T05:50:04"/>
    <x v="1943"/>
    <x v="1"/>
    <x v="13"/>
    <n v="0.8"/>
    <n v="9"/>
    <s v="USD"/>
    <x v="0"/>
    <s v="EMP0100"/>
    <n v="7.2"/>
    <s v="Sat"/>
    <x v="2"/>
    <x v="4"/>
  </r>
  <r>
    <x v="1970"/>
    <d v="2021-11-06T09:47:04"/>
    <x v="1944"/>
    <x v="12"/>
    <x v="4"/>
    <n v="3.2"/>
    <n v="3"/>
    <s v="USD"/>
    <x v="1"/>
    <s v="EMP0070"/>
    <n v="9.6000000000000014"/>
    <s v="Sat"/>
    <x v="10"/>
    <x v="0"/>
  </r>
  <r>
    <x v="1971"/>
    <d v="2025-03-29T14:25:04"/>
    <x v="1945"/>
    <x v="14"/>
    <x v="6"/>
    <n v="7"/>
    <n v="2"/>
    <s v="USD"/>
    <x v="2"/>
    <s v="EMP0043"/>
    <n v="14"/>
    <s v="Sat"/>
    <x v="1"/>
    <x v="2"/>
  </r>
  <r>
    <x v="1972"/>
    <d v="2023-05-17T20:22:04"/>
    <x v="1946"/>
    <x v="3"/>
    <x v="17"/>
    <n v="2.5"/>
    <n v="9"/>
    <s v="USD"/>
    <x v="0"/>
    <s v="EMP0047"/>
    <n v="22.5"/>
    <s v="Wed"/>
    <x v="5"/>
    <x v="4"/>
  </r>
  <r>
    <x v="1973"/>
    <d v="2022-05-09T07:16:04"/>
    <x v="1947"/>
    <x v="4"/>
    <x v="1"/>
    <n v="1"/>
    <n v="7"/>
    <s v="USD"/>
    <x v="2"/>
    <s v="EMP0030"/>
    <n v="7"/>
    <s v="Mon"/>
    <x v="5"/>
    <x v="3"/>
  </r>
  <r>
    <x v="1974"/>
    <d v="2023-09-23T07:28:04"/>
    <x v="1948"/>
    <x v="5"/>
    <x v="4"/>
    <n v="3.2"/>
    <n v="7"/>
    <s v="USD"/>
    <x v="0"/>
    <s v="EMP0071"/>
    <n v="22.400000000000002"/>
    <s v="Sat"/>
    <x v="9"/>
    <x v="4"/>
  </r>
  <r>
    <x v="1975"/>
    <d v="2023-12-17T13:24:04"/>
    <x v="1949"/>
    <x v="4"/>
    <x v="3"/>
    <n v="1.2"/>
    <n v="9"/>
    <s v="USD"/>
    <x v="3"/>
    <s v="EMP0065"/>
    <n v="10.799999999999999"/>
    <s v="Sun"/>
    <x v="4"/>
    <x v="4"/>
  </r>
  <r>
    <x v="1976"/>
    <d v="2023-02-14T22:24:04"/>
    <x v="1950"/>
    <x v="6"/>
    <x v="8"/>
    <n v="4.5"/>
    <n v="5"/>
    <s v="USD"/>
    <x v="3"/>
    <s v="EMP0030"/>
    <n v="22.5"/>
    <s v="Tue"/>
    <x v="7"/>
    <x v="4"/>
  </r>
  <r>
    <x v="1977"/>
    <d v="2021-10-23T15:11:04"/>
    <x v="1951"/>
    <x v="13"/>
    <x v="0"/>
    <n v="3.1"/>
    <n v="2"/>
    <s v="USD"/>
    <x v="5"/>
    <s v="EMP0084"/>
    <n v="6.2"/>
    <s v="Sat"/>
    <x v="0"/>
    <x v="0"/>
  </r>
  <r>
    <x v="1978"/>
    <d v="2023-02-09T08:34:04"/>
    <x v="1952"/>
    <x v="0"/>
    <x v="0"/>
    <n v="3.1"/>
    <n v="2"/>
    <s v="USD"/>
    <x v="3"/>
    <s v="EMP0010"/>
    <n v="6.2"/>
    <s v="Thu"/>
    <x v="7"/>
    <x v="4"/>
  </r>
  <r>
    <x v="1979"/>
    <d v="2022-07-10T13:41:04"/>
    <x v="1953"/>
    <x v="14"/>
    <x v="18"/>
    <n v="1.7"/>
    <n v="1"/>
    <s v="USD"/>
    <x v="3"/>
    <s v="EMP0096"/>
    <n v="1.7"/>
    <s v="Sun"/>
    <x v="8"/>
    <x v="3"/>
  </r>
  <r>
    <x v="1980"/>
    <d v="2022-04-25T17:28:04"/>
    <x v="1954"/>
    <x v="6"/>
    <x v="19"/>
    <n v="5.5"/>
    <n v="10"/>
    <s v="USD"/>
    <x v="5"/>
    <s v="EMP0025"/>
    <n v="55"/>
    <s v="Mon"/>
    <x v="11"/>
    <x v="3"/>
  </r>
  <r>
    <x v="1981"/>
    <d v="2021-12-16T03:36:04"/>
    <x v="1955"/>
    <x v="5"/>
    <x v="18"/>
    <n v="1.7"/>
    <n v="9"/>
    <s v="USD"/>
    <x v="2"/>
    <s v="EMP0003"/>
    <n v="15.299999999999999"/>
    <s v="Thu"/>
    <x v="4"/>
    <x v="0"/>
  </r>
  <r>
    <x v="1982"/>
    <d v="2023-08-30T04:57:04"/>
    <x v="1956"/>
    <x v="2"/>
    <x v="19"/>
    <n v="5.5"/>
    <n v="5"/>
    <s v="USD"/>
    <x v="2"/>
    <s v="EMP0074"/>
    <n v="27.5"/>
    <s v="Wed"/>
    <x v="6"/>
    <x v="4"/>
  </r>
  <r>
    <x v="1983"/>
    <d v="2022-09-17T01:08:04"/>
    <x v="1957"/>
    <x v="8"/>
    <x v="9"/>
    <n v="3"/>
    <n v="4"/>
    <s v="USD"/>
    <x v="5"/>
    <s v="EMP0072"/>
    <n v="12"/>
    <s v="Sat"/>
    <x v="9"/>
    <x v="3"/>
  </r>
  <r>
    <x v="1984"/>
    <d v="2023-10-16T22:08:04"/>
    <x v="1958"/>
    <x v="1"/>
    <x v="1"/>
    <n v="1"/>
    <n v="9"/>
    <s v="USD"/>
    <x v="0"/>
    <s v="EMP0049"/>
    <n v="9"/>
    <s v="Mon"/>
    <x v="0"/>
    <x v="4"/>
  </r>
  <r>
    <x v="1985"/>
    <d v="2025-04-03T21:40:04"/>
    <x v="1959"/>
    <x v="8"/>
    <x v="7"/>
    <n v="2.8"/>
    <n v="9"/>
    <s v="USD"/>
    <x v="2"/>
    <s v="EMP0014"/>
    <n v="25.2"/>
    <s v="Thu"/>
    <x v="11"/>
    <x v="2"/>
  </r>
  <r>
    <x v="1986"/>
    <d v="2022-10-26T05:50:04"/>
    <x v="1960"/>
    <x v="13"/>
    <x v="6"/>
    <n v="7"/>
    <n v="4"/>
    <s v="USD"/>
    <x v="5"/>
    <s v="EMP0048"/>
    <n v="28"/>
    <s v="Wed"/>
    <x v="0"/>
    <x v="3"/>
  </r>
  <r>
    <x v="1987"/>
    <d v="2022-09-05T19:20:04"/>
    <x v="1961"/>
    <x v="3"/>
    <x v="8"/>
    <n v="4.5"/>
    <n v="6"/>
    <s v="USD"/>
    <x v="0"/>
    <s v="EMP0081"/>
    <n v="27"/>
    <s v="Mon"/>
    <x v="9"/>
    <x v="3"/>
  </r>
  <r>
    <x v="1988"/>
    <d v="2024-11-19T09:51:04"/>
    <x v="1962"/>
    <x v="6"/>
    <x v="11"/>
    <n v="4"/>
    <n v="8"/>
    <s v="USD"/>
    <x v="1"/>
    <s v="EMP0032"/>
    <n v="32"/>
    <s v="Tue"/>
    <x v="10"/>
    <x v="1"/>
  </r>
  <r>
    <x v="1989"/>
    <d v="2024-11-19T09:01:04"/>
    <x v="753"/>
    <x v="12"/>
    <x v="15"/>
    <n v="1.5"/>
    <n v="9"/>
    <s v="USD"/>
    <x v="2"/>
    <s v="EMP0073"/>
    <n v="13.5"/>
    <s v="Tue"/>
    <x v="10"/>
    <x v="1"/>
  </r>
  <r>
    <x v="1990"/>
    <d v="2024-01-19T11:37:04"/>
    <x v="1963"/>
    <x v="10"/>
    <x v="0"/>
    <n v="3.1"/>
    <n v="7"/>
    <s v="USD"/>
    <x v="4"/>
    <s v="EMP0095"/>
    <n v="21.7"/>
    <s v="Fri"/>
    <x v="2"/>
    <x v="1"/>
  </r>
  <r>
    <x v="1991"/>
    <d v="2023-06-18T09:24:04"/>
    <x v="1964"/>
    <x v="5"/>
    <x v="16"/>
    <n v="4"/>
    <n v="10"/>
    <s v="USD"/>
    <x v="5"/>
    <s v="EMP0001"/>
    <n v="40"/>
    <s v="Sun"/>
    <x v="3"/>
    <x v="4"/>
  </r>
  <r>
    <x v="1992"/>
    <d v="2023-11-06T15:13:04"/>
    <x v="1965"/>
    <x v="14"/>
    <x v="1"/>
    <n v="1"/>
    <n v="8"/>
    <s v="USD"/>
    <x v="1"/>
    <s v="EMP0064"/>
    <n v="8"/>
    <s v="Mon"/>
    <x v="10"/>
    <x v="4"/>
  </r>
  <r>
    <x v="1993"/>
    <d v="2023-08-06T17:11:04"/>
    <x v="1966"/>
    <x v="5"/>
    <x v="10"/>
    <n v="5"/>
    <n v="8"/>
    <s v="USD"/>
    <x v="1"/>
    <s v="EMP0072"/>
    <n v="40"/>
    <s v="Sun"/>
    <x v="6"/>
    <x v="4"/>
  </r>
  <r>
    <x v="1994"/>
    <d v="2024-11-24T09:59:04"/>
    <x v="1967"/>
    <x v="0"/>
    <x v="9"/>
    <n v="3"/>
    <n v="7"/>
    <s v="USD"/>
    <x v="0"/>
    <s v="EMP0097"/>
    <n v="21"/>
    <s v="Sun"/>
    <x v="10"/>
    <x v="1"/>
  </r>
  <r>
    <x v="1995"/>
    <d v="2025-04-12T07:53:04"/>
    <x v="1968"/>
    <x v="0"/>
    <x v="19"/>
    <n v="5.5"/>
    <n v="3"/>
    <s v="USD"/>
    <x v="0"/>
    <s v="EMP0057"/>
    <n v="16.5"/>
    <s v="Sat"/>
    <x v="11"/>
    <x v="2"/>
  </r>
  <r>
    <x v="1996"/>
    <d v="2024-09-19T11:30:04"/>
    <x v="1969"/>
    <x v="8"/>
    <x v="15"/>
    <n v="1.5"/>
    <n v="3"/>
    <s v="USD"/>
    <x v="2"/>
    <s v="EMP0068"/>
    <n v="4.5"/>
    <s v="Thu"/>
    <x v="9"/>
    <x v="1"/>
  </r>
  <r>
    <x v="1997"/>
    <d v="2022-08-16T08:39:04"/>
    <x v="1038"/>
    <x v="4"/>
    <x v="1"/>
    <n v="1"/>
    <n v="7"/>
    <s v="USD"/>
    <x v="5"/>
    <s v="EMP0002"/>
    <n v="7"/>
    <s v="Tue"/>
    <x v="6"/>
    <x v="3"/>
  </r>
  <r>
    <x v="1998"/>
    <d v="2023-09-10T09:59:04"/>
    <x v="1970"/>
    <x v="11"/>
    <x v="0"/>
    <n v="3.1"/>
    <n v="9"/>
    <s v="USD"/>
    <x v="4"/>
    <s v="EMP0079"/>
    <n v="27.900000000000002"/>
    <s v="Sun"/>
    <x v="9"/>
    <x v="4"/>
  </r>
  <r>
    <x v="1999"/>
    <d v="2023-04-08T18:45:04"/>
    <x v="1971"/>
    <x v="6"/>
    <x v="14"/>
    <n v="2.2000000000000002"/>
    <n v="5"/>
    <s v="USD"/>
    <x v="1"/>
    <s v="EMP0088"/>
    <n v="11"/>
    <s v="Sat"/>
    <x v="11"/>
    <x v="4"/>
  </r>
  <r>
    <x v="2000"/>
    <d v="2024-03-16T17:41:04"/>
    <x v="1972"/>
    <x v="5"/>
    <x v="12"/>
    <n v="1.8"/>
    <n v="10"/>
    <s v="USD"/>
    <x v="4"/>
    <s v="EMP0061"/>
    <n v="18"/>
    <s v="Sat"/>
    <x v="1"/>
    <x v="1"/>
  </r>
  <r>
    <x v="2001"/>
    <d v="2022-10-05T06:27:04"/>
    <x v="1973"/>
    <x v="5"/>
    <x v="14"/>
    <n v="2.2000000000000002"/>
    <n v="3"/>
    <s v="USD"/>
    <x v="1"/>
    <s v="EMP0092"/>
    <n v="6.6000000000000005"/>
    <s v="Wed"/>
    <x v="0"/>
    <x v="3"/>
  </r>
  <r>
    <x v="2002"/>
    <d v="2022-09-12T13:06:04"/>
    <x v="1974"/>
    <x v="8"/>
    <x v="13"/>
    <n v="0.8"/>
    <n v="3"/>
    <s v="USD"/>
    <x v="5"/>
    <s v="EMP0009"/>
    <n v="2.4000000000000004"/>
    <s v="Mon"/>
    <x v="9"/>
    <x v="3"/>
  </r>
  <r>
    <x v="2003"/>
    <d v="2025-04-28T03:42:04"/>
    <x v="1975"/>
    <x v="2"/>
    <x v="11"/>
    <n v="4"/>
    <n v="2"/>
    <s v="USD"/>
    <x v="1"/>
    <s v="EMP0059"/>
    <n v="8"/>
    <s v="Mon"/>
    <x v="11"/>
    <x v="2"/>
  </r>
  <r>
    <x v="2004"/>
    <d v="2023-07-02T10:23:04"/>
    <x v="1976"/>
    <x v="12"/>
    <x v="10"/>
    <n v="5"/>
    <n v="10"/>
    <s v="USD"/>
    <x v="0"/>
    <s v="EMP0009"/>
    <n v="50"/>
    <s v="Sun"/>
    <x v="8"/>
    <x v="4"/>
  </r>
  <r>
    <x v="2005"/>
    <d v="2023-05-22T16:51:04"/>
    <x v="1977"/>
    <x v="1"/>
    <x v="2"/>
    <n v="2.5"/>
    <n v="6"/>
    <s v="USD"/>
    <x v="2"/>
    <s v="EMP0002"/>
    <n v="15"/>
    <s v="Mon"/>
    <x v="5"/>
    <x v="4"/>
  </r>
  <r>
    <x v="2006"/>
    <d v="2024-04-10T05:08:04"/>
    <x v="1978"/>
    <x v="4"/>
    <x v="18"/>
    <n v="1.7"/>
    <n v="10"/>
    <s v="USD"/>
    <x v="2"/>
    <s v="EMP0040"/>
    <n v="17"/>
    <s v="Wed"/>
    <x v="11"/>
    <x v="1"/>
  </r>
  <r>
    <x v="2007"/>
    <d v="2023-04-17T17:37:04"/>
    <x v="1979"/>
    <x v="8"/>
    <x v="0"/>
    <n v="3.1"/>
    <n v="9"/>
    <s v="USD"/>
    <x v="1"/>
    <s v="EMP0083"/>
    <n v="27.900000000000002"/>
    <s v="Mon"/>
    <x v="11"/>
    <x v="4"/>
  </r>
  <r>
    <x v="2008"/>
    <d v="2021-08-28T07:22:04"/>
    <x v="1980"/>
    <x v="12"/>
    <x v="14"/>
    <n v="2.2000000000000002"/>
    <n v="2"/>
    <s v="USD"/>
    <x v="2"/>
    <s v="EMP0028"/>
    <n v="4.4000000000000004"/>
    <s v="Sat"/>
    <x v="6"/>
    <x v="0"/>
  </r>
  <r>
    <x v="2009"/>
    <d v="2023-10-14T08:10:04"/>
    <x v="1981"/>
    <x v="12"/>
    <x v="19"/>
    <n v="5.5"/>
    <n v="3"/>
    <s v="USD"/>
    <x v="1"/>
    <s v="EMP0076"/>
    <n v="16.5"/>
    <s v="Sat"/>
    <x v="0"/>
    <x v="4"/>
  </r>
  <r>
    <x v="2010"/>
    <d v="2021-09-27T01:05:04"/>
    <x v="1982"/>
    <x v="12"/>
    <x v="16"/>
    <n v="4"/>
    <n v="10"/>
    <s v="USD"/>
    <x v="4"/>
    <s v="EMP0095"/>
    <n v="40"/>
    <s v="Mon"/>
    <x v="9"/>
    <x v="0"/>
  </r>
  <r>
    <x v="2011"/>
    <d v="2021-11-24T15:28:04"/>
    <x v="1983"/>
    <x v="10"/>
    <x v="11"/>
    <n v="4"/>
    <n v="3"/>
    <s v="USD"/>
    <x v="3"/>
    <s v="EMP0030"/>
    <n v="12"/>
    <s v="Wed"/>
    <x v="10"/>
    <x v="0"/>
  </r>
  <r>
    <x v="2012"/>
    <d v="2024-02-21T10:27:04"/>
    <x v="1984"/>
    <x v="14"/>
    <x v="5"/>
    <n v="1"/>
    <n v="3"/>
    <s v="USD"/>
    <x v="0"/>
    <s v="EMP0022"/>
    <n v="3"/>
    <s v="Wed"/>
    <x v="7"/>
    <x v="1"/>
  </r>
  <r>
    <x v="2013"/>
    <d v="2022-09-09T13:06:04"/>
    <x v="1985"/>
    <x v="7"/>
    <x v="17"/>
    <n v="2.5"/>
    <n v="3"/>
    <s v="USD"/>
    <x v="1"/>
    <s v="EMP0057"/>
    <n v="7.5"/>
    <s v="Fri"/>
    <x v="9"/>
    <x v="3"/>
  </r>
  <r>
    <x v="2014"/>
    <d v="2022-12-19T15:56:04"/>
    <x v="1986"/>
    <x v="5"/>
    <x v="8"/>
    <n v="4.5"/>
    <n v="9"/>
    <s v="USD"/>
    <x v="3"/>
    <s v="EMP0031"/>
    <n v="40.5"/>
    <s v="Mon"/>
    <x v="4"/>
    <x v="3"/>
  </r>
  <r>
    <x v="2015"/>
    <d v="2022-03-19T01:02:04"/>
    <x v="1987"/>
    <x v="14"/>
    <x v="6"/>
    <n v="7"/>
    <n v="8"/>
    <s v="USD"/>
    <x v="4"/>
    <s v="EMP0040"/>
    <n v="56"/>
    <s v="Sat"/>
    <x v="1"/>
    <x v="3"/>
  </r>
  <r>
    <x v="2016"/>
    <d v="2022-06-05T02:53:04"/>
    <x v="1988"/>
    <x v="7"/>
    <x v="5"/>
    <n v="1"/>
    <n v="4"/>
    <s v="USD"/>
    <x v="0"/>
    <s v="EMP0082"/>
    <n v="4"/>
    <s v="Sun"/>
    <x v="3"/>
    <x v="3"/>
  </r>
  <r>
    <x v="2017"/>
    <d v="2023-10-18T15:17:04"/>
    <x v="1989"/>
    <x v="4"/>
    <x v="18"/>
    <n v="1.7"/>
    <n v="9"/>
    <s v="USD"/>
    <x v="5"/>
    <s v="EMP0063"/>
    <n v="15.299999999999999"/>
    <s v="Wed"/>
    <x v="0"/>
    <x v="4"/>
  </r>
  <r>
    <x v="2018"/>
    <d v="2021-06-16T04:43:04"/>
    <x v="1990"/>
    <x v="7"/>
    <x v="1"/>
    <n v="1"/>
    <n v="7"/>
    <s v="USD"/>
    <x v="2"/>
    <s v="EMP0045"/>
    <n v="7"/>
    <s v="Wed"/>
    <x v="3"/>
    <x v="0"/>
  </r>
  <r>
    <x v="2019"/>
    <d v="2024-05-10T12:31:04"/>
    <x v="1991"/>
    <x v="5"/>
    <x v="10"/>
    <n v="5"/>
    <n v="6"/>
    <s v="USD"/>
    <x v="2"/>
    <s v="EMP0055"/>
    <n v="30"/>
    <s v="Fri"/>
    <x v="5"/>
    <x v="1"/>
  </r>
  <r>
    <x v="2020"/>
    <d v="2024-02-26T17:51:04"/>
    <x v="1992"/>
    <x v="1"/>
    <x v="11"/>
    <n v="4"/>
    <n v="7"/>
    <s v="USD"/>
    <x v="4"/>
    <s v="EMP0023"/>
    <n v="28"/>
    <s v="Mon"/>
    <x v="7"/>
    <x v="1"/>
  </r>
  <r>
    <x v="2021"/>
    <d v="2025-04-18T06:58:04"/>
    <x v="1993"/>
    <x v="5"/>
    <x v="12"/>
    <n v="1.8"/>
    <n v="4"/>
    <s v="USD"/>
    <x v="3"/>
    <s v="EMP0076"/>
    <n v="7.2"/>
    <s v="Fri"/>
    <x v="11"/>
    <x v="2"/>
  </r>
  <r>
    <x v="2022"/>
    <d v="2023-08-13T03:20:04"/>
    <x v="1994"/>
    <x v="1"/>
    <x v="7"/>
    <n v="2.8"/>
    <n v="5"/>
    <s v="USD"/>
    <x v="1"/>
    <s v="EMP0002"/>
    <n v="14"/>
    <s v="Sun"/>
    <x v="6"/>
    <x v="4"/>
  </r>
  <r>
    <x v="2023"/>
    <d v="2021-12-14T05:24:04"/>
    <x v="1995"/>
    <x v="3"/>
    <x v="0"/>
    <n v="3.1"/>
    <n v="8"/>
    <s v="USD"/>
    <x v="5"/>
    <s v="EMP0006"/>
    <n v="24.8"/>
    <s v="Tue"/>
    <x v="4"/>
    <x v="0"/>
  </r>
  <r>
    <x v="2024"/>
    <d v="2021-06-14T15:10:04"/>
    <x v="1996"/>
    <x v="11"/>
    <x v="17"/>
    <n v="2.5"/>
    <n v="10"/>
    <s v="USD"/>
    <x v="3"/>
    <s v="EMP0092"/>
    <n v="25"/>
    <s v="Mon"/>
    <x v="3"/>
    <x v="0"/>
  </r>
  <r>
    <x v="2025"/>
    <d v="2022-09-17T17:46:04"/>
    <x v="1997"/>
    <x v="10"/>
    <x v="15"/>
    <n v="1.5"/>
    <n v="3"/>
    <s v="USD"/>
    <x v="5"/>
    <s v="EMP0096"/>
    <n v="4.5"/>
    <s v="Sat"/>
    <x v="9"/>
    <x v="3"/>
  </r>
  <r>
    <x v="2026"/>
    <d v="2021-09-20T19:35:04"/>
    <x v="1998"/>
    <x v="7"/>
    <x v="17"/>
    <n v="2.5"/>
    <n v="6"/>
    <s v="USD"/>
    <x v="3"/>
    <s v="EMP0079"/>
    <n v="15"/>
    <s v="Mon"/>
    <x v="9"/>
    <x v="0"/>
  </r>
  <r>
    <x v="2027"/>
    <d v="2021-05-10T08:41:04"/>
    <x v="1999"/>
    <x v="0"/>
    <x v="13"/>
    <n v="0.8"/>
    <n v="3"/>
    <s v="USD"/>
    <x v="3"/>
    <s v="EMP0054"/>
    <n v="2.4000000000000004"/>
    <s v="Mon"/>
    <x v="5"/>
    <x v="0"/>
  </r>
  <r>
    <x v="2028"/>
    <d v="2024-09-07T11:58:04"/>
    <x v="2000"/>
    <x v="3"/>
    <x v="17"/>
    <n v="2.5"/>
    <n v="6"/>
    <s v="USD"/>
    <x v="3"/>
    <s v="EMP0070"/>
    <n v="15"/>
    <s v="Sat"/>
    <x v="9"/>
    <x v="1"/>
  </r>
  <r>
    <x v="2029"/>
    <d v="2023-10-19T06:45:04"/>
    <x v="2001"/>
    <x v="12"/>
    <x v="3"/>
    <n v="1.2"/>
    <n v="6"/>
    <s v="USD"/>
    <x v="2"/>
    <s v="EMP0041"/>
    <n v="7.1999999999999993"/>
    <s v="Thu"/>
    <x v="0"/>
    <x v="4"/>
  </r>
  <r>
    <x v="2030"/>
    <d v="2021-05-18T07:29:04"/>
    <x v="2002"/>
    <x v="12"/>
    <x v="7"/>
    <n v="2.8"/>
    <n v="9"/>
    <s v="USD"/>
    <x v="3"/>
    <s v="EMP0086"/>
    <n v="25.2"/>
    <s v="Tue"/>
    <x v="5"/>
    <x v="0"/>
  </r>
  <r>
    <x v="2031"/>
    <d v="2023-02-03T23:33:04"/>
    <x v="2003"/>
    <x v="3"/>
    <x v="17"/>
    <n v="2.5"/>
    <n v="2"/>
    <s v="USD"/>
    <x v="0"/>
    <s v="EMP0098"/>
    <n v="5"/>
    <s v="Fri"/>
    <x v="7"/>
    <x v="4"/>
  </r>
  <r>
    <x v="2032"/>
    <d v="2022-07-17T08:40:04"/>
    <x v="2004"/>
    <x v="11"/>
    <x v="9"/>
    <n v="3"/>
    <n v="3"/>
    <s v="USD"/>
    <x v="5"/>
    <s v="EMP0006"/>
    <n v="9"/>
    <s v="Sun"/>
    <x v="8"/>
    <x v="3"/>
  </r>
  <r>
    <x v="2033"/>
    <d v="2023-10-22T18:14:04"/>
    <x v="2005"/>
    <x v="0"/>
    <x v="12"/>
    <n v="1.8"/>
    <n v="7"/>
    <s v="USD"/>
    <x v="0"/>
    <s v="EMP0082"/>
    <n v="12.6"/>
    <s v="Sun"/>
    <x v="0"/>
    <x v="4"/>
  </r>
  <r>
    <x v="2034"/>
    <d v="2025-05-03T04:09:04"/>
    <x v="2006"/>
    <x v="9"/>
    <x v="7"/>
    <n v="2.8"/>
    <n v="2"/>
    <s v="USD"/>
    <x v="4"/>
    <s v="EMP0060"/>
    <n v="5.6"/>
    <s v="Sat"/>
    <x v="5"/>
    <x v="2"/>
  </r>
  <r>
    <x v="2035"/>
    <d v="2022-03-02T15:21:04"/>
    <x v="2007"/>
    <x v="12"/>
    <x v="10"/>
    <n v="5"/>
    <n v="2"/>
    <s v="USD"/>
    <x v="3"/>
    <s v="EMP0012"/>
    <n v="10"/>
    <s v="Wed"/>
    <x v="1"/>
    <x v="3"/>
  </r>
  <r>
    <x v="2036"/>
    <d v="2024-04-30T14:21:04"/>
    <x v="2008"/>
    <x v="6"/>
    <x v="4"/>
    <n v="3.2"/>
    <n v="10"/>
    <s v="USD"/>
    <x v="2"/>
    <s v="EMP0003"/>
    <n v="32"/>
    <s v="Tue"/>
    <x v="11"/>
    <x v="1"/>
  </r>
  <r>
    <x v="2037"/>
    <d v="2024-05-28T13:13:04"/>
    <x v="744"/>
    <x v="3"/>
    <x v="7"/>
    <n v="2.8"/>
    <n v="8"/>
    <s v="USD"/>
    <x v="3"/>
    <s v="EMP0093"/>
    <n v="22.4"/>
    <s v="Tue"/>
    <x v="5"/>
    <x v="1"/>
  </r>
  <r>
    <x v="2038"/>
    <d v="2023-12-21T03:33:04"/>
    <x v="2009"/>
    <x v="3"/>
    <x v="11"/>
    <n v="4"/>
    <n v="3"/>
    <s v="USD"/>
    <x v="4"/>
    <s v="EMP0007"/>
    <n v="12"/>
    <s v="Thu"/>
    <x v="4"/>
    <x v="4"/>
  </r>
  <r>
    <x v="2039"/>
    <d v="2023-03-24T15:08:04"/>
    <x v="2010"/>
    <x v="6"/>
    <x v="0"/>
    <n v="3.1"/>
    <n v="3"/>
    <s v="USD"/>
    <x v="1"/>
    <s v="EMP0041"/>
    <n v="9.3000000000000007"/>
    <s v="Fri"/>
    <x v="1"/>
    <x v="4"/>
  </r>
  <r>
    <x v="2040"/>
    <d v="2023-01-13T05:33:04"/>
    <x v="2011"/>
    <x v="2"/>
    <x v="0"/>
    <n v="3.1"/>
    <n v="4"/>
    <s v="USD"/>
    <x v="0"/>
    <s v="EMP0038"/>
    <n v="12.4"/>
    <s v="Fri"/>
    <x v="2"/>
    <x v="4"/>
  </r>
  <r>
    <x v="2041"/>
    <d v="2023-11-24T14:58:04"/>
    <x v="2012"/>
    <x v="11"/>
    <x v="9"/>
    <n v="3"/>
    <n v="8"/>
    <s v="USD"/>
    <x v="4"/>
    <s v="EMP0075"/>
    <n v="24"/>
    <s v="Fri"/>
    <x v="10"/>
    <x v="4"/>
  </r>
  <r>
    <x v="2042"/>
    <d v="2023-04-26T01:37:04"/>
    <x v="2013"/>
    <x v="3"/>
    <x v="12"/>
    <n v="1.8"/>
    <n v="8"/>
    <s v="USD"/>
    <x v="2"/>
    <s v="EMP0088"/>
    <n v="14.4"/>
    <s v="Wed"/>
    <x v="11"/>
    <x v="4"/>
  </r>
  <r>
    <x v="2043"/>
    <d v="2024-05-25T11:33:04"/>
    <x v="955"/>
    <x v="12"/>
    <x v="6"/>
    <n v="7"/>
    <n v="3"/>
    <s v="USD"/>
    <x v="1"/>
    <s v="EMP0073"/>
    <n v="21"/>
    <s v="Sat"/>
    <x v="5"/>
    <x v="1"/>
  </r>
  <r>
    <x v="2044"/>
    <d v="2024-03-03T14:59:04"/>
    <x v="2014"/>
    <x v="5"/>
    <x v="8"/>
    <n v="4.5"/>
    <n v="4"/>
    <s v="USD"/>
    <x v="4"/>
    <s v="EMP0090"/>
    <n v="18"/>
    <s v="Sun"/>
    <x v="1"/>
    <x v="1"/>
  </r>
  <r>
    <x v="2045"/>
    <d v="2022-07-12T19:33:04"/>
    <x v="2015"/>
    <x v="0"/>
    <x v="0"/>
    <n v="3.1"/>
    <n v="2"/>
    <s v="USD"/>
    <x v="1"/>
    <s v="EMP0099"/>
    <n v="6.2"/>
    <s v="Tue"/>
    <x v="8"/>
    <x v="3"/>
  </r>
  <r>
    <x v="2046"/>
    <d v="2024-03-04T05:13:04"/>
    <x v="2016"/>
    <x v="10"/>
    <x v="0"/>
    <n v="3.1"/>
    <n v="1"/>
    <s v="USD"/>
    <x v="3"/>
    <s v="EMP0067"/>
    <n v="3.1"/>
    <s v="Mon"/>
    <x v="1"/>
    <x v="1"/>
  </r>
  <r>
    <x v="2047"/>
    <d v="2021-08-29T17:15:04"/>
    <x v="2017"/>
    <x v="10"/>
    <x v="14"/>
    <n v="2.2000000000000002"/>
    <n v="8"/>
    <s v="USD"/>
    <x v="1"/>
    <s v="EMP0042"/>
    <n v="17.600000000000001"/>
    <s v="Sun"/>
    <x v="6"/>
    <x v="0"/>
  </r>
  <r>
    <x v="2048"/>
    <d v="2023-04-07T19:02:04"/>
    <x v="2018"/>
    <x v="3"/>
    <x v="16"/>
    <n v="4"/>
    <n v="1"/>
    <s v="USD"/>
    <x v="4"/>
    <s v="EMP0090"/>
    <n v="4"/>
    <s v="Fri"/>
    <x v="11"/>
    <x v="4"/>
  </r>
  <r>
    <x v="2049"/>
    <d v="2024-10-06T17:04:04"/>
    <x v="2019"/>
    <x v="4"/>
    <x v="3"/>
    <n v="1.2"/>
    <n v="3"/>
    <s v="USD"/>
    <x v="5"/>
    <s v="EMP0061"/>
    <n v="3.5999999999999996"/>
    <s v="Sun"/>
    <x v="0"/>
    <x v="1"/>
  </r>
  <r>
    <x v="2050"/>
    <d v="2023-06-24T02:45:04"/>
    <x v="2020"/>
    <x v="1"/>
    <x v="19"/>
    <n v="5.5"/>
    <n v="3"/>
    <s v="USD"/>
    <x v="4"/>
    <s v="EMP0040"/>
    <n v="16.5"/>
    <s v="Sat"/>
    <x v="3"/>
    <x v="4"/>
  </r>
  <r>
    <x v="2051"/>
    <d v="2024-06-09T22:52:04"/>
    <x v="2021"/>
    <x v="6"/>
    <x v="3"/>
    <n v="1.2"/>
    <n v="8"/>
    <s v="USD"/>
    <x v="1"/>
    <s v="EMP0059"/>
    <n v="9.6"/>
    <s v="Sun"/>
    <x v="3"/>
    <x v="1"/>
  </r>
  <r>
    <x v="2052"/>
    <d v="2022-01-09T18:42:04"/>
    <x v="2022"/>
    <x v="8"/>
    <x v="6"/>
    <n v="7"/>
    <n v="8"/>
    <s v="USD"/>
    <x v="0"/>
    <s v="EMP0033"/>
    <n v="56"/>
    <s v="Sun"/>
    <x v="2"/>
    <x v="3"/>
  </r>
  <r>
    <x v="2053"/>
    <d v="2023-04-05T18:05:04"/>
    <x v="2023"/>
    <x v="10"/>
    <x v="6"/>
    <n v="7"/>
    <n v="5"/>
    <s v="USD"/>
    <x v="3"/>
    <s v="EMP0030"/>
    <n v="35"/>
    <s v="Wed"/>
    <x v="11"/>
    <x v="4"/>
  </r>
  <r>
    <x v="2054"/>
    <d v="2022-07-06T10:00:04"/>
    <x v="2024"/>
    <x v="8"/>
    <x v="0"/>
    <n v="3.1"/>
    <n v="10"/>
    <s v="USD"/>
    <x v="5"/>
    <s v="EMP0076"/>
    <n v="31"/>
    <s v="Wed"/>
    <x v="8"/>
    <x v="3"/>
  </r>
  <r>
    <x v="2055"/>
    <d v="2025-03-12T07:54:04"/>
    <x v="2025"/>
    <x v="6"/>
    <x v="8"/>
    <n v="4.5"/>
    <n v="10"/>
    <s v="USD"/>
    <x v="2"/>
    <s v="EMP0068"/>
    <n v="45"/>
    <s v="Wed"/>
    <x v="1"/>
    <x v="2"/>
  </r>
  <r>
    <x v="2056"/>
    <d v="2024-03-28T18:38:04"/>
    <x v="2026"/>
    <x v="6"/>
    <x v="14"/>
    <n v="2.2000000000000002"/>
    <n v="6"/>
    <s v="USD"/>
    <x v="3"/>
    <s v="EMP0012"/>
    <n v="13.200000000000001"/>
    <s v="Thu"/>
    <x v="1"/>
    <x v="1"/>
  </r>
  <r>
    <x v="2057"/>
    <d v="2023-08-15T08:35:04"/>
    <x v="2027"/>
    <x v="5"/>
    <x v="10"/>
    <n v="5"/>
    <n v="7"/>
    <s v="USD"/>
    <x v="0"/>
    <s v="EMP0059"/>
    <n v="35"/>
    <s v="Tue"/>
    <x v="6"/>
    <x v="4"/>
  </r>
  <r>
    <x v="2058"/>
    <d v="2025-05-07T16:17:04"/>
    <x v="2028"/>
    <x v="2"/>
    <x v="13"/>
    <n v="0.8"/>
    <n v="5"/>
    <s v="USD"/>
    <x v="4"/>
    <s v="EMP0011"/>
    <n v="4"/>
    <s v="Wed"/>
    <x v="5"/>
    <x v="2"/>
  </r>
  <r>
    <x v="2059"/>
    <d v="2024-04-26T05:32:04"/>
    <x v="2029"/>
    <x v="2"/>
    <x v="18"/>
    <n v="1.7"/>
    <n v="2"/>
    <s v="USD"/>
    <x v="2"/>
    <s v="EMP0032"/>
    <n v="3.4"/>
    <s v="Fri"/>
    <x v="11"/>
    <x v="1"/>
  </r>
  <r>
    <x v="2060"/>
    <d v="2024-06-27T15:51:04"/>
    <x v="2030"/>
    <x v="4"/>
    <x v="7"/>
    <n v="2.8"/>
    <n v="1"/>
    <s v="USD"/>
    <x v="5"/>
    <s v="EMP0021"/>
    <n v="2.8"/>
    <s v="Thu"/>
    <x v="3"/>
    <x v="1"/>
  </r>
  <r>
    <x v="2061"/>
    <d v="2023-06-04T09:56:04"/>
    <x v="2031"/>
    <x v="9"/>
    <x v="6"/>
    <n v="7"/>
    <n v="4"/>
    <s v="USD"/>
    <x v="5"/>
    <s v="EMP0086"/>
    <n v="28"/>
    <s v="Sun"/>
    <x v="3"/>
    <x v="4"/>
  </r>
  <r>
    <x v="2062"/>
    <d v="2023-03-30T22:41:04"/>
    <x v="2032"/>
    <x v="2"/>
    <x v="19"/>
    <n v="5.5"/>
    <n v="7"/>
    <s v="USD"/>
    <x v="0"/>
    <s v="EMP0041"/>
    <n v="38.5"/>
    <s v="Thu"/>
    <x v="1"/>
    <x v="4"/>
  </r>
  <r>
    <x v="2063"/>
    <d v="2024-08-09T00:37:04"/>
    <x v="2033"/>
    <x v="5"/>
    <x v="8"/>
    <n v="4.5"/>
    <n v="7"/>
    <s v="USD"/>
    <x v="1"/>
    <s v="EMP0051"/>
    <n v="31.5"/>
    <s v="Fri"/>
    <x v="6"/>
    <x v="1"/>
  </r>
  <r>
    <x v="2064"/>
    <d v="2022-05-12T11:04:04"/>
    <x v="2034"/>
    <x v="10"/>
    <x v="16"/>
    <n v="4"/>
    <n v="1"/>
    <s v="USD"/>
    <x v="0"/>
    <s v="EMP0078"/>
    <n v="4"/>
    <s v="Thu"/>
    <x v="5"/>
    <x v="3"/>
  </r>
  <r>
    <x v="2065"/>
    <d v="2024-05-10T06:03:04"/>
    <x v="2035"/>
    <x v="5"/>
    <x v="4"/>
    <n v="3.2"/>
    <n v="9"/>
    <s v="USD"/>
    <x v="3"/>
    <s v="EMP0079"/>
    <n v="28.8"/>
    <s v="Fri"/>
    <x v="5"/>
    <x v="1"/>
  </r>
  <r>
    <x v="2066"/>
    <d v="2021-12-29T00:28:04"/>
    <x v="2036"/>
    <x v="7"/>
    <x v="2"/>
    <n v="2.5"/>
    <n v="3"/>
    <s v="USD"/>
    <x v="5"/>
    <s v="EMP0025"/>
    <n v="7.5"/>
    <s v="Wed"/>
    <x v="4"/>
    <x v="0"/>
  </r>
  <r>
    <x v="2067"/>
    <d v="2025-02-08T07:07:04"/>
    <x v="2037"/>
    <x v="8"/>
    <x v="9"/>
    <n v="3"/>
    <n v="6"/>
    <s v="USD"/>
    <x v="5"/>
    <s v="EMP0084"/>
    <n v="18"/>
    <s v="Sat"/>
    <x v="7"/>
    <x v="2"/>
  </r>
  <r>
    <x v="2068"/>
    <d v="2024-05-06T00:17:04"/>
    <x v="2038"/>
    <x v="11"/>
    <x v="8"/>
    <n v="4.5"/>
    <n v="7"/>
    <s v="USD"/>
    <x v="2"/>
    <s v="EMP0062"/>
    <n v="31.5"/>
    <s v="Mon"/>
    <x v="5"/>
    <x v="1"/>
  </r>
  <r>
    <x v="2069"/>
    <d v="2025-02-27T05:00:04"/>
    <x v="2039"/>
    <x v="6"/>
    <x v="13"/>
    <n v="0.8"/>
    <n v="7"/>
    <s v="USD"/>
    <x v="2"/>
    <s v="EMP0067"/>
    <n v="5.6000000000000005"/>
    <s v="Thu"/>
    <x v="7"/>
    <x v="2"/>
  </r>
  <r>
    <x v="2070"/>
    <d v="2024-10-03T22:35:04"/>
    <x v="2040"/>
    <x v="7"/>
    <x v="7"/>
    <n v="2.8"/>
    <n v="2"/>
    <s v="USD"/>
    <x v="2"/>
    <s v="EMP0052"/>
    <n v="5.6"/>
    <s v="Thu"/>
    <x v="0"/>
    <x v="1"/>
  </r>
  <r>
    <x v="2071"/>
    <d v="2025-04-14T08:06:04"/>
    <x v="2041"/>
    <x v="6"/>
    <x v="16"/>
    <n v="4"/>
    <n v="9"/>
    <s v="USD"/>
    <x v="5"/>
    <s v="EMP0088"/>
    <n v="36"/>
    <s v="Mon"/>
    <x v="11"/>
    <x v="2"/>
  </r>
  <r>
    <x v="2072"/>
    <d v="2022-10-21T12:55:04"/>
    <x v="2042"/>
    <x v="3"/>
    <x v="6"/>
    <n v="7"/>
    <n v="7"/>
    <s v="USD"/>
    <x v="3"/>
    <s v="EMP0039"/>
    <n v="49"/>
    <s v="Fri"/>
    <x v="0"/>
    <x v="3"/>
  </r>
  <r>
    <x v="2073"/>
    <d v="2022-12-21T04:39:04"/>
    <x v="1694"/>
    <x v="3"/>
    <x v="19"/>
    <n v="5.5"/>
    <n v="10"/>
    <s v="USD"/>
    <x v="5"/>
    <s v="EMP0065"/>
    <n v="55"/>
    <s v="Wed"/>
    <x v="4"/>
    <x v="3"/>
  </r>
  <r>
    <x v="2074"/>
    <d v="2023-04-06T21:41:04"/>
    <x v="2043"/>
    <x v="5"/>
    <x v="1"/>
    <n v="1"/>
    <n v="6"/>
    <s v="USD"/>
    <x v="3"/>
    <s v="EMP0023"/>
    <n v="6"/>
    <s v="Thu"/>
    <x v="11"/>
    <x v="4"/>
  </r>
  <r>
    <x v="2075"/>
    <d v="2022-12-22T19:38:04"/>
    <x v="2044"/>
    <x v="8"/>
    <x v="9"/>
    <n v="3"/>
    <n v="3"/>
    <s v="USD"/>
    <x v="3"/>
    <s v="EMP0044"/>
    <n v="9"/>
    <s v="Thu"/>
    <x v="4"/>
    <x v="3"/>
  </r>
  <r>
    <x v="2076"/>
    <d v="2021-05-20T19:10:04"/>
    <x v="2045"/>
    <x v="2"/>
    <x v="12"/>
    <n v="1.8"/>
    <n v="10"/>
    <s v="USD"/>
    <x v="2"/>
    <s v="EMP0059"/>
    <n v="18"/>
    <s v="Thu"/>
    <x v="5"/>
    <x v="0"/>
  </r>
  <r>
    <x v="2077"/>
    <d v="2022-12-01T11:57:04"/>
    <x v="2046"/>
    <x v="11"/>
    <x v="17"/>
    <n v="2.5"/>
    <n v="2"/>
    <s v="USD"/>
    <x v="5"/>
    <s v="EMP0059"/>
    <n v="5"/>
    <s v="Thu"/>
    <x v="4"/>
    <x v="3"/>
  </r>
  <r>
    <x v="2078"/>
    <d v="2023-04-19T11:30:04"/>
    <x v="209"/>
    <x v="12"/>
    <x v="7"/>
    <n v="2.8"/>
    <n v="5"/>
    <s v="USD"/>
    <x v="5"/>
    <s v="EMP0044"/>
    <n v="14"/>
    <s v="Wed"/>
    <x v="11"/>
    <x v="4"/>
  </r>
  <r>
    <x v="2079"/>
    <d v="2021-07-27T03:37:04"/>
    <x v="2047"/>
    <x v="4"/>
    <x v="3"/>
    <n v="1.2"/>
    <n v="9"/>
    <s v="USD"/>
    <x v="4"/>
    <s v="EMP0023"/>
    <n v="10.799999999999999"/>
    <s v="Tue"/>
    <x v="8"/>
    <x v="0"/>
  </r>
  <r>
    <x v="2080"/>
    <d v="2023-09-17T02:00:04"/>
    <x v="2048"/>
    <x v="13"/>
    <x v="10"/>
    <n v="5"/>
    <n v="6"/>
    <s v="USD"/>
    <x v="4"/>
    <s v="EMP0082"/>
    <n v="30"/>
    <s v="Sun"/>
    <x v="9"/>
    <x v="4"/>
  </r>
  <r>
    <x v="2081"/>
    <d v="2025-02-25T18:19:04"/>
    <x v="2049"/>
    <x v="5"/>
    <x v="17"/>
    <n v="2.5"/>
    <n v="9"/>
    <s v="USD"/>
    <x v="2"/>
    <s v="EMP0051"/>
    <n v="22.5"/>
    <s v="Tue"/>
    <x v="7"/>
    <x v="2"/>
  </r>
  <r>
    <x v="2082"/>
    <d v="2023-12-17T08:21:04"/>
    <x v="2050"/>
    <x v="9"/>
    <x v="19"/>
    <n v="5.5"/>
    <n v="3"/>
    <s v="USD"/>
    <x v="2"/>
    <s v="EMP0019"/>
    <n v="16.5"/>
    <s v="Sun"/>
    <x v="4"/>
    <x v="4"/>
  </r>
  <r>
    <x v="2083"/>
    <d v="2021-10-20T21:59:04"/>
    <x v="2051"/>
    <x v="1"/>
    <x v="0"/>
    <n v="3.1"/>
    <n v="6"/>
    <s v="USD"/>
    <x v="5"/>
    <s v="EMP0089"/>
    <n v="18.600000000000001"/>
    <s v="Wed"/>
    <x v="0"/>
    <x v="0"/>
  </r>
  <r>
    <x v="2084"/>
    <d v="2021-11-22T05:28:04"/>
    <x v="2052"/>
    <x v="4"/>
    <x v="12"/>
    <n v="1.8"/>
    <n v="10"/>
    <s v="USD"/>
    <x v="5"/>
    <s v="EMP0006"/>
    <n v="18"/>
    <s v="Mon"/>
    <x v="10"/>
    <x v="0"/>
  </r>
  <r>
    <x v="2085"/>
    <d v="2024-12-04T03:03:04"/>
    <x v="2053"/>
    <x v="13"/>
    <x v="14"/>
    <n v="2.2000000000000002"/>
    <n v="10"/>
    <s v="USD"/>
    <x v="2"/>
    <s v="EMP0082"/>
    <n v="22"/>
    <s v="Wed"/>
    <x v="4"/>
    <x v="1"/>
  </r>
  <r>
    <x v="2086"/>
    <d v="2024-10-14T00:54:04"/>
    <x v="2054"/>
    <x v="0"/>
    <x v="9"/>
    <n v="3"/>
    <n v="6"/>
    <s v="USD"/>
    <x v="2"/>
    <s v="EMP0096"/>
    <n v="18"/>
    <s v="Mon"/>
    <x v="0"/>
    <x v="1"/>
  </r>
  <r>
    <x v="2087"/>
    <d v="2023-08-30T00:01:04"/>
    <x v="2055"/>
    <x v="13"/>
    <x v="13"/>
    <n v="0.8"/>
    <n v="5"/>
    <s v="USD"/>
    <x v="2"/>
    <s v="EMP0084"/>
    <n v="4"/>
    <s v="Wed"/>
    <x v="6"/>
    <x v="4"/>
  </r>
  <r>
    <x v="2088"/>
    <d v="2024-11-28T00:19:04"/>
    <x v="2056"/>
    <x v="14"/>
    <x v="11"/>
    <n v="4"/>
    <n v="10"/>
    <s v="USD"/>
    <x v="4"/>
    <s v="EMP0039"/>
    <n v="40"/>
    <s v="Thu"/>
    <x v="10"/>
    <x v="1"/>
  </r>
  <r>
    <x v="2089"/>
    <d v="2021-11-25T20:52:04"/>
    <x v="2057"/>
    <x v="4"/>
    <x v="2"/>
    <n v="2.5"/>
    <n v="1"/>
    <s v="USD"/>
    <x v="4"/>
    <s v="EMP0074"/>
    <n v="2.5"/>
    <s v="Thu"/>
    <x v="10"/>
    <x v="0"/>
  </r>
  <r>
    <x v="2090"/>
    <d v="2022-09-14T06:38:04"/>
    <x v="2058"/>
    <x v="1"/>
    <x v="18"/>
    <n v="1.7"/>
    <n v="5"/>
    <s v="USD"/>
    <x v="2"/>
    <s v="EMP0089"/>
    <n v="8.5"/>
    <s v="Wed"/>
    <x v="9"/>
    <x v="3"/>
  </r>
  <r>
    <x v="2091"/>
    <d v="2024-04-24T04:54:04"/>
    <x v="2059"/>
    <x v="3"/>
    <x v="17"/>
    <n v="2.5"/>
    <n v="10"/>
    <s v="USD"/>
    <x v="5"/>
    <s v="EMP0024"/>
    <n v="25"/>
    <s v="Wed"/>
    <x v="11"/>
    <x v="1"/>
  </r>
  <r>
    <x v="2092"/>
    <d v="2021-07-21T04:09:04"/>
    <x v="2060"/>
    <x v="13"/>
    <x v="18"/>
    <n v="1.7"/>
    <n v="4"/>
    <s v="USD"/>
    <x v="3"/>
    <s v="EMP0054"/>
    <n v="6.8"/>
    <s v="Wed"/>
    <x v="8"/>
    <x v="0"/>
  </r>
  <r>
    <x v="2093"/>
    <d v="2021-09-02T09:09:04"/>
    <x v="2061"/>
    <x v="11"/>
    <x v="10"/>
    <n v="5"/>
    <n v="10"/>
    <s v="USD"/>
    <x v="2"/>
    <s v="EMP0041"/>
    <n v="50"/>
    <s v="Thu"/>
    <x v="9"/>
    <x v="0"/>
  </r>
  <r>
    <x v="2094"/>
    <d v="2024-10-23T06:12:04"/>
    <x v="2062"/>
    <x v="13"/>
    <x v="4"/>
    <n v="3.2"/>
    <n v="4"/>
    <s v="USD"/>
    <x v="3"/>
    <s v="EMP0079"/>
    <n v="12.8"/>
    <s v="Wed"/>
    <x v="0"/>
    <x v="1"/>
  </r>
  <r>
    <x v="2095"/>
    <d v="2023-09-27T13:41:04"/>
    <x v="2063"/>
    <x v="12"/>
    <x v="10"/>
    <n v="5"/>
    <n v="10"/>
    <s v="USD"/>
    <x v="5"/>
    <s v="EMP0082"/>
    <n v="50"/>
    <s v="Wed"/>
    <x v="9"/>
    <x v="4"/>
  </r>
  <r>
    <x v="2096"/>
    <d v="2022-01-06T02:52:04"/>
    <x v="2064"/>
    <x v="8"/>
    <x v="15"/>
    <n v="1.5"/>
    <n v="9"/>
    <s v="USD"/>
    <x v="3"/>
    <s v="EMP0044"/>
    <n v="13.5"/>
    <s v="Thu"/>
    <x v="2"/>
    <x v="3"/>
  </r>
  <r>
    <x v="2097"/>
    <d v="2023-06-12T03:04:04"/>
    <x v="2065"/>
    <x v="4"/>
    <x v="10"/>
    <n v="5"/>
    <n v="3"/>
    <s v="USD"/>
    <x v="5"/>
    <s v="EMP0096"/>
    <n v="15"/>
    <s v="Mon"/>
    <x v="3"/>
    <x v="4"/>
  </r>
  <r>
    <x v="2098"/>
    <d v="2022-07-23T06:52:04"/>
    <x v="2066"/>
    <x v="0"/>
    <x v="13"/>
    <n v="0.8"/>
    <n v="7"/>
    <s v="USD"/>
    <x v="4"/>
    <s v="EMP0052"/>
    <n v="5.6000000000000005"/>
    <s v="Sat"/>
    <x v="8"/>
    <x v="3"/>
  </r>
  <r>
    <x v="2099"/>
    <d v="2025-03-03T15:32:04"/>
    <x v="2067"/>
    <x v="12"/>
    <x v="9"/>
    <n v="3"/>
    <n v="8"/>
    <s v="USD"/>
    <x v="1"/>
    <s v="EMP0045"/>
    <n v="24"/>
    <s v="Mon"/>
    <x v="1"/>
    <x v="2"/>
  </r>
  <r>
    <x v="2100"/>
    <d v="2024-11-20T06:39:04"/>
    <x v="2068"/>
    <x v="9"/>
    <x v="7"/>
    <n v="2.8"/>
    <n v="5"/>
    <s v="USD"/>
    <x v="4"/>
    <s v="EMP0097"/>
    <n v="14"/>
    <s v="Wed"/>
    <x v="10"/>
    <x v="1"/>
  </r>
  <r>
    <x v="2101"/>
    <d v="2023-08-02T22:43:04"/>
    <x v="2069"/>
    <x v="10"/>
    <x v="3"/>
    <n v="1.2"/>
    <n v="3"/>
    <s v="USD"/>
    <x v="1"/>
    <s v="EMP0075"/>
    <n v="3.5999999999999996"/>
    <s v="Wed"/>
    <x v="6"/>
    <x v="4"/>
  </r>
  <r>
    <x v="2102"/>
    <d v="2024-06-01T18:04:04"/>
    <x v="2070"/>
    <x v="12"/>
    <x v="18"/>
    <n v="1.7"/>
    <n v="7"/>
    <s v="USD"/>
    <x v="3"/>
    <s v="EMP0097"/>
    <n v="11.9"/>
    <s v="Sat"/>
    <x v="3"/>
    <x v="1"/>
  </r>
  <r>
    <x v="2103"/>
    <d v="2023-10-05T19:39:04"/>
    <x v="2071"/>
    <x v="10"/>
    <x v="2"/>
    <n v="2.5"/>
    <n v="7"/>
    <s v="USD"/>
    <x v="1"/>
    <s v="EMP0017"/>
    <n v="17.5"/>
    <s v="Thu"/>
    <x v="0"/>
    <x v="4"/>
  </r>
  <r>
    <x v="2104"/>
    <d v="2023-03-25T17:32:04"/>
    <x v="2072"/>
    <x v="7"/>
    <x v="19"/>
    <n v="5.5"/>
    <n v="7"/>
    <s v="USD"/>
    <x v="0"/>
    <s v="EMP0028"/>
    <n v="38.5"/>
    <s v="Sat"/>
    <x v="1"/>
    <x v="4"/>
  </r>
  <r>
    <x v="2105"/>
    <d v="2024-09-24T19:08:04"/>
    <x v="2073"/>
    <x v="6"/>
    <x v="13"/>
    <n v="0.8"/>
    <n v="7"/>
    <s v="USD"/>
    <x v="1"/>
    <s v="EMP0053"/>
    <n v="5.6000000000000005"/>
    <s v="Tue"/>
    <x v="9"/>
    <x v="1"/>
  </r>
  <r>
    <x v="2106"/>
    <d v="2023-05-20T07:00:04"/>
    <x v="2074"/>
    <x v="1"/>
    <x v="5"/>
    <n v="1"/>
    <n v="5"/>
    <s v="USD"/>
    <x v="4"/>
    <s v="EMP0099"/>
    <n v="5"/>
    <s v="Sat"/>
    <x v="5"/>
    <x v="4"/>
  </r>
  <r>
    <x v="2107"/>
    <d v="2023-04-26T17:20:04"/>
    <x v="2075"/>
    <x v="3"/>
    <x v="4"/>
    <n v="3.2"/>
    <n v="9"/>
    <s v="USD"/>
    <x v="1"/>
    <s v="EMP0069"/>
    <n v="28.8"/>
    <s v="Wed"/>
    <x v="11"/>
    <x v="4"/>
  </r>
  <r>
    <x v="2108"/>
    <d v="2023-02-26T05:32:04"/>
    <x v="2076"/>
    <x v="8"/>
    <x v="15"/>
    <n v="1.5"/>
    <n v="8"/>
    <s v="USD"/>
    <x v="4"/>
    <s v="EMP0058"/>
    <n v="12"/>
    <s v="Sun"/>
    <x v="7"/>
    <x v="4"/>
  </r>
  <r>
    <x v="2109"/>
    <d v="2024-06-22T08:01:04"/>
    <x v="2077"/>
    <x v="11"/>
    <x v="3"/>
    <n v="1.2"/>
    <n v="9"/>
    <s v="USD"/>
    <x v="4"/>
    <s v="EMP0098"/>
    <n v="10.799999999999999"/>
    <s v="Sat"/>
    <x v="3"/>
    <x v="1"/>
  </r>
  <r>
    <x v="2110"/>
    <d v="2022-10-01T17:15:04"/>
    <x v="2078"/>
    <x v="3"/>
    <x v="19"/>
    <n v="5.5"/>
    <n v="7"/>
    <s v="USD"/>
    <x v="1"/>
    <s v="EMP0084"/>
    <n v="38.5"/>
    <s v="Sat"/>
    <x v="0"/>
    <x v="3"/>
  </r>
  <r>
    <x v="2111"/>
    <d v="2023-01-04T00:00:04"/>
    <x v="2079"/>
    <x v="2"/>
    <x v="3"/>
    <n v="1.2"/>
    <n v="10"/>
    <s v="USD"/>
    <x v="0"/>
    <s v="EMP0018"/>
    <n v="12"/>
    <s v="Wed"/>
    <x v="2"/>
    <x v="4"/>
  </r>
  <r>
    <x v="2112"/>
    <d v="2021-12-07T17:54:04"/>
    <x v="2080"/>
    <x v="7"/>
    <x v="5"/>
    <n v="1"/>
    <n v="10"/>
    <s v="USD"/>
    <x v="2"/>
    <s v="EMP0053"/>
    <n v="10"/>
    <s v="Tue"/>
    <x v="4"/>
    <x v="0"/>
  </r>
  <r>
    <x v="2113"/>
    <d v="2025-03-24T02:47:04"/>
    <x v="2081"/>
    <x v="2"/>
    <x v="13"/>
    <n v="0.8"/>
    <n v="10"/>
    <s v="USD"/>
    <x v="2"/>
    <s v="EMP0061"/>
    <n v="8"/>
    <s v="Mon"/>
    <x v="1"/>
    <x v="2"/>
  </r>
  <r>
    <x v="2114"/>
    <d v="2021-07-08T11:03:04"/>
    <x v="2082"/>
    <x v="13"/>
    <x v="5"/>
    <n v="1"/>
    <n v="7"/>
    <s v="USD"/>
    <x v="1"/>
    <s v="EMP0066"/>
    <n v="7"/>
    <s v="Thu"/>
    <x v="8"/>
    <x v="0"/>
  </r>
  <r>
    <x v="2115"/>
    <d v="2024-04-09T07:57:04"/>
    <x v="2083"/>
    <x v="5"/>
    <x v="2"/>
    <n v="2.5"/>
    <n v="3"/>
    <s v="USD"/>
    <x v="5"/>
    <s v="EMP0092"/>
    <n v="7.5"/>
    <s v="Tue"/>
    <x v="11"/>
    <x v="1"/>
  </r>
  <r>
    <x v="2116"/>
    <d v="2024-03-26T03:18:04"/>
    <x v="2084"/>
    <x v="11"/>
    <x v="9"/>
    <n v="3"/>
    <n v="1"/>
    <s v="USD"/>
    <x v="0"/>
    <s v="EMP0074"/>
    <n v="3"/>
    <s v="Tue"/>
    <x v="1"/>
    <x v="1"/>
  </r>
  <r>
    <x v="2117"/>
    <d v="2022-10-07T23:11:04"/>
    <x v="2085"/>
    <x v="3"/>
    <x v="5"/>
    <n v="1"/>
    <n v="8"/>
    <s v="USD"/>
    <x v="0"/>
    <s v="EMP0023"/>
    <n v="8"/>
    <s v="Fri"/>
    <x v="0"/>
    <x v="3"/>
  </r>
  <r>
    <x v="2118"/>
    <d v="2022-10-07T20:45:04"/>
    <x v="2086"/>
    <x v="7"/>
    <x v="5"/>
    <n v="1"/>
    <n v="6"/>
    <s v="USD"/>
    <x v="0"/>
    <s v="EMP0032"/>
    <n v="6"/>
    <s v="Fri"/>
    <x v="0"/>
    <x v="3"/>
  </r>
  <r>
    <x v="2119"/>
    <d v="2022-10-05T14:22:04"/>
    <x v="2087"/>
    <x v="13"/>
    <x v="17"/>
    <n v="2.5"/>
    <n v="7"/>
    <s v="USD"/>
    <x v="1"/>
    <s v="EMP0061"/>
    <n v="17.5"/>
    <s v="Wed"/>
    <x v="0"/>
    <x v="3"/>
  </r>
  <r>
    <x v="2120"/>
    <d v="2023-03-12T10:36:04"/>
    <x v="2088"/>
    <x v="8"/>
    <x v="0"/>
    <n v="3.1"/>
    <n v="9"/>
    <s v="USD"/>
    <x v="3"/>
    <s v="EMP0092"/>
    <n v="27.900000000000002"/>
    <s v="Sun"/>
    <x v="1"/>
    <x v="4"/>
  </r>
  <r>
    <x v="2121"/>
    <d v="2021-12-12T16:52:04"/>
    <x v="2089"/>
    <x v="0"/>
    <x v="3"/>
    <n v="1.2"/>
    <n v="8"/>
    <s v="USD"/>
    <x v="5"/>
    <s v="EMP0093"/>
    <n v="9.6"/>
    <s v="Sun"/>
    <x v="4"/>
    <x v="0"/>
  </r>
  <r>
    <x v="2122"/>
    <d v="2025-01-07T03:35:04"/>
    <x v="2090"/>
    <x v="8"/>
    <x v="17"/>
    <n v="2.5"/>
    <n v="6"/>
    <s v="USD"/>
    <x v="5"/>
    <s v="EMP0092"/>
    <n v="15"/>
    <s v="Tue"/>
    <x v="2"/>
    <x v="2"/>
  </r>
  <r>
    <x v="2123"/>
    <d v="2022-06-26T16:45:04"/>
    <x v="2091"/>
    <x v="10"/>
    <x v="18"/>
    <n v="1.7"/>
    <n v="2"/>
    <s v="USD"/>
    <x v="3"/>
    <s v="EMP0019"/>
    <n v="3.4"/>
    <s v="Sun"/>
    <x v="3"/>
    <x v="3"/>
  </r>
  <r>
    <x v="2124"/>
    <d v="2023-11-18T18:38:04"/>
    <x v="2092"/>
    <x v="14"/>
    <x v="19"/>
    <n v="5.5"/>
    <n v="3"/>
    <s v="USD"/>
    <x v="4"/>
    <s v="EMP0053"/>
    <n v="16.5"/>
    <s v="Sat"/>
    <x v="10"/>
    <x v="4"/>
  </r>
  <r>
    <x v="2125"/>
    <d v="2021-09-03T03:17:04"/>
    <x v="2093"/>
    <x v="1"/>
    <x v="2"/>
    <n v="2.5"/>
    <n v="8"/>
    <s v="USD"/>
    <x v="0"/>
    <s v="EMP0034"/>
    <n v="20"/>
    <s v="Fri"/>
    <x v="9"/>
    <x v="0"/>
  </r>
  <r>
    <x v="2126"/>
    <d v="2024-10-23T02:45:04"/>
    <x v="2094"/>
    <x v="0"/>
    <x v="9"/>
    <n v="3"/>
    <n v="8"/>
    <s v="USD"/>
    <x v="2"/>
    <s v="EMP0063"/>
    <n v="24"/>
    <s v="Wed"/>
    <x v="0"/>
    <x v="1"/>
  </r>
  <r>
    <x v="2127"/>
    <d v="2023-12-25T05:05:04"/>
    <x v="2095"/>
    <x v="11"/>
    <x v="10"/>
    <n v="5"/>
    <n v="6"/>
    <s v="USD"/>
    <x v="5"/>
    <s v="EMP0090"/>
    <n v="30"/>
    <s v="Mon"/>
    <x v="4"/>
    <x v="4"/>
  </r>
  <r>
    <x v="2128"/>
    <d v="2023-11-27T19:09:04"/>
    <x v="2096"/>
    <x v="12"/>
    <x v="17"/>
    <n v="2.5"/>
    <n v="3"/>
    <s v="USD"/>
    <x v="0"/>
    <s v="EMP0067"/>
    <n v="7.5"/>
    <s v="Mon"/>
    <x v="10"/>
    <x v="4"/>
  </r>
  <r>
    <x v="2129"/>
    <d v="2023-09-27T13:12:04"/>
    <x v="2097"/>
    <x v="1"/>
    <x v="7"/>
    <n v="2.8"/>
    <n v="10"/>
    <s v="USD"/>
    <x v="4"/>
    <s v="EMP0092"/>
    <n v="28"/>
    <s v="Wed"/>
    <x v="9"/>
    <x v="4"/>
  </r>
  <r>
    <x v="2130"/>
    <d v="2023-09-21T03:41:04"/>
    <x v="2098"/>
    <x v="6"/>
    <x v="16"/>
    <n v="4"/>
    <n v="5"/>
    <s v="USD"/>
    <x v="5"/>
    <s v="EMP0092"/>
    <n v="20"/>
    <s v="Thu"/>
    <x v="9"/>
    <x v="4"/>
  </r>
  <r>
    <x v="2131"/>
    <d v="2022-11-20T16:08:04"/>
    <x v="237"/>
    <x v="6"/>
    <x v="14"/>
    <n v="2.2000000000000002"/>
    <n v="3"/>
    <s v="USD"/>
    <x v="1"/>
    <s v="EMP0038"/>
    <n v="6.6000000000000005"/>
    <s v="Sun"/>
    <x v="10"/>
    <x v="3"/>
  </r>
  <r>
    <x v="2132"/>
    <d v="2023-03-15T04:46:04"/>
    <x v="2099"/>
    <x v="2"/>
    <x v="3"/>
    <n v="1.2"/>
    <n v="4"/>
    <s v="USD"/>
    <x v="1"/>
    <s v="EMP0039"/>
    <n v="4.8"/>
    <s v="Wed"/>
    <x v="1"/>
    <x v="4"/>
  </r>
  <r>
    <x v="2133"/>
    <d v="2024-07-09T19:26:04"/>
    <x v="2100"/>
    <x v="11"/>
    <x v="7"/>
    <n v="2.8"/>
    <n v="9"/>
    <s v="USD"/>
    <x v="2"/>
    <s v="EMP0067"/>
    <n v="25.2"/>
    <s v="Tue"/>
    <x v="8"/>
    <x v="1"/>
  </r>
  <r>
    <x v="2134"/>
    <d v="2023-01-28T21:47:04"/>
    <x v="2101"/>
    <x v="1"/>
    <x v="13"/>
    <n v="0.8"/>
    <n v="6"/>
    <s v="USD"/>
    <x v="2"/>
    <s v="EMP0020"/>
    <n v="4.8000000000000007"/>
    <s v="Sat"/>
    <x v="2"/>
    <x v="4"/>
  </r>
  <r>
    <x v="2135"/>
    <d v="2022-01-22T21:06:04"/>
    <x v="2102"/>
    <x v="9"/>
    <x v="7"/>
    <n v="2.8"/>
    <n v="7"/>
    <s v="USD"/>
    <x v="5"/>
    <s v="EMP0083"/>
    <n v="19.599999999999998"/>
    <s v="Sat"/>
    <x v="2"/>
    <x v="3"/>
  </r>
  <r>
    <x v="2136"/>
    <d v="2024-05-27T20:56:04"/>
    <x v="2103"/>
    <x v="6"/>
    <x v="15"/>
    <n v="1.5"/>
    <n v="7"/>
    <s v="USD"/>
    <x v="3"/>
    <s v="EMP0086"/>
    <n v="10.5"/>
    <s v="Mon"/>
    <x v="5"/>
    <x v="1"/>
  </r>
  <r>
    <x v="2137"/>
    <d v="2024-12-28T03:12:04"/>
    <x v="2104"/>
    <x v="11"/>
    <x v="11"/>
    <n v="4"/>
    <n v="4"/>
    <s v="USD"/>
    <x v="0"/>
    <s v="EMP0036"/>
    <n v="16"/>
    <s v="Sat"/>
    <x v="4"/>
    <x v="1"/>
  </r>
  <r>
    <x v="2138"/>
    <d v="2021-12-09T13:36:04"/>
    <x v="2105"/>
    <x v="7"/>
    <x v="11"/>
    <n v="4"/>
    <n v="6"/>
    <s v="USD"/>
    <x v="5"/>
    <s v="EMP0059"/>
    <n v="24"/>
    <s v="Thu"/>
    <x v="4"/>
    <x v="0"/>
  </r>
  <r>
    <x v="2139"/>
    <d v="2022-02-27T16:28:04"/>
    <x v="2106"/>
    <x v="13"/>
    <x v="12"/>
    <n v="1.8"/>
    <n v="4"/>
    <s v="USD"/>
    <x v="2"/>
    <s v="EMP0026"/>
    <n v="7.2"/>
    <s v="Sun"/>
    <x v="7"/>
    <x v="3"/>
  </r>
  <r>
    <x v="2140"/>
    <d v="2023-04-25T16:24:04"/>
    <x v="2107"/>
    <x v="8"/>
    <x v="19"/>
    <n v="5.5"/>
    <n v="6"/>
    <s v="USD"/>
    <x v="1"/>
    <s v="EMP0009"/>
    <n v="33"/>
    <s v="Tue"/>
    <x v="11"/>
    <x v="4"/>
  </r>
  <r>
    <x v="2141"/>
    <d v="2023-10-31T19:52:04"/>
    <x v="2108"/>
    <x v="4"/>
    <x v="1"/>
    <n v="1"/>
    <n v="2"/>
    <s v="USD"/>
    <x v="3"/>
    <s v="EMP0058"/>
    <n v="2"/>
    <s v="Tue"/>
    <x v="0"/>
    <x v="4"/>
  </r>
  <r>
    <x v="2142"/>
    <d v="2022-03-05T21:11:04"/>
    <x v="2109"/>
    <x v="2"/>
    <x v="0"/>
    <n v="3.1"/>
    <n v="3"/>
    <s v="USD"/>
    <x v="2"/>
    <s v="EMP0084"/>
    <n v="9.3000000000000007"/>
    <s v="Sat"/>
    <x v="1"/>
    <x v="3"/>
  </r>
  <r>
    <x v="2143"/>
    <d v="2023-12-25T05:42:04"/>
    <x v="2110"/>
    <x v="0"/>
    <x v="10"/>
    <n v="5"/>
    <n v="3"/>
    <s v="USD"/>
    <x v="3"/>
    <s v="EMP0078"/>
    <n v="15"/>
    <s v="Mon"/>
    <x v="4"/>
    <x v="4"/>
  </r>
  <r>
    <x v="2144"/>
    <d v="2023-11-11T20:09:04"/>
    <x v="2111"/>
    <x v="7"/>
    <x v="11"/>
    <n v="4"/>
    <n v="2"/>
    <s v="USD"/>
    <x v="0"/>
    <s v="EMP0067"/>
    <n v="8"/>
    <s v="Sat"/>
    <x v="10"/>
    <x v="4"/>
  </r>
  <r>
    <x v="2145"/>
    <d v="2023-08-28T12:13:04"/>
    <x v="2112"/>
    <x v="2"/>
    <x v="2"/>
    <n v="2.5"/>
    <n v="10"/>
    <s v="USD"/>
    <x v="1"/>
    <s v="EMP0062"/>
    <n v="25"/>
    <s v="Mon"/>
    <x v="6"/>
    <x v="4"/>
  </r>
  <r>
    <x v="2146"/>
    <d v="2022-10-02T09:52:04"/>
    <x v="2113"/>
    <x v="1"/>
    <x v="17"/>
    <n v="2.5"/>
    <n v="6"/>
    <s v="USD"/>
    <x v="2"/>
    <s v="EMP0010"/>
    <n v="15"/>
    <s v="Sun"/>
    <x v="0"/>
    <x v="3"/>
  </r>
  <r>
    <x v="2147"/>
    <d v="2024-04-01T22:19:04"/>
    <x v="2114"/>
    <x v="10"/>
    <x v="9"/>
    <n v="3"/>
    <n v="8"/>
    <s v="USD"/>
    <x v="0"/>
    <s v="EMP0013"/>
    <n v="24"/>
    <s v="Mon"/>
    <x v="11"/>
    <x v="1"/>
  </r>
  <r>
    <x v="2148"/>
    <d v="2022-04-24T19:13:04"/>
    <x v="2115"/>
    <x v="12"/>
    <x v="15"/>
    <n v="1.5"/>
    <n v="5"/>
    <s v="USD"/>
    <x v="1"/>
    <s v="EMP0002"/>
    <n v="7.5"/>
    <s v="Sun"/>
    <x v="11"/>
    <x v="3"/>
  </r>
  <r>
    <x v="2149"/>
    <d v="2022-02-02T23:31:04"/>
    <x v="2116"/>
    <x v="1"/>
    <x v="19"/>
    <n v="5.5"/>
    <n v="8"/>
    <s v="USD"/>
    <x v="2"/>
    <s v="EMP0025"/>
    <n v="44"/>
    <s v="Wed"/>
    <x v="7"/>
    <x v="3"/>
  </r>
  <r>
    <x v="2150"/>
    <d v="2022-01-18T16:47:04"/>
    <x v="2117"/>
    <x v="14"/>
    <x v="10"/>
    <n v="5"/>
    <n v="1"/>
    <s v="USD"/>
    <x v="4"/>
    <s v="EMP0097"/>
    <n v="5"/>
    <s v="Tue"/>
    <x v="2"/>
    <x v="3"/>
  </r>
  <r>
    <x v="2151"/>
    <d v="2023-01-26T18:09:04"/>
    <x v="2118"/>
    <x v="10"/>
    <x v="13"/>
    <n v="0.8"/>
    <n v="6"/>
    <s v="USD"/>
    <x v="1"/>
    <s v="EMP0062"/>
    <n v="4.8000000000000007"/>
    <s v="Thu"/>
    <x v="2"/>
    <x v="4"/>
  </r>
  <r>
    <x v="2152"/>
    <d v="2022-06-21T03:45:04"/>
    <x v="2119"/>
    <x v="11"/>
    <x v="0"/>
    <n v="3.1"/>
    <n v="9"/>
    <s v="USD"/>
    <x v="0"/>
    <s v="EMP0044"/>
    <n v="27.900000000000002"/>
    <s v="Tue"/>
    <x v="3"/>
    <x v="3"/>
  </r>
  <r>
    <x v="2153"/>
    <d v="2023-10-23T15:51:04"/>
    <x v="2120"/>
    <x v="9"/>
    <x v="8"/>
    <n v="4.5"/>
    <n v="8"/>
    <s v="USD"/>
    <x v="3"/>
    <s v="EMP0097"/>
    <n v="36"/>
    <s v="Mon"/>
    <x v="0"/>
    <x v="4"/>
  </r>
  <r>
    <x v="2154"/>
    <d v="2024-04-30T22:26:04"/>
    <x v="2121"/>
    <x v="5"/>
    <x v="12"/>
    <n v="1.8"/>
    <n v="8"/>
    <s v="USD"/>
    <x v="5"/>
    <s v="EMP0021"/>
    <n v="14.4"/>
    <s v="Tue"/>
    <x v="11"/>
    <x v="1"/>
  </r>
  <r>
    <x v="2155"/>
    <d v="2024-05-08T10:38:04"/>
    <x v="2122"/>
    <x v="8"/>
    <x v="8"/>
    <n v="4.5"/>
    <n v="2"/>
    <s v="USD"/>
    <x v="5"/>
    <s v="EMP0044"/>
    <n v="9"/>
    <s v="Wed"/>
    <x v="5"/>
    <x v="1"/>
  </r>
  <r>
    <x v="2156"/>
    <d v="2021-10-10T15:52:04"/>
    <x v="1306"/>
    <x v="4"/>
    <x v="13"/>
    <n v="0.8"/>
    <n v="4"/>
    <s v="USD"/>
    <x v="3"/>
    <s v="EMP0098"/>
    <n v="3.2"/>
    <s v="Sun"/>
    <x v="0"/>
    <x v="0"/>
  </r>
  <r>
    <x v="2157"/>
    <d v="2024-01-21T07:07:04"/>
    <x v="2123"/>
    <x v="9"/>
    <x v="8"/>
    <n v="4.5"/>
    <n v="6"/>
    <s v="USD"/>
    <x v="1"/>
    <s v="EMP0061"/>
    <n v="27"/>
    <s v="Sun"/>
    <x v="2"/>
    <x v="1"/>
  </r>
  <r>
    <x v="2158"/>
    <d v="2024-10-10T16:07:04"/>
    <x v="2124"/>
    <x v="1"/>
    <x v="5"/>
    <n v="1"/>
    <n v="4"/>
    <s v="USD"/>
    <x v="1"/>
    <s v="EMP0087"/>
    <n v="4"/>
    <s v="Thu"/>
    <x v="0"/>
    <x v="1"/>
  </r>
  <r>
    <x v="2159"/>
    <d v="2024-06-27T03:16:04"/>
    <x v="2125"/>
    <x v="2"/>
    <x v="6"/>
    <n v="7"/>
    <n v="3"/>
    <s v="USD"/>
    <x v="0"/>
    <s v="EMP0079"/>
    <n v="21"/>
    <s v="Thu"/>
    <x v="3"/>
    <x v="1"/>
  </r>
  <r>
    <x v="2160"/>
    <d v="2021-08-22T08:06:04"/>
    <x v="2126"/>
    <x v="9"/>
    <x v="15"/>
    <n v="1.5"/>
    <n v="10"/>
    <s v="USD"/>
    <x v="5"/>
    <s v="EMP0100"/>
    <n v="15"/>
    <s v="Sun"/>
    <x v="6"/>
    <x v="0"/>
  </r>
  <r>
    <x v="2161"/>
    <d v="2023-11-05T05:27:04"/>
    <x v="2127"/>
    <x v="11"/>
    <x v="15"/>
    <n v="1.5"/>
    <n v="5"/>
    <s v="USD"/>
    <x v="4"/>
    <s v="EMP0019"/>
    <n v="7.5"/>
    <s v="Sun"/>
    <x v="10"/>
    <x v="4"/>
  </r>
  <r>
    <x v="2162"/>
    <d v="2023-08-21T02:40:04"/>
    <x v="2128"/>
    <x v="5"/>
    <x v="4"/>
    <n v="3.2"/>
    <n v="8"/>
    <s v="USD"/>
    <x v="4"/>
    <s v="EMP0055"/>
    <n v="25.6"/>
    <s v="Mon"/>
    <x v="6"/>
    <x v="4"/>
  </r>
  <r>
    <x v="2163"/>
    <d v="2022-03-13T00:38:04"/>
    <x v="2129"/>
    <x v="8"/>
    <x v="3"/>
    <n v="1.2"/>
    <n v="7"/>
    <s v="USD"/>
    <x v="3"/>
    <s v="EMP0053"/>
    <n v="8.4"/>
    <s v="Sun"/>
    <x v="1"/>
    <x v="3"/>
  </r>
  <r>
    <x v="2164"/>
    <d v="2023-05-15T16:35:04"/>
    <x v="2130"/>
    <x v="6"/>
    <x v="10"/>
    <n v="5"/>
    <n v="5"/>
    <s v="USD"/>
    <x v="3"/>
    <s v="EMP0091"/>
    <n v="25"/>
    <s v="Mon"/>
    <x v="5"/>
    <x v="4"/>
  </r>
  <r>
    <x v="2165"/>
    <d v="2024-03-21T06:44:04"/>
    <x v="2131"/>
    <x v="0"/>
    <x v="0"/>
    <n v="3.1"/>
    <n v="5"/>
    <s v="USD"/>
    <x v="4"/>
    <s v="EMP0004"/>
    <n v="15.5"/>
    <s v="Thu"/>
    <x v="1"/>
    <x v="1"/>
  </r>
  <r>
    <x v="2166"/>
    <d v="2023-07-19T23:36:04"/>
    <x v="2132"/>
    <x v="8"/>
    <x v="4"/>
    <n v="3.2"/>
    <n v="9"/>
    <s v="USD"/>
    <x v="1"/>
    <s v="EMP0095"/>
    <n v="28.8"/>
    <s v="Wed"/>
    <x v="8"/>
    <x v="4"/>
  </r>
  <r>
    <x v="2167"/>
    <d v="2024-03-27T06:47:04"/>
    <x v="2133"/>
    <x v="9"/>
    <x v="10"/>
    <n v="5"/>
    <n v="5"/>
    <s v="USD"/>
    <x v="3"/>
    <s v="EMP0010"/>
    <n v="25"/>
    <s v="Wed"/>
    <x v="1"/>
    <x v="1"/>
  </r>
  <r>
    <x v="2168"/>
    <d v="2023-12-29T08:06:04"/>
    <x v="2134"/>
    <x v="0"/>
    <x v="15"/>
    <n v="1.5"/>
    <n v="10"/>
    <s v="USD"/>
    <x v="5"/>
    <s v="EMP0006"/>
    <n v="15"/>
    <s v="Fri"/>
    <x v="4"/>
    <x v="4"/>
  </r>
  <r>
    <x v="2169"/>
    <d v="2021-08-28T00:42:04"/>
    <x v="2135"/>
    <x v="1"/>
    <x v="15"/>
    <n v="1.5"/>
    <n v="4"/>
    <s v="USD"/>
    <x v="4"/>
    <s v="EMP0078"/>
    <n v="6"/>
    <s v="Sat"/>
    <x v="6"/>
    <x v="0"/>
  </r>
  <r>
    <x v="2170"/>
    <d v="2022-01-25T01:23:04"/>
    <x v="2136"/>
    <x v="7"/>
    <x v="17"/>
    <n v="2.5"/>
    <n v="6"/>
    <s v="USD"/>
    <x v="4"/>
    <s v="EMP0069"/>
    <n v="15"/>
    <s v="Tue"/>
    <x v="2"/>
    <x v="3"/>
  </r>
  <r>
    <x v="2171"/>
    <d v="2023-04-13T22:27:04"/>
    <x v="2137"/>
    <x v="11"/>
    <x v="19"/>
    <n v="5.5"/>
    <n v="8"/>
    <s v="USD"/>
    <x v="0"/>
    <s v="EMP0096"/>
    <n v="44"/>
    <s v="Thu"/>
    <x v="11"/>
    <x v="4"/>
  </r>
  <r>
    <x v="2172"/>
    <d v="2024-12-09T02:37:04"/>
    <x v="2138"/>
    <x v="0"/>
    <x v="18"/>
    <n v="1.7"/>
    <n v="3"/>
    <s v="USD"/>
    <x v="0"/>
    <s v="EMP0076"/>
    <n v="5.0999999999999996"/>
    <s v="Mon"/>
    <x v="4"/>
    <x v="1"/>
  </r>
  <r>
    <x v="2173"/>
    <d v="2023-09-04T19:14:04"/>
    <x v="2139"/>
    <x v="9"/>
    <x v="9"/>
    <n v="3"/>
    <n v="8"/>
    <s v="USD"/>
    <x v="0"/>
    <s v="EMP0042"/>
    <n v="24"/>
    <s v="Mon"/>
    <x v="9"/>
    <x v="4"/>
  </r>
  <r>
    <x v="2174"/>
    <d v="2022-02-21T19:38:04"/>
    <x v="2140"/>
    <x v="3"/>
    <x v="0"/>
    <n v="3.1"/>
    <n v="9"/>
    <s v="USD"/>
    <x v="1"/>
    <s v="EMP0038"/>
    <n v="27.900000000000002"/>
    <s v="Mon"/>
    <x v="7"/>
    <x v="3"/>
  </r>
  <r>
    <x v="2175"/>
    <d v="2021-06-27T13:18:04"/>
    <x v="2141"/>
    <x v="14"/>
    <x v="9"/>
    <n v="3"/>
    <n v="6"/>
    <s v="USD"/>
    <x v="4"/>
    <s v="EMP0099"/>
    <n v="18"/>
    <s v="Sun"/>
    <x v="3"/>
    <x v="0"/>
  </r>
  <r>
    <x v="2176"/>
    <d v="2022-11-07T13:30:04"/>
    <x v="2142"/>
    <x v="2"/>
    <x v="13"/>
    <n v="0.8"/>
    <n v="6"/>
    <s v="USD"/>
    <x v="5"/>
    <s v="EMP0030"/>
    <n v="4.8000000000000007"/>
    <s v="Mon"/>
    <x v="10"/>
    <x v="3"/>
  </r>
  <r>
    <x v="2177"/>
    <d v="2022-10-09T02:05:04"/>
    <x v="2143"/>
    <x v="2"/>
    <x v="0"/>
    <n v="3.1"/>
    <n v="5"/>
    <s v="USD"/>
    <x v="1"/>
    <s v="EMP0096"/>
    <n v="15.5"/>
    <s v="Sun"/>
    <x v="0"/>
    <x v="3"/>
  </r>
  <r>
    <x v="2178"/>
    <d v="2025-03-23T09:19:04"/>
    <x v="2144"/>
    <x v="3"/>
    <x v="18"/>
    <n v="1.7"/>
    <n v="7"/>
    <s v="USD"/>
    <x v="5"/>
    <s v="EMP0063"/>
    <n v="11.9"/>
    <s v="Sun"/>
    <x v="1"/>
    <x v="2"/>
  </r>
  <r>
    <x v="2179"/>
    <d v="2025-01-30T21:23:04"/>
    <x v="2145"/>
    <x v="1"/>
    <x v="12"/>
    <n v="1.8"/>
    <n v="6"/>
    <s v="USD"/>
    <x v="3"/>
    <s v="EMP0073"/>
    <n v="10.8"/>
    <s v="Thu"/>
    <x v="2"/>
    <x v="2"/>
  </r>
  <r>
    <x v="2180"/>
    <d v="2022-11-26T11:54:04"/>
    <x v="2146"/>
    <x v="4"/>
    <x v="4"/>
    <n v="3.2"/>
    <n v="9"/>
    <s v="USD"/>
    <x v="5"/>
    <s v="EMP0037"/>
    <n v="28.8"/>
    <s v="Sat"/>
    <x v="10"/>
    <x v="3"/>
  </r>
  <r>
    <x v="2181"/>
    <d v="2022-02-17T02:46:04"/>
    <x v="2147"/>
    <x v="7"/>
    <x v="9"/>
    <n v="3"/>
    <n v="10"/>
    <s v="USD"/>
    <x v="3"/>
    <s v="EMP0072"/>
    <n v="30"/>
    <s v="Thu"/>
    <x v="7"/>
    <x v="3"/>
  </r>
  <r>
    <x v="2182"/>
    <d v="2024-09-20T20:16:04"/>
    <x v="2148"/>
    <x v="14"/>
    <x v="12"/>
    <n v="1.8"/>
    <n v="2"/>
    <s v="USD"/>
    <x v="1"/>
    <s v="EMP0060"/>
    <n v="3.6"/>
    <s v="Fri"/>
    <x v="9"/>
    <x v="1"/>
  </r>
  <r>
    <x v="2183"/>
    <d v="2021-12-06T17:14:04"/>
    <x v="2149"/>
    <x v="14"/>
    <x v="9"/>
    <n v="3"/>
    <n v="7"/>
    <s v="USD"/>
    <x v="4"/>
    <s v="EMP0060"/>
    <n v="21"/>
    <s v="Mon"/>
    <x v="4"/>
    <x v="0"/>
  </r>
  <r>
    <x v="2184"/>
    <d v="2022-10-27T14:17:04"/>
    <x v="2150"/>
    <x v="3"/>
    <x v="4"/>
    <n v="3.2"/>
    <n v="2"/>
    <s v="USD"/>
    <x v="0"/>
    <s v="EMP0083"/>
    <n v="6.4"/>
    <s v="Thu"/>
    <x v="0"/>
    <x v="3"/>
  </r>
  <r>
    <x v="2185"/>
    <d v="2022-02-16T02:57:04"/>
    <x v="2151"/>
    <x v="9"/>
    <x v="18"/>
    <n v="1.7"/>
    <n v="1"/>
    <s v="USD"/>
    <x v="5"/>
    <s v="EMP0074"/>
    <n v="1.7"/>
    <s v="Wed"/>
    <x v="7"/>
    <x v="3"/>
  </r>
  <r>
    <x v="2186"/>
    <d v="2023-09-16T12:47:04"/>
    <x v="2152"/>
    <x v="4"/>
    <x v="6"/>
    <n v="7"/>
    <n v="1"/>
    <s v="USD"/>
    <x v="3"/>
    <s v="EMP0029"/>
    <n v="7"/>
    <s v="Sat"/>
    <x v="9"/>
    <x v="4"/>
  </r>
  <r>
    <x v="2187"/>
    <d v="2023-07-19T00:17:04"/>
    <x v="2153"/>
    <x v="11"/>
    <x v="2"/>
    <n v="2.5"/>
    <n v="10"/>
    <s v="USD"/>
    <x v="2"/>
    <s v="EMP0099"/>
    <n v="25"/>
    <s v="Wed"/>
    <x v="8"/>
    <x v="4"/>
  </r>
  <r>
    <x v="2188"/>
    <d v="2023-07-10T19:57:04"/>
    <x v="2154"/>
    <x v="3"/>
    <x v="11"/>
    <n v="4"/>
    <n v="10"/>
    <s v="USD"/>
    <x v="4"/>
    <s v="EMP0092"/>
    <n v="40"/>
    <s v="Mon"/>
    <x v="8"/>
    <x v="4"/>
  </r>
  <r>
    <x v="2189"/>
    <d v="2022-02-13T09:14:04"/>
    <x v="2155"/>
    <x v="14"/>
    <x v="14"/>
    <n v="2.2000000000000002"/>
    <n v="4"/>
    <s v="USD"/>
    <x v="4"/>
    <s v="EMP0024"/>
    <n v="8.8000000000000007"/>
    <s v="Sun"/>
    <x v="7"/>
    <x v="3"/>
  </r>
  <r>
    <x v="2190"/>
    <d v="2024-10-15T12:52:04"/>
    <x v="2156"/>
    <x v="12"/>
    <x v="17"/>
    <n v="2.5"/>
    <n v="3"/>
    <s v="USD"/>
    <x v="1"/>
    <s v="EMP0045"/>
    <n v="7.5"/>
    <s v="Tue"/>
    <x v="0"/>
    <x v="1"/>
  </r>
  <r>
    <x v="2191"/>
    <d v="2024-12-19T02:31:04"/>
    <x v="2157"/>
    <x v="5"/>
    <x v="2"/>
    <n v="2.5"/>
    <n v="4"/>
    <s v="USD"/>
    <x v="0"/>
    <s v="EMP0039"/>
    <n v="10"/>
    <s v="Thu"/>
    <x v="4"/>
    <x v="1"/>
  </r>
  <r>
    <x v="2192"/>
    <d v="2024-06-09T00:09:04"/>
    <x v="2158"/>
    <x v="2"/>
    <x v="11"/>
    <n v="4"/>
    <n v="6"/>
    <s v="USD"/>
    <x v="3"/>
    <s v="EMP0018"/>
    <n v="24"/>
    <s v="Sun"/>
    <x v="3"/>
    <x v="1"/>
  </r>
  <r>
    <x v="2193"/>
    <d v="2022-11-21T09:33:04"/>
    <x v="2159"/>
    <x v="8"/>
    <x v="3"/>
    <n v="1.2"/>
    <n v="8"/>
    <s v="USD"/>
    <x v="2"/>
    <s v="EMP0095"/>
    <n v="9.6"/>
    <s v="Mon"/>
    <x v="10"/>
    <x v="3"/>
  </r>
  <r>
    <x v="2194"/>
    <d v="2024-03-08T01:23:04"/>
    <x v="2160"/>
    <x v="10"/>
    <x v="10"/>
    <n v="5"/>
    <n v="7"/>
    <s v="USD"/>
    <x v="0"/>
    <s v="EMP0027"/>
    <n v="35"/>
    <s v="Fri"/>
    <x v="1"/>
    <x v="1"/>
  </r>
  <r>
    <x v="2195"/>
    <d v="2023-03-21T18:34:04"/>
    <x v="2161"/>
    <x v="7"/>
    <x v="9"/>
    <n v="3"/>
    <n v="3"/>
    <s v="USD"/>
    <x v="1"/>
    <s v="EMP0075"/>
    <n v="9"/>
    <s v="Tue"/>
    <x v="1"/>
    <x v="4"/>
  </r>
  <r>
    <x v="2196"/>
    <d v="2022-06-17T10:16:04"/>
    <x v="2162"/>
    <x v="14"/>
    <x v="11"/>
    <n v="4"/>
    <n v="2"/>
    <s v="USD"/>
    <x v="5"/>
    <s v="EMP0095"/>
    <n v="8"/>
    <s v="Fri"/>
    <x v="3"/>
    <x v="3"/>
  </r>
  <r>
    <x v="2197"/>
    <d v="2021-12-18T01:39:04"/>
    <x v="2163"/>
    <x v="5"/>
    <x v="18"/>
    <n v="1.7"/>
    <n v="4"/>
    <s v="USD"/>
    <x v="0"/>
    <s v="EMP0012"/>
    <n v="6.8"/>
    <s v="Sat"/>
    <x v="4"/>
    <x v="0"/>
  </r>
  <r>
    <x v="2198"/>
    <d v="2022-07-06T01:56:04"/>
    <x v="2164"/>
    <x v="11"/>
    <x v="12"/>
    <n v="1.8"/>
    <n v="2"/>
    <s v="USD"/>
    <x v="5"/>
    <s v="EMP0003"/>
    <n v="3.6"/>
    <s v="Wed"/>
    <x v="8"/>
    <x v="3"/>
  </r>
  <r>
    <x v="2199"/>
    <d v="2025-04-25T00:35:04"/>
    <x v="2165"/>
    <x v="8"/>
    <x v="6"/>
    <n v="7"/>
    <n v="2"/>
    <s v="USD"/>
    <x v="4"/>
    <s v="EMP0047"/>
    <n v="14"/>
    <s v="Fri"/>
    <x v="11"/>
    <x v="2"/>
  </r>
  <r>
    <x v="2200"/>
    <d v="2023-08-14T10:59:04"/>
    <x v="2166"/>
    <x v="4"/>
    <x v="8"/>
    <n v="4.5"/>
    <n v="4"/>
    <s v="USD"/>
    <x v="2"/>
    <s v="EMP0011"/>
    <n v="18"/>
    <s v="Mon"/>
    <x v="6"/>
    <x v="4"/>
  </r>
  <r>
    <x v="2201"/>
    <d v="2021-09-14T16:35:04"/>
    <x v="2167"/>
    <x v="8"/>
    <x v="15"/>
    <n v="1.5"/>
    <n v="1"/>
    <s v="USD"/>
    <x v="4"/>
    <s v="EMP0094"/>
    <n v="1.5"/>
    <s v="Tue"/>
    <x v="9"/>
    <x v="0"/>
  </r>
  <r>
    <x v="2202"/>
    <d v="2021-09-22T03:24:04"/>
    <x v="2168"/>
    <x v="6"/>
    <x v="2"/>
    <n v="2.5"/>
    <n v="3"/>
    <s v="USD"/>
    <x v="1"/>
    <s v="EMP0002"/>
    <n v="7.5"/>
    <s v="Wed"/>
    <x v="9"/>
    <x v="0"/>
  </r>
  <r>
    <x v="2203"/>
    <d v="2024-08-19T21:17:04"/>
    <x v="1511"/>
    <x v="6"/>
    <x v="15"/>
    <n v="1.5"/>
    <n v="1"/>
    <s v="USD"/>
    <x v="3"/>
    <s v="EMP0077"/>
    <n v="1.5"/>
    <s v="Mon"/>
    <x v="6"/>
    <x v="1"/>
  </r>
  <r>
    <x v="2204"/>
    <d v="2024-03-05T13:44:04"/>
    <x v="2169"/>
    <x v="11"/>
    <x v="7"/>
    <n v="2.8"/>
    <n v="10"/>
    <s v="USD"/>
    <x v="5"/>
    <s v="EMP0021"/>
    <n v="28"/>
    <s v="Tue"/>
    <x v="1"/>
    <x v="1"/>
  </r>
  <r>
    <x v="2205"/>
    <d v="2023-01-02T08:15:04"/>
    <x v="2170"/>
    <x v="1"/>
    <x v="12"/>
    <n v="1.8"/>
    <n v="3"/>
    <s v="USD"/>
    <x v="2"/>
    <s v="EMP0086"/>
    <n v="5.4"/>
    <s v="Mon"/>
    <x v="2"/>
    <x v="4"/>
  </r>
  <r>
    <x v="2206"/>
    <d v="2024-05-03T01:30:04"/>
    <x v="2171"/>
    <x v="1"/>
    <x v="19"/>
    <n v="5.5"/>
    <n v="3"/>
    <s v="USD"/>
    <x v="3"/>
    <s v="EMP0064"/>
    <n v="16.5"/>
    <s v="Fri"/>
    <x v="5"/>
    <x v="1"/>
  </r>
  <r>
    <x v="2207"/>
    <d v="2024-03-18T04:01:04"/>
    <x v="2172"/>
    <x v="3"/>
    <x v="7"/>
    <n v="2.8"/>
    <n v="5"/>
    <s v="USD"/>
    <x v="1"/>
    <s v="EMP0042"/>
    <n v="14"/>
    <s v="Mon"/>
    <x v="1"/>
    <x v="1"/>
  </r>
  <r>
    <x v="2208"/>
    <d v="2025-03-12T13:05:04"/>
    <x v="2173"/>
    <x v="13"/>
    <x v="15"/>
    <n v="1.5"/>
    <n v="1"/>
    <s v="USD"/>
    <x v="2"/>
    <s v="EMP0019"/>
    <n v="1.5"/>
    <s v="Wed"/>
    <x v="1"/>
    <x v="2"/>
  </r>
  <r>
    <x v="2209"/>
    <d v="2023-01-26T11:52:04"/>
    <x v="2174"/>
    <x v="8"/>
    <x v="5"/>
    <n v="1"/>
    <n v="9"/>
    <s v="USD"/>
    <x v="0"/>
    <s v="EMP0021"/>
    <n v="9"/>
    <s v="Thu"/>
    <x v="2"/>
    <x v="4"/>
  </r>
  <r>
    <x v="2210"/>
    <d v="2024-10-16T13:04:04"/>
    <x v="2175"/>
    <x v="1"/>
    <x v="2"/>
    <n v="2.5"/>
    <n v="2"/>
    <s v="USD"/>
    <x v="5"/>
    <s v="EMP0009"/>
    <n v="5"/>
    <s v="Wed"/>
    <x v="0"/>
    <x v="1"/>
  </r>
  <r>
    <x v="2211"/>
    <d v="2024-09-20T21:57:04"/>
    <x v="2176"/>
    <x v="8"/>
    <x v="1"/>
    <n v="1"/>
    <n v="8"/>
    <s v="USD"/>
    <x v="0"/>
    <s v="EMP0078"/>
    <n v="8"/>
    <s v="Fri"/>
    <x v="9"/>
    <x v="1"/>
  </r>
  <r>
    <x v="2212"/>
    <d v="2021-10-13T13:07:04"/>
    <x v="2177"/>
    <x v="10"/>
    <x v="15"/>
    <n v="1.5"/>
    <n v="5"/>
    <s v="USD"/>
    <x v="0"/>
    <s v="EMP0042"/>
    <n v="7.5"/>
    <s v="Wed"/>
    <x v="0"/>
    <x v="0"/>
  </r>
  <r>
    <x v="2213"/>
    <d v="2021-09-02T20:03:04"/>
    <x v="2178"/>
    <x v="12"/>
    <x v="19"/>
    <n v="5.5"/>
    <n v="8"/>
    <s v="USD"/>
    <x v="5"/>
    <s v="EMP0096"/>
    <n v="44"/>
    <s v="Thu"/>
    <x v="9"/>
    <x v="0"/>
  </r>
  <r>
    <x v="2214"/>
    <d v="2022-02-25T07:18:04"/>
    <x v="2179"/>
    <x v="2"/>
    <x v="12"/>
    <n v="1.8"/>
    <n v="3"/>
    <s v="USD"/>
    <x v="0"/>
    <s v="EMP0029"/>
    <n v="5.4"/>
    <s v="Fri"/>
    <x v="7"/>
    <x v="3"/>
  </r>
  <r>
    <x v="2215"/>
    <d v="2021-08-28T10:39:04"/>
    <x v="2180"/>
    <x v="7"/>
    <x v="6"/>
    <n v="7"/>
    <n v="5"/>
    <s v="USD"/>
    <x v="1"/>
    <s v="EMP0014"/>
    <n v="35"/>
    <s v="Sat"/>
    <x v="6"/>
    <x v="0"/>
  </r>
  <r>
    <x v="2216"/>
    <d v="2023-12-15T06:10:04"/>
    <x v="2181"/>
    <x v="6"/>
    <x v="8"/>
    <n v="4.5"/>
    <n v="6"/>
    <s v="USD"/>
    <x v="2"/>
    <s v="EMP0060"/>
    <n v="27"/>
    <s v="Fri"/>
    <x v="4"/>
    <x v="4"/>
  </r>
  <r>
    <x v="2217"/>
    <d v="2021-08-09T18:53:04"/>
    <x v="2182"/>
    <x v="9"/>
    <x v="16"/>
    <n v="4"/>
    <n v="5"/>
    <s v="USD"/>
    <x v="0"/>
    <s v="EMP0042"/>
    <n v="20"/>
    <s v="Mon"/>
    <x v="6"/>
    <x v="0"/>
  </r>
  <r>
    <x v="2218"/>
    <d v="2022-12-27T01:44:04"/>
    <x v="2183"/>
    <x v="6"/>
    <x v="16"/>
    <n v="4"/>
    <n v="1"/>
    <s v="USD"/>
    <x v="2"/>
    <s v="EMP0050"/>
    <n v="4"/>
    <s v="Tue"/>
    <x v="4"/>
    <x v="3"/>
  </r>
  <r>
    <x v="2219"/>
    <d v="2021-10-23T11:36:04"/>
    <x v="2184"/>
    <x v="2"/>
    <x v="13"/>
    <n v="0.8"/>
    <n v="1"/>
    <s v="USD"/>
    <x v="0"/>
    <s v="EMP0082"/>
    <n v="0.8"/>
    <s v="Sat"/>
    <x v="0"/>
    <x v="0"/>
  </r>
  <r>
    <x v="2220"/>
    <d v="2025-03-01T06:16:04"/>
    <x v="2185"/>
    <x v="8"/>
    <x v="4"/>
    <n v="3.2"/>
    <n v="1"/>
    <s v="USD"/>
    <x v="1"/>
    <s v="EMP0062"/>
    <n v="3.2"/>
    <s v="Sat"/>
    <x v="1"/>
    <x v="2"/>
  </r>
  <r>
    <x v="2221"/>
    <d v="2022-08-23T02:14:04"/>
    <x v="2186"/>
    <x v="3"/>
    <x v="16"/>
    <n v="4"/>
    <n v="7"/>
    <s v="USD"/>
    <x v="5"/>
    <s v="EMP0028"/>
    <n v="28"/>
    <s v="Tue"/>
    <x v="6"/>
    <x v="3"/>
  </r>
  <r>
    <x v="2222"/>
    <d v="2022-10-23T18:10:04"/>
    <x v="2187"/>
    <x v="9"/>
    <x v="10"/>
    <n v="5"/>
    <n v="2"/>
    <s v="USD"/>
    <x v="2"/>
    <s v="EMP0036"/>
    <n v="10"/>
    <s v="Sun"/>
    <x v="0"/>
    <x v="3"/>
  </r>
  <r>
    <x v="2223"/>
    <d v="2021-09-04T20:27:04"/>
    <x v="2188"/>
    <x v="5"/>
    <x v="4"/>
    <n v="3.2"/>
    <n v="3"/>
    <s v="USD"/>
    <x v="4"/>
    <s v="EMP0044"/>
    <n v="9.6000000000000014"/>
    <s v="Sat"/>
    <x v="9"/>
    <x v="0"/>
  </r>
  <r>
    <x v="2224"/>
    <d v="2022-08-14T19:57:04"/>
    <x v="2189"/>
    <x v="3"/>
    <x v="19"/>
    <n v="5.5"/>
    <n v="6"/>
    <s v="USD"/>
    <x v="1"/>
    <s v="EMP0034"/>
    <n v="33"/>
    <s v="Sun"/>
    <x v="6"/>
    <x v="3"/>
  </r>
  <r>
    <x v="2225"/>
    <d v="2024-12-31T01:59:04"/>
    <x v="2190"/>
    <x v="3"/>
    <x v="3"/>
    <n v="1.2"/>
    <n v="9"/>
    <s v="USD"/>
    <x v="0"/>
    <s v="EMP0013"/>
    <n v="10.799999999999999"/>
    <s v="Tue"/>
    <x v="4"/>
    <x v="1"/>
  </r>
  <r>
    <x v="2226"/>
    <d v="2024-01-29T22:33:04"/>
    <x v="2191"/>
    <x v="7"/>
    <x v="19"/>
    <n v="5.5"/>
    <n v="9"/>
    <s v="USD"/>
    <x v="2"/>
    <s v="EMP0038"/>
    <n v="49.5"/>
    <s v="Mon"/>
    <x v="2"/>
    <x v="1"/>
  </r>
  <r>
    <x v="2227"/>
    <d v="2024-08-24T02:07:04"/>
    <x v="2192"/>
    <x v="10"/>
    <x v="18"/>
    <n v="1.7"/>
    <n v="9"/>
    <s v="USD"/>
    <x v="3"/>
    <s v="EMP0065"/>
    <n v="15.299999999999999"/>
    <s v="Sat"/>
    <x v="6"/>
    <x v="1"/>
  </r>
  <r>
    <x v="2228"/>
    <d v="2024-05-01T00:34:04"/>
    <x v="2193"/>
    <x v="1"/>
    <x v="12"/>
    <n v="1.8"/>
    <n v="4"/>
    <s v="USD"/>
    <x v="0"/>
    <s v="EMP0088"/>
    <n v="7.2"/>
    <s v="Wed"/>
    <x v="5"/>
    <x v="1"/>
  </r>
  <r>
    <x v="2229"/>
    <d v="2024-02-10T13:14:04"/>
    <x v="2194"/>
    <x v="0"/>
    <x v="7"/>
    <n v="2.8"/>
    <n v="9"/>
    <s v="USD"/>
    <x v="1"/>
    <s v="EMP0100"/>
    <n v="25.2"/>
    <s v="Sat"/>
    <x v="7"/>
    <x v="1"/>
  </r>
  <r>
    <x v="2230"/>
    <d v="2024-07-02T18:31:04"/>
    <x v="2195"/>
    <x v="9"/>
    <x v="12"/>
    <n v="1.8"/>
    <n v="1"/>
    <s v="USD"/>
    <x v="1"/>
    <s v="EMP0047"/>
    <n v="1.8"/>
    <s v="Tue"/>
    <x v="8"/>
    <x v="1"/>
  </r>
  <r>
    <x v="2231"/>
    <d v="2022-05-01T05:42:04"/>
    <x v="2196"/>
    <x v="9"/>
    <x v="13"/>
    <n v="0.8"/>
    <n v="6"/>
    <s v="USD"/>
    <x v="0"/>
    <s v="EMP0013"/>
    <n v="4.8000000000000007"/>
    <s v="Sun"/>
    <x v="5"/>
    <x v="3"/>
  </r>
  <r>
    <x v="2232"/>
    <d v="2021-07-16T07:46:04"/>
    <x v="1364"/>
    <x v="3"/>
    <x v="5"/>
    <n v="1"/>
    <n v="4"/>
    <s v="USD"/>
    <x v="2"/>
    <s v="EMP0020"/>
    <n v="4"/>
    <s v="Fri"/>
    <x v="8"/>
    <x v="0"/>
  </r>
  <r>
    <x v="2233"/>
    <d v="2022-04-27T17:59:04"/>
    <x v="2197"/>
    <x v="4"/>
    <x v="11"/>
    <n v="4"/>
    <n v="5"/>
    <s v="USD"/>
    <x v="3"/>
    <s v="EMP0052"/>
    <n v="20"/>
    <s v="Wed"/>
    <x v="11"/>
    <x v="3"/>
  </r>
  <r>
    <x v="2234"/>
    <d v="2023-09-10T00:29:04"/>
    <x v="2198"/>
    <x v="9"/>
    <x v="18"/>
    <n v="1.7"/>
    <n v="8"/>
    <s v="USD"/>
    <x v="5"/>
    <s v="EMP0042"/>
    <n v="13.6"/>
    <s v="Sun"/>
    <x v="9"/>
    <x v="4"/>
  </r>
  <r>
    <x v="2235"/>
    <d v="2024-08-03T14:07:04"/>
    <x v="2199"/>
    <x v="13"/>
    <x v="9"/>
    <n v="3"/>
    <n v="5"/>
    <s v="USD"/>
    <x v="2"/>
    <s v="EMP0072"/>
    <n v="15"/>
    <s v="Sat"/>
    <x v="6"/>
    <x v="1"/>
  </r>
  <r>
    <x v="2236"/>
    <d v="2021-08-10T04:13:04"/>
    <x v="2200"/>
    <x v="1"/>
    <x v="5"/>
    <n v="1"/>
    <n v="10"/>
    <s v="USD"/>
    <x v="3"/>
    <s v="EMP0008"/>
    <n v="10"/>
    <s v="Tue"/>
    <x v="6"/>
    <x v="0"/>
  </r>
  <r>
    <x v="2237"/>
    <d v="2023-01-20T09:17:04"/>
    <x v="2201"/>
    <x v="10"/>
    <x v="13"/>
    <n v="0.8"/>
    <n v="4"/>
    <s v="USD"/>
    <x v="5"/>
    <s v="EMP0021"/>
    <n v="3.2"/>
    <s v="Fri"/>
    <x v="2"/>
    <x v="4"/>
  </r>
  <r>
    <x v="2238"/>
    <d v="2021-09-24T00:01:04"/>
    <x v="2202"/>
    <x v="12"/>
    <x v="11"/>
    <n v="4"/>
    <n v="4"/>
    <s v="USD"/>
    <x v="4"/>
    <s v="EMP0010"/>
    <n v="16"/>
    <s v="Fri"/>
    <x v="9"/>
    <x v="0"/>
  </r>
  <r>
    <x v="2239"/>
    <d v="2024-02-01T05:18:04"/>
    <x v="2203"/>
    <x v="1"/>
    <x v="6"/>
    <n v="7"/>
    <n v="2"/>
    <s v="USD"/>
    <x v="2"/>
    <s v="EMP0095"/>
    <n v="14"/>
    <s v="Thu"/>
    <x v="7"/>
    <x v="1"/>
  </r>
  <r>
    <x v="2240"/>
    <d v="2022-01-25T16:17:04"/>
    <x v="2204"/>
    <x v="2"/>
    <x v="10"/>
    <n v="5"/>
    <n v="3"/>
    <s v="USD"/>
    <x v="2"/>
    <s v="EMP0036"/>
    <n v="15"/>
    <s v="Tue"/>
    <x v="2"/>
    <x v="3"/>
  </r>
  <r>
    <x v="2241"/>
    <d v="2023-07-09T12:46:04"/>
    <x v="2205"/>
    <x v="7"/>
    <x v="12"/>
    <n v="1.8"/>
    <n v="5"/>
    <s v="USD"/>
    <x v="1"/>
    <s v="EMP0014"/>
    <n v="9"/>
    <s v="Sun"/>
    <x v="8"/>
    <x v="4"/>
  </r>
  <r>
    <x v="2242"/>
    <d v="2021-10-29T17:56:04"/>
    <x v="2206"/>
    <x v="2"/>
    <x v="10"/>
    <n v="5"/>
    <n v="5"/>
    <s v="USD"/>
    <x v="3"/>
    <s v="EMP0070"/>
    <n v="25"/>
    <s v="Fri"/>
    <x v="0"/>
    <x v="0"/>
  </r>
  <r>
    <x v="2243"/>
    <d v="2021-12-06T23:17:04"/>
    <x v="2207"/>
    <x v="7"/>
    <x v="4"/>
    <n v="3.2"/>
    <n v="5"/>
    <s v="USD"/>
    <x v="3"/>
    <s v="EMP0049"/>
    <n v="16"/>
    <s v="Mon"/>
    <x v="4"/>
    <x v="0"/>
  </r>
  <r>
    <x v="2244"/>
    <d v="2023-12-03T09:46:04"/>
    <x v="2208"/>
    <x v="10"/>
    <x v="18"/>
    <n v="1.7"/>
    <n v="10"/>
    <s v="USD"/>
    <x v="0"/>
    <s v="EMP0091"/>
    <n v="17"/>
    <s v="Sun"/>
    <x v="4"/>
    <x v="4"/>
  </r>
  <r>
    <x v="2245"/>
    <d v="2021-06-22T21:38:04"/>
    <x v="2209"/>
    <x v="11"/>
    <x v="2"/>
    <n v="2.5"/>
    <n v="9"/>
    <s v="USD"/>
    <x v="3"/>
    <s v="EMP0012"/>
    <n v="22.5"/>
    <s v="Tue"/>
    <x v="3"/>
    <x v="0"/>
  </r>
  <r>
    <x v="2246"/>
    <d v="2021-12-20T17:31:04"/>
    <x v="2210"/>
    <x v="5"/>
    <x v="2"/>
    <n v="2.5"/>
    <n v="8"/>
    <s v="USD"/>
    <x v="2"/>
    <s v="EMP0056"/>
    <n v="20"/>
    <s v="Mon"/>
    <x v="4"/>
    <x v="0"/>
  </r>
  <r>
    <x v="2247"/>
    <d v="2022-12-28T11:46:04"/>
    <x v="2211"/>
    <x v="7"/>
    <x v="0"/>
    <n v="3.1"/>
    <n v="5"/>
    <s v="USD"/>
    <x v="4"/>
    <s v="EMP0082"/>
    <n v="15.5"/>
    <s v="Wed"/>
    <x v="4"/>
    <x v="3"/>
  </r>
  <r>
    <x v="2248"/>
    <d v="2022-07-04T03:00:04"/>
    <x v="2212"/>
    <x v="3"/>
    <x v="0"/>
    <n v="3.1"/>
    <n v="6"/>
    <s v="USD"/>
    <x v="3"/>
    <s v="EMP0002"/>
    <n v="18.600000000000001"/>
    <s v="Mon"/>
    <x v="8"/>
    <x v="3"/>
  </r>
  <r>
    <x v="2249"/>
    <d v="2024-10-13T14:35:04"/>
    <x v="2213"/>
    <x v="10"/>
    <x v="2"/>
    <n v="2.5"/>
    <n v="10"/>
    <s v="USD"/>
    <x v="5"/>
    <s v="EMP0029"/>
    <n v="25"/>
    <s v="Sun"/>
    <x v="0"/>
    <x v="1"/>
  </r>
  <r>
    <x v="2250"/>
    <d v="2022-01-14T23:44:04"/>
    <x v="2214"/>
    <x v="11"/>
    <x v="19"/>
    <n v="5.5"/>
    <n v="8"/>
    <s v="USD"/>
    <x v="1"/>
    <s v="EMP0078"/>
    <n v="44"/>
    <s v="Fri"/>
    <x v="2"/>
    <x v="3"/>
  </r>
  <r>
    <x v="2251"/>
    <d v="2022-03-08T00:48:04"/>
    <x v="2215"/>
    <x v="9"/>
    <x v="6"/>
    <n v="7"/>
    <n v="1"/>
    <s v="USD"/>
    <x v="1"/>
    <s v="EMP0014"/>
    <n v="7"/>
    <s v="Tue"/>
    <x v="1"/>
    <x v="3"/>
  </r>
  <r>
    <x v="2252"/>
    <d v="2022-01-15T17:20:04"/>
    <x v="2216"/>
    <x v="12"/>
    <x v="19"/>
    <n v="5.5"/>
    <n v="2"/>
    <s v="USD"/>
    <x v="0"/>
    <s v="EMP0047"/>
    <n v="11"/>
    <s v="Sat"/>
    <x v="2"/>
    <x v="3"/>
  </r>
  <r>
    <x v="2253"/>
    <d v="2022-02-05T15:41:04"/>
    <x v="2217"/>
    <x v="1"/>
    <x v="5"/>
    <n v="1"/>
    <n v="7"/>
    <s v="USD"/>
    <x v="5"/>
    <s v="EMP0092"/>
    <n v="7"/>
    <s v="Sat"/>
    <x v="7"/>
    <x v="3"/>
  </r>
  <r>
    <x v="2254"/>
    <d v="2025-02-17T01:45:04"/>
    <x v="2218"/>
    <x v="14"/>
    <x v="10"/>
    <n v="5"/>
    <n v="8"/>
    <s v="USD"/>
    <x v="1"/>
    <s v="EMP0067"/>
    <n v="40"/>
    <s v="Mon"/>
    <x v="7"/>
    <x v="2"/>
  </r>
  <r>
    <x v="2255"/>
    <d v="2025-02-22T00:34:04"/>
    <x v="2219"/>
    <x v="14"/>
    <x v="18"/>
    <n v="1.7"/>
    <n v="1"/>
    <s v="USD"/>
    <x v="0"/>
    <s v="EMP0073"/>
    <n v="1.7"/>
    <s v="Sat"/>
    <x v="7"/>
    <x v="2"/>
  </r>
  <r>
    <x v="2256"/>
    <d v="2024-05-04T12:46:04"/>
    <x v="2220"/>
    <x v="5"/>
    <x v="19"/>
    <n v="5.5"/>
    <n v="5"/>
    <s v="USD"/>
    <x v="5"/>
    <s v="EMP0004"/>
    <n v="27.5"/>
    <s v="Sat"/>
    <x v="5"/>
    <x v="1"/>
  </r>
  <r>
    <x v="2257"/>
    <d v="2022-10-17T05:04:04"/>
    <x v="2221"/>
    <x v="4"/>
    <x v="7"/>
    <n v="2.8"/>
    <n v="6"/>
    <s v="USD"/>
    <x v="0"/>
    <s v="EMP0036"/>
    <n v="16.799999999999997"/>
    <s v="Mon"/>
    <x v="0"/>
    <x v="3"/>
  </r>
  <r>
    <x v="2258"/>
    <d v="2022-11-08T12:06:04"/>
    <x v="2222"/>
    <x v="10"/>
    <x v="0"/>
    <n v="3.1"/>
    <n v="3"/>
    <s v="USD"/>
    <x v="0"/>
    <s v="EMP0072"/>
    <n v="9.3000000000000007"/>
    <s v="Tue"/>
    <x v="10"/>
    <x v="3"/>
  </r>
  <r>
    <x v="2259"/>
    <d v="2022-04-14T17:06:04"/>
    <x v="2223"/>
    <x v="0"/>
    <x v="6"/>
    <n v="7"/>
    <n v="6"/>
    <s v="USD"/>
    <x v="0"/>
    <s v="EMP0064"/>
    <n v="42"/>
    <s v="Thu"/>
    <x v="11"/>
    <x v="3"/>
  </r>
  <r>
    <x v="2260"/>
    <d v="2024-11-08T03:04:04"/>
    <x v="2224"/>
    <x v="12"/>
    <x v="1"/>
    <n v="1"/>
    <n v="4"/>
    <s v="USD"/>
    <x v="4"/>
    <s v="EMP0040"/>
    <n v="4"/>
    <s v="Fri"/>
    <x v="10"/>
    <x v="1"/>
  </r>
  <r>
    <x v="2261"/>
    <d v="2024-10-13T14:21:04"/>
    <x v="2225"/>
    <x v="3"/>
    <x v="6"/>
    <n v="7"/>
    <n v="6"/>
    <s v="USD"/>
    <x v="1"/>
    <s v="EMP0064"/>
    <n v="42"/>
    <s v="Sun"/>
    <x v="0"/>
    <x v="1"/>
  </r>
  <r>
    <x v="2262"/>
    <d v="2021-10-08T07:38:04"/>
    <x v="2226"/>
    <x v="8"/>
    <x v="11"/>
    <n v="4"/>
    <n v="5"/>
    <s v="USD"/>
    <x v="2"/>
    <s v="EMP0063"/>
    <n v="20"/>
    <s v="Fri"/>
    <x v="0"/>
    <x v="0"/>
  </r>
  <r>
    <x v="2263"/>
    <d v="2023-05-22T02:35:04"/>
    <x v="2227"/>
    <x v="10"/>
    <x v="7"/>
    <n v="2.8"/>
    <n v="3"/>
    <s v="USD"/>
    <x v="0"/>
    <s v="EMP0042"/>
    <n v="8.3999999999999986"/>
    <s v="Mon"/>
    <x v="5"/>
    <x v="4"/>
  </r>
  <r>
    <x v="2264"/>
    <d v="2025-04-07T10:14:04"/>
    <x v="2228"/>
    <x v="12"/>
    <x v="8"/>
    <n v="4.5"/>
    <n v="9"/>
    <s v="USD"/>
    <x v="2"/>
    <s v="EMP0083"/>
    <n v="40.5"/>
    <s v="Mon"/>
    <x v="11"/>
    <x v="2"/>
  </r>
  <r>
    <x v="2265"/>
    <d v="2022-03-19T03:38:04"/>
    <x v="2229"/>
    <x v="9"/>
    <x v="1"/>
    <n v="1"/>
    <n v="3"/>
    <s v="USD"/>
    <x v="5"/>
    <s v="EMP0080"/>
    <n v="3"/>
    <s v="Sat"/>
    <x v="1"/>
    <x v="3"/>
  </r>
  <r>
    <x v="2266"/>
    <d v="2021-06-15T11:14:04"/>
    <x v="2230"/>
    <x v="7"/>
    <x v="9"/>
    <n v="3"/>
    <n v="10"/>
    <s v="USD"/>
    <x v="2"/>
    <s v="EMP0052"/>
    <n v="30"/>
    <s v="Tue"/>
    <x v="3"/>
    <x v="0"/>
  </r>
  <r>
    <x v="2267"/>
    <d v="2023-11-17T08:41:04"/>
    <x v="2231"/>
    <x v="5"/>
    <x v="1"/>
    <n v="1"/>
    <n v="6"/>
    <s v="USD"/>
    <x v="5"/>
    <s v="EMP0018"/>
    <n v="6"/>
    <s v="Fri"/>
    <x v="10"/>
    <x v="4"/>
  </r>
  <r>
    <x v="2268"/>
    <d v="2023-03-13T09:32:04"/>
    <x v="2232"/>
    <x v="0"/>
    <x v="8"/>
    <n v="4.5"/>
    <n v="10"/>
    <s v="USD"/>
    <x v="1"/>
    <s v="EMP0011"/>
    <n v="45"/>
    <s v="Mon"/>
    <x v="1"/>
    <x v="4"/>
  </r>
  <r>
    <x v="2269"/>
    <d v="2023-07-16T05:58:04"/>
    <x v="2233"/>
    <x v="4"/>
    <x v="17"/>
    <n v="2.5"/>
    <n v="4"/>
    <s v="USD"/>
    <x v="1"/>
    <s v="EMP0020"/>
    <n v="10"/>
    <s v="Sun"/>
    <x v="8"/>
    <x v="4"/>
  </r>
  <r>
    <x v="2270"/>
    <d v="2021-08-11T05:25:04"/>
    <x v="2234"/>
    <x v="10"/>
    <x v="2"/>
    <n v="2.5"/>
    <n v="4"/>
    <s v="USD"/>
    <x v="0"/>
    <s v="EMP0029"/>
    <n v="10"/>
    <s v="Wed"/>
    <x v="6"/>
    <x v="0"/>
  </r>
  <r>
    <x v="2271"/>
    <d v="2022-11-19T16:35:04"/>
    <x v="2235"/>
    <x v="2"/>
    <x v="14"/>
    <n v="2.2000000000000002"/>
    <n v="1"/>
    <s v="USD"/>
    <x v="4"/>
    <s v="EMP0032"/>
    <n v="2.2000000000000002"/>
    <s v="Sat"/>
    <x v="10"/>
    <x v="3"/>
  </r>
  <r>
    <x v="2272"/>
    <d v="2025-03-27T17:56:04"/>
    <x v="2236"/>
    <x v="4"/>
    <x v="10"/>
    <n v="5"/>
    <n v="7"/>
    <s v="USD"/>
    <x v="1"/>
    <s v="EMP0071"/>
    <n v="35"/>
    <s v="Thu"/>
    <x v="1"/>
    <x v="2"/>
  </r>
  <r>
    <x v="2273"/>
    <d v="2022-03-03T07:00:04"/>
    <x v="2163"/>
    <x v="6"/>
    <x v="12"/>
    <n v="1.8"/>
    <n v="10"/>
    <s v="USD"/>
    <x v="5"/>
    <s v="EMP0081"/>
    <n v="18"/>
    <s v="Thu"/>
    <x v="1"/>
    <x v="3"/>
  </r>
  <r>
    <x v="2274"/>
    <d v="2022-02-16T00:39:04"/>
    <x v="2237"/>
    <x v="11"/>
    <x v="7"/>
    <n v="2.8"/>
    <n v="5"/>
    <s v="USD"/>
    <x v="5"/>
    <s v="EMP0048"/>
    <n v="14"/>
    <s v="Wed"/>
    <x v="7"/>
    <x v="3"/>
  </r>
  <r>
    <x v="2275"/>
    <d v="2023-04-24T06:06:04"/>
    <x v="2238"/>
    <x v="9"/>
    <x v="7"/>
    <n v="2.8"/>
    <n v="2"/>
    <s v="USD"/>
    <x v="2"/>
    <s v="EMP0018"/>
    <n v="5.6"/>
    <s v="Mon"/>
    <x v="11"/>
    <x v="4"/>
  </r>
  <r>
    <x v="2276"/>
    <d v="2023-07-20T15:11:04"/>
    <x v="2239"/>
    <x v="14"/>
    <x v="1"/>
    <n v="1"/>
    <n v="10"/>
    <s v="USD"/>
    <x v="0"/>
    <s v="EMP0013"/>
    <n v="10"/>
    <s v="Thu"/>
    <x v="8"/>
    <x v="4"/>
  </r>
  <r>
    <x v="2277"/>
    <d v="2022-07-04T14:56:04"/>
    <x v="2240"/>
    <x v="9"/>
    <x v="4"/>
    <n v="3.2"/>
    <n v="2"/>
    <s v="USD"/>
    <x v="1"/>
    <s v="EMP0030"/>
    <n v="6.4"/>
    <s v="Mon"/>
    <x v="8"/>
    <x v="3"/>
  </r>
  <r>
    <x v="2278"/>
    <d v="2023-05-26T14:42:04"/>
    <x v="2241"/>
    <x v="3"/>
    <x v="1"/>
    <n v="1"/>
    <n v="4"/>
    <s v="USD"/>
    <x v="5"/>
    <s v="EMP0035"/>
    <n v="4"/>
    <s v="Fri"/>
    <x v="5"/>
    <x v="4"/>
  </r>
  <r>
    <x v="2279"/>
    <d v="2022-02-18T11:57:04"/>
    <x v="2242"/>
    <x v="12"/>
    <x v="10"/>
    <n v="5"/>
    <n v="8"/>
    <s v="USD"/>
    <x v="1"/>
    <s v="EMP0056"/>
    <n v="40"/>
    <s v="Fri"/>
    <x v="7"/>
    <x v="3"/>
  </r>
  <r>
    <x v="2280"/>
    <d v="2024-12-28T08:25:04"/>
    <x v="2243"/>
    <x v="9"/>
    <x v="10"/>
    <n v="5"/>
    <n v="9"/>
    <s v="USD"/>
    <x v="2"/>
    <s v="EMP0008"/>
    <n v="45"/>
    <s v="Sat"/>
    <x v="4"/>
    <x v="1"/>
  </r>
  <r>
    <x v="2281"/>
    <d v="2023-05-28T21:31:04"/>
    <x v="2244"/>
    <x v="0"/>
    <x v="14"/>
    <n v="2.2000000000000002"/>
    <n v="2"/>
    <s v="USD"/>
    <x v="2"/>
    <s v="EMP0046"/>
    <n v="4.4000000000000004"/>
    <s v="Sun"/>
    <x v="5"/>
    <x v="4"/>
  </r>
  <r>
    <x v="2282"/>
    <d v="2024-12-26T14:09:04"/>
    <x v="2245"/>
    <x v="12"/>
    <x v="0"/>
    <n v="3.1"/>
    <n v="1"/>
    <s v="USD"/>
    <x v="2"/>
    <s v="EMP0077"/>
    <n v="3.1"/>
    <s v="Thu"/>
    <x v="4"/>
    <x v="1"/>
  </r>
  <r>
    <x v="2283"/>
    <d v="2022-08-07T23:41:04"/>
    <x v="2246"/>
    <x v="14"/>
    <x v="14"/>
    <n v="2.2000000000000002"/>
    <n v="7"/>
    <s v="USD"/>
    <x v="0"/>
    <s v="EMP0085"/>
    <n v="15.400000000000002"/>
    <s v="Sun"/>
    <x v="6"/>
    <x v="3"/>
  </r>
  <r>
    <x v="2284"/>
    <d v="2022-10-27T03:52:04"/>
    <x v="2247"/>
    <x v="0"/>
    <x v="8"/>
    <n v="4.5"/>
    <n v="6"/>
    <s v="USD"/>
    <x v="0"/>
    <s v="EMP0073"/>
    <n v="27"/>
    <s v="Thu"/>
    <x v="0"/>
    <x v="3"/>
  </r>
  <r>
    <x v="2285"/>
    <d v="2022-07-04T00:17:04"/>
    <x v="2248"/>
    <x v="14"/>
    <x v="1"/>
    <n v="1"/>
    <n v="10"/>
    <s v="USD"/>
    <x v="4"/>
    <s v="EMP0001"/>
    <n v="10"/>
    <s v="Mon"/>
    <x v="8"/>
    <x v="3"/>
  </r>
  <r>
    <x v="2286"/>
    <d v="2021-12-08T11:41:04"/>
    <x v="2249"/>
    <x v="14"/>
    <x v="7"/>
    <n v="2.8"/>
    <n v="10"/>
    <s v="USD"/>
    <x v="3"/>
    <s v="EMP0100"/>
    <n v="28"/>
    <s v="Wed"/>
    <x v="4"/>
    <x v="0"/>
  </r>
  <r>
    <x v="2287"/>
    <d v="2024-12-14T18:22:04"/>
    <x v="2250"/>
    <x v="9"/>
    <x v="18"/>
    <n v="1.7"/>
    <n v="3"/>
    <s v="USD"/>
    <x v="2"/>
    <s v="EMP0025"/>
    <n v="5.0999999999999996"/>
    <s v="Sat"/>
    <x v="4"/>
    <x v="1"/>
  </r>
  <r>
    <x v="2288"/>
    <d v="2023-12-16T17:37:04"/>
    <x v="489"/>
    <x v="14"/>
    <x v="13"/>
    <n v="0.8"/>
    <n v="3"/>
    <s v="USD"/>
    <x v="3"/>
    <s v="EMP0084"/>
    <n v="2.4000000000000004"/>
    <s v="Sat"/>
    <x v="4"/>
    <x v="4"/>
  </r>
  <r>
    <x v="2289"/>
    <d v="2022-07-30T14:19:04"/>
    <x v="2251"/>
    <x v="5"/>
    <x v="9"/>
    <n v="3"/>
    <n v="2"/>
    <s v="USD"/>
    <x v="5"/>
    <s v="EMP0074"/>
    <n v="6"/>
    <s v="Sat"/>
    <x v="8"/>
    <x v="3"/>
  </r>
  <r>
    <x v="2290"/>
    <d v="2021-06-03T16:02:04"/>
    <x v="2252"/>
    <x v="14"/>
    <x v="18"/>
    <n v="1.7"/>
    <n v="7"/>
    <s v="USD"/>
    <x v="2"/>
    <s v="EMP0061"/>
    <n v="11.9"/>
    <s v="Thu"/>
    <x v="3"/>
    <x v="0"/>
  </r>
  <r>
    <x v="2291"/>
    <d v="2024-07-30T03:15:04"/>
    <x v="2253"/>
    <x v="7"/>
    <x v="8"/>
    <n v="4.5"/>
    <n v="6"/>
    <s v="USD"/>
    <x v="0"/>
    <s v="EMP0091"/>
    <n v="27"/>
    <s v="Tue"/>
    <x v="8"/>
    <x v="1"/>
  </r>
  <r>
    <x v="2292"/>
    <d v="2022-12-10T04:55:04"/>
    <x v="2254"/>
    <x v="7"/>
    <x v="13"/>
    <n v="0.8"/>
    <n v="5"/>
    <s v="USD"/>
    <x v="5"/>
    <s v="EMP0026"/>
    <n v="4"/>
    <s v="Sat"/>
    <x v="4"/>
    <x v="3"/>
  </r>
  <r>
    <x v="2293"/>
    <d v="2024-01-31T01:45:04"/>
    <x v="2255"/>
    <x v="3"/>
    <x v="9"/>
    <n v="3"/>
    <n v="6"/>
    <s v="USD"/>
    <x v="5"/>
    <s v="EMP0097"/>
    <n v="18"/>
    <s v="Wed"/>
    <x v="2"/>
    <x v="1"/>
  </r>
  <r>
    <x v="2294"/>
    <d v="2024-10-28T21:10:04"/>
    <x v="2256"/>
    <x v="13"/>
    <x v="5"/>
    <n v="1"/>
    <n v="1"/>
    <s v="USD"/>
    <x v="1"/>
    <s v="EMP0008"/>
    <n v="1"/>
    <s v="Mon"/>
    <x v="0"/>
    <x v="1"/>
  </r>
  <r>
    <x v="2295"/>
    <d v="2021-07-11T02:20:04"/>
    <x v="2257"/>
    <x v="6"/>
    <x v="3"/>
    <n v="1.2"/>
    <n v="9"/>
    <s v="USD"/>
    <x v="3"/>
    <s v="EMP0001"/>
    <n v="10.799999999999999"/>
    <s v="Sun"/>
    <x v="8"/>
    <x v="0"/>
  </r>
  <r>
    <x v="2296"/>
    <d v="2023-07-10T01:07:04"/>
    <x v="2258"/>
    <x v="13"/>
    <x v="16"/>
    <n v="4"/>
    <n v="10"/>
    <s v="USD"/>
    <x v="4"/>
    <s v="EMP0009"/>
    <n v="40"/>
    <s v="Mon"/>
    <x v="8"/>
    <x v="4"/>
  </r>
  <r>
    <x v="2297"/>
    <d v="2024-05-21T06:46:04"/>
    <x v="2259"/>
    <x v="12"/>
    <x v="15"/>
    <n v="1.5"/>
    <n v="3"/>
    <s v="USD"/>
    <x v="1"/>
    <s v="EMP0028"/>
    <n v="4.5"/>
    <s v="Tue"/>
    <x v="5"/>
    <x v="1"/>
  </r>
  <r>
    <x v="2298"/>
    <d v="2023-06-02T09:31:04"/>
    <x v="1500"/>
    <x v="3"/>
    <x v="14"/>
    <n v="2.2000000000000002"/>
    <n v="10"/>
    <s v="USD"/>
    <x v="4"/>
    <s v="EMP0074"/>
    <n v="22"/>
    <s v="Fri"/>
    <x v="3"/>
    <x v="4"/>
  </r>
  <r>
    <x v="2299"/>
    <d v="2024-05-11T22:41:04"/>
    <x v="2260"/>
    <x v="4"/>
    <x v="13"/>
    <n v="0.8"/>
    <n v="9"/>
    <s v="USD"/>
    <x v="0"/>
    <s v="EMP0057"/>
    <n v="7.2"/>
    <s v="Sat"/>
    <x v="5"/>
    <x v="1"/>
  </r>
  <r>
    <x v="2300"/>
    <d v="2025-03-07T18:24:04"/>
    <x v="2261"/>
    <x v="1"/>
    <x v="1"/>
    <n v="1"/>
    <n v="2"/>
    <s v="USD"/>
    <x v="4"/>
    <s v="EMP0038"/>
    <n v="2"/>
    <s v="Fri"/>
    <x v="1"/>
    <x v="2"/>
  </r>
  <r>
    <x v="2301"/>
    <d v="2024-10-01T01:43:04"/>
    <x v="2262"/>
    <x v="6"/>
    <x v="16"/>
    <n v="4"/>
    <n v="9"/>
    <s v="USD"/>
    <x v="0"/>
    <s v="EMP0013"/>
    <n v="36"/>
    <s v="Tue"/>
    <x v="0"/>
    <x v="1"/>
  </r>
  <r>
    <x v="2302"/>
    <d v="2022-07-25T06:48:04"/>
    <x v="2263"/>
    <x v="6"/>
    <x v="5"/>
    <n v="1"/>
    <n v="6"/>
    <s v="USD"/>
    <x v="5"/>
    <s v="EMP0085"/>
    <n v="6"/>
    <s v="Mon"/>
    <x v="8"/>
    <x v="3"/>
  </r>
  <r>
    <x v="2303"/>
    <d v="2022-04-13T00:36:04"/>
    <x v="2264"/>
    <x v="10"/>
    <x v="19"/>
    <n v="5.5"/>
    <n v="9"/>
    <s v="USD"/>
    <x v="3"/>
    <s v="EMP0044"/>
    <n v="49.5"/>
    <s v="Wed"/>
    <x v="11"/>
    <x v="3"/>
  </r>
  <r>
    <x v="2304"/>
    <d v="2023-12-22T02:17:04"/>
    <x v="1801"/>
    <x v="2"/>
    <x v="15"/>
    <n v="1.5"/>
    <n v="4"/>
    <s v="USD"/>
    <x v="5"/>
    <s v="EMP0006"/>
    <n v="6"/>
    <s v="Fri"/>
    <x v="4"/>
    <x v="4"/>
  </r>
  <r>
    <x v="2305"/>
    <d v="2023-05-07T11:28:04"/>
    <x v="2265"/>
    <x v="1"/>
    <x v="15"/>
    <n v="1.5"/>
    <n v="10"/>
    <s v="USD"/>
    <x v="3"/>
    <s v="EMP0067"/>
    <n v="15"/>
    <s v="Sun"/>
    <x v="5"/>
    <x v="4"/>
  </r>
  <r>
    <x v="2306"/>
    <d v="2024-11-03T15:45:04"/>
    <x v="2266"/>
    <x v="5"/>
    <x v="12"/>
    <n v="1.8"/>
    <n v="10"/>
    <s v="USD"/>
    <x v="1"/>
    <s v="EMP0090"/>
    <n v="18"/>
    <s v="Sun"/>
    <x v="10"/>
    <x v="1"/>
  </r>
  <r>
    <x v="2307"/>
    <d v="2022-05-15T21:01:04"/>
    <x v="2267"/>
    <x v="14"/>
    <x v="1"/>
    <n v="1"/>
    <n v="4"/>
    <s v="USD"/>
    <x v="4"/>
    <s v="EMP0042"/>
    <n v="4"/>
    <s v="Sun"/>
    <x v="5"/>
    <x v="3"/>
  </r>
  <r>
    <x v="2308"/>
    <d v="2024-08-04T22:38:04"/>
    <x v="2268"/>
    <x v="2"/>
    <x v="8"/>
    <n v="4.5"/>
    <n v="7"/>
    <s v="USD"/>
    <x v="5"/>
    <s v="EMP0056"/>
    <n v="31.5"/>
    <s v="Sun"/>
    <x v="6"/>
    <x v="1"/>
  </r>
  <r>
    <x v="2309"/>
    <d v="2023-03-29T10:55:04"/>
    <x v="2269"/>
    <x v="13"/>
    <x v="15"/>
    <n v="1.5"/>
    <n v="2"/>
    <s v="USD"/>
    <x v="4"/>
    <s v="EMP0072"/>
    <n v="3"/>
    <s v="Wed"/>
    <x v="1"/>
    <x v="4"/>
  </r>
  <r>
    <x v="2310"/>
    <d v="2022-08-21T18:02:04"/>
    <x v="2270"/>
    <x v="11"/>
    <x v="15"/>
    <n v="1.5"/>
    <n v="5"/>
    <s v="USD"/>
    <x v="2"/>
    <s v="EMP0090"/>
    <n v="7.5"/>
    <s v="Sun"/>
    <x v="6"/>
    <x v="3"/>
  </r>
  <r>
    <x v="2311"/>
    <d v="2025-01-16T20:33:04"/>
    <x v="2271"/>
    <x v="13"/>
    <x v="11"/>
    <n v="4"/>
    <n v="2"/>
    <s v="USD"/>
    <x v="4"/>
    <s v="EMP0076"/>
    <n v="8"/>
    <s v="Thu"/>
    <x v="2"/>
    <x v="2"/>
  </r>
  <r>
    <x v="2312"/>
    <d v="2022-02-24T20:15:04"/>
    <x v="2272"/>
    <x v="3"/>
    <x v="4"/>
    <n v="3.2"/>
    <n v="1"/>
    <s v="USD"/>
    <x v="1"/>
    <s v="EMP0004"/>
    <n v="3.2"/>
    <s v="Thu"/>
    <x v="7"/>
    <x v="3"/>
  </r>
  <r>
    <x v="2313"/>
    <d v="2025-02-02T04:02:04"/>
    <x v="2273"/>
    <x v="2"/>
    <x v="7"/>
    <n v="2.8"/>
    <n v="9"/>
    <s v="USD"/>
    <x v="3"/>
    <s v="EMP0088"/>
    <n v="25.2"/>
    <s v="Sun"/>
    <x v="7"/>
    <x v="2"/>
  </r>
  <r>
    <x v="2314"/>
    <d v="2022-12-02T13:54:04"/>
    <x v="2274"/>
    <x v="9"/>
    <x v="13"/>
    <n v="0.8"/>
    <n v="9"/>
    <s v="USD"/>
    <x v="4"/>
    <s v="EMP0088"/>
    <n v="7.2"/>
    <s v="Fri"/>
    <x v="4"/>
    <x v="3"/>
  </r>
  <r>
    <x v="2315"/>
    <d v="2021-06-08T11:28:04"/>
    <x v="825"/>
    <x v="2"/>
    <x v="19"/>
    <n v="5.5"/>
    <n v="8"/>
    <s v="USD"/>
    <x v="0"/>
    <s v="EMP0029"/>
    <n v="44"/>
    <s v="Tue"/>
    <x v="3"/>
    <x v="0"/>
  </r>
  <r>
    <x v="2316"/>
    <d v="2021-05-11T03:22:04"/>
    <x v="2275"/>
    <x v="0"/>
    <x v="11"/>
    <n v="4"/>
    <n v="8"/>
    <s v="USD"/>
    <x v="0"/>
    <s v="EMP0074"/>
    <n v="32"/>
    <s v="Tue"/>
    <x v="5"/>
    <x v="0"/>
  </r>
  <r>
    <x v="2317"/>
    <d v="2021-10-05T18:26:04"/>
    <x v="2276"/>
    <x v="13"/>
    <x v="6"/>
    <n v="7"/>
    <n v="4"/>
    <s v="USD"/>
    <x v="2"/>
    <s v="EMP0015"/>
    <n v="28"/>
    <s v="Tue"/>
    <x v="0"/>
    <x v="0"/>
  </r>
  <r>
    <x v="2318"/>
    <d v="2023-09-23T12:29:04"/>
    <x v="2277"/>
    <x v="2"/>
    <x v="4"/>
    <n v="3.2"/>
    <n v="3"/>
    <s v="USD"/>
    <x v="5"/>
    <s v="EMP0030"/>
    <n v="9.6000000000000014"/>
    <s v="Sat"/>
    <x v="9"/>
    <x v="4"/>
  </r>
  <r>
    <x v="2319"/>
    <d v="2023-04-09T01:24:04"/>
    <x v="2278"/>
    <x v="6"/>
    <x v="14"/>
    <n v="2.2000000000000002"/>
    <n v="10"/>
    <s v="USD"/>
    <x v="0"/>
    <s v="EMP0080"/>
    <n v="22"/>
    <s v="Sun"/>
    <x v="11"/>
    <x v="4"/>
  </r>
  <r>
    <x v="2320"/>
    <d v="2021-08-09T04:30:04"/>
    <x v="2279"/>
    <x v="1"/>
    <x v="18"/>
    <n v="1.7"/>
    <n v="10"/>
    <s v="USD"/>
    <x v="2"/>
    <s v="EMP0081"/>
    <n v="17"/>
    <s v="Mon"/>
    <x v="6"/>
    <x v="0"/>
  </r>
  <r>
    <x v="2321"/>
    <d v="2023-08-14T06:30:04"/>
    <x v="2280"/>
    <x v="3"/>
    <x v="0"/>
    <n v="3.1"/>
    <n v="7"/>
    <s v="USD"/>
    <x v="2"/>
    <s v="EMP0002"/>
    <n v="21.7"/>
    <s v="Mon"/>
    <x v="6"/>
    <x v="4"/>
  </r>
  <r>
    <x v="2322"/>
    <d v="2023-01-09T00:02:04"/>
    <x v="2281"/>
    <x v="11"/>
    <x v="11"/>
    <n v="4"/>
    <n v="8"/>
    <s v="USD"/>
    <x v="4"/>
    <s v="EMP0077"/>
    <n v="32"/>
    <s v="Mon"/>
    <x v="2"/>
    <x v="4"/>
  </r>
  <r>
    <x v="2323"/>
    <d v="2025-04-17T16:42:04"/>
    <x v="2282"/>
    <x v="8"/>
    <x v="17"/>
    <n v="2.5"/>
    <n v="8"/>
    <s v="USD"/>
    <x v="0"/>
    <s v="EMP0085"/>
    <n v="20"/>
    <s v="Thu"/>
    <x v="11"/>
    <x v="2"/>
  </r>
  <r>
    <x v="2324"/>
    <d v="2021-06-27T06:22:04"/>
    <x v="2283"/>
    <x v="3"/>
    <x v="19"/>
    <n v="5.5"/>
    <n v="2"/>
    <s v="USD"/>
    <x v="0"/>
    <s v="EMP0063"/>
    <n v="11"/>
    <s v="Sun"/>
    <x v="3"/>
    <x v="0"/>
  </r>
  <r>
    <x v="2325"/>
    <d v="2024-12-24T07:52:04"/>
    <x v="2284"/>
    <x v="5"/>
    <x v="13"/>
    <n v="0.8"/>
    <n v="5"/>
    <s v="USD"/>
    <x v="2"/>
    <s v="EMP0092"/>
    <n v="4"/>
    <s v="Tue"/>
    <x v="4"/>
    <x v="1"/>
  </r>
  <r>
    <x v="2326"/>
    <d v="2021-06-16T01:08:04"/>
    <x v="2285"/>
    <x v="9"/>
    <x v="8"/>
    <n v="4.5"/>
    <n v="5"/>
    <s v="USD"/>
    <x v="1"/>
    <s v="EMP0034"/>
    <n v="22.5"/>
    <s v="Wed"/>
    <x v="3"/>
    <x v="0"/>
  </r>
  <r>
    <x v="2327"/>
    <d v="2024-09-29T10:01:04"/>
    <x v="2286"/>
    <x v="4"/>
    <x v="11"/>
    <n v="4"/>
    <n v="2"/>
    <s v="USD"/>
    <x v="1"/>
    <s v="EMP0064"/>
    <n v="8"/>
    <s v="Sun"/>
    <x v="9"/>
    <x v="1"/>
  </r>
  <r>
    <x v="2328"/>
    <d v="2024-03-24T08:53:04"/>
    <x v="2287"/>
    <x v="13"/>
    <x v="15"/>
    <n v="1.5"/>
    <n v="8"/>
    <s v="USD"/>
    <x v="3"/>
    <s v="EMP0015"/>
    <n v="12"/>
    <s v="Sun"/>
    <x v="1"/>
    <x v="1"/>
  </r>
  <r>
    <x v="2329"/>
    <d v="2024-01-27T11:33:04"/>
    <x v="2037"/>
    <x v="8"/>
    <x v="13"/>
    <n v="0.8"/>
    <n v="2"/>
    <s v="USD"/>
    <x v="2"/>
    <s v="EMP0009"/>
    <n v="1.6"/>
    <s v="Sat"/>
    <x v="2"/>
    <x v="1"/>
  </r>
  <r>
    <x v="2330"/>
    <d v="2023-12-30T23:47:04"/>
    <x v="2288"/>
    <x v="5"/>
    <x v="10"/>
    <n v="5"/>
    <n v="3"/>
    <s v="USD"/>
    <x v="5"/>
    <s v="EMP0077"/>
    <n v="15"/>
    <s v="Sat"/>
    <x v="4"/>
    <x v="4"/>
  </r>
  <r>
    <x v="2331"/>
    <d v="2025-02-13T15:27:04"/>
    <x v="2289"/>
    <x v="9"/>
    <x v="11"/>
    <n v="4"/>
    <n v="4"/>
    <s v="USD"/>
    <x v="2"/>
    <s v="EMP0041"/>
    <n v="16"/>
    <s v="Thu"/>
    <x v="7"/>
    <x v="2"/>
  </r>
  <r>
    <x v="2332"/>
    <d v="2025-02-08T19:26:04"/>
    <x v="2290"/>
    <x v="6"/>
    <x v="4"/>
    <n v="3.2"/>
    <n v="5"/>
    <s v="USD"/>
    <x v="0"/>
    <s v="EMP0045"/>
    <n v="16"/>
    <s v="Sat"/>
    <x v="7"/>
    <x v="2"/>
  </r>
  <r>
    <x v="2333"/>
    <d v="2022-10-06T06:29:04"/>
    <x v="2291"/>
    <x v="3"/>
    <x v="17"/>
    <n v="2.5"/>
    <n v="7"/>
    <s v="USD"/>
    <x v="5"/>
    <s v="EMP0020"/>
    <n v="17.5"/>
    <s v="Thu"/>
    <x v="0"/>
    <x v="3"/>
  </r>
  <r>
    <x v="2334"/>
    <d v="2023-09-19T21:22:04"/>
    <x v="2292"/>
    <x v="2"/>
    <x v="13"/>
    <n v="0.8"/>
    <n v="4"/>
    <s v="USD"/>
    <x v="4"/>
    <s v="EMP0085"/>
    <n v="3.2"/>
    <s v="Tue"/>
    <x v="9"/>
    <x v="4"/>
  </r>
  <r>
    <x v="2335"/>
    <d v="2022-11-23T12:31:04"/>
    <x v="2293"/>
    <x v="10"/>
    <x v="9"/>
    <n v="3"/>
    <n v="4"/>
    <s v="USD"/>
    <x v="1"/>
    <s v="EMP0068"/>
    <n v="12"/>
    <s v="Wed"/>
    <x v="10"/>
    <x v="3"/>
  </r>
  <r>
    <x v="2336"/>
    <d v="2023-09-27T20:16:04"/>
    <x v="2294"/>
    <x v="6"/>
    <x v="1"/>
    <n v="1"/>
    <n v="6"/>
    <s v="USD"/>
    <x v="3"/>
    <s v="EMP0015"/>
    <n v="6"/>
    <s v="Wed"/>
    <x v="9"/>
    <x v="4"/>
  </r>
  <r>
    <x v="2337"/>
    <d v="2021-07-07T11:00:04"/>
    <x v="2295"/>
    <x v="9"/>
    <x v="1"/>
    <n v="1"/>
    <n v="1"/>
    <s v="USD"/>
    <x v="1"/>
    <s v="EMP0093"/>
    <n v="1"/>
    <s v="Wed"/>
    <x v="8"/>
    <x v="0"/>
  </r>
  <r>
    <x v="2338"/>
    <d v="2024-05-26T13:27:04"/>
    <x v="2296"/>
    <x v="5"/>
    <x v="7"/>
    <n v="2.8"/>
    <n v="1"/>
    <s v="USD"/>
    <x v="0"/>
    <s v="EMP0014"/>
    <n v="2.8"/>
    <s v="Sun"/>
    <x v="5"/>
    <x v="1"/>
  </r>
  <r>
    <x v="2339"/>
    <d v="2021-07-08T06:26:04"/>
    <x v="2297"/>
    <x v="8"/>
    <x v="3"/>
    <n v="1.2"/>
    <n v="10"/>
    <s v="USD"/>
    <x v="3"/>
    <s v="EMP0050"/>
    <n v="12"/>
    <s v="Thu"/>
    <x v="8"/>
    <x v="0"/>
  </r>
  <r>
    <x v="2340"/>
    <d v="2022-03-05T09:32:04"/>
    <x v="2298"/>
    <x v="2"/>
    <x v="17"/>
    <n v="2.5"/>
    <n v="10"/>
    <s v="USD"/>
    <x v="1"/>
    <s v="EMP0010"/>
    <n v="25"/>
    <s v="Sat"/>
    <x v="1"/>
    <x v="3"/>
  </r>
  <r>
    <x v="2341"/>
    <d v="2025-03-29T16:34:04"/>
    <x v="2299"/>
    <x v="1"/>
    <x v="15"/>
    <n v="1.5"/>
    <n v="10"/>
    <s v="USD"/>
    <x v="2"/>
    <s v="EMP0050"/>
    <n v="15"/>
    <s v="Sat"/>
    <x v="1"/>
    <x v="2"/>
  </r>
  <r>
    <x v="2342"/>
    <d v="2023-10-08T15:47:04"/>
    <x v="2300"/>
    <x v="8"/>
    <x v="10"/>
    <n v="5"/>
    <n v="4"/>
    <s v="USD"/>
    <x v="2"/>
    <s v="EMP0063"/>
    <n v="20"/>
    <s v="Sun"/>
    <x v="0"/>
    <x v="4"/>
  </r>
  <r>
    <x v="2343"/>
    <d v="2021-12-02T05:04:04"/>
    <x v="2301"/>
    <x v="3"/>
    <x v="10"/>
    <n v="5"/>
    <n v="8"/>
    <s v="USD"/>
    <x v="0"/>
    <s v="EMP0059"/>
    <n v="40"/>
    <s v="Thu"/>
    <x v="4"/>
    <x v="0"/>
  </r>
  <r>
    <x v="2344"/>
    <d v="2022-05-07T02:12:04"/>
    <x v="2302"/>
    <x v="6"/>
    <x v="8"/>
    <n v="4.5"/>
    <n v="3"/>
    <s v="USD"/>
    <x v="5"/>
    <s v="EMP0033"/>
    <n v="13.5"/>
    <s v="Sat"/>
    <x v="5"/>
    <x v="3"/>
  </r>
  <r>
    <x v="2345"/>
    <d v="2024-06-15T01:39:04"/>
    <x v="2303"/>
    <x v="13"/>
    <x v="18"/>
    <n v="1.7"/>
    <n v="5"/>
    <s v="USD"/>
    <x v="0"/>
    <s v="EMP0006"/>
    <n v="8.5"/>
    <s v="Sat"/>
    <x v="3"/>
    <x v="1"/>
  </r>
  <r>
    <x v="2346"/>
    <d v="2022-10-10T23:41:04"/>
    <x v="2304"/>
    <x v="1"/>
    <x v="1"/>
    <n v="1"/>
    <n v="4"/>
    <s v="USD"/>
    <x v="5"/>
    <s v="EMP0017"/>
    <n v="4"/>
    <s v="Mon"/>
    <x v="0"/>
    <x v="3"/>
  </r>
  <r>
    <x v="2347"/>
    <d v="2021-11-03T02:13:04"/>
    <x v="2305"/>
    <x v="8"/>
    <x v="18"/>
    <n v="1.7"/>
    <n v="7"/>
    <s v="USD"/>
    <x v="5"/>
    <s v="EMP0094"/>
    <n v="11.9"/>
    <s v="Wed"/>
    <x v="10"/>
    <x v="0"/>
  </r>
  <r>
    <x v="2348"/>
    <d v="2022-10-25T23:02:04"/>
    <x v="2306"/>
    <x v="10"/>
    <x v="7"/>
    <n v="2.8"/>
    <n v="6"/>
    <s v="USD"/>
    <x v="4"/>
    <s v="EMP0086"/>
    <n v="16.799999999999997"/>
    <s v="Tue"/>
    <x v="0"/>
    <x v="3"/>
  </r>
  <r>
    <x v="2349"/>
    <d v="2023-02-13T08:40:04"/>
    <x v="2307"/>
    <x v="9"/>
    <x v="11"/>
    <n v="4"/>
    <n v="4"/>
    <s v="USD"/>
    <x v="0"/>
    <s v="EMP0092"/>
    <n v="16"/>
    <s v="Mon"/>
    <x v="7"/>
    <x v="4"/>
  </r>
  <r>
    <x v="2350"/>
    <d v="2024-04-12T19:14:04"/>
    <x v="2308"/>
    <x v="4"/>
    <x v="5"/>
    <n v="1"/>
    <n v="6"/>
    <s v="USD"/>
    <x v="5"/>
    <s v="EMP0071"/>
    <n v="6"/>
    <s v="Fri"/>
    <x v="11"/>
    <x v="1"/>
  </r>
  <r>
    <x v="2351"/>
    <d v="2023-01-24T01:45:04"/>
    <x v="2309"/>
    <x v="11"/>
    <x v="11"/>
    <n v="4"/>
    <n v="7"/>
    <s v="USD"/>
    <x v="0"/>
    <s v="EMP0061"/>
    <n v="28"/>
    <s v="Tue"/>
    <x v="2"/>
    <x v="4"/>
  </r>
  <r>
    <x v="2352"/>
    <d v="2024-09-28T19:45:04"/>
    <x v="2310"/>
    <x v="10"/>
    <x v="8"/>
    <n v="4.5"/>
    <n v="10"/>
    <s v="USD"/>
    <x v="5"/>
    <s v="EMP0007"/>
    <n v="45"/>
    <s v="Sat"/>
    <x v="9"/>
    <x v="1"/>
  </r>
  <r>
    <x v="2353"/>
    <d v="2024-03-27T07:05:04"/>
    <x v="2311"/>
    <x v="9"/>
    <x v="13"/>
    <n v="0.8"/>
    <n v="7"/>
    <s v="USD"/>
    <x v="1"/>
    <s v="EMP0056"/>
    <n v="5.6000000000000005"/>
    <s v="Wed"/>
    <x v="1"/>
    <x v="1"/>
  </r>
  <r>
    <x v="2354"/>
    <d v="2024-05-04T23:25:04"/>
    <x v="2312"/>
    <x v="0"/>
    <x v="11"/>
    <n v="4"/>
    <n v="7"/>
    <s v="USD"/>
    <x v="1"/>
    <s v="EMP0086"/>
    <n v="28"/>
    <s v="Sat"/>
    <x v="5"/>
    <x v="1"/>
  </r>
  <r>
    <x v="2355"/>
    <d v="2024-05-22T04:39:04"/>
    <x v="2313"/>
    <x v="3"/>
    <x v="16"/>
    <n v="4"/>
    <n v="3"/>
    <s v="USD"/>
    <x v="2"/>
    <s v="EMP0052"/>
    <n v="12"/>
    <s v="Wed"/>
    <x v="5"/>
    <x v="1"/>
  </r>
  <r>
    <x v="2356"/>
    <d v="2022-02-17T07:17:04"/>
    <x v="2314"/>
    <x v="8"/>
    <x v="4"/>
    <n v="3.2"/>
    <n v="8"/>
    <s v="USD"/>
    <x v="0"/>
    <s v="EMP0095"/>
    <n v="25.6"/>
    <s v="Thu"/>
    <x v="7"/>
    <x v="3"/>
  </r>
  <r>
    <x v="2357"/>
    <d v="2024-08-14T22:06:04"/>
    <x v="2315"/>
    <x v="12"/>
    <x v="5"/>
    <n v="1"/>
    <n v="9"/>
    <s v="USD"/>
    <x v="2"/>
    <s v="EMP0081"/>
    <n v="9"/>
    <s v="Wed"/>
    <x v="6"/>
    <x v="1"/>
  </r>
  <r>
    <x v="2358"/>
    <d v="2025-02-25T16:20:04"/>
    <x v="2116"/>
    <x v="14"/>
    <x v="9"/>
    <n v="3"/>
    <n v="2"/>
    <s v="USD"/>
    <x v="3"/>
    <s v="EMP0002"/>
    <n v="6"/>
    <s v="Tue"/>
    <x v="7"/>
    <x v="2"/>
  </r>
  <r>
    <x v="2359"/>
    <d v="2025-01-21T02:32:04"/>
    <x v="2316"/>
    <x v="7"/>
    <x v="4"/>
    <n v="3.2"/>
    <n v="6"/>
    <s v="USD"/>
    <x v="0"/>
    <s v="EMP0096"/>
    <n v="19.200000000000003"/>
    <s v="Tue"/>
    <x v="2"/>
    <x v="2"/>
  </r>
  <r>
    <x v="2360"/>
    <d v="2024-07-05T07:07:04"/>
    <x v="2317"/>
    <x v="4"/>
    <x v="9"/>
    <n v="3"/>
    <n v="6"/>
    <s v="USD"/>
    <x v="1"/>
    <s v="EMP0041"/>
    <n v="18"/>
    <s v="Fri"/>
    <x v="8"/>
    <x v="1"/>
  </r>
  <r>
    <x v="2361"/>
    <d v="2022-01-30T22:56:04"/>
    <x v="2318"/>
    <x v="5"/>
    <x v="13"/>
    <n v="0.8"/>
    <n v="5"/>
    <s v="USD"/>
    <x v="4"/>
    <s v="EMP0013"/>
    <n v="4"/>
    <s v="Sun"/>
    <x v="2"/>
    <x v="3"/>
  </r>
  <r>
    <x v="2362"/>
    <d v="2022-03-16T07:29:04"/>
    <x v="2319"/>
    <x v="1"/>
    <x v="14"/>
    <n v="2.2000000000000002"/>
    <n v="3"/>
    <s v="USD"/>
    <x v="5"/>
    <s v="EMP0016"/>
    <n v="6.6000000000000005"/>
    <s v="Wed"/>
    <x v="1"/>
    <x v="3"/>
  </r>
  <r>
    <x v="2363"/>
    <d v="2022-05-14T18:00:04"/>
    <x v="2320"/>
    <x v="6"/>
    <x v="1"/>
    <n v="1"/>
    <n v="9"/>
    <s v="USD"/>
    <x v="2"/>
    <s v="EMP0061"/>
    <n v="9"/>
    <s v="Sat"/>
    <x v="5"/>
    <x v="3"/>
  </r>
  <r>
    <x v="2364"/>
    <d v="2021-06-06T04:42:04"/>
    <x v="2321"/>
    <x v="4"/>
    <x v="2"/>
    <n v="2.5"/>
    <n v="2"/>
    <s v="USD"/>
    <x v="2"/>
    <s v="EMP0019"/>
    <n v="5"/>
    <s v="Sun"/>
    <x v="3"/>
    <x v="0"/>
  </r>
  <r>
    <x v="2365"/>
    <d v="2022-11-10T09:38:04"/>
    <x v="2322"/>
    <x v="13"/>
    <x v="14"/>
    <n v="2.2000000000000002"/>
    <n v="7"/>
    <s v="USD"/>
    <x v="5"/>
    <s v="EMP0049"/>
    <n v="15.400000000000002"/>
    <s v="Thu"/>
    <x v="10"/>
    <x v="3"/>
  </r>
  <r>
    <x v="2366"/>
    <d v="2022-09-06T07:37:04"/>
    <x v="2323"/>
    <x v="13"/>
    <x v="16"/>
    <n v="4"/>
    <n v="6"/>
    <s v="USD"/>
    <x v="5"/>
    <s v="EMP0075"/>
    <n v="24"/>
    <s v="Tue"/>
    <x v="9"/>
    <x v="3"/>
  </r>
  <r>
    <x v="2367"/>
    <d v="2022-02-23T07:58:04"/>
    <x v="2324"/>
    <x v="1"/>
    <x v="3"/>
    <n v="1.2"/>
    <n v="8"/>
    <s v="USD"/>
    <x v="2"/>
    <s v="EMP0073"/>
    <n v="9.6"/>
    <s v="Wed"/>
    <x v="7"/>
    <x v="3"/>
  </r>
  <r>
    <x v="2368"/>
    <d v="2023-06-05T03:21:04"/>
    <x v="2325"/>
    <x v="1"/>
    <x v="7"/>
    <n v="2.8"/>
    <n v="2"/>
    <s v="USD"/>
    <x v="0"/>
    <s v="EMP0018"/>
    <n v="5.6"/>
    <s v="Mon"/>
    <x v="3"/>
    <x v="4"/>
  </r>
  <r>
    <x v="2369"/>
    <d v="2021-11-08T03:43:04"/>
    <x v="2326"/>
    <x v="8"/>
    <x v="14"/>
    <n v="2.2000000000000002"/>
    <n v="2"/>
    <s v="USD"/>
    <x v="2"/>
    <s v="EMP0026"/>
    <n v="4.4000000000000004"/>
    <s v="Mon"/>
    <x v="10"/>
    <x v="0"/>
  </r>
  <r>
    <x v="2370"/>
    <d v="2021-10-19T03:08:04"/>
    <x v="2327"/>
    <x v="0"/>
    <x v="9"/>
    <n v="3"/>
    <n v="6"/>
    <s v="USD"/>
    <x v="1"/>
    <s v="EMP0064"/>
    <n v="18"/>
    <s v="Tue"/>
    <x v="0"/>
    <x v="0"/>
  </r>
  <r>
    <x v="2371"/>
    <d v="2025-04-06T17:29:04"/>
    <x v="2328"/>
    <x v="12"/>
    <x v="18"/>
    <n v="1.7"/>
    <n v="3"/>
    <s v="USD"/>
    <x v="4"/>
    <s v="EMP0033"/>
    <n v="5.0999999999999996"/>
    <s v="Sun"/>
    <x v="11"/>
    <x v="2"/>
  </r>
  <r>
    <x v="2372"/>
    <d v="2024-04-10T21:09:04"/>
    <x v="2329"/>
    <x v="9"/>
    <x v="3"/>
    <n v="1.2"/>
    <n v="8"/>
    <s v="USD"/>
    <x v="4"/>
    <s v="EMP0022"/>
    <n v="9.6"/>
    <s v="Wed"/>
    <x v="11"/>
    <x v="1"/>
  </r>
  <r>
    <x v="2373"/>
    <d v="2025-01-22T17:11:04"/>
    <x v="2330"/>
    <x v="0"/>
    <x v="8"/>
    <n v="4.5"/>
    <n v="5"/>
    <s v="USD"/>
    <x v="5"/>
    <s v="EMP0056"/>
    <n v="22.5"/>
    <s v="Wed"/>
    <x v="2"/>
    <x v="2"/>
  </r>
  <r>
    <x v="2374"/>
    <d v="2023-06-18T12:09:04"/>
    <x v="2331"/>
    <x v="0"/>
    <x v="10"/>
    <n v="5"/>
    <n v="2"/>
    <s v="USD"/>
    <x v="4"/>
    <s v="EMP0071"/>
    <n v="10"/>
    <s v="Sun"/>
    <x v="3"/>
    <x v="4"/>
  </r>
  <r>
    <x v="2375"/>
    <d v="2025-03-06T08:31:04"/>
    <x v="2332"/>
    <x v="1"/>
    <x v="5"/>
    <n v="1"/>
    <n v="1"/>
    <s v="USD"/>
    <x v="2"/>
    <s v="EMP0074"/>
    <n v="1"/>
    <s v="Thu"/>
    <x v="1"/>
    <x v="2"/>
  </r>
  <r>
    <x v="2376"/>
    <d v="2025-03-31T04:02:04"/>
    <x v="2333"/>
    <x v="2"/>
    <x v="15"/>
    <n v="1.5"/>
    <n v="7"/>
    <s v="USD"/>
    <x v="5"/>
    <s v="EMP0005"/>
    <n v="10.5"/>
    <s v="Mon"/>
    <x v="1"/>
    <x v="2"/>
  </r>
  <r>
    <x v="2377"/>
    <d v="2021-06-15T16:09:04"/>
    <x v="2334"/>
    <x v="0"/>
    <x v="6"/>
    <n v="7"/>
    <n v="6"/>
    <s v="USD"/>
    <x v="4"/>
    <s v="EMP0066"/>
    <n v="42"/>
    <s v="Tue"/>
    <x v="3"/>
    <x v="0"/>
  </r>
  <r>
    <x v="2378"/>
    <d v="2022-12-21T23:41:04"/>
    <x v="2335"/>
    <x v="5"/>
    <x v="14"/>
    <n v="2.2000000000000002"/>
    <n v="6"/>
    <s v="USD"/>
    <x v="2"/>
    <s v="EMP0034"/>
    <n v="13.200000000000001"/>
    <s v="Wed"/>
    <x v="4"/>
    <x v="3"/>
  </r>
  <r>
    <x v="2379"/>
    <d v="2022-04-04T06:55:04"/>
    <x v="2336"/>
    <x v="11"/>
    <x v="0"/>
    <n v="3.1"/>
    <n v="2"/>
    <s v="USD"/>
    <x v="5"/>
    <s v="EMP0086"/>
    <n v="6.2"/>
    <s v="Mon"/>
    <x v="11"/>
    <x v="3"/>
  </r>
  <r>
    <x v="2380"/>
    <d v="2024-11-16T15:28:04"/>
    <x v="2337"/>
    <x v="5"/>
    <x v="12"/>
    <n v="1.8"/>
    <n v="2"/>
    <s v="USD"/>
    <x v="3"/>
    <s v="EMP0017"/>
    <n v="3.6"/>
    <s v="Sat"/>
    <x v="10"/>
    <x v="1"/>
  </r>
  <r>
    <x v="2381"/>
    <d v="2024-10-02T06:22:04"/>
    <x v="2338"/>
    <x v="6"/>
    <x v="7"/>
    <n v="2.8"/>
    <n v="2"/>
    <s v="USD"/>
    <x v="0"/>
    <s v="EMP0074"/>
    <n v="5.6"/>
    <s v="Wed"/>
    <x v="0"/>
    <x v="1"/>
  </r>
  <r>
    <x v="2382"/>
    <d v="2024-01-10T10:31:04"/>
    <x v="2339"/>
    <x v="7"/>
    <x v="3"/>
    <n v="1.2"/>
    <n v="1"/>
    <s v="USD"/>
    <x v="2"/>
    <s v="EMP0044"/>
    <n v="1.2"/>
    <s v="Wed"/>
    <x v="2"/>
    <x v="1"/>
  </r>
  <r>
    <x v="2383"/>
    <d v="2021-11-22T11:17:04"/>
    <x v="2340"/>
    <x v="12"/>
    <x v="10"/>
    <n v="5"/>
    <n v="6"/>
    <s v="USD"/>
    <x v="2"/>
    <s v="EMP0014"/>
    <n v="30"/>
    <s v="Mon"/>
    <x v="10"/>
    <x v="0"/>
  </r>
  <r>
    <x v="2384"/>
    <d v="2021-12-02T10:23:04"/>
    <x v="2341"/>
    <x v="0"/>
    <x v="14"/>
    <n v="2.2000000000000002"/>
    <n v="4"/>
    <s v="USD"/>
    <x v="2"/>
    <s v="EMP0011"/>
    <n v="8.8000000000000007"/>
    <s v="Thu"/>
    <x v="4"/>
    <x v="0"/>
  </r>
  <r>
    <x v="2385"/>
    <d v="2024-04-24T10:41:04"/>
    <x v="2342"/>
    <x v="7"/>
    <x v="3"/>
    <n v="1.2"/>
    <n v="7"/>
    <s v="USD"/>
    <x v="2"/>
    <s v="EMP0030"/>
    <n v="8.4"/>
    <s v="Wed"/>
    <x v="11"/>
    <x v="1"/>
  </r>
  <r>
    <x v="2386"/>
    <d v="2024-03-05T11:41:04"/>
    <x v="2343"/>
    <x v="7"/>
    <x v="6"/>
    <n v="7"/>
    <n v="6"/>
    <s v="USD"/>
    <x v="2"/>
    <s v="EMP0068"/>
    <n v="42"/>
    <s v="Tue"/>
    <x v="1"/>
    <x v="1"/>
  </r>
  <r>
    <x v="2387"/>
    <d v="2024-04-09T21:34:04"/>
    <x v="2344"/>
    <x v="2"/>
    <x v="15"/>
    <n v="1.5"/>
    <n v="10"/>
    <s v="USD"/>
    <x v="2"/>
    <s v="EMP0024"/>
    <n v="15"/>
    <s v="Tue"/>
    <x v="11"/>
    <x v="1"/>
  </r>
  <r>
    <x v="2388"/>
    <d v="2022-09-22T03:40:04"/>
    <x v="2345"/>
    <x v="3"/>
    <x v="16"/>
    <n v="4"/>
    <n v="1"/>
    <s v="USD"/>
    <x v="5"/>
    <s v="EMP0024"/>
    <n v="4"/>
    <s v="Thu"/>
    <x v="9"/>
    <x v="3"/>
  </r>
  <r>
    <x v="2389"/>
    <d v="2022-07-05T13:21:04"/>
    <x v="2346"/>
    <x v="6"/>
    <x v="11"/>
    <n v="4"/>
    <n v="5"/>
    <s v="USD"/>
    <x v="0"/>
    <s v="EMP0070"/>
    <n v="20"/>
    <s v="Tue"/>
    <x v="8"/>
    <x v="3"/>
  </r>
  <r>
    <x v="2390"/>
    <d v="2022-02-16T06:42:04"/>
    <x v="2347"/>
    <x v="7"/>
    <x v="9"/>
    <n v="3"/>
    <n v="4"/>
    <s v="USD"/>
    <x v="0"/>
    <s v="EMP0042"/>
    <n v="12"/>
    <s v="Wed"/>
    <x v="7"/>
    <x v="3"/>
  </r>
  <r>
    <x v="2391"/>
    <d v="2024-01-29T08:01:04"/>
    <x v="2348"/>
    <x v="3"/>
    <x v="16"/>
    <n v="4"/>
    <n v="5"/>
    <s v="USD"/>
    <x v="1"/>
    <s v="EMP0053"/>
    <n v="20"/>
    <s v="Mon"/>
    <x v="2"/>
    <x v="1"/>
  </r>
  <r>
    <x v="2392"/>
    <d v="2022-07-06T17:08:04"/>
    <x v="2349"/>
    <x v="2"/>
    <x v="18"/>
    <n v="1.7"/>
    <n v="5"/>
    <s v="USD"/>
    <x v="4"/>
    <s v="EMP0095"/>
    <n v="8.5"/>
    <s v="Wed"/>
    <x v="8"/>
    <x v="3"/>
  </r>
  <r>
    <x v="2393"/>
    <d v="2024-01-01T21:26:04"/>
    <x v="2350"/>
    <x v="3"/>
    <x v="0"/>
    <n v="3.1"/>
    <n v="5"/>
    <s v="USD"/>
    <x v="0"/>
    <s v="EMP0009"/>
    <n v="15.5"/>
    <s v="Mon"/>
    <x v="2"/>
    <x v="1"/>
  </r>
  <r>
    <x v="2394"/>
    <d v="2025-01-03T10:55:04"/>
    <x v="2351"/>
    <x v="5"/>
    <x v="17"/>
    <n v="2.5"/>
    <n v="10"/>
    <s v="USD"/>
    <x v="5"/>
    <s v="EMP0011"/>
    <n v="25"/>
    <s v="Fri"/>
    <x v="2"/>
    <x v="2"/>
  </r>
  <r>
    <x v="2395"/>
    <d v="2021-07-28T14:58:04"/>
    <x v="2352"/>
    <x v="13"/>
    <x v="9"/>
    <n v="3"/>
    <n v="6"/>
    <s v="USD"/>
    <x v="1"/>
    <s v="EMP0099"/>
    <n v="18"/>
    <s v="Wed"/>
    <x v="8"/>
    <x v="0"/>
  </r>
  <r>
    <x v="2396"/>
    <d v="2023-04-29T14:43:04"/>
    <x v="2353"/>
    <x v="12"/>
    <x v="9"/>
    <n v="3"/>
    <n v="10"/>
    <s v="USD"/>
    <x v="4"/>
    <s v="EMP0094"/>
    <n v="30"/>
    <s v="Sat"/>
    <x v="11"/>
    <x v="4"/>
  </r>
  <r>
    <x v="2397"/>
    <d v="2023-07-25T23:04:04"/>
    <x v="2354"/>
    <x v="0"/>
    <x v="15"/>
    <n v="1.5"/>
    <n v="6"/>
    <s v="USD"/>
    <x v="5"/>
    <s v="EMP0039"/>
    <n v="9"/>
    <s v="Tue"/>
    <x v="8"/>
    <x v="4"/>
  </r>
  <r>
    <x v="2398"/>
    <d v="2022-08-12T02:52:04"/>
    <x v="2355"/>
    <x v="0"/>
    <x v="11"/>
    <n v="4"/>
    <n v="4"/>
    <s v="USD"/>
    <x v="1"/>
    <s v="EMP0022"/>
    <n v="16"/>
    <s v="Fri"/>
    <x v="6"/>
    <x v="3"/>
  </r>
  <r>
    <x v="2399"/>
    <d v="2025-02-10T15:04:04"/>
    <x v="2356"/>
    <x v="8"/>
    <x v="10"/>
    <n v="5"/>
    <n v="8"/>
    <s v="USD"/>
    <x v="4"/>
    <s v="EMP0052"/>
    <n v="40"/>
    <s v="Mon"/>
    <x v="7"/>
    <x v="2"/>
  </r>
  <r>
    <x v="2400"/>
    <d v="2022-10-02T22:58:04"/>
    <x v="2357"/>
    <x v="6"/>
    <x v="14"/>
    <n v="2.2000000000000002"/>
    <n v="7"/>
    <s v="USD"/>
    <x v="5"/>
    <s v="EMP0004"/>
    <n v="15.400000000000002"/>
    <s v="Sun"/>
    <x v="0"/>
    <x v="3"/>
  </r>
  <r>
    <x v="2401"/>
    <d v="2024-07-28T03:02:04"/>
    <x v="2358"/>
    <x v="4"/>
    <x v="14"/>
    <n v="2.2000000000000002"/>
    <n v="7"/>
    <s v="USD"/>
    <x v="4"/>
    <s v="EMP0002"/>
    <n v="15.400000000000002"/>
    <s v="Sun"/>
    <x v="8"/>
    <x v="1"/>
  </r>
  <r>
    <x v="2402"/>
    <d v="2022-12-01T15:29:04"/>
    <x v="2359"/>
    <x v="6"/>
    <x v="14"/>
    <n v="2.2000000000000002"/>
    <n v="10"/>
    <s v="USD"/>
    <x v="0"/>
    <s v="EMP0028"/>
    <n v="22"/>
    <s v="Thu"/>
    <x v="4"/>
    <x v="3"/>
  </r>
  <r>
    <x v="2403"/>
    <d v="2024-10-27T13:01:04"/>
    <x v="2360"/>
    <x v="10"/>
    <x v="14"/>
    <n v="2.2000000000000002"/>
    <n v="5"/>
    <s v="USD"/>
    <x v="4"/>
    <s v="EMP0026"/>
    <n v="11"/>
    <s v="Sun"/>
    <x v="0"/>
    <x v="1"/>
  </r>
  <r>
    <x v="2404"/>
    <d v="2025-03-25T22:01:04"/>
    <x v="2361"/>
    <x v="6"/>
    <x v="8"/>
    <n v="4.5"/>
    <n v="9"/>
    <s v="USD"/>
    <x v="4"/>
    <s v="EMP0030"/>
    <n v="40.5"/>
    <s v="Tue"/>
    <x v="1"/>
    <x v="2"/>
  </r>
  <r>
    <x v="2405"/>
    <d v="2024-04-14T21:48:04"/>
    <x v="2362"/>
    <x v="0"/>
    <x v="15"/>
    <n v="1.5"/>
    <n v="7"/>
    <s v="USD"/>
    <x v="5"/>
    <s v="EMP0021"/>
    <n v="10.5"/>
    <s v="Sun"/>
    <x v="11"/>
    <x v="1"/>
  </r>
  <r>
    <x v="2406"/>
    <d v="2022-08-14T16:23:04"/>
    <x v="2363"/>
    <x v="5"/>
    <x v="19"/>
    <n v="5.5"/>
    <n v="2"/>
    <s v="USD"/>
    <x v="4"/>
    <s v="EMP0091"/>
    <n v="11"/>
    <s v="Sun"/>
    <x v="6"/>
    <x v="3"/>
  </r>
  <r>
    <x v="2407"/>
    <d v="2022-09-05T18:08:04"/>
    <x v="2364"/>
    <x v="6"/>
    <x v="2"/>
    <n v="2.5"/>
    <n v="9"/>
    <s v="USD"/>
    <x v="5"/>
    <s v="EMP0028"/>
    <n v="22.5"/>
    <s v="Mon"/>
    <x v="9"/>
    <x v="3"/>
  </r>
  <r>
    <x v="2408"/>
    <d v="2023-01-07T22:26:04"/>
    <x v="2365"/>
    <x v="11"/>
    <x v="13"/>
    <n v="0.8"/>
    <n v="6"/>
    <s v="USD"/>
    <x v="2"/>
    <s v="EMP0040"/>
    <n v="4.8000000000000007"/>
    <s v="Sat"/>
    <x v="2"/>
    <x v="4"/>
  </r>
  <r>
    <x v="2409"/>
    <d v="2021-07-08T17:59:04"/>
    <x v="2366"/>
    <x v="12"/>
    <x v="19"/>
    <n v="5.5"/>
    <n v="10"/>
    <s v="USD"/>
    <x v="0"/>
    <s v="EMP0068"/>
    <n v="55"/>
    <s v="Thu"/>
    <x v="8"/>
    <x v="0"/>
  </r>
  <r>
    <x v="2410"/>
    <d v="2023-10-10T02:40:04"/>
    <x v="2367"/>
    <x v="5"/>
    <x v="14"/>
    <n v="2.2000000000000002"/>
    <n v="6"/>
    <s v="USD"/>
    <x v="1"/>
    <s v="EMP0061"/>
    <n v="13.200000000000001"/>
    <s v="Tue"/>
    <x v="0"/>
    <x v="4"/>
  </r>
  <r>
    <x v="2411"/>
    <d v="2024-12-31T12:58:04"/>
    <x v="2368"/>
    <x v="5"/>
    <x v="18"/>
    <n v="1.7"/>
    <n v="4"/>
    <s v="USD"/>
    <x v="0"/>
    <s v="EMP0042"/>
    <n v="6.8"/>
    <s v="Tue"/>
    <x v="4"/>
    <x v="1"/>
  </r>
  <r>
    <x v="2412"/>
    <d v="2021-06-30T05:28:04"/>
    <x v="2369"/>
    <x v="4"/>
    <x v="4"/>
    <n v="3.2"/>
    <n v="8"/>
    <s v="USD"/>
    <x v="4"/>
    <s v="EMP0072"/>
    <n v="25.6"/>
    <s v="Wed"/>
    <x v="3"/>
    <x v="0"/>
  </r>
  <r>
    <x v="2413"/>
    <d v="2023-06-11T18:36:04"/>
    <x v="2370"/>
    <x v="5"/>
    <x v="11"/>
    <n v="4"/>
    <n v="3"/>
    <s v="USD"/>
    <x v="4"/>
    <s v="EMP0081"/>
    <n v="12"/>
    <s v="Sun"/>
    <x v="3"/>
    <x v="4"/>
  </r>
  <r>
    <x v="2414"/>
    <d v="2022-02-22T05:41:04"/>
    <x v="2371"/>
    <x v="12"/>
    <x v="5"/>
    <n v="1"/>
    <n v="4"/>
    <s v="USD"/>
    <x v="0"/>
    <s v="EMP0063"/>
    <n v="4"/>
    <s v="Tue"/>
    <x v="7"/>
    <x v="3"/>
  </r>
  <r>
    <x v="2415"/>
    <d v="2022-03-12T21:30:04"/>
    <x v="2372"/>
    <x v="13"/>
    <x v="4"/>
    <n v="3.2"/>
    <n v="9"/>
    <s v="USD"/>
    <x v="3"/>
    <s v="EMP0050"/>
    <n v="28.8"/>
    <s v="Sat"/>
    <x v="1"/>
    <x v="3"/>
  </r>
  <r>
    <x v="2416"/>
    <d v="2024-07-09T18:06:04"/>
    <x v="2373"/>
    <x v="7"/>
    <x v="12"/>
    <n v="1.8"/>
    <n v="8"/>
    <s v="USD"/>
    <x v="5"/>
    <s v="EMP0078"/>
    <n v="14.4"/>
    <s v="Tue"/>
    <x v="8"/>
    <x v="1"/>
  </r>
  <r>
    <x v="2417"/>
    <d v="2023-11-12T10:58:04"/>
    <x v="2374"/>
    <x v="8"/>
    <x v="11"/>
    <n v="4"/>
    <n v="5"/>
    <s v="USD"/>
    <x v="2"/>
    <s v="EMP0019"/>
    <n v="20"/>
    <s v="Sun"/>
    <x v="10"/>
    <x v="4"/>
  </r>
  <r>
    <x v="2418"/>
    <d v="2023-04-25T11:56:04"/>
    <x v="2375"/>
    <x v="2"/>
    <x v="2"/>
    <n v="2.5"/>
    <n v="1"/>
    <s v="USD"/>
    <x v="4"/>
    <s v="EMP0046"/>
    <n v="2.5"/>
    <s v="Tue"/>
    <x v="11"/>
    <x v="4"/>
  </r>
  <r>
    <x v="2419"/>
    <d v="2021-11-14T21:51:04"/>
    <x v="2376"/>
    <x v="6"/>
    <x v="0"/>
    <n v="3.1"/>
    <n v="6"/>
    <s v="USD"/>
    <x v="5"/>
    <s v="EMP0041"/>
    <n v="18.600000000000001"/>
    <s v="Sun"/>
    <x v="10"/>
    <x v="0"/>
  </r>
  <r>
    <x v="2420"/>
    <d v="2021-12-17T20:14:04"/>
    <x v="2377"/>
    <x v="4"/>
    <x v="11"/>
    <n v="4"/>
    <n v="10"/>
    <s v="USD"/>
    <x v="1"/>
    <s v="EMP0016"/>
    <n v="40"/>
    <s v="Fri"/>
    <x v="4"/>
    <x v="0"/>
  </r>
  <r>
    <x v="2421"/>
    <d v="2023-09-11T14:23:04"/>
    <x v="2378"/>
    <x v="0"/>
    <x v="11"/>
    <n v="4"/>
    <n v="9"/>
    <s v="USD"/>
    <x v="1"/>
    <s v="EMP0037"/>
    <n v="36"/>
    <s v="Mon"/>
    <x v="9"/>
    <x v="4"/>
  </r>
  <r>
    <x v="2422"/>
    <d v="2023-12-18T00:59:04"/>
    <x v="2379"/>
    <x v="0"/>
    <x v="3"/>
    <n v="1.2"/>
    <n v="5"/>
    <s v="USD"/>
    <x v="4"/>
    <s v="EMP0027"/>
    <n v="6"/>
    <s v="Mon"/>
    <x v="4"/>
    <x v="4"/>
  </r>
  <r>
    <x v="2423"/>
    <d v="2024-07-18T04:25:04"/>
    <x v="2380"/>
    <x v="13"/>
    <x v="18"/>
    <n v="1.7"/>
    <n v="2"/>
    <s v="USD"/>
    <x v="4"/>
    <s v="EMP0060"/>
    <n v="3.4"/>
    <s v="Thu"/>
    <x v="8"/>
    <x v="1"/>
  </r>
  <r>
    <x v="2424"/>
    <d v="2024-07-10T22:46:04"/>
    <x v="2381"/>
    <x v="8"/>
    <x v="1"/>
    <n v="1"/>
    <n v="3"/>
    <s v="USD"/>
    <x v="1"/>
    <s v="EMP0057"/>
    <n v="3"/>
    <s v="Wed"/>
    <x v="8"/>
    <x v="1"/>
  </r>
  <r>
    <x v="2425"/>
    <d v="2023-08-05T09:27:04"/>
    <x v="2382"/>
    <x v="11"/>
    <x v="10"/>
    <n v="5"/>
    <n v="5"/>
    <s v="USD"/>
    <x v="0"/>
    <s v="EMP0091"/>
    <n v="25"/>
    <s v="Sat"/>
    <x v="6"/>
    <x v="4"/>
  </r>
  <r>
    <x v="2426"/>
    <d v="2021-12-13T23:08:04"/>
    <x v="2243"/>
    <x v="6"/>
    <x v="16"/>
    <n v="4"/>
    <n v="3"/>
    <s v="USD"/>
    <x v="4"/>
    <s v="EMP0003"/>
    <n v="12"/>
    <s v="Mon"/>
    <x v="4"/>
    <x v="0"/>
  </r>
  <r>
    <x v="2427"/>
    <d v="2024-08-29T11:31:04"/>
    <x v="2383"/>
    <x v="5"/>
    <x v="1"/>
    <n v="1"/>
    <n v="8"/>
    <s v="USD"/>
    <x v="4"/>
    <s v="EMP0019"/>
    <n v="8"/>
    <s v="Thu"/>
    <x v="6"/>
    <x v="1"/>
  </r>
  <r>
    <x v="2428"/>
    <d v="2023-08-02T14:02:04"/>
    <x v="2384"/>
    <x v="9"/>
    <x v="3"/>
    <n v="1.2"/>
    <n v="7"/>
    <s v="USD"/>
    <x v="2"/>
    <s v="EMP0042"/>
    <n v="8.4"/>
    <s v="Wed"/>
    <x v="6"/>
    <x v="4"/>
  </r>
  <r>
    <x v="2429"/>
    <d v="2023-02-19T08:06:04"/>
    <x v="2385"/>
    <x v="12"/>
    <x v="17"/>
    <n v="2.5"/>
    <n v="5"/>
    <s v="USD"/>
    <x v="4"/>
    <s v="EMP0073"/>
    <n v="12.5"/>
    <s v="Sun"/>
    <x v="7"/>
    <x v="4"/>
  </r>
  <r>
    <x v="2430"/>
    <d v="2022-03-02T11:30:04"/>
    <x v="79"/>
    <x v="9"/>
    <x v="17"/>
    <n v="2.5"/>
    <n v="3"/>
    <s v="USD"/>
    <x v="5"/>
    <s v="EMP0009"/>
    <n v="7.5"/>
    <s v="Wed"/>
    <x v="1"/>
    <x v="3"/>
  </r>
  <r>
    <x v="2431"/>
    <d v="2024-12-21T09:17:04"/>
    <x v="2386"/>
    <x v="7"/>
    <x v="12"/>
    <n v="1.8"/>
    <n v="3"/>
    <s v="USD"/>
    <x v="2"/>
    <s v="EMP0031"/>
    <n v="5.4"/>
    <s v="Sat"/>
    <x v="4"/>
    <x v="1"/>
  </r>
  <r>
    <x v="2432"/>
    <d v="2024-11-02T02:04:04"/>
    <x v="2387"/>
    <x v="5"/>
    <x v="9"/>
    <n v="3"/>
    <n v="7"/>
    <s v="USD"/>
    <x v="4"/>
    <s v="EMP0097"/>
    <n v="21"/>
    <s v="Sat"/>
    <x v="10"/>
    <x v="1"/>
  </r>
  <r>
    <x v="2433"/>
    <d v="2024-12-17T22:01:04"/>
    <x v="2388"/>
    <x v="9"/>
    <x v="17"/>
    <n v="2.5"/>
    <n v="9"/>
    <s v="USD"/>
    <x v="5"/>
    <s v="EMP0083"/>
    <n v="22.5"/>
    <s v="Tue"/>
    <x v="4"/>
    <x v="1"/>
  </r>
  <r>
    <x v="2434"/>
    <d v="2023-02-18T15:17:04"/>
    <x v="2389"/>
    <x v="9"/>
    <x v="9"/>
    <n v="3"/>
    <n v="4"/>
    <s v="USD"/>
    <x v="5"/>
    <s v="EMP0021"/>
    <n v="12"/>
    <s v="Sat"/>
    <x v="7"/>
    <x v="4"/>
  </r>
  <r>
    <x v="2435"/>
    <d v="2024-09-15T05:12:04"/>
    <x v="2390"/>
    <x v="2"/>
    <x v="17"/>
    <n v="2.5"/>
    <n v="9"/>
    <s v="USD"/>
    <x v="3"/>
    <s v="EMP0007"/>
    <n v="22.5"/>
    <s v="Sun"/>
    <x v="9"/>
    <x v="1"/>
  </r>
  <r>
    <x v="2436"/>
    <d v="2021-09-30T15:12:04"/>
    <x v="2391"/>
    <x v="10"/>
    <x v="17"/>
    <n v="2.5"/>
    <n v="1"/>
    <s v="USD"/>
    <x v="0"/>
    <s v="EMP0098"/>
    <n v="2.5"/>
    <s v="Thu"/>
    <x v="9"/>
    <x v="0"/>
  </r>
  <r>
    <x v="2437"/>
    <d v="2024-01-19T08:31:04"/>
    <x v="2392"/>
    <x v="6"/>
    <x v="12"/>
    <n v="1.8"/>
    <n v="6"/>
    <s v="USD"/>
    <x v="4"/>
    <s v="EMP0050"/>
    <n v="10.8"/>
    <s v="Fri"/>
    <x v="2"/>
    <x v="1"/>
  </r>
  <r>
    <x v="2438"/>
    <d v="2021-10-17T16:01:04"/>
    <x v="2393"/>
    <x v="13"/>
    <x v="12"/>
    <n v="1.8"/>
    <n v="5"/>
    <s v="USD"/>
    <x v="5"/>
    <s v="EMP0004"/>
    <n v="9"/>
    <s v="Sun"/>
    <x v="0"/>
    <x v="0"/>
  </r>
  <r>
    <x v="2439"/>
    <d v="2021-08-06T14:42:04"/>
    <x v="2394"/>
    <x v="8"/>
    <x v="1"/>
    <n v="1"/>
    <n v="2"/>
    <s v="USD"/>
    <x v="3"/>
    <s v="EMP0026"/>
    <n v="2"/>
    <s v="Fri"/>
    <x v="6"/>
    <x v="0"/>
  </r>
  <r>
    <x v="2440"/>
    <d v="2022-01-18T12:13:04"/>
    <x v="2395"/>
    <x v="2"/>
    <x v="16"/>
    <n v="4"/>
    <n v="8"/>
    <s v="USD"/>
    <x v="3"/>
    <s v="EMP0045"/>
    <n v="32"/>
    <s v="Tue"/>
    <x v="2"/>
    <x v="3"/>
  </r>
  <r>
    <x v="2441"/>
    <d v="2021-06-02T10:49:04"/>
    <x v="2396"/>
    <x v="1"/>
    <x v="7"/>
    <n v="2.8"/>
    <n v="9"/>
    <s v="USD"/>
    <x v="0"/>
    <s v="EMP0051"/>
    <n v="25.2"/>
    <s v="Wed"/>
    <x v="3"/>
    <x v="0"/>
  </r>
  <r>
    <x v="2442"/>
    <d v="2024-02-29T08:52:04"/>
    <x v="2397"/>
    <x v="13"/>
    <x v="5"/>
    <n v="1"/>
    <n v="5"/>
    <s v="USD"/>
    <x v="4"/>
    <s v="EMP0072"/>
    <n v="5"/>
    <s v="Thu"/>
    <x v="7"/>
    <x v="1"/>
  </r>
  <r>
    <x v="2443"/>
    <d v="2023-04-03T21:02:04"/>
    <x v="2398"/>
    <x v="6"/>
    <x v="11"/>
    <n v="4"/>
    <n v="10"/>
    <s v="USD"/>
    <x v="4"/>
    <s v="EMP0043"/>
    <n v="40"/>
    <s v="Mon"/>
    <x v="11"/>
    <x v="4"/>
  </r>
  <r>
    <x v="2444"/>
    <d v="2024-04-04T02:29:04"/>
    <x v="110"/>
    <x v="11"/>
    <x v="6"/>
    <n v="7"/>
    <n v="2"/>
    <s v="USD"/>
    <x v="2"/>
    <s v="EMP0037"/>
    <n v="14"/>
    <s v="Thu"/>
    <x v="11"/>
    <x v="1"/>
  </r>
  <r>
    <x v="2445"/>
    <d v="2022-10-28T12:58:04"/>
    <x v="2399"/>
    <x v="12"/>
    <x v="12"/>
    <n v="1.8"/>
    <n v="7"/>
    <s v="USD"/>
    <x v="0"/>
    <s v="EMP0024"/>
    <n v="12.6"/>
    <s v="Fri"/>
    <x v="0"/>
    <x v="3"/>
  </r>
  <r>
    <x v="2446"/>
    <d v="2024-09-21T12:02:04"/>
    <x v="2400"/>
    <x v="14"/>
    <x v="19"/>
    <n v="5.5"/>
    <n v="4"/>
    <s v="USD"/>
    <x v="0"/>
    <s v="EMP0098"/>
    <n v="22"/>
    <s v="Sat"/>
    <x v="9"/>
    <x v="1"/>
  </r>
  <r>
    <x v="2447"/>
    <d v="2022-02-26T13:39:04"/>
    <x v="2401"/>
    <x v="11"/>
    <x v="11"/>
    <n v="4"/>
    <n v="10"/>
    <s v="USD"/>
    <x v="4"/>
    <s v="EMP0047"/>
    <n v="40"/>
    <s v="Sat"/>
    <x v="7"/>
    <x v="3"/>
  </r>
  <r>
    <x v="2448"/>
    <d v="2022-10-03T11:45:04"/>
    <x v="2402"/>
    <x v="3"/>
    <x v="2"/>
    <n v="2.5"/>
    <n v="10"/>
    <s v="USD"/>
    <x v="4"/>
    <s v="EMP0028"/>
    <n v="25"/>
    <s v="Mon"/>
    <x v="0"/>
    <x v="3"/>
  </r>
  <r>
    <x v="2449"/>
    <d v="2022-06-28T13:07:04"/>
    <x v="2403"/>
    <x v="13"/>
    <x v="11"/>
    <n v="4"/>
    <n v="3"/>
    <s v="USD"/>
    <x v="4"/>
    <s v="EMP0027"/>
    <n v="12"/>
    <s v="Tue"/>
    <x v="3"/>
    <x v="3"/>
  </r>
  <r>
    <x v="2450"/>
    <d v="2022-07-20T14:02:04"/>
    <x v="2404"/>
    <x v="0"/>
    <x v="4"/>
    <n v="3.2"/>
    <n v="8"/>
    <s v="USD"/>
    <x v="5"/>
    <s v="EMP0078"/>
    <n v="25.6"/>
    <s v="Wed"/>
    <x v="8"/>
    <x v="3"/>
  </r>
  <r>
    <x v="2451"/>
    <d v="2024-06-04T21:56:04"/>
    <x v="2405"/>
    <x v="9"/>
    <x v="5"/>
    <n v="1"/>
    <n v="5"/>
    <s v="USD"/>
    <x v="2"/>
    <s v="EMP0032"/>
    <n v="5"/>
    <s v="Tue"/>
    <x v="3"/>
    <x v="1"/>
  </r>
  <r>
    <x v="2452"/>
    <d v="2024-11-30T18:20:04"/>
    <x v="2406"/>
    <x v="1"/>
    <x v="3"/>
    <n v="1.2"/>
    <n v="1"/>
    <s v="USD"/>
    <x v="1"/>
    <s v="EMP0007"/>
    <n v="1.2"/>
    <s v="Sat"/>
    <x v="10"/>
    <x v="1"/>
  </r>
  <r>
    <x v="2453"/>
    <d v="2025-04-17T04:27:04"/>
    <x v="2407"/>
    <x v="13"/>
    <x v="8"/>
    <n v="4.5"/>
    <n v="8"/>
    <s v="USD"/>
    <x v="5"/>
    <s v="EMP0094"/>
    <n v="36"/>
    <s v="Thu"/>
    <x v="11"/>
    <x v="2"/>
  </r>
  <r>
    <x v="2454"/>
    <d v="2022-03-03T08:20:04"/>
    <x v="2408"/>
    <x v="13"/>
    <x v="7"/>
    <n v="2.8"/>
    <n v="4"/>
    <s v="USD"/>
    <x v="2"/>
    <s v="EMP0025"/>
    <n v="11.2"/>
    <s v="Thu"/>
    <x v="1"/>
    <x v="3"/>
  </r>
  <r>
    <x v="2455"/>
    <d v="2022-12-24T13:30:04"/>
    <x v="2409"/>
    <x v="5"/>
    <x v="9"/>
    <n v="3"/>
    <n v="5"/>
    <s v="USD"/>
    <x v="5"/>
    <s v="EMP0084"/>
    <n v="15"/>
    <s v="Sat"/>
    <x v="4"/>
    <x v="3"/>
  </r>
  <r>
    <x v="2456"/>
    <d v="2025-03-25T03:37:04"/>
    <x v="2410"/>
    <x v="13"/>
    <x v="19"/>
    <n v="5.5"/>
    <n v="5"/>
    <s v="USD"/>
    <x v="0"/>
    <s v="EMP0034"/>
    <n v="27.5"/>
    <s v="Tue"/>
    <x v="1"/>
    <x v="2"/>
  </r>
  <r>
    <x v="2457"/>
    <d v="2022-10-17T07:19:04"/>
    <x v="2411"/>
    <x v="1"/>
    <x v="3"/>
    <n v="1.2"/>
    <n v="8"/>
    <s v="USD"/>
    <x v="0"/>
    <s v="EMP0002"/>
    <n v="9.6"/>
    <s v="Mon"/>
    <x v="0"/>
    <x v="3"/>
  </r>
  <r>
    <x v="2458"/>
    <d v="2024-09-21T10:40:04"/>
    <x v="2412"/>
    <x v="2"/>
    <x v="10"/>
    <n v="5"/>
    <n v="10"/>
    <s v="USD"/>
    <x v="2"/>
    <s v="EMP0072"/>
    <n v="50"/>
    <s v="Sat"/>
    <x v="9"/>
    <x v="1"/>
  </r>
  <r>
    <x v="2459"/>
    <d v="2023-10-28T05:25:04"/>
    <x v="2413"/>
    <x v="0"/>
    <x v="16"/>
    <n v="4"/>
    <n v="8"/>
    <s v="USD"/>
    <x v="3"/>
    <s v="EMP0094"/>
    <n v="32"/>
    <s v="Sat"/>
    <x v="0"/>
    <x v="4"/>
  </r>
  <r>
    <x v="2460"/>
    <d v="2021-06-23T09:13:04"/>
    <x v="2414"/>
    <x v="7"/>
    <x v="6"/>
    <n v="7"/>
    <n v="7"/>
    <s v="USD"/>
    <x v="3"/>
    <s v="EMP0005"/>
    <n v="49"/>
    <s v="Wed"/>
    <x v="3"/>
    <x v="0"/>
  </r>
  <r>
    <x v="2461"/>
    <d v="2022-07-25T23:33:04"/>
    <x v="2415"/>
    <x v="10"/>
    <x v="18"/>
    <n v="1.7"/>
    <n v="3"/>
    <s v="USD"/>
    <x v="3"/>
    <s v="EMP0074"/>
    <n v="5.0999999999999996"/>
    <s v="Mon"/>
    <x v="8"/>
    <x v="3"/>
  </r>
  <r>
    <x v="2462"/>
    <d v="2025-02-07T16:22:04"/>
    <x v="2416"/>
    <x v="14"/>
    <x v="0"/>
    <n v="3.1"/>
    <n v="5"/>
    <s v="USD"/>
    <x v="2"/>
    <s v="EMP0062"/>
    <n v="15.5"/>
    <s v="Fri"/>
    <x v="7"/>
    <x v="2"/>
  </r>
  <r>
    <x v="2463"/>
    <d v="2024-03-20T05:25:04"/>
    <x v="2417"/>
    <x v="3"/>
    <x v="0"/>
    <n v="3.1"/>
    <n v="4"/>
    <s v="USD"/>
    <x v="0"/>
    <s v="EMP0089"/>
    <n v="12.4"/>
    <s v="Wed"/>
    <x v="1"/>
    <x v="1"/>
  </r>
  <r>
    <x v="2464"/>
    <d v="2022-11-04T12:45:04"/>
    <x v="2418"/>
    <x v="13"/>
    <x v="16"/>
    <n v="4"/>
    <n v="7"/>
    <s v="USD"/>
    <x v="1"/>
    <s v="EMP0090"/>
    <n v="28"/>
    <s v="Fri"/>
    <x v="10"/>
    <x v="3"/>
  </r>
  <r>
    <x v="2465"/>
    <d v="2022-08-13T05:41:04"/>
    <x v="2419"/>
    <x v="4"/>
    <x v="17"/>
    <n v="2.5"/>
    <n v="5"/>
    <s v="USD"/>
    <x v="4"/>
    <s v="EMP0012"/>
    <n v="12.5"/>
    <s v="Sat"/>
    <x v="6"/>
    <x v="3"/>
  </r>
  <r>
    <x v="2466"/>
    <d v="2022-01-01T01:57:04"/>
    <x v="2420"/>
    <x v="4"/>
    <x v="15"/>
    <n v="1.5"/>
    <n v="9"/>
    <s v="USD"/>
    <x v="0"/>
    <s v="EMP0048"/>
    <n v="13.5"/>
    <s v="Sat"/>
    <x v="2"/>
    <x v="3"/>
  </r>
  <r>
    <x v="2467"/>
    <d v="2021-08-30T01:40:04"/>
    <x v="2421"/>
    <x v="9"/>
    <x v="1"/>
    <n v="1"/>
    <n v="3"/>
    <s v="USD"/>
    <x v="4"/>
    <s v="EMP0095"/>
    <n v="3"/>
    <s v="Mon"/>
    <x v="6"/>
    <x v="0"/>
  </r>
  <r>
    <x v="2468"/>
    <d v="2021-10-08T02:00:04"/>
    <x v="2422"/>
    <x v="6"/>
    <x v="16"/>
    <n v="4"/>
    <n v="7"/>
    <s v="USD"/>
    <x v="4"/>
    <s v="EMP0060"/>
    <n v="28"/>
    <s v="Fri"/>
    <x v="0"/>
    <x v="0"/>
  </r>
  <r>
    <x v="2469"/>
    <d v="2023-05-29T04:17:04"/>
    <x v="2423"/>
    <x v="4"/>
    <x v="15"/>
    <n v="1.5"/>
    <n v="9"/>
    <s v="USD"/>
    <x v="5"/>
    <s v="EMP0047"/>
    <n v="13.5"/>
    <s v="Mon"/>
    <x v="5"/>
    <x v="4"/>
  </r>
  <r>
    <x v="2470"/>
    <d v="2022-12-07T10:48:04"/>
    <x v="2424"/>
    <x v="11"/>
    <x v="14"/>
    <n v="2.2000000000000002"/>
    <n v="6"/>
    <s v="USD"/>
    <x v="4"/>
    <s v="EMP0083"/>
    <n v="13.200000000000001"/>
    <s v="Wed"/>
    <x v="4"/>
    <x v="3"/>
  </r>
  <r>
    <x v="2471"/>
    <d v="2022-09-26T22:38:04"/>
    <x v="2425"/>
    <x v="9"/>
    <x v="13"/>
    <n v="0.8"/>
    <n v="1"/>
    <s v="USD"/>
    <x v="4"/>
    <s v="EMP0065"/>
    <n v="0.8"/>
    <s v="Mon"/>
    <x v="9"/>
    <x v="3"/>
  </r>
  <r>
    <x v="2472"/>
    <d v="2021-11-06T08:48:04"/>
    <x v="2426"/>
    <x v="5"/>
    <x v="1"/>
    <n v="1"/>
    <n v="3"/>
    <s v="USD"/>
    <x v="1"/>
    <s v="EMP0018"/>
    <n v="3"/>
    <s v="Sat"/>
    <x v="10"/>
    <x v="0"/>
  </r>
  <r>
    <x v="2473"/>
    <d v="2024-03-13T15:01:04"/>
    <x v="2427"/>
    <x v="7"/>
    <x v="18"/>
    <n v="1.7"/>
    <n v="2"/>
    <s v="USD"/>
    <x v="1"/>
    <s v="EMP0070"/>
    <n v="3.4"/>
    <s v="Wed"/>
    <x v="1"/>
    <x v="1"/>
  </r>
  <r>
    <x v="2474"/>
    <d v="2025-02-12T21:20:04"/>
    <x v="2428"/>
    <x v="12"/>
    <x v="3"/>
    <n v="1.2"/>
    <n v="5"/>
    <s v="USD"/>
    <x v="1"/>
    <s v="EMP0086"/>
    <n v="6"/>
    <s v="Wed"/>
    <x v="7"/>
    <x v="2"/>
  </r>
  <r>
    <x v="2475"/>
    <d v="2024-06-05T14:12:04"/>
    <x v="2429"/>
    <x v="3"/>
    <x v="4"/>
    <n v="3.2"/>
    <n v="8"/>
    <s v="USD"/>
    <x v="3"/>
    <s v="EMP0042"/>
    <n v="25.6"/>
    <s v="Wed"/>
    <x v="3"/>
    <x v="1"/>
  </r>
  <r>
    <x v="2476"/>
    <d v="2023-04-05T19:27:04"/>
    <x v="2430"/>
    <x v="8"/>
    <x v="12"/>
    <n v="1.8"/>
    <n v="7"/>
    <s v="USD"/>
    <x v="0"/>
    <s v="EMP0074"/>
    <n v="12.6"/>
    <s v="Wed"/>
    <x v="11"/>
    <x v="4"/>
  </r>
  <r>
    <x v="2477"/>
    <d v="2023-05-20T14:00:04"/>
    <x v="2431"/>
    <x v="0"/>
    <x v="19"/>
    <n v="5.5"/>
    <n v="4"/>
    <s v="USD"/>
    <x v="2"/>
    <s v="EMP0083"/>
    <n v="22"/>
    <s v="Sat"/>
    <x v="5"/>
    <x v="4"/>
  </r>
  <r>
    <x v="2478"/>
    <d v="2022-10-23T08:33:04"/>
    <x v="2432"/>
    <x v="0"/>
    <x v="11"/>
    <n v="4"/>
    <n v="1"/>
    <s v="USD"/>
    <x v="1"/>
    <s v="EMP0014"/>
    <n v="4"/>
    <s v="Sun"/>
    <x v="0"/>
    <x v="3"/>
  </r>
  <r>
    <x v="2479"/>
    <d v="2022-07-30T08:28:04"/>
    <x v="2433"/>
    <x v="7"/>
    <x v="8"/>
    <n v="4.5"/>
    <n v="4"/>
    <s v="USD"/>
    <x v="5"/>
    <s v="EMP0039"/>
    <n v="18"/>
    <s v="Sat"/>
    <x v="8"/>
    <x v="3"/>
  </r>
  <r>
    <x v="2480"/>
    <d v="2024-03-06T19:46:04"/>
    <x v="2434"/>
    <x v="7"/>
    <x v="11"/>
    <n v="4"/>
    <n v="1"/>
    <s v="USD"/>
    <x v="3"/>
    <s v="EMP0004"/>
    <n v="4"/>
    <s v="Wed"/>
    <x v="1"/>
    <x v="1"/>
  </r>
  <r>
    <x v="2481"/>
    <d v="2023-09-12T10:13:04"/>
    <x v="2435"/>
    <x v="6"/>
    <x v="9"/>
    <n v="3"/>
    <n v="2"/>
    <s v="USD"/>
    <x v="4"/>
    <s v="EMP0058"/>
    <n v="6"/>
    <s v="Tue"/>
    <x v="9"/>
    <x v="4"/>
  </r>
  <r>
    <x v="2482"/>
    <d v="2024-09-08T00:04:04"/>
    <x v="2436"/>
    <x v="3"/>
    <x v="6"/>
    <n v="7"/>
    <n v="1"/>
    <s v="USD"/>
    <x v="2"/>
    <s v="EMP0077"/>
    <n v="7"/>
    <s v="Sun"/>
    <x v="9"/>
    <x v="1"/>
  </r>
  <r>
    <x v="2483"/>
    <d v="2023-09-03T03:02:04"/>
    <x v="2437"/>
    <x v="5"/>
    <x v="11"/>
    <n v="4"/>
    <n v="5"/>
    <s v="USD"/>
    <x v="5"/>
    <s v="EMP0080"/>
    <n v="20"/>
    <s v="Sun"/>
    <x v="9"/>
    <x v="4"/>
  </r>
  <r>
    <x v="2484"/>
    <d v="2022-01-17T21:46:04"/>
    <x v="2438"/>
    <x v="12"/>
    <x v="16"/>
    <n v="4"/>
    <n v="1"/>
    <s v="USD"/>
    <x v="2"/>
    <s v="EMP0063"/>
    <n v="4"/>
    <s v="Mon"/>
    <x v="2"/>
    <x v="3"/>
  </r>
  <r>
    <x v="2485"/>
    <d v="2025-03-05T22:06:04"/>
    <x v="2439"/>
    <x v="5"/>
    <x v="3"/>
    <n v="1.2"/>
    <n v="5"/>
    <s v="USD"/>
    <x v="2"/>
    <s v="EMP0061"/>
    <n v="6"/>
    <s v="Wed"/>
    <x v="1"/>
    <x v="2"/>
  </r>
  <r>
    <x v="2486"/>
    <d v="2023-03-15T19:37:04"/>
    <x v="2440"/>
    <x v="7"/>
    <x v="18"/>
    <n v="1.7"/>
    <n v="10"/>
    <s v="USD"/>
    <x v="1"/>
    <s v="EMP0045"/>
    <n v="17"/>
    <s v="Wed"/>
    <x v="1"/>
    <x v="4"/>
  </r>
  <r>
    <x v="2487"/>
    <d v="2021-07-06T22:25:04"/>
    <x v="2441"/>
    <x v="8"/>
    <x v="17"/>
    <n v="2.5"/>
    <n v="8"/>
    <s v="USD"/>
    <x v="3"/>
    <s v="EMP0061"/>
    <n v="20"/>
    <s v="Tue"/>
    <x v="8"/>
    <x v="0"/>
  </r>
  <r>
    <x v="2488"/>
    <d v="2023-12-09T20:21:04"/>
    <x v="2442"/>
    <x v="7"/>
    <x v="2"/>
    <n v="2.5"/>
    <n v="2"/>
    <s v="USD"/>
    <x v="5"/>
    <s v="EMP0049"/>
    <n v="5"/>
    <s v="Sat"/>
    <x v="4"/>
    <x v="4"/>
  </r>
  <r>
    <x v="2489"/>
    <d v="2023-06-19T05:48:04"/>
    <x v="2443"/>
    <x v="10"/>
    <x v="17"/>
    <n v="2.5"/>
    <n v="6"/>
    <s v="USD"/>
    <x v="4"/>
    <s v="EMP0071"/>
    <n v="15"/>
    <s v="Mon"/>
    <x v="3"/>
    <x v="4"/>
  </r>
  <r>
    <x v="2490"/>
    <d v="2021-05-28T23:13:04"/>
    <x v="2444"/>
    <x v="12"/>
    <x v="18"/>
    <n v="1.7"/>
    <n v="2"/>
    <s v="USD"/>
    <x v="3"/>
    <s v="EMP0088"/>
    <n v="3.4"/>
    <s v="Fri"/>
    <x v="5"/>
    <x v="0"/>
  </r>
  <r>
    <x v="2491"/>
    <d v="2024-08-19T18:31:04"/>
    <x v="2445"/>
    <x v="3"/>
    <x v="3"/>
    <n v="1.2"/>
    <n v="9"/>
    <s v="USD"/>
    <x v="5"/>
    <s v="EMP0009"/>
    <n v="10.799999999999999"/>
    <s v="Mon"/>
    <x v="6"/>
    <x v="1"/>
  </r>
  <r>
    <x v="2492"/>
    <d v="2022-07-16T07:57:04"/>
    <x v="2446"/>
    <x v="11"/>
    <x v="16"/>
    <n v="4"/>
    <n v="7"/>
    <s v="USD"/>
    <x v="1"/>
    <s v="EMP0084"/>
    <n v="28"/>
    <s v="Sat"/>
    <x v="8"/>
    <x v="3"/>
  </r>
  <r>
    <x v="2493"/>
    <d v="2025-01-30T04:49:04"/>
    <x v="2447"/>
    <x v="7"/>
    <x v="12"/>
    <n v="1.8"/>
    <n v="8"/>
    <s v="USD"/>
    <x v="0"/>
    <s v="EMP0058"/>
    <n v="14.4"/>
    <s v="Thu"/>
    <x v="2"/>
    <x v="2"/>
  </r>
  <r>
    <x v="2494"/>
    <d v="2023-09-17T08:24:04"/>
    <x v="2448"/>
    <x v="11"/>
    <x v="5"/>
    <n v="1"/>
    <n v="6"/>
    <s v="USD"/>
    <x v="5"/>
    <s v="EMP0015"/>
    <n v="6"/>
    <s v="Sun"/>
    <x v="9"/>
    <x v="4"/>
  </r>
  <r>
    <x v="2495"/>
    <d v="2021-07-03T08:33:04"/>
    <x v="2449"/>
    <x v="7"/>
    <x v="11"/>
    <n v="4"/>
    <n v="8"/>
    <s v="USD"/>
    <x v="5"/>
    <s v="EMP0032"/>
    <n v="32"/>
    <s v="Sat"/>
    <x v="8"/>
    <x v="0"/>
  </r>
  <r>
    <x v="2496"/>
    <d v="2025-04-28T00:37:04"/>
    <x v="2450"/>
    <x v="0"/>
    <x v="13"/>
    <n v="0.8"/>
    <n v="7"/>
    <s v="USD"/>
    <x v="3"/>
    <s v="EMP0039"/>
    <n v="5.6000000000000005"/>
    <s v="Mon"/>
    <x v="11"/>
    <x v="2"/>
  </r>
  <r>
    <x v="2497"/>
    <d v="2024-04-30T06:05:04"/>
    <x v="2451"/>
    <x v="4"/>
    <x v="16"/>
    <n v="4"/>
    <n v="8"/>
    <s v="USD"/>
    <x v="0"/>
    <s v="EMP0092"/>
    <n v="32"/>
    <s v="Tue"/>
    <x v="11"/>
    <x v="1"/>
  </r>
  <r>
    <x v="2498"/>
    <d v="2022-11-10T14:28:04"/>
    <x v="2452"/>
    <x v="7"/>
    <x v="19"/>
    <n v="5.5"/>
    <n v="3"/>
    <s v="USD"/>
    <x v="0"/>
    <s v="EMP0017"/>
    <n v="16.5"/>
    <s v="Thu"/>
    <x v="10"/>
    <x v="3"/>
  </r>
  <r>
    <x v="2499"/>
    <d v="2021-12-16T19:25:04"/>
    <x v="2453"/>
    <x v="10"/>
    <x v="15"/>
    <n v="1.5"/>
    <n v="6"/>
    <s v="USD"/>
    <x v="2"/>
    <s v="EMP0056"/>
    <n v="9"/>
    <s v="Thu"/>
    <x v="4"/>
    <x v="0"/>
  </r>
  <r>
    <x v="2500"/>
    <d v="2025-03-27T14:53:04"/>
    <x v="2454"/>
    <x v="1"/>
    <x v="7"/>
    <n v="2.8"/>
    <n v="9"/>
    <s v="USD"/>
    <x v="3"/>
    <s v="EMP0054"/>
    <n v="25.2"/>
    <s v="Thu"/>
    <x v="1"/>
    <x v="2"/>
  </r>
  <r>
    <x v="2501"/>
    <d v="2022-09-12T12:09:04"/>
    <x v="2455"/>
    <x v="8"/>
    <x v="1"/>
    <n v="1"/>
    <n v="7"/>
    <s v="USD"/>
    <x v="3"/>
    <s v="EMP0009"/>
    <n v="7"/>
    <s v="Mon"/>
    <x v="9"/>
    <x v="3"/>
  </r>
  <r>
    <x v="2502"/>
    <d v="2024-11-12T04:30:04"/>
    <x v="2456"/>
    <x v="3"/>
    <x v="7"/>
    <n v="2.8"/>
    <n v="8"/>
    <s v="USD"/>
    <x v="5"/>
    <s v="EMP0065"/>
    <n v="22.4"/>
    <s v="Tue"/>
    <x v="10"/>
    <x v="1"/>
  </r>
  <r>
    <x v="2503"/>
    <d v="2023-12-28T09:19:04"/>
    <x v="2457"/>
    <x v="13"/>
    <x v="13"/>
    <n v="0.8"/>
    <n v="2"/>
    <s v="USD"/>
    <x v="1"/>
    <s v="EMP0024"/>
    <n v="1.6"/>
    <s v="Thu"/>
    <x v="4"/>
    <x v="4"/>
  </r>
  <r>
    <x v="2504"/>
    <d v="2021-08-17T06:58:04"/>
    <x v="2458"/>
    <x v="3"/>
    <x v="1"/>
    <n v="1"/>
    <n v="6"/>
    <s v="USD"/>
    <x v="1"/>
    <s v="EMP0034"/>
    <n v="6"/>
    <s v="Tue"/>
    <x v="6"/>
    <x v="0"/>
  </r>
  <r>
    <x v="2505"/>
    <d v="2022-09-04T10:36:04"/>
    <x v="2459"/>
    <x v="3"/>
    <x v="13"/>
    <n v="0.8"/>
    <n v="10"/>
    <s v="USD"/>
    <x v="5"/>
    <s v="EMP0015"/>
    <n v="8"/>
    <s v="Sun"/>
    <x v="9"/>
    <x v="3"/>
  </r>
  <r>
    <x v="2506"/>
    <d v="2022-03-20T12:12:04"/>
    <x v="2460"/>
    <x v="2"/>
    <x v="14"/>
    <n v="2.2000000000000002"/>
    <n v="5"/>
    <s v="USD"/>
    <x v="0"/>
    <s v="EMP0096"/>
    <n v="11"/>
    <s v="Sun"/>
    <x v="1"/>
    <x v="3"/>
  </r>
  <r>
    <x v="2507"/>
    <d v="2021-06-03T01:26:04"/>
    <x v="2461"/>
    <x v="5"/>
    <x v="17"/>
    <n v="2.5"/>
    <n v="9"/>
    <s v="USD"/>
    <x v="3"/>
    <s v="EMP0015"/>
    <n v="22.5"/>
    <s v="Thu"/>
    <x v="3"/>
    <x v="0"/>
  </r>
  <r>
    <x v="2508"/>
    <d v="2022-05-30T16:09:04"/>
    <x v="2462"/>
    <x v="12"/>
    <x v="12"/>
    <n v="1.8"/>
    <n v="1"/>
    <s v="USD"/>
    <x v="4"/>
    <s v="EMP0018"/>
    <n v="1.8"/>
    <s v="Mon"/>
    <x v="5"/>
    <x v="3"/>
  </r>
  <r>
    <x v="2509"/>
    <d v="2023-07-25T05:31:04"/>
    <x v="2463"/>
    <x v="10"/>
    <x v="11"/>
    <n v="4"/>
    <n v="4"/>
    <s v="USD"/>
    <x v="2"/>
    <s v="EMP0061"/>
    <n v="16"/>
    <s v="Tue"/>
    <x v="8"/>
    <x v="4"/>
  </r>
  <r>
    <x v="2510"/>
    <d v="2022-09-02T22:13:04"/>
    <x v="2464"/>
    <x v="7"/>
    <x v="13"/>
    <n v="0.8"/>
    <n v="7"/>
    <s v="USD"/>
    <x v="1"/>
    <s v="EMP0082"/>
    <n v="5.6000000000000005"/>
    <s v="Fri"/>
    <x v="9"/>
    <x v="3"/>
  </r>
  <r>
    <x v="2511"/>
    <d v="2021-11-01T19:32:04"/>
    <x v="2465"/>
    <x v="14"/>
    <x v="9"/>
    <n v="3"/>
    <n v="3"/>
    <s v="USD"/>
    <x v="2"/>
    <s v="EMP0017"/>
    <n v="9"/>
    <s v="Mon"/>
    <x v="10"/>
    <x v="0"/>
  </r>
  <r>
    <x v="2512"/>
    <d v="2022-06-30T08:31:04"/>
    <x v="2466"/>
    <x v="14"/>
    <x v="9"/>
    <n v="3"/>
    <n v="8"/>
    <s v="USD"/>
    <x v="1"/>
    <s v="EMP0010"/>
    <n v="24"/>
    <s v="Thu"/>
    <x v="3"/>
    <x v="3"/>
  </r>
  <r>
    <x v="2513"/>
    <d v="2022-03-07T08:11:04"/>
    <x v="2467"/>
    <x v="3"/>
    <x v="18"/>
    <n v="1.7"/>
    <n v="6"/>
    <s v="USD"/>
    <x v="0"/>
    <s v="EMP0034"/>
    <n v="10.199999999999999"/>
    <s v="Mon"/>
    <x v="1"/>
    <x v="3"/>
  </r>
  <r>
    <x v="2514"/>
    <d v="2023-01-28T11:38:04"/>
    <x v="2468"/>
    <x v="8"/>
    <x v="17"/>
    <n v="2.5"/>
    <n v="6"/>
    <s v="USD"/>
    <x v="5"/>
    <s v="EMP0004"/>
    <n v="15"/>
    <s v="Sat"/>
    <x v="2"/>
    <x v="4"/>
  </r>
  <r>
    <x v="2515"/>
    <d v="2024-04-09T15:40:04"/>
    <x v="2469"/>
    <x v="1"/>
    <x v="7"/>
    <n v="2.8"/>
    <n v="7"/>
    <s v="USD"/>
    <x v="5"/>
    <s v="EMP0078"/>
    <n v="19.599999999999998"/>
    <s v="Tue"/>
    <x v="11"/>
    <x v="1"/>
  </r>
  <r>
    <x v="2516"/>
    <d v="2024-02-03T13:28:04"/>
    <x v="2470"/>
    <x v="6"/>
    <x v="15"/>
    <n v="1.5"/>
    <n v="10"/>
    <s v="USD"/>
    <x v="1"/>
    <s v="EMP0053"/>
    <n v="15"/>
    <s v="Sat"/>
    <x v="7"/>
    <x v="1"/>
  </r>
  <r>
    <x v="2517"/>
    <d v="2021-09-23T17:16:04"/>
    <x v="2471"/>
    <x v="2"/>
    <x v="5"/>
    <n v="1"/>
    <n v="9"/>
    <s v="USD"/>
    <x v="4"/>
    <s v="EMP0064"/>
    <n v="9"/>
    <s v="Thu"/>
    <x v="9"/>
    <x v="0"/>
  </r>
  <r>
    <x v="2518"/>
    <d v="2024-12-06T23:48:04"/>
    <x v="2472"/>
    <x v="13"/>
    <x v="18"/>
    <n v="1.7"/>
    <n v="2"/>
    <s v="USD"/>
    <x v="1"/>
    <s v="EMP0011"/>
    <n v="3.4"/>
    <s v="Fri"/>
    <x v="4"/>
    <x v="1"/>
  </r>
  <r>
    <x v="2519"/>
    <d v="2021-05-28T08:37:04"/>
    <x v="2473"/>
    <x v="3"/>
    <x v="17"/>
    <n v="2.5"/>
    <n v="6"/>
    <s v="USD"/>
    <x v="4"/>
    <s v="EMP0051"/>
    <n v="15"/>
    <s v="Fri"/>
    <x v="5"/>
    <x v="0"/>
  </r>
  <r>
    <x v="2520"/>
    <d v="2023-10-11T22:45:04"/>
    <x v="2474"/>
    <x v="14"/>
    <x v="4"/>
    <n v="3.2"/>
    <n v="5"/>
    <s v="USD"/>
    <x v="1"/>
    <s v="EMP0078"/>
    <n v="16"/>
    <s v="Wed"/>
    <x v="0"/>
    <x v="4"/>
  </r>
  <r>
    <x v="2521"/>
    <d v="2023-07-10T03:32:04"/>
    <x v="2475"/>
    <x v="10"/>
    <x v="12"/>
    <n v="1.8"/>
    <n v="8"/>
    <s v="USD"/>
    <x v="5"/>
    <s v="EMP0097"/>
    <n v="14.4"/>
    <s v="Mon"/>
    <x v="8"/>
    <x v="4"/>
  </r>
  <r>
    <x v="2522"/>
    <d v="2021-06-29T18:42:04"/>
    <x v="2476"/>
    <x v="9"/>
    <x v="5"/>
    <n v="1"/>
    <n v="10"/>
    <s v="USD"/>
    <x v="2"/>
    <s v="EMP0074"/>
    <n v="10"/>
    <s v="Tue"/>
    <x v="3"/>
    <x v="0"/>
  </r>
  <r>
    <x v="2523"/>
    <d v="2024-07-31T22:05:04"/>
    <x v="2477"/>
    <x v="7"/>
    <x v="15"/>
    <n v="1.5"/>
    <n v="6"/>
    <s v="USD"/>
    <x v="1"/>
    <s v="EMP0067"/>
    <n v="9"/>
    <s v="Wed"/>
    <x v="8"/>
    <x v="1"/>
  </r>
  <r>
    <x v="2524"/>
    <d v="2021-11-23T17:22:04"/>
    <x v="2478"/>
    <x v="11"/>
    <x v="0"/>
    <n v="3.1"/>
    <n v="5"/>
    <s v="USD"/>
    <x v="4"/>
    <s v="EMP0077"/>
    <n v="15.5"/>
    <s v="Tue"/>
    <x v="10"/>
    <x v="0"/>
  </r>
  <r>
    <x v="2525"/>
    <d v="2022-06-23T06:06:04"/>
    <x v="2479"/>
    <x v="1"/>
    <x v="4"/>
    <n v="3.2"/>
    <n v="4"/>
    <s v="USD"/>
    <x v="1"/>
    <s v="EMP0025"/>
    <n v="12.8"/>
    <s v="Thu"/>
    <x v="3"/>
    <x v="3"/>
  </r>
  <r>
    <x v="2526"/>
    <d v="2023-05-27T04:14:04"/>
    <x v="2480"/>
    <x v="4"/>
    <x v="4"/>
    <n v="3.2"/>
    <n v="9"/>
    <s v="USD"/>
    <x v="2"/>
    <s v="EMP0053"/>
    <n v="28.8"/>
    <s v="Sat"/>
    <x v="5"/>
    <x v="4"/>
  </r>
  <r>
    <x v="2527"/>
    <d v="2023-10-17T04:48:04"/>
    <x v="2481"/>
    <x v="8"/>
    <x v="11"/>
    <n v="4"/>
    <n v="10"/>
    <s v="USD"/>
    <x v="0"/>
    <s v="EMP0099"/>
    <n v="40"/>
    <s v="Tue"/>
    <x v="0"/>
    <x v="4"/>
  </r>
  <r>
    <x v="2528"/>
    <d v="2021-06-30T04:14:04"/>
    <x v="2482"/>
    <x v="3"/>
    <x v="7"/>
    <n v="2.8"/>
    <n v="9"/>
    <s v="USD"/>
    <x v="1"/>
    <s v="EMP0042"/>
    <n v="25.2"/>
    <s v="Wed"/>
    <x v="3"/>
    <x v="0"/>
  </r>
  <r>
    <x v="2529"/>
    <d v="2024-03-16T22:49:04"/>
    <x v="2483"/>
    <x v="9"/>
    <x v="13"/>
    <n v="0.8"/>
    <n v="2"/>
    <s v="USD"/>
    <x v="2"/>
    <s v="EMP0093"/>
    <n v="1.6"/>
    <s v="Sat"/>
    <x v="1"/>
    <x v="1"/>
  </r>
  <r>
    <x v="2530"/>
    <d v="2023-09-20T17:11:04"/>
    <x v="2484"/>
    <x v="2"/>
    <x v="5"/>
    <n v="1"/>
    <n v="6"/>
    <s v="USD"/>
    <x v="0"/>
    <s v="EMP0083"/>
    <n v="6"/>
    <s v="Wed"/>
    <x v="9"/>
    <x v="4"/>
  </r>
  <r>
    <x v="2531"/>
    <d v="2022-07-27T02:11:04"/>
    <x v="2485"/>
    <x v="8"/>
    <x v="15"/>
    <n v="1.5"/>
    <n v="5"/>
    <s v="USD"/>
    <x v="1"/>
    <s v="EMP0059"/>
    <n v="7.5"/>
    <s v="Wed"/>
    <x v="8"/>
    <x v="3"/>
  </r>
  <r>
    <x v="2532"/>
    <d v="2022-05-05T03:17:04"/>
    <x v="2486"/>
    <x v="11"/>
    <x v="5"/>
    <n v="1"/>
    <n v="2"/>
    <s v="USD"/>
    <x v="4"/>
    <s v="EMP0016"/>
    <n v="2"/>
    <s v="Thu"/>
    <x v="5"/>
    <x v="3"/>
  </r>
  <r>
    <x v="2533"/>
    <d v="2023-03-29T20:01:04"/>
    <x v="2487"/>
    <x v="13"/>
    <x v="9"/>
    <n v="3"/>
    <n v="4"/>
    <s v="USD"/>
    <x v="4"/>
    <s v="EMP0064"/>
    <n v="12"/>
    <s v="Wed"/>
    <x v="1"/>
    <x v="4"/>
  </r>
  <r>
    <x v="2534"/>
    <d v="2022-10-20T19:49:04"/>
    <x v="2488"/>
    <x v="4"/>
    <x v="0"/>
    <n v="3.1"/>
    <n v="9"/>
    <s v="USD"/>
    <x v="1"/>
    <s v="EMP0054"/>
    <n v="27.900000000000002"/>
    <s v="Thu"/>
    <x v="0"/>
    <x v="3"/>
  </r>
  <r>
    <x v="2535"/>
    <d v="2024-03-28T05:23:04"/>
    <x v="2489"/>
    <x v="8"/>
    <x v="15"/>
    <n v="1.5"/>
    <n v="10"/>
    <s v="USD"/>
    <x v="3"/>
    <s v="EMP0061"/>
    <n v="15"/>
    <s v="Thu"/>
    <x v="1"/>
    <x v="1"/>
  </r>
  <r>
    <x v="2536"/>
    <d v="2022-11-26T01:06:04"/>
    <x v="2490"/>
    <x v="7"/>
    <x v="14"/>
    <n v="2.2000000000000002"/>
    <n v="3"/>
    <s v="USD"/>
    <x v="3"/>
    <s v="EMP0047"/>
    <n v="6.6000000000000005"/>
    <s v="Sat"/>
    <x v="10"/>
    <x v="3"/>
  </r>
  <r>
    <x v="2537"/>
    <d v="2025-01-18T11:32:04"/>
    <x v="2491"/>
    <x v="7"/>
    <x v="0"/>
    <n v="3.1"/>
    <n v="2"/>
    <s v="USD"/>
    <x v="1"/>
    <s v="EMP0069"/>
    <n v="6.2"/>
    <s v="Sat"/>
    <x v="2"/>
    <x v="2"/>
  </r>
  <r>
    <x v="2538"/>
    <d v="2023-11-07T08:36:04"/>
    <x v="2492"/>
    <x v="7"/>
    <x v="18"/>
    <n v="1.7"/>
    <n v="4"/>
    <s v="USD"/>
    <x v="3"/>
    <s v="EMP0085"/>
    <n v="6.8"/>
    <s v="Tue"/>
    <x v="10"/>
    <x v="4"/>
  </r>
  <r>
    <x v="2539"/>
    <d v="2022-03-06T12:26:04"/>
    <x v="2493"/>
    <x v="7"/>
    <x v="4"/>
    <n v="3.2"/>
    <n v="10"/>
    <s v="USD"/>
    <x v="2"/>
    <s v="EMP0036"/>
    <n v="32"/>
    <s v="Sun"/>
    <x v="1"/>
    <x v="3"/>
  </r>
  <r>
    <x v="2540"/>
    <d v="2023-10-05T00:11:04"/>
    <x v="2494"/>
    <x v="2"/>
    <x v="2"/>
    <n v="2.5"/>
    <n v="10"/>
    <s v="USD"/>
    <x v="1"/>
    <s v="EMP0074"/>
    <n v="25"/>
    <s v="Thu"/>
    <x v="0"/>
    <x v="4"/>
  </r>
  <r>
    <x v="2541"/>
    <d v="2023-11-09T20:04:04"/>
    <x v="2495"/>
    <x v="4"/>
    <x v="2"/>
    <n v="2.5"/>
    <n v="3"/>
    <s v="USD"/>
    <x v="3"/>
    <s v="EMP0071"/>
    <n v="7.5"/>
    <s v="Thu"/>
    <x v="10"/>
    <x v="4"/>
  </r>
  <r>
    <x v="2542"/>
    <d v="2022-01-29T02:38:04"/>
    <x v="460"/>
    <x v="2"/>
    <x v="13"/>
    <n v="0.8"/>
    <n v="7"/>
    <s v="USD"/>
    <x v="0"/>
    <s v="EMP0070"/>
    <n v="5.6000000000000005"/>
    <s v="Sat"/>
    <x v="2"/>
    <x v="3"/>
  </r>
  <r>
    <x v="2543"/>
    <d v="2021-11-24T13:16:04"/>
    <x v="2496"/>
    <x v="7"/>
    <x v="16"/>
    <n v="4"/>
    <n v="10"/>
    <s v="USD"/>
    <x v="4"/>
    <s v="EMP0063"/>
    <n v="40"/>
    <s v="Wed"/>
    <x v="10"/>
    <x v="0"/>
  </r>
  <r>
    <x v="2544"/>
    <d v="2024-08-27T10:11:04"/>
    <x v="2497"/>
    <x v="4"/>
    <x v="18"/>
    <n v="1.7"/>
    <n v="4"/>
    <s v="USD"/>
    <x v="0"/>
    <s v="EMP0059"/>
    <n v="6.8"/>
    <s v="Tue"/>
    <x v="6"/>
    <x v="1"/>
  </r>
  <r>
    <x v="2545"/>
    <d v="2021-12-08T07:29:04"/>
    <x v="2498"/>
    <x v="6"/>
    <x v="2"/>
    <n v="2.5"/>
    <n v="5"/>
    <s v="USD"/>
    <x v="3"/>
    <s v="EMP0001"/>
    <n v="12.5"/>
    <s v="Wed"/>
    <x v="4"/>
    <x v="0"/>
  </r>
  <r>
    <x v="2546"/>
    <d v="2024-01-05T16:07:04"/>
    <x v="2499"/>
    <x v="8"/>
    <x v="16"/>
    <n v="4"/>
    <n v="10"/>
    <s v="USD"/>
    <x v="5"/>
    <s v="EMP0058"/>
    <n v="40"/>
    <s v="Fri"/>
    <x v="2"/>
    <x v="1"/>
  </r>
  <r>
    <x v="2547"/>
    <d v="2024-02-27T06:20:04"/>
    <x v="2500"/>
    <x v="4"/>
    <x v="9"/>
    <n v="3"/>
    <n v="7"/>
    <s v="USD"/>
    <x v="2"/>
    <s v="EMP0057"/>
    <n v="21"/>
    <s v="Tue"/>
    <x v="7"/>
    <x v="1"/>
  </r>
  <r>
    <x v="2548"/>
    <d v="2022-11-15T08:39:04"/>
    <x v="2501"/>
    <x v="1"/>
    <x v="6"/>
    <n v="7"/>
    <n v="10"/>
    <s v="USD"/>
    <x v="5"/>
    <s v="EMP0003"/>
    <n v="70"/>
    <s v="Tue"/>
    <x v="10"/>
    <x v="3"/>
  </r>
  <r>
    <x v="2549"/>
    <d v="2022-04-27T05:13:04"/>
    <x v="2502"/>
    <x v="1"/>
    <x v="15"/>
    <n v="1.5"/>
    <n v="7"/>
    <s v="USD"/>
    <x v="1"/>
    <s v="EMP0044"/>
    <n v="10.5"/>
    <s v="Wed"/>
    <x v="11"/>
    <x v="3"/>
  </r>
  <r>
    <x v="2550"/>
    <d v="2023-07-20T12:55:04"/>
    <x v="2503"/>
    <x v="9"/>
    <x v="5"/>
    <n v="1"/>
    <n v="7"/>
    <s v="USD"/>
    <x v="5"/>
    <s v="EMP0078"/>
    <n v="7"/>
    <s v="Thu"/>
    <x v="8"/>
    <x v="4"/>
  </r>
  <r>
    <x v="2551"/>
    <d v="2024-03-15T02:17:04"/>
    <x v="2504"/>
    <x v="0"/>
    <x v="9"/>
    <n v="3"/>
    <n v="10"/>
    <s v="USD"/>
    <x v="2"/>
    <s v="EMP0088"/>
    <n v="30"/>
    <s v="Fri"/>
    <x v="1"/>
    <x v="1"/>
  </r>
  <r>
    <x v="2552"/>
    <d v="2023-03-28T07:36:04"/>
    <x v="2505"/>
    <x v="8"/>
    <x v="11"/>
    <n v="4"/>
    <n v="4"/>
    <s v="USD"/>
    <x v="4"/>
    <s v="EMP0046"/>
    <n v="16"/>
    <s v="Tue"/>
    <x v="1"/>
    <x v="4"/>
  </r>
  <r>
    <x v="2553"/>
    <d v="2023-01-31T05:11:04"/>
    <x v="2506"/>
    <x v="0"/>
    <x v="8"/>
    <n v="4.5"/>
    <n v="4"/>
    <s v="USD"/>
    <x v="5"/>
    <s v="EMP0077"/>
    <n v="18"/>
    <s v="Tue"/>
    <x v="2"/>
    <x v="4"/>
  </r>
  <r>
    <x v="2554"/>
    <d v="2022-09-21T12:43:04"/>
    <x v="2507"/>
    <x v="1"/>
    <x v="16"/>
    <n v="4"/>
    <n v="4"/>
    <s v="USD"/>
    <x v="2"/>
    <s v="EMP0090"/>
    <n v="16"/>
    <s v="Wed"/>
    <x v="9"/>
    <x v="3"/>
  </r>
  <r>
    <x v="2555"/>
    <d v="2024-12-27T22:41:04"/>
    <x v="2508"/>
    <x v="14"/>
    <x v="3"/>
    <n v="1.2"/>
    <n v="7"/>
    <s v="USD"/>
    <x v="1"/>
    <s v="EMP0045"/>
    <n v="8.4"/>
    <s v="Fri"/>
    <x v="4"/>
    <x v="1"/>
  </r>
  <r>
    <x v="2556"/>
    <d v="2023-05-04T01:25:04"/>
    <x v="2509"/>
    <x v="10"/>
    <x v="18"/>
    <n v="1.7"/>
    <n v="8"/>
    <s v="USD"/>
    <x v="5"/>
    <s v="EMP0012"/>
    <n v="13.6"/>
    <s v="Thu"/>
    <x v="5"/>
    <x v="4"/>
  </r>
  <r>
    <x v="2557"/>
    <d v="2022-11-26T05:04:04"/>
    <x v="2510"/>
    <x v="2"/>
    <x v="0"/>
    <n v="3.1"/>
    <n v="6"/>
    <s v="USD"/>
    <x v="4"/>
    <s v="EMP0062"/>
    <n v="18.600000000000001"/>
    <s v="Sat"/>
    <x v="10"/>
    <x v="3"/>
  </r>
  <r>
    <x v="2558"/>
    <d v="2024-06-20T08:12:04"/>
    <x v="2511"/>
    <x v="4"/>
    <x v="16"/>
    <n v="4"/>
    <n v="9"/>
    <s v="USD"/>
    <x v="1"/>
    <s v="EMP0068"/>
    <n v="36"/>
    <s v="Thu"/>
    <x v="3"/>
    <x v="1"/>
  </r>
  <r>
    <x v="2559"/>
    <d v="2024-04-04T12:02:04"/>
    <x v="2512"/>
    <x v="5"/>
    <x v="17"/>
    <n v="2.5"/>
    <n v="4"/>
    <s v="USD"/>
    <x v="3"/>
    <s v="EMP0091"/>
    <n v="10"/>
    <s v="Thu"/>
    <x v="11"/>
    <x v="1"/>
  </r>
  <r>
    <x v="2560"/>
    <d v="2024-06-18T10:47:04"/>
    <x v="2513"/>
    <x v="0"/>
    <x v="1"/>
    <n v="1"/>
    <n v="1"/>
    <s v="USD"/>
    <x v="4"/>
    <s v="EMP0011"/>
    <n v="1"/>
    <s v="Tue"/>
    <x v="3"/>
    <x v="1"/>
  </r>
  <r>
    <x v="2561"/>
    <d v="2022-05-30T04:58:04"/>
    <x v="2514"/>
    <x v="6"/>
    <x v="8"/>
    <n v="4.5"/>
    <n v="3"/>
    <s v="USD"/>
    <x v="5"/>
    <s v="EMP0036"/>
    <n v="13.5"/>
    <s v="Mon"/>
    <x v="5"/>
    <x v="3"/>
  </r>
  <r>
    <x v="2562"/>
    <d v="2024-04-24T06:00:04"/>
    <x v="2515"/>
    <x v="11"/>
    <x v="13"/>
    <n v="0.8"/>
    <n v="9"/>
    <s v="USD"/>
    <x v="3"/>
    <s v="EMP0030"/>
    <n v="7.2"/>
    <s v="Wed"/>
    <x v="11"/>
    <x v="1"/>
  </r>
  <r>
    <x v="2563"/>
    <d v="2024-11-01T18:23:04"/>
    <x v="2516"/>
    <x v="12"/>
    <x v="13"/>
    <n v="0.8"/>
    <n v="5"/>
    <s v="USD"/>
    <x v="1"/>
    <s v="EMP0061"/>
    <n v="4"/>
    <s v="Fri"/>
    <x v="10"/>
    <x v="1"/>
  </r>
  <r>
    <x v="2564"/>
    <d v="2022-12-25T08:11:04"/>
    <x v="2517"/>
    <x v="13"/>
    <x v="11"/>
    <n v="4"/>
    <n v="10"/>
    <s v="USD"/>
    <x v="2"/>
    <s v="EMP0010"/>
    <n v="40"/>
    <s v="Sun"/>
    <x v="4"/>
    <x v="3"/>
  </r>
  <r>
    <x v="2565"/>
    <d v="2024-12-23T10:09:04"/>
    <x v="2518"/>
    <x v="4"/>
    <x v="13"/>
    <n v="0.8"/>
    <n v="9"/>
    <s v="USD"/>
    <x v="3"/>
    <s v="EMP0100"/>
    <n v="7.2"/>
    <s v="Mon"/>
    <x v="4"/>
    <x v="1"/>
  </r>
  <r>
    <x v="2566"/>
    <d v="2022-10-04T19:38:04"/>
    <x v="2519"/>
    <x v="5"/>
    <x v="13"/>
    <n v="0.8"/>
    <n v="3"/>
    <s v="USD"/>
    <x v="1"/>
    <s v="EMP0024"/>
    <n v="2.4000000000000004"/>
    <s v="Tue"/>
    <x v="0"/>
    <x v="3"/>
  </r>
  <r>
    <x v="2567"/>
    <d v="2023-12-23T13:06:04"/>
    <x v="2520"/>
    <x v="4"/>
    <x v="13"/>
    <n v="0.8"/>
    <n v="5"/>
    <s v="USD"/>
    <x v="1"/>
    <s v="EMP0003"/>
    <n v="4"/>
    <s v="Sat"/>
    <x v="4"/>
    <x v="4"/>
  </r>
  <r>
    <x v="2568"/>
    <d v="2022-07-18T20:29:04"/>
    <x v="2521"/>
    <x v="13"/>
    <x v="6"/>
    <n v="7"/>
    <n v="3"/>
    <s v="USD"/>
    <x v="0"/>
    <s v="EMP0007"/>
    <n v="21"/>
    <s v="Mon"/>
    <x v="8"/>
    <x v="3"/>
  </r>
  <r>
    <x v="2569"/>
    <d v="2022-09-22T08:32:04"/>
    <x v="2522"/>
    <x v="6"/>
    <x v="2"/>
    <n v="2.5"/>
    <n v="10"/>
    <s v="USD"/>
    <x v="4"/>
    <s v="EMP0074"/>
    <n v="25"/>
    <s v="Thu"/>
    <x v="9"/>
    <x v="3"/>
  </r>
  <r>
    <x v="2570"/>
    <d v="2023-10-15T23:11:04"/>
    <x v="2523"/>
    <x v="10"/>
    <x v="13"/>
    <n v="0.8"/>
    <n v="2"/>
    <s v="USD"/>
    <x v="2"/>
    <s v="EMP0032"/>
    <n v="1.6"/>
    <s v="Sun"/>
    <x v="0"/>
    <x v="4"/>
  </r>
  <r>
    <x v="2571"/>
    <d v="2024-06-11T16:48:04"/>
    <x v="2524"/>
    <x v="14"/>
    <x v="17"/>
    <n v="2.5"/>
    <n v="2"/>
    <s v="USD"/>
    <x v="5"/>
    <s v="EMP0018"/>
    <n v="5"/>
    <s v="Tue"/>
    <x v="3"/>
    <x v="1"/>
  </r>
  <r>
    <x v="2572"/>
    <d v="2025-05-08T03:57:04"/>
    <x v="2525"/>
    <x v="9"/>
    <x v="15"/>
    <n v="1.5"/>
    <n v="7"/>
    <s v="USD"/>
    <x v="1"/>
    <s v="EMP0070"/>
    <n v="10.5"/>
    <s v="Thu"/>
    <x v="5"/>
    <x v="2"/>
  </r>
  <r>
    <x v="2573"/>
    <d v="2023-02-01T20:57:04"/>
    <x v="2526"/>
    <x v="3"/>
    <x v="12"/>
    <n v="1.8"/>
    <n v="6"/>
    <s v="USD"/>
    <x v="1"/>
    <s v="EMP0074"/>
    <n v="10.8"/>
    <s v="Wed"/>
    <x v="7"/>
    <x v="4"/>
  </r>
  <r>
    <x v="2574"/>
    <d v="2023-01-31T04:53:04"/>
    <x v="2527"/>
    <x v="1"/>
    <x v="18"/>
    <n v="1.7"/>
    <n v="3"/>
    <s v="USD"/>
    <x v="1"/>
    <s v="EMP0064"/>
    <n v="5.0999999999999996"/>
    <s v="Tue"/>
    <x v="2"/>
    <x v="4"/>
  </r>
  <r>
    <x v="2575"/>
    <d v="2024-08-24T12:13:04"/>
    <x v="2528"/>
    <x v="7"/>
    <x v="5"/>
    <n v="1"/>
    <n v="6"/>
    <s v="USD"/>
    <x v="4"/>
    <s v="EMP0015"/>
    <n v="6"/>
    <s v="Sat"/>
    <x v="6"/>
    <x v="1"/>
  </r>
  <r>
    <x v="2576"/>
    <d v="2021-12-19T00:02:04"/>
    <x v="2529"/>
    <x v="8"/>
    <x v="8"/>
    <n v="4.5"/>
    <n v="6"/>
    <s v="USD"/>
    <x v="3"/>
    <s v="EMP0041"/>
    <n v="27"/>
    <s v="Sun"/>
    <x v="4"/>
    <x v="0"/>
  </r>
  <r>
    <x v="2577"/>
    <d v="2022-08-16T06:38:04"/>
    <x v="2530"/>
    <x v="13"/>
    <x v="11"/>
    <n v="4"/>
    <n v="7"/>
    <s v="USD"/>
    <x v="2"/>
    <s v="EMP0097"/>
    <n v="28"/>
    <s v="Tue"/>
    <x v="6"/>
    <x v="3"/>
  </r>
  <r>
    <x v="2578"/>
    <d v="2024-07-11T22:31:04"/>
    <x v="2531"/>
    <x v="12"/>
    <x v="14"/>
    <n v="2.2000000000000002"/>
    <n v="5"/>
    <s v="USD"/>
    <x v="5"/>
    <s v="EMP0032"/>
    <n v="11"/>
    <s v="Thu"/>
    <x v="8"/>
    <x v="1"/>
  </r>
  <r>
    <x v="2579"/>
    <d v="2024-07-22T12:29:04"/>
    <x v="2532"/>
    <x v="2"/>
    <x v="10"/>
    <n v="5"/>
    <n v="5"/>
    <s v="USD"/>
    <x v="5"/>
    <s v="EMP0052"/>
    <n v="25"/>
    <s v="Mon"/>
    <x v="8"/>
    <x v="1"/>
  </r>
  <r>
    <x v="2580"/>
    <d v="2022-09-26T14:57:04"/>
    <x v="2533"/>
    <x v="5"/>
    <x v="11"/>
    <n v="4"/>
    <n v="8"/>
    <s v="USD"/>
    <x v="0"/>
    <s v="EMP0054"/>
    <n v="32"/>
    <s v="Mon"/>
    <x v="9"/>
    <x v="3"/>
  </r>
  <r>
    <x v="2581"/>
    <d v="2025-01-24T06:17:04"/>
    <x v="2534"/>
    <x v="1"/>
    <x v="19"/>
    <n v="5.5"/>
    <n v="5"/>
    <s v="USD"/>
    <x v="4"/>
    <s v="EMP0007"/>
    <n v="27.5"/>
    <s v="Fri"/>
    <x v="2"/>
    <x v="2"/>
  </r>
  <r>
    <x v="2582"/>
    <d v="2023-05-22T22:28:04"/>
    <x v="2535"/>
    <x v="8"/>
    <x v="18"/>
    <n v="1.7"/>
    <n v="2"/>
    <s v="USD"/>
    <x v="1"/>
    <s v="EMP0038"/>
    <n v="3.4"/>
    <s v="Mon"/>
    <x v="5"/>
    <x v="4"/>
  </r>
  <r>
    <x v="2583"/>
    <d v="2023-05-13T20:51:04"/>
    <x v="2536"/>
    <x v="10"/>
    <x v="17"/>
    <n v="2.5"/>
    <n v="8"/>
    <s v="USD"/>
    <x v="3"/>
    <s v="EMP0046"/>
    <n v="20"/>
    <s v="Sat"/>
    <x v="5"/>
    <x v="4"/>
  </r>
  <r>
    <x v="2584"/>
    <d v="2023-07-01T07:07:04"/>
    <x v="2537"/>
    <x v="1"/>
    <x v="12"/>
    <n v="1.8"/>
    <n v="3"/>
    <s v="USD"/>
    <x v="3"/>
    <s v="EMP0013"/>
    <n v="5.4"/>
    <s v="Sat"/>
    <x v="8"/>
    <x v="4"/>
  </r>
  <r>
    <x v="2585"/>
    <d v="2024-07-14T13:41:04"/>
    <x v="2538"/>
    <x v="9"/>
    <x v="0"/>
    <n v="3.1"/>
    <n v="1"/>
    <s v="USD"/>
    <x v="3"/>
    <s v="EMP0066"/>
    <n v="3.1"/>
    <s v="Sun"/>
    <x v="8"/>
    <x v="1"/>
  </r>
  <r>
    <x v="2586"/>
    <d v="2024-02-16T16:53:04"/>
    <x v="2539"/>
    <x v="5"/>
    <x v="3"/>
    <n v="1.2"/>
    <n v="8"/>
    <s v="USD"/>
    <x v="5"/>
    <s v="EMP0043"/>
    <n v="9.6"/>
    <s v="Fri"/>
    <x v="7"/>
    <x v="1"/>
  </r>
  <r>
    <x v="2587"/>
    <d v="2021-11-30T23:04:04"/>
    <x v="2540"/>
    <x v="12"/>
    <x v="4"/>
    <n v="3.2"/>
    <n v="5"/>
    <s v="USD"/>
    <x v="4"/>
    <s v="EMP0007"/>
    <n v="16"/>
    <s v="Tue"/>
    <x v="10"/>
    <x v="0"/>
  </r>
  <r>
    <x v="2588"/>
    <d v="2022-06-15T19:19:04"/>
    <x v="2541"/>
    <x v="1"/>
    <x v="10"/>
    <n v="5"/>
    <n v="8"/>
    <s v="USD"/>
    <x v="5"/>
    <s v="EMP0098"/>
    <n v="40"/>
    <s v="Wed"/>
    <x v="3"/>
    <x v="3"/>
  </r>
  <r>
    <x v="2589"/>
    <d v="2022-06-22T11:44:04"/>
    <x v="2542"/>
    <x v="14"/>
    <x v="1"/>
    <n v="1"/>
    <n v="10"/>
    <s v="USD"/>
    <x v="1"/>
    <s v="EMP0009"/>
    <n v="10"/>
    <s v="Wed"/>
    <x v="3"/>
    <x v="3"/>
  </r>
  <r>
    <x v="2590"/>
    <d v="2024-06-29T01:05:04"/>
    <x v="2543"/>
    <x v="3"/>
    <x v="10"/>
    <n v="5"/>
    <n v="5"/>
    <s v="USD"/>
    <x v="0"/>
    <s v="EMP0019"/>
    <n v="25"/>
    <s v="Sat"/>
    <x v="3"/>
    <x v="1"/>
  </r>
  <r>
    <x v="2591"/>
    <d v="2024-04-02T10:47:04"/>
    <x v="2544"/>
    <x v="8"/>
    <x v="0"/>
    <n v="3.1"/>
    <n v="7"/>
    <s v="USD"/>
    <x v="0"/>
    <s v="EMP0006"/>
    <n v="21.7"/>
    <s v="Tue"/>
    <x v="11"/>
    <x v="1"/>
  </r>
  <r>
    <x v="2592"/>
    <d v="2025-02-08T04:26:04"/>
    <x v="2545"/>
    <x v="6"/>
    <x v="11"/>
    <n v="4"/>
    <n v="7"/>
    <s v="USD"/>
    <x v="1"/>
    <s v="EMP0025"/>
    <n v="28"/>
    <s v="Sat"/>
    <x v="7"/>
    <x v="2"/>
  </r>
  <r>
    <x v="2593"/>
    <d v="2023-01-05T08:59:04"/>
    <x v="2546"/>
    <x v="9"/>
    <x v="16"/>
    <n v="4"/>
    <n v="5"/>
    <s v="USD"/>
    <x v="0"/>
    <s v="EMP0001"/>
    <n v="20"/>
    <s v="Thu"/>
    <x v="2"/>
    <x v="4"/>
  </r>
  <r>
    <x v="2594"/>
    <d v="2024-12-25T07:32:04"/>
    <x v="2547"/>
    <x v="13"/>
    <x v="0"/>
    <n v="3.1"/>
    <n v="8"/>
    <s v="USD"/>
    <x v="3"/>
    <s v="EMP0029"/>
    <n v="24.8"/>
    <s v="Wed"/>
    <x v="4"/>
    <x v="1"/>
  </r>
  <r>
    <x v="2595"/>
    <d v="2022-09-23T07:27:04"/>
    <x v="2548"/>
    <x v="3"/>
    <x v="15"/>
    <n v="1.5"/>
    <n v="2"/>
    <s v="USD"/>
    <x v="3"/>
    <s v="EMP0086"/>
    <n v="3"/>
    <s v="Fri"/>
    <x v="9"/>
    <x v="3"/>
  </r>
  <r>
    <x v="2596"/>
    <d v="2022-10-11T02:47:04"/>
    <x v="2549"/>
    <x v="0"/>
    <x v="7"/>
    <n v="2.8"/>
    <n v="8"/>
    <s v="USD"/>
    <x v="4"/>
    <s v="EMP0074"/>
    <n v="22.4"/>
    <s v="Tue"/>
    <x v="0"/>
    <x v="3"/>
  </r>
  <r>
    <x v="2597"/>
    <d v="2022-03-22T19:30:04"/>
    <x v="2550"/>
    <x v="1"/>
    <x v="4"/>
    <n v="3.2"/>
    <n v="6"/>
    <s v="USD"/>
    <x v="1"/>
    <s v="EMP0020"/>
    <n v="19.200000000000003"/>
    <s v="Tue"/>
    <x v="1"/>
    <x v="3"/>
  </r>
  <r>
    <x v="2598"/>
    <d v="2021-08-10T15:33:04"/>
    <x v="2551"/>
    <x v="0"/>
    <x v="16"/>
    <n v="4"/>
    <n v="9"/>
    <s v="USD"/>
    <x v="2"/>
    <s v="EMP0036"/>
    <n v="36"/>
    <s v="Tue"/>
    <x v="6"/>
    <x v="0"/>
  </r>
  <r>
    <x v="2599"/>
    <d v="2022-01-09T06:12:04"/>
    <x v="2290"/>
    <x v="4"/>
    <x v="3"/>
    <n v="1.2"/>
    <n v="7"/>
    <s v="USD"/>
    <x v="5"/>
    <s v="EMP0035"/>
    <n v="8.4"/>
    <s v="Sun"/>
    <x v="2"/>
    <x v="3"/>
  </r>
  <r>
    <x v="2600"/>
    <d v="2023-07-06T21:07:04"/>
    <x v="2552"/>
    <x v="10"/>
    <x v="6"/>
    <n v="7"/>
    <n v="1"/>
    <s v="USD"/>
    <x v="1"/>
    <s v="EMP0039"/>
    <n v="7"/>
    <s v="Thu"/>
    <x v="8"/>
    <x v="4"/>
  </r>
  <r>
    <x v="2601"/>
    <d v="2023-11-29T09:34:04"/>
    <x v="2553"/>
    <x v="6"/>
    <x v="1"/>
    <n v="1"/>
    <n v="4"/>
    <s v="USD"/>
    <x v="0"/>
    <s v="EMP0032"/>
    <n v="4"/>
    <s v="Wed"/>
    <x v="10"/>
    <x v="4"/>
  </r>
  <r>
    <x v="2602"/>
    <d v="2022-10-02T08:27:04"/>
    <x v="2554"/>
    <x v="7"/>
    <x v="1"/>
    <n v="1"/>
    <n v="9"/>
    <s v="USD"/>
    <x v="4"/>
    <s v="EMP0053"/>
    <n v="9"/>
    <s v="Sun"/>
    <x v="0"/>
    <x v="3"/>
  </r>
  <r>
    <x v="2603"/>
    <d v="2023-02-10T23:50:04"/>
    <x v="2555"/>
    <x v="5"/>
    <x v="8"/>
    <n v="4.5"/>
    <n v="2"/>
    <s v="USD"/>
    <x v="0"/>
    <s v="EMP0021"/>
    <n v="9"/>
    <s v="Fri"/>
    <x v="7"/>
    <x v="4"/>
  </r>
  <r>
    <x v="2604"/>
    <d v="2021-11-09T21:27:04"/>
    <x v="2556"/>
    <x v="3"/>
    <x v="9"/>
    <n v="3"/>
    <n v="6"/>
    <s v="USD"/>
    <x v="3"/>
    <s v="EMP0056"/>
    <n v="18"/>
    <s v="Tue"/>
    <x v="10"/>
    <x v="0"/>
  </r>
  <r>
    <x v="2605"/>
    <d v="2023-01-29T00:17:04"/>
    <x v="2557"/>
    <x v="8"/>
    <x v="15"/>
    <n v="1.5"/>
    <n v="1"/>
    <s v="USD"/>
    <x v="4"/>
    <s v="EMP0048"/>
    <n v="1.5"/>
    <s v="Sun"/>
    <x v="2"/>
    <x v="4"/>
  </r>
  <r>
    <x v="2606"/>
    <d v="2024-09-09T04:11:04"/>
    <x v="200"/>
    <x v="10"/>
    <x v="15"/>
    <n v="1.5"/>
    <n v="7"/>
    <s v="USD"/>
    <x v="1"/>
    <s v="EMP0028"/>
    <n v="10.5"/>
    <s v="Mon"/>
    <x v="9"/>
    <x v="1"/>
  </r>
  <r>
    <x v="2607"/>
    <d v="2023-01-29T23:32:04"/>
    <x v="2558"/>
    <x v="2"/>
    <x v="8"/>
    <n v="4.5"/>
    <n v="4"/>
    <s v="USD"/>
    <x v="1"/>
    <s v="EMP0022"/>
    <n v="18"/>
    <s v="Sun"/>
    <x v="2"/>
    <x v="4"/>
  </r>
  <r>
    <x v="2608"/>
    <d v="2023-06-21T07:48:04"/>
    <x v="2559"/>
    <x v="5"/>
    <x v="16"/>
    <n v="4"/>
    <n v="7"/>
    <s v="USD"/>
    <x v="3"/>
    <s v="EMP0013"/>
    <n v="28"/>
    <s v="Wed"/>
    <x v="3"/>
    <x v="4"/>
  </r>
  <r>
    <x v="2609"/>
    <d v="2024-11-22T10:36:04"/>
    <x v="2560"/>
    <x v="0"/>
    <x v="3"/>
    <n v="1.2"/>
    <n v="3"/>
    <s v="USD"/>
    <x v="1"/>
    <s v="EMP0055"/>
    <n v="3.5999999999999996"/>
    <s v="Fri"/>
    <x v="10"/>
    <x v="1"/>
  </r>
  <r>
    <x v="2610"/>
    <d v="2022-08-05T10:27:04"/>
    <x v="2561"/>
    <x v="14"/>
    <x v="14"/>
    <n v="2.2000000000000002"/>
    <n v="1"/>
    <s v="USD"/>
    <x v="3"/>
    <s v="EMP0061"/>
    <n v="2.2000000000000002"/>
    <s v="Fri"/>
    <x v="6"/>
    <x v="3"/>
  </r>
  <r>
    <x v="2611"/>
    <d v="2024-05-11T12:18:04"/>
    <x v="2562"/>
    <x v="11"/>
    <x v="7"/>
    <n v="2.8"/>
    <n v="6"/>
    <s v="USD"/>
    <x v="2"/>
    <s v="EMP0074"/>
    <n v="16.799999999999997"/>
    <s v="Sat"/>
    <x v="5"/>
    <x v="1"/>
  </r>
  <r>
    <x v="2612"/>
    <d v="2024-11-11T12:16:04"/>
    <x v="2563"/>
    <x v="1"/>
    <x v="8"/>
    <n v="4.5"/>
    <n v="6"/>
    <s v="USD"/>
    <x v="3"/>
    <s v="EMP0005"/>
    <n v="27"/>
    <s v="Mon"/>
    <x v="10"/>
    <x v="1"/>
  </r>
  <r>
    <x v="2613"/>
    <d v="2022-02-01T11:24:04"/>
    <x v="2564"/>
    <x v="12"/>
    <x v="3"/>
    <n v="1.2"/>
    <n v="4"/>
    <s v="USD"/>
    <x v="0"/>
    <s v="EMP0051"/>
    <n v="4.8"/>
    <s v="Tue"/>
    <x v="7"/>
    <x v="3"/>
  </r>
  <r>
    <x v="2614"/>
    <d v="2022-08-09T10:09:04"/>
    <x v="2565"/>
    <x v="12"/>
    <x v="8"/>
    <n v="4.5"/>
    <n v="10"/>
    <s v="USD"/>
    <x v="1"/>
    <s v="EMP0010"/>
    <n v="45"/>
    <s v="Tue"/>
    <x v="6"/>
    <x v="3"/>
  </r>
  <r>
    <x v="2615"/>
    <d v="2021-12-02T04:18:04"/>
    <x v="2566"/>
    <x v="7"/>
    <x v="10"/>
    <n v="5"/>
    <n v="10"/>
    <s v="USD"/>
    <x v="4"/>
    <s v="EMP0021"/>
    <n v="50"/>
    <s v="Thu"/>
    <x v="4"/>
    <x v="0"/>
  </r>
  <r>
    <x v="2616"/>
    <d v="2021-09-29T14:54:04"/>
    <x v="2567"/>
    <x v="7"/>
    <x v="15"/>
    <n v="1.5"/>
    <n v="10"/>
    <s v="USD"/>
    <x v="0"/>
    <s v="EMP0089"/>
    <n v="15"/>
    <s v="Wed"/>
    <x v="9"/>
    <x v="0"/>
  </r>
  <r>
    <x v="2617"/>
    <d v="2023-10-06T12:01:04"/>
    <x v="2568"/>
    <x v="4"/>
    <x v="4"/>
    <n v="3.2"/>
    <n v="3"/>
    <s v="USD"/>
    <x v="2"/>
    <s v="EMP0061"/>
    <n v="9.6000000000000014"/>
    <s v="Fri"/>
    <x v="0"/>
    <x v="4"/>
  </r>
  <r>
    <x v="2618"/>
    <d v="2022-10-26T01:54:04"/>
    <x v="2569"/>
    <x v="11"/>
    <x v="8"/>
    <n v="4.5"/>
    <n v="7"/>
    <s v="USD"/>
    <x v="5"/>
    <s v="EMP0031"/>
    <n v="31.5"/>
    <s v="Wed"/>
    <x v="0"/>
    <x v="3"/>
  </r>
  <r>
    <x v="2619"/>
    <d v="2023-08-14T16:06:04"/>
    <x v="2570"/>
    <x v="2"/>
    <x v="2"/>
    <n v="2.5"/>
    <n v="8"/>
    <s v="USD"/>
    <x v="0"/>
    <s v="EMP0091"/>
    <n v="20"/>
    <s v="Mon"/>
    <x v="6"/>
    <x v="4"/>
  </r>
  <r>
    <x v="2620"/>
    <d v="2024-06-26T12:21:04"/>
    <x v="2571"/>
    <x v="13"/>
    <x v="16"/>
    <n v="4"/>
    <n v="2"/>
    <s v="USD"/>
    <x v="0"/>
    <s v="EMP0014"/>
    <n v="8"/>
    <s v="Wed"/>
    <x v="3"/>
    <x v="1"/>
  </r>
  <r>
    <x v="2621"/>
    <d v="2022-11-02T09:17:04"/>
    <x v="2572"/>
    <x v="0"/>
    <x v="9"/>
    <n v="3"/>
    <n v="5"/>
    <s v="USD"/>
    <x v="4"/>
    <s v="EMP0089"/>
    <n v="15"/>
    <s v="Wed"/>
    <x v="10"/>
    <x v="3"/>
  </r>
  <r>
    <x v="2622"/>
    <d v="2023-07-23T19:11:04"/>
    <x v="2573"/>
    <x v="0"/>
    <x v="15"/>
    <n v="1.5"/>
    <n v="7"/>
    <s v="USD"/>
    <x v="5"/>
    <s v="EMP0016"/>
    <n v="10.5"/>
    <s v="Sun"/>
    <x v="8"/>
    <x v="4"/>
  </r>
  <r>
    <x v="2623"/>
    <d v="2021-09-27T15:44:04"/>
    <x v="2574"/>
    <x v="9"/>
    <x v="16"/>
    <n v="4"/>
    <n v="5"/>
    <s v="USD"/>
    <x v="2"/>
    <s v="EMP0027"/>
    <n v="20"/>
    <s v="Mon"/>
    <x v="9"/>
    <x v="0"/>
  </r>
  <r>
    <x v="2624"/>
    <d v="2022-09-12T17:24:04"/>
    <x v="2575"/>
    <x v="5"/>
    <x v="13"/>
    <n v="0.8"/>
    <n v="7"/>
    <s v="USD"/>
    <x v="0"/>
    <s v="EMP0045"/>
    <n v="5.6000000000000005"/>
    <s v="Mon"/>
    <x v="9"/>
    <x v="3"/>
  </r>
  <r>
    <x v="2625"/>
    <d v="2024-12-25T12:24:04"/>
    <x v="2576"/>
    <x v="4"/>
    <x v="0"/>
    <n v="3.1"/>
    <n v="7"/>
    <s v="USD"/>
    <x v="0"/>
    <s v="EMP0064"/>
    <n v="21.7"/>
    <s v="Wed"/>
    <x v="4"/>
    <x v="1"/>
  </r>
  <r>
    <x v="2626"/>
    <d v="2022-10-02T16:01:04"/>
    <x v="2577"/>
    <x v="14"/>
    <x v="4"/>
    <n v="3.2"/>
    <n v="8"/>
    <s v="USD"/>
    <x v="0"/>
    <s v="EMP0042"/>
    <n v="25.6"/>
    <s v="Sun"/>
    <x v="0"/>
    <x v="3"/>
  </r>
  <r>
    <x v="2627"/>
    <d v="2021-05-21T23:44:04"/>
    <x v="2578"/>
    <x v="5"/>
    <x v="16"/>
    <n v="4"/>
    <n v="3"/>
    <s v="USD"/>
    <x v="3"/>
    <s v="EMP0022"/>
    <n v="12"/>
    <s v="Fri"/>
    <x v="5"/>
    <x v="0"/>
  </r>
  <r>
    <x v="2628"/>
    <d v="2023-12-13T00:21:04"/>
    <x v="2579"/>
    <x v="10"/>
    <x v="4"/>
    <n v="3.2"/>
    <n v="3"/>
    <s v="USD"/>
    <x v="3"/>
    <s v="EMP0018"/>
    <n v="9.6000000000000014"/>
    <s v="Wed"/>
    <x v="4"/>
    <x v="4"/>
  </r>
  <r>
    <x v="2629"/>
    <d v="2024-01-03T20:48:04"/>
    <x v="2580"/>
    <x v="10"/>
    <x v="0"/>
    <n v="3.1"/>
    <n v="4"/>
    <s v="USD"/>
    <x v="2"/>
    <s v="EMP0024"/>
    <n v="12.4"/>
    <s v="Wed"/>
    <x v="2"/>
    <x v="1"/>
  </r>
  <r>
    <x v="2630"/>
    <d v="2023-01-05T11:37:04"/>
    <x v="2581"/>
    <x v="13"/>
    <x v="7"/>
    <n v="2.8"/>
    <n v="6"/>
    <s v="USD"/>
    <x v="1"/>
    <s v="EMP0048"/>
    <n v="16.799999999999997"/>
    <s v="Thu"/>
    <x v="2"/>
    <x v="4"/>
  </r>
  <r>
    <x v="2631"/>
    <d v="2023-06-19T13:20:04"/>
    <x v="2582"/>
    <x v="10"/>
    <x v="12"/>
    <n v="1.8"/>
    <n v="4"/>
    <s v="USD"/>
    <x v="0"/>
    <s v="EMP0019"/>
    <n v="7.2"/>
    <s v="Mon"/>
    <x v="3"/>
    <x v="4"/>
  </r>
  <r>
    <x v="2632"/>
    <d v="2023-06-28T15:44:04"/>
    <x v="843"/>
    <x v="4"/>
    <x v="12"/>
    <n v="1.8"/>
    <n v="5"/>
    <s v="USD"/>
    <x v="1"/>
    <s v="EMP0051"/>
    <n v="9"/>
    <s v="Wed"/>
    <x v="3"/>
    <x v="4"/>
  </r>
  <r>
    <x v="2633"/>
    <d v="2022-05-22T18:47:04"/>
    <x v="2583"/>
    <x v="1"/>
    <x v="5"/>
    <n v="1"/>
    <n v="4"/>
    <s v="USD"/>
    <x v="5"/>
    <s v="EMP0099"/>
    <n v="4"/>
    <s v="Sun"/>
    <x v="5"/>
    <x v="3"/>
  </r>
  <r>
    <x v="2634"/>
    <d v="2025-02-17T22:40:04"/>
    <x v="2584"/>
    <x v="12"/>
    <x v="1"/>
    <n v="1"/>
    <n v="5"/>
    <s v="USD"/>
    <x v="1"/>
    <s v="EMP0097"/>
    <n v="5"/>
    <s v="Mon"/>
    <x v="7"/>
    <x v="2"/>
  </r>
  <r>
    <x v="2635"/>
    <d v="2022-10-18T12:08:04"/>
    <x v="2585"/>
    <x v="5"/>
    <x v="3"/>
    <n v="1.2"/>
    <n v="7"/>
    <s v="USD"/>
    <x v="1"/>
    <s v="EMP0081"/>
    <n v="8.4"/>
    <s v="Tue"/>
    <x v="0"/>
    <x v="3"/>
  </r>
  <r>
    <x v="2636"/>
    <d v="2024-12-31T21:33:04"/>
    <x v="2586"/>
    <x v="1"/>
    <x v="18"/>
    <n v="1.7"/>
    <n v="8"/>
    <s v="USD"/>
    <x v="1"/>
    <s v="EMP0074"/>
    <n v="13.6"/>
    <s v="Tue"/>
    <x v="4"/>
    <x v="1"/>
  </r>
  <r>
    <x v="2637"/>
    <d v="2024-01-23T02:33:04"/>
    <x v="2587"/>
    <x v="12"/>
    <x v="2"/>
    <n v="2.5"/>
    <n v="8"/>
    <s v="USD"/>
    <x v="4"/>
    <s v="EMP0039"/>
    <n v="20"/>
    <s v="Tue"/>
    <x v="2"/>
    <x v="1"/>
  </r>
  <r>
    <x v="2638"/>
    <d v="2021-09-12T11:34:04"/>
    <x v="2588"/>
    <x v="2"/>
    <x v="16"/>
    <n v="4"/>
    <n v="5"/>
    <s v="USD"/>
    <x v="5"/>
    <s v="EMP0034"/>
    <n v="20"/>
    <s v="Sun"/>
    <x v="9"/>
    <x v="0"/>
  </r>
  <r>
    <x v="2639"/>
    <d v="2025-04-30T21:12:04"/>
    <x v="2589"/>
    <x v="13"/>
    <x v="2"/>
    <n v="2.5"/>
    <n v="8"/>
    <s v="USD"/>
    <x v="0"/>
    <s v="EMP0051"/>
    <n v="20"/>
    <s v="Wed"/>
    <x v="11"/>
    <x v="2"/>
  </r>
  <r>
    <x v="2640"/>
    <d v="2025-05-05T00:23:04"/>
    <x v="2590"/>
    <x v="7"/>
    <x v="0"/>
    <n v="3.1"/>
    <n v="9"/>
    <s v="USD"/>
    <x v="1"/>
    <s v="EMP0054"/>
    <n v="27.900000000000002"/>
    <s v="Mon"/>
    <x v="5"/>
    <x v="2"/>
  </r>
  <r>
    <x v="2641"/>
    <d v="2025-04-05T20:31:04"/>
    <x v="2591"/>
    <x v="0"/>
    <x v="8"/>
    <n v="4.5"/>
    <n v="10"/>
    <s v="USD"/>
    <x v="2"/>
    <s v="EMP0007"/>
    <n v="45"/>
    <s v="Sat"/>
    <x v="11"/>
    <x v="2"/>
  </r>
  <r>
    <x v="2642"/>
    <d v="2022-07-26T19:13:04"/>
    <x v="2592"/>
    <x v="9"/>
    <x v="1"/>
    <n v="1"/>
    <n v="5"/>
    <s v="USD"/>
    <x v="3"/>
    <s v="EMP0031"/>
    <n v="5"/>
    <s v="Tue"/>
    <x v="8"/>
    <x v="3"/>
  </r>
  <r>
    <x v="2643"/>
    <d v="2023-03-04T19:40:04"/>
    <x v="2593"/>
    <x v="5"/>
    <x v="13"/>
    <n v="0.8"/>
    <n v="9"/>
    <s v="USD"/>
    <x v="2"/>
    <s v="EMP0026"/>
    <n v="7.2"/>
    <s v="Sat"/>
    <x v="1"/>
    <x v="4"/>
  </r>
  <r>
    <x v="2644"/>
    <d v="2025-04-09T15:59:04"/>
    <x v="2594"/>
    <x v="7"/>
    <x v="4"/>
    <n v="3.2"/>
    <n v="4"/>
    <s v="USD"/>
    <x v="5"/>
    <s v="EMP0003"/>
    <n v="12.8"/>
    <s v="Wed"/>
    <x v="11"/>
    <x v="2"/>
  </r>
  <r>
    <x v="2645"/>
    <d v="2024-10-18T08:27:04"/>
    <x v="2595"/>
    <x v="0"/>
    <x v="0"/>
    <n v="3.1"/>
    <n v="3"/>
    <s v="USD"/>
    <x v="2"/>
    <s v="EMP0038"/>
    <n v="9.3000000000000007"/>
    <s v="Fri"/>
    <x v="0"/>
    <x v="1"/>
  </r>
  <r>
    <x v="2646"/>
    <d v="2021-08-03T05:00:04"/>
    <x v="2596"/>
    <x v="6"/>
    <x v="18"/>
    <n v="1.7"/>
    <n v="4"/>
    <s v="USD"/>
    <x v="2"/>
    <s v="EMP0021"/>
    <n v="6.8"/>
    <s v="Tue"/>
    <x v="6"/>
    <x v="0"/>
  </r>
  <r>
    <x v="2647"/>
    <d v="2023-04-30T09:38:04"/>
    <x v="2597"/>
    <x v="1"/>
    <x v="8"/>
    <n v="4.5"/>
    <n v="5"/>
    <s v="USD"/>
    <x v="1"/>
    <s v="EMP0089"/>
    <n v="22.5"/>
    <s v="Sun"/>
    <x v="11"/>
    <x v="4"/>
  </r>
  <r>
    <x v="2648"/>
    <d v="2022-04-11T17:22:04"/>
    <x v="2598"/>
    <x v="7"/>
    <x v="14"/>
    <n v="2.2000000000000002"/>
    <n v="2"/>
    <s v="USD"/>
    <x v="3"/>
    <s v="EMP0031"/>
    <n v="4.4000000000000004"/>
    <s v="Mon"/>
    <x v="11"/>
    <x v="3"/>
  </r>
  <r>
    <x v="2649"/>
    <d v="2024-12-25T05:15:04"/>
    <x v="2599"/>
    <x v="7"/>
    <x v="10"/>
    <n v="5"/>
    <n v="6"/>
    <s v="USD"/>
    <x v="3"/>
    <s v="EMP0065"/>
    <n v="30"/>
    <s v="Wed"/>
    <x v="4"/>
    <x v="1"/>
  </r>
  <r>
    <x v="2650"/>
    <d v="2022-05-10T22:54:04"/>
    <x v="2600"/>
    <x v="7"/>
    <x v="15"/>
    <n v="1.5"/>
    <n v="10"/>
    <s v="USD"/>
    <x v="4"/>
    <s v="EMP0011"/>
    <n v="15"/>
    <s v="Tue"/>
    <x v="5"/>
    <x v="3"/>
  </r>
  <r>
    <x v="2651"/>
    <d v="2023-05-11T11:04:04"/>
    <x v="2601"/>
    <x v="6"/>
    <x v="6"/>
    <n v="7"/>
    <n v="4"/>
    <s v="USD"/>
    <x v="1"/>
    <s v="EMP0033"/>
    <n v="28"/>
    <s v="Thu"/>
    <x v="5"/>
    <x v="4"/>
  </r>
  <r>
    <x v="2652"/>
    <d v="2025-04-01T17:35:04"/>
    <x v="2602"/>
    <x v="14"/>
    <x v="9"/>
    <n v="3"/>
    <n v="2"/>
    <s v="USD"/>
    <x v="0"/>
    <s v="EMP0019"/>
    <n v="6"/>
    <s v="Tue"/>
    <x v="11"/>
    <x v="2"/>
  </r>
  <r>
    <x v="2653"/>
    <d v="2023-06-09T07:53:04"/>
    <x v="2603"/>
    <x v="4"/>
    <x v="1"/>
    <n v="1"/>
    <n v="4"/>
    <s v="USD"/>
    <x v="5"/>
    <s v="EMP0097"/>
    <n v="4"/>
    <s v="Fri"/>
    <x v="3"/>
    <x v="4"/>
  </r>
  <r>
    <x v="2654"/>
    <d v="2021-10-24T02:25:04"/>
    <x v="2604"/>
    <x v="5"/>
    <x v="6"/>
    <n v="7"/>
    <n v="7"/>
    <s v="USD"/>
    <x v="3"/>
    <s v="EMP0066"/>
    <n v="49"/>
    <s v="Sun"/>
    <x v="0"/>
    <x v="0"/>
  </r>
  <r>
    <x v="2655"/>
    <d v="2023-02-05T07:16:04"/>
    <x v="2605"/>
    <x v="2"/>
    <x v="5"/>
    <n v="1"/>
    <n v="8"/>
    <s v="USD"/>
    <x v="1"/>
    <s v="EMP0096"/>
    <n v="8"/>
    <s v="Sun"/>
    <x v="7"/>
    <x v="4"/>
  </r>
  <r>
    <x v="2656"/>
    <d v="2021-06-11T10:39:04"/>
    <x v="2606"/>
    <x v="2"/>
    <x v="15"/>
    <n v="1.5"/>
    <n v="9"/>
    <s v="USD"/>
    <x v="5"/>
    <s v="EMP0050"/>
    <n v="13.5"/>
    <s v="Fri"/>
    <x v="3"/>
    <x v="0"/>
  </r>
  <r>
    <x v="2657"/>
    <d v="2023-07-19T17:03:04"/>
    <x v="2607"/>
    <x v="2"/>
    <x v="17"/>
    <n v="2.5"/>
    <n v="1"/>
    <s v="USD"/>
    <x v="5"/>
    <s v="EMP0025"/>
    <n v="2.5"/>
    <s v="Wed"/>
    <x v="8"/>
    <x v="4"/>
  </r>
  <r>
    <x v="2658"/>
    <d v="2025-05-01T19:04:04"/>
    <x v="2608"/>
    <x v="13"/>
    <x v="7"/>
    <n v="2.8"/>
    <n v="6"/>
    <s v="USD"/>
    <x v="5"/>
    <s v="EMP0096"/>
    <n v="16.799999999999997"/>
    <s v="Thu"/>
    <x v="5"/>
    <x v="2"/>
  </r>
  <r>
    <x v="2659"/>
    <d v="2025-04-24T02:31:04"/>
    <x v="2609"/>
    <x v="10"/>
    <x v="9"/>
    <n v="3"/>
    <n v="3"/>
    <s v="USD"/>
    <x v="3"/>
    <s v="EMP0077"/>
    <n v="9"/>
    <s v="Thu"/>
    <x v="11"/>
    <x v="2"/>
  </r>
  <r>
    <x v="2660"/>
    <d v="2022-06-07T19:37:04"/>
    <x v="2287"/>
    <x v="7"/>
    <x v="16"/>
    <n v="4"/>
    <n v="3"/>
    <s v="USD"/>
    <x v="5"/>
    <s v="EMP0064"/>
    <n v="12"/>
    <s v="Tue"/>
    <x v="3"/>
    <x v="3"/>
  </r>
  <r>
    <x v="2661"/>
    <d v="2022-04-01T19:40:04"/>
    <x v="2610"/>
    <x v="14"/>
    <x v="4"/>
    <n v="3.2"/>
    <n v="2"/>
    <s v="USD"/>
    <x v="1"/>
    <s v="EMP0005"/>
    <n v="6.4"/>
    <s v="Fri"/>
    <x v="11"/>
    <x v="3"/>
  </r>
  <r>
    <x v="2662"/>
    <d v="2021-10-11T03:11:04"/>
    <x v="2611"/>
    <x v="11"/>
    <x v="1"/>
    <n v="1"/>
    <n v="7"/>
    <s v="USD"/>
    <x v="4"/>
    <s v="EMP0005"/>
    <n v="7"/>
    <s v="Mon"/>
    <x v="0"/>
    <x v="0"/>
  </r>
  <r>
    <x v="2663"/>
    <d v="2024-10-03T12:07:04"/>
    <x v="2612"/>
    <x v="3"/>
    <x v="14"/>
    <n v="2.2000000000000002"/>
    <n v="5"/>
    <s v="USD"/>
    <x v="5"/>
    <s v="EMP0020"/>
    <n v="11"/>
    <s v="Thu"/>
    <x v="0"/>
    <x v="1"/>
  </r>
  <r>
    <x v="2664"/>
    <d v="2023-10-13T02:32:04"/>
    <x v="2613"/>
    <x v="8"/>
    <x v="9"/>
    <n v="3"/>
    <n v="9"/>
    <s v="USD"/>
    <x v="4"/>
    <s v="EMP0010"/>
    <n v="27"/>
    <s v="Fri"/>
    <x v="0"/>
    <x v="4"/>
  </r>
  <r>
    <x v="2665"/>
    <d v="2022-07-24T03:39:04"/>
    <x v="2614"/>
    <x v="11"/>
    <x v="18"/>
    <n v="1.7"/>
    <n v="1"/>
    <s v="USD"/>
    <x v="3"/>
    <s v="EMP0037"/>
    <n v="1.7"/>
    <s v="Sun"/>
    <x v="8"/>
    <x v="3"/>
  </r>
  <r>
    <x v="2666"/>
    <d v="2023-07-08T07:41:04"/>
    <x v="2615"/>
    <x v="7"/>
    <x v="14"/>
    <n v="2.2000000000000002"/>
    <n v="9"/>
    <s v="USD"/>
    <x v="1"/>
    <s v="EMP0077"/>
    <n v="19.8"/>
    <s v="Sat"/>
    <x v="8"/>
    <x v="4"/>
  </r>
  <r>
    <x v="2667"/>
    <d v="2024-10-16T02:19:04"/>
    <x v="2616"/>
    <x v="7"/>
    <x v="0"/>
    <n v="3.1"/>
    <n v="6"/>
    <s v="USD"/>
    <x v="4"/>
    <s v="EMP0016"/>
    <n v="18.600000000000001"/>
    <s v="Wed"/>
    <x v="0"/>
    <x v="1"/>
  </r>
  <r>
    <x v="2668"/>
    <d v="2024-04-29T19:13:04"/>
    <x v="2617"/>
    <x v="12"/>
    <x v="9"/>
    <n v="3"/>
    <n v="4"/>
    <s v="USD"/>
    <x v="3"/>
    <s v="EMP0036"/>
    <n v="12"/>
    <s v="Mon"/>
    <x v="11"/>
    <x v="1"/>
  </r>
  <r>
    <x v="2669"/>
    <d v="2023-08-10T19:38:04"/>
    <x v="2618"/>
    <x v="9"/>
    <x v="9"/>
    <n v="3"/>
    <n v="9"/>
    <s v="USD"/>
    <x v="1"/>
    <s v="EMP0089"/>
    <n v="27"/>
    <s v="Thu"/>
    <x v="6"/>
    <x v="4"/>
  </r>
  <r>
    <x v="2670"/>
    <d v="2022-04-17T03:28:04"/>
    <x v="2619"/>
    <x v="9"/>
    <x v="8"/>
    <n v="4.5"/>
    <n v="2"/>
    <s v="USD"/>
    <x v="5"/>
    <s v="EMP0097"/>
    <n v="9"/>
    <s v="Sun"/>
    <x v="11"/>
    <x v="3"/>
  </r>
  <r>
    <x v="2671"/>
    <d v="2025-02-15T03:28:04"/>
    <x v="2620"/>
    <x v="1"/>
    <x v="18"/>
    <n v="1.7"/>
    <n v="2"/>
    <s v="USD"/>
    <x v="2"/>
    <s v="EMP0043"/>
    <n v="3.4"/>
    <s v="Sat"/>
    <x v="7"/>
    <x v="2"/>
  </r>
  <r>
    <x v="2672"/>
    <d v="2023-11-04T14:23:04"/>
    <x v="2621"/>
    <x v="6"/>
    <x v="9"/>
    <n v="3"/>
    <n v="2"/>
    <s v="USD"/>
    <x v="1"/>
    <s v="EMP0001"/>
    <n v="6"/>
    <s v="Sat"/>
    <x v="10"/>
    <x v="4"/>
  </r>
  <r>
    <x v="2673"/>
    <d v="2024-10-02T22:24:04"/>
    <x v="2622"/>
    <x v="10"/>
    <x v="7"/>
    <n v="2.8"/>
    <n v="7"/>
    <s v="USD"/>
    <x v="1"/>
    <s v="EMP0014"/>
    <n v="19.599999999999998"/>
    <s v="Wed"/>
    <x v="0"/>
    <x v="1"/>
  </r>
  <r>
    <x v="2674"/>
    <d v="2023-11-15T07:49:04"/>
    <x v="2623"/>
    <x v="9"/>
    <x v="2"/>
    <n v="2.5"/>
    <n v="2"/>
    <s v="USD"/>
    <x v="4"/>
    <s v="EMP0022"/>
    <n v="5"/>
    <s v="Wed"/>
    <x v="10"/>
    <x v="4"/>
  </r>
  <r>
    <x v="2675"/>
    <d v="2024-04-24T16:28:04"/>
    <x v="2624"/>
    <x v="12"/>
    <x v="19"/>
    <n v="5.5"/>
    <n v="1"/>
    <s v="USD"/>
    <x v="5"/>
    <s v="EMP0028"/>
    <n v="5.5"/>
    <s v="Wed"/>
    <x v="11"/>
    <x v="1"/>
  </r>
  <r>
    <x v="2676"/>
    <d v="2021-05-20T09:16:04"/>
    <x v="2625"/>
    <x v="0"/>
    <x v="12"/>
    <n v="1.8"/>
    <n v="4"/>
    <s v="USD"/>
    <x v="5"/>
    <s v="EMP0001"/>
    <n v="7.2"/>
    <s v="Thu"/>
    <x v="5"/>
    <x v="0"/>
  </r>
  <r>
    <x v="2677"/>
    <d v="2021-07-13T20:30:04"/>
    <x v="2626"/>
    <x v="11"/>
    <x v="16"/>
    <n v="4"/>
    <n v="4"/>
    <s v="USD"/>
    <x v="5"/>
    <s v="EMP0071"/>
    <n v="16"/>
    <s v="Tue"/>
    <x v="8"/>
    <x v="0"/>
  </r>
  <r>
    <x v="2678"/>
    <d v="2024-01-08T11:59:04"/>
    <x v="2627"/>
    <x v="2"/>
    <x v="5"/>
    <n v="1"/>
    <n v="7"/>
    <s v="USD"/>
    <x v="0"/>
    <s v="EMP0068"/>
    <n v="7"/>
    <s v="Mon"/>
    <x v="2"/>
    <x v="1"/>
  </r>
  <r>
    <x v="2679"/>
    <d v="2023-09-18T02:18:04"/>
    <x v="2628"/>
    <x v="8"/>
    <x v="16"/>
    <n v="4"/>
    <n v="7"/>
    <s v="USD"/>
    <x v="1"/>
    <s v="EMP0037"/>
    <n v="28"/>
    <s v="Mon"/>
    <x v="9"/>
    <x v="4"/>
  </r>
  <r>
    <x v="2680"/>
    <d v="2023-11-05T05:47:04"/>
    <x v="2629"/>
    <x v="4"/>
    <x v="19"/>
    <n v="5.5"/>
    <n v="7"/>
    <s v="USD"/>
    <x v="4"/>
    <s v="EMP0083"/>
    <n v="38.5"/>
    <s v="Sun"/>
    <x v="10"/>
    <x v="4"/>
  </r>
  <r>
    <x v="2681"/>
    <d v="2021-12-16T22:26:04"/>
    <x v="2630"/>
    <x v="7"/>
    <x v="6"/>
    <n v="7"/>
    <n v="10"/>
    <s v="USD"/>
    <x v="0"/>
    <s v="EMP0096"/>
    <n v="70"/>
    <s v="Thu"/>
    <x v="4"/>
    <x v="0"/>
  </r>
  <r>
    <x v="2682"/>
    <d v="2023-12-07T15:18:04"/>
    <x v="2631"/>
    <x v="12"/>
    <x v="13"/>
    <n v="0.8"/>
    <n v="10"/>
    <s v="USD"/>
    <x v="3"/>
    <s v="EMP0086"/>
    <n v="8"/>
    <s v="Thu"/>
    <x v="4"/>
    <x v="4"/>
  </r>
  <r>
    <x v="2683"/>
    <d v="2023-12-17T08:41:04"/>
    <x v="2632"/>
    <x v="13"/>
    <x v="2"/>
    <n v="2.5"/>
    <n v="4"/>
    <s v="USD"/>
    <x v="2"/>
    <s v="EMP0006"/>
    <n v="10"/>
    <s v="Sun"/>
    <x v="4"/>
    <x v="4"/>
  </r>
  <r>
    <x v="2684"/>
    <d v="2024-12-12T16:01:04"/>
    <x v="2132"/>
    <x v="6"/>
    <x v="11"/>
    <n v="4"/>
    <n v="5"/>
    <s v="USD"/>
    <x v="3"/>
    <s v="EMP0074"/>
    <n v="20"/>
    <s v="Thu"/>
    <x v="4"/>
    <x v="1"/>
  </r>
  <r>
    <x v="2685"/>
    <d v="2025-05-03T17:13:04"/>
    <x v="2633"/>
    <x v="0"/>
    <x v="19"/>
    <n v="5.5"/>
    <n v="1"/>
    <s v="USD"/>
    <x v="5"/>
    <s v="EMP0014"/>
    <n v="5.5"/>
    <s v="Sat"/>
    <x v="5"/>
    <x v="2"/>
  </r>
  <r>
    <x v="2686"/>
    <d v="2023-06-10T06:58:04"/>
    <x v="2634"/>
    <x v="6"/>
    <x v="14"/>
    <n v="2.2000000000000002"/>
    <n v="2"/>
    <s v="USD"/>
    <x v="4"/>
    <s v="EMP0042"/>
    <n v="4.4000000000000004"/>
    <s v="Sat"/>
    <x v="3"/>
    <x v="4"/>
  </r>
  <r>
    <x v="2687"/>
    <d v="2023-01-19T00:44:04"/>
    <x v="2635"/>
    <x v="9"/>
    <x v="0"/>
    <n v="3.1"/>
    <n v="8"/>
    <s v="USD"/>
    <x v="2"/>
    <s v="EMP0026"/>
    <n v="24.8"/>
    <s v="Thu"/>
    <x v="2"/>
    <x v="4"/>
  </r>
  <r>
    <x v="2688"/>
    <d v="2021-10-17T09:13:04"/>
    <x v="2636"/>
    <x v="8"/>
    <x v="7"/>
    <n v="2.8"/>
    <n v="4"/>
    <s v="USD"/>
    <x v="2"/>
    <s v="EMP0085"/>
    <n v="11.2"/>
    <s v="Sun"/>
    <x v="0"/>
    <x v="0"/>
  </r>
  <r>
    <x v="2689"/>
    <d v="2023-12-28T21:55:04"/>
    <x v="2637"/>
    <x v="11"/>
    <x v="18"/>
    <n v="1.7"/>
    <n v="1"/>
    <s v="USD"/>
    <x v="4"/>
    <s v="EMP0001"/>
    <n v="1.7"/>
    <s v="Thu"/>
    <x v="4"/>
    <x v="4"/>
  </r>
  <r>
    <x v="2690"/>
    <d v="2022-12-03T23:16:04"/>
    <x v="2638"/>
    <x v="13"/>
    <x v="17"/>
    <n v="2.5"/>
    <n v="8"/>
    <s v="USD"/>
    <x v="1"/>
    <s v="EMP0038"/>
    <n v="20"/>
    <s v="Sat"/>
    <x v="4"/>
    <x v="3"/>
  </r>
  <r>
    <x v="2691"/>
    <d v="2024-03-18T00:19:04"/>
    <x v="2639"/>
    <x v="1"/>
    <x v="8"/>
    <n v="4.5"/>
    <n v="3"/>
    <s v="USD"/>
    <x v="4"/>
    <s v="EMP0036"/>
    <n v="13.5"/>
    <s v="Mon"/>
    <x v="1"/>
    <x v="1"/>
  </r>
  <r>
    <x v="2692"/>
    <d v="2024-05-11T23:37:04"/>
    <x v="2640"/>
    <x v="13"/>
    <x v="15"/>
    <n v="1.5"/>
    <n v="9"/>
    <s v="USD"/>
    <x v="3"/>
    <s v="EMP0076"/>
    <n v="13.5"/>
    <s v="Sat"/>
    <x v="5"/>
    <x v="1"/>
  </r>
  <r>
    <x v="2693"/>
    <d v="2022-10-22T02:07:04"/>
    <x v="2641"/>
    <x v="3"/>
    <x v="2"/>
    <n v="2.5"/>
    <n v="8"/>
    <s v="USD"/>
    <x v="0"/>
    <s v="EMP0089"/>
    <n v="20"/>
    <s v="Sat"/>
    <x v="0"/>
    <x v="3"/>
  </r>
  <r>
    <x v="2694"/>
    <d v="2023-10-22T22:02:04"/>
    <x v="2642"/>
    <x v="11"/>
    <x v="13"/>
    <n v="0.8"/>
    <n v="8"/>
    <s v="USD"/>
    <x v="0"/>
    <s v="EMP0057"/>
    <n v="6.4"/>
    <s v="Sun"/>
    <x v="0"/>
    <x v="4"/>
  </r>
  <r>
    <x v="2695"/>
    <d v="2024-08-09T12:37:04"/>
    <x v="2643"/>
    <x v="2"/>
    <x v="15"/>
    <n v="1.5"/>
    <n v="7"/>
    <s v="USD"/>
    <x v="0"/>
    <s v="EMP0071"/>
    <n v="10.5"/>
    <s v="Fri"/>
    <x v="6"/>
    <x v="1"/>
  </r>
  <r>
    <x v="2696"/>
    <d v="2022-06-30T16:27:04"/>
    <x v="2644"/>
    <x v="6"/>
    <x v="19"/>
    <n v="5.5"/>
    <n v="5"/>
    <s v="USD"/>
    <x v="2"/>
    <s v="EMP0048"/>
    <n v="27.5"/>
    <s v="Thu"/>
    <x v="3"/>
    <x v="3"/>
  </r>
  <r>
    <x v="2697"/>
    <d v="2022-06-05T04:42:04"/>
    <x v="2645"/>
    <x v="7"/>
    <x v="0"/>
    <n v="3.1"/>
    <n v="9"/>
    <s v="USD"/>
    <x v="4"/>
    <s v="EMP0096"/>
    <n v="27.900000000000002"/>
    <s v="Sun"/>
    <x v="3"/>
    <x v="3"/>
  </r>
  <r>
    <x v="2698"/>
    <d v="2023-02-03T13:22:04"/>
    <x v="2646"/>
    <x v="12"/>
    <x v="19"/>
    <n v="5.5"/>
    <n v="4"/>
    <s v="USD"/>
    <x v="4"/>
    <s v="EMP0033"/>
    <n v="22"/>
    <s v="Fri"/>
    <x v="7"/>
    <x v="4"/>
  </r>
  <r>
    <x v="2699"/>
    <d v="2023-12-25T15:27:04"/>
    <x v="2647"/>
    <x v="9"/>
    <x v="5"/>
    <n v="1"/>
    <n v="10"/>
    <s v="USD"/>
    <x v="1"/>
    <s v="EMP0024"/>
    <n v="10"/>
    <s v="Mon"/>
    <x v="4"/>
    <x v="4"/>
  </r>
  <r>
    <x v="2700"/>
    <d v="2021-10-31T21:53:04"/>
    <x v="2648"/>
    <x v="13"/>
    <x v="14"/>
    <n v="2.2000000000000002"/>
    <n v="1"/>
    <s v="USD"/>
    <x v="4"/>
    <s v="EMP0099"/>
    <n v="2.2000000000000002"/>
    <s v="Sun"/>
    <x v="0"/>
    <x v="0"/>
  </r>
  <r>
    <x v="2701"/>
    <d v="2021-06-26T20:00:04"/>
    <x v="2649"/>
    <x v="12"/>
    <x v="4"/>
    <n v="3.2"/>
    <n v="1"/>
    <s v="USD"/>
    <x v="5"/>
    <s v="EMP0025"/>
    <n v="3.2"/>
    <s v="Sat"/>
    <x v="3"/>
    <x v="0"/>
  </r>
  <r>
    <x v="2702"/>
    <d v="2024-04-21T09:40:04"/>
    <x v="2650"/>
    <x v="11"/>
    <x v="18"/>
    <n v="1.7"/>
    <n v="5"/>
    <s v="USD"/>
    <x v="2"/>
    <s v="EMP0035"/>
    <n v="8.5"/>
    <s v="Sun"/>
    <x v="11"/>
    <x v="1"/>
  </r>
  <r>
    <x v="2703"/>
    <d v="2022-01-25T06:46:04"/>
    <x v="2651"/>
    <x v="8"/>
    <x v="5"/>
    <n v="1"/>
    <n v="10"/>
    <s v="USD"/>
    <x v="1"/>
    <s v="EMP0046"/>
    <n v="10"/>
    <s v="Tue"/>
    <x v="2"/>
    <x v="3"/>
  </r>
  <r>
    <x v="2704"/>
    <d v="2024-10-25T00:56:04"/>
    <x v="2652"/>
    <x v="12"/>
    <x v="11"/>
    <n v="4"/>
    <n v="4"/>
    <s v="USD"/>
    <x v="4"/>
    <s v="EMP0006"/>
    <n v="16"/>
    <s v="Fri"/>
    <x v="0"/>
    <x v="1"/>
  </r>
  <r>
    <x v="2705"/>
    <d v="2023-06-21T01:56:04"/>
    <x v="2653"/>
    <x v="14"/>
    <x v="2"/>
    <n v="2.5"/>
    <n v="9"/>
    <s v="USD"/>
    <x v="4"/>
    <s v="EMP0064"/>
    <n v="22.5"/>
    <s v="Wed"/>
    <x v="3"/>
    <x v="4"/>
  </r>
  <r>
    <x v="2706"/>
    <d v="2024-01-28T23:51:04"/>
    <x v="2654"/>
    <x v="13"/>
    <x v="9"/>
    <n v="3"/>
    <n v="2"/>
    <s v="USD"/>
    <x v="1"/>
    <s v="EMP0018"/>
    <n v="6"/>
    <s v="Sun"/>
    <x v="2"/>
    <x v="1"/>
  </r>
  <r>
    <x v="2707"/>
    <d v="2024-01-21T23:31:04"/>
    <x v="2655"/>
    <x v="13"/>
    <x v="11"/>
    <n v="4"/>
    <n v="8"/>
    <s v="USD"/>
    <x v="5"/>
    <s v="EMP0069"/>
    <n v="32"/>
    <s v="Sun"/>
    <x v="2"/>
    <x v="1"/>
  </r>
  <r>
    <x v="2708"/>
    <d v="2024-12-12T09:43:04"/>
    <x v="2656"/>
    <x v="9"/>
    <x v="10"/>
    <n v="5"/>
    <n v="3"/>
    <s v="USD"/>
    <x v="0"/>
    <s v="EMP0095"/>
    <n v="15"/>
    <s v="Thu"/>
    <x v="4"/>
    <x v="1"/>
  </r>
  <r>
    <x v="2709"/>
    <d v="2024-02-25T07:03:04"/>
    <x v="2657"/>
    <x v="7"/>
    <x v="17"/>
    <n v="2.5"/>
    <n v="5"/>
    <s v="USD"/>
    <x v="3"/>
    <s v="EMP0076"/>
    <n v="12.5"/>
    <s v="Sun"/>
    <x v="7"/>
    <x v="1"/>
  </r>
  <r>
    <x v="2710"/>
    <d v="2023-01-23T10:09:04"/>
    <x v="2658"/>
    <x v="3"/>
    <x v="16"/>
    <n v="4"/>
    <n v="8"/>
    <s v="USD"/>
    <x v="0"/>
    <s v="EMP0012"/>
    <n v="32"/>
    <s v="Mon"/>
    <x v="2"/>
    <x v="4"/>
  </r>
  <r>
    <x v="2711"/>
    <d v="2023-06-12T05:47:04"/>
    <x v="2659"/>
    <x v="7"/>
    <x v="9"/>
    <n v="3"/>
    <n v="5"/>
    <s v="USD"/>
    <x v="1"/>
    <s v="EMP0069"/>
    <n v="15"/>
    <s v="Mon"/>
    <x v="3"/>
    <x v="4"/>
  </r>
  <r>
    <x v="2712"/>
    <d v="2021-10-29T06:24:04"/>
    <x v="2660"/>
    <x v="10"/>
    <x v="0"/>
    <n v="3.1"/>
    <n v="9"/>
    <s v="USD"/>
    <x v="0"/>
    <s v="EMP0085"/>
    <n v="27.900000000000002"/>
    <s v="Fri"/>
    <x v="0"/>
    <x v="0"/>
  </r>
  <r>
    <x v="2713"/>
    <d v="2021-06-13T14:26:04"/>
    <x v="2661"/>
    <x v="1"/>
    <x v="15"/>
    <n v="1.5"/>
    <n v="4"/>
    <s v="USD"/>
    <x v="5"/>
    <s v="EMP0043"/>
    <n v="6"/>
    <s v="Sun"/>
    <x v="3"/>
    <x v="0"/>
  </r>
  <r>
    <x v="2714"/>
    <d v="2024-10-17T10:54:04"/>
    <x v="2662"/>
    <x v="12"/>
    <x v="2"/>
    <n v="2.5"/>
    <n v="10"/>
    <s v="USD"/>
    <x v="4"/>
    <s v="EMP0001"/>
    <n v="25"/>
    <s v="Thu"/>
    <x v="0"/>
    <x v="1"/>
  </r>
  <r>
    <x v="2715"/>
    <d v="2022-12-16T15:04:04"/>
    <x v="2663"/>
    <x v="1"/>
    <x v="7"/>
    <n v="2.8"/>
    <n v="8"/>
    <s v="USD"/>
    <x v="1"/>
    <s v="EMP0090"/>
    <n v="22.4"/>
    <s v="Fri"/>
    <x v="4"/>
    <x v="3"/>
  </r>
  <r>
    <x v="2716"/>
    <d v="2024-06-07T12:39:04"/>
    <x v="2664"/>
    <x v="7"/>
    <x v="16"/>
    <n v="4"/>
    <n v="1"/>
    <s v="USD"/>
    <x v="2"/>
    <s v="EMP0036"/>
    <n v="4"/>
    <s v="Fri"/>
    <x v="3"/>
    <x v="1"/>
  </r>
  <r>
    <x v="2717"/>
    <d v="2024-04-10T07:34:04"/>
    <x v="2665"/>
    <x v="6"/>
    <x v="2"/>
    <n v="2.5"/>
    <n v="1"/>
    <s v="USD"/>
    <x v="2"/>
    <s v="EMP0023"/>
    <n v="2.5"/>
    <s v="Wed"/>
    <x v="11"/>
    <x v="1"/>
  </r>
  <r>
    <x v="2718"/>
    <d v="2024-04-03T07:14:04"/>
    <x v="2666"/>
    <x v="6"/>
    <x v="8"/>
    <n v="4.5"/>
    <n v="8"/>
    <s v="USD"/>
    <x v="3"/>
    <s v="EMP0085"/>
    <n v="36"/>
    <s v="Wed"/>
    <x v="11"/>
    <x v="1"/>
  </r>
  <r>
    <x v="2719"/>
    <d v="2022-11-01T05:47:04"/>
    <x v="2667"/>
    <x v="6"/>
    <x v="17"/>
    <n v="2.5"/>
    <n v="2"/>
    <s v="USD"/>
    <x v="2"/>
    <s v="EMP0093"/>
    <n v="5"/>
    <s v="Tue"/>
    <x v="10"/>
    <x v="3"/>
  </r>
  <r>
    <x v="2720"/>
    <d v="2024-03-17T01:46:04"/>
    <x v="2668"/>
    <x v="14"/>
    <x v="8"/>
    <n v="4.5"/>
    <n v="7"/>
    <s v="USD"/>
    <x v="0"/>
    <s v="EMP0089"/>
    <n v="31.5"/>
    <s v="Sun"/>
    <x v="1"/>
    <x v="1"/>
  </r>
  <r>
    <x v="2721"/>
    <d v="2024-12-31T07:56:04"/>
    <x v="2669"/>
    <x v="8"/>
    <x v="3"/>
    <n v="1.2"/>
    <n v="3"/>
    <s v="USD"/>
    <x v="4"/>
    <s v="EMP0005"/>
    <n v="3.5999999999999996"/>
    <s v="Tue"/>
    <x v="4"/>
    <x v="1"/>
  </r>
  <r>
    <x v="2722"/>
    <d v="2022-05-14T07:43:04"/>
    <x v="2670"/>
    <x v="4"/>
    <x v="18"/>
    <n v="1.7"/>
    <n v="2"/>
    <s v="USD"/>
    <x v="3"/>
    <s v="EMP0098"/>
    <n v="3.4"/>
    <s v="Sat"/>
    <x v="5"/>
    <x v="3"/>
  </r>
  <r>
    <x v="2723"/>
    <d v="2024-06-21T07:22:04"/>
    <x v="2671"/>
    <x v="6"/>
    <x v="18"/>
    <n v="1.7"/>
    <n v="2"/>
    <s v="USD"/>
    <x v="5"/>
    <s v="EMP0030"/>
    <n v="3.4"/>
    <s v="Fri"/>
    <x v="3"/>
    <x v="1"/>
  </r>
  <r>
    <x v="2724"/>
    <d v="2021-06-07T08:09:04"/>
    <x v="2672"/>
    <x v="0"/>
    <x v="12"/>
    <n v="1.8"/>
    <n v="9"/>
    <s v="USD"/>
    <x v="2"/>
    <s v="EMP0068"/>
    <n v="16.2"/>
    <s v="Mon"/>
    <x v="3"/>
    <x v="0"/>
  </r>
  <r>
    <x v="2725"/>
    <d v="2022-01-13T19:05:04"/>
    <x v="2673"/>
    <x v="1"/>
    <x v="10"/>
    <n v="5"/>
    <n v="3"/>
    <s v="USD"/>
    <x v="1"/>
    <s v="EMP0069"/>
    <n v="15"/>
    <s v="Thu"/>
    <x v="2"/>
    <x v="3"/>
  </r>
  <r>
    <x v="2726"/>
    <d v="2021-08-25T19:13:04"/>
    <x v="2674"/>
    <x v="10"/>
    <x v="18"/>
    <n v="1.7"/>
    <n v="3"/>
    <s v="USD"/>
    <x v="1"/>
    <s v="EMP0057"/>
    <n v="5.0999999999999996"/>
    <s v="Wed"/>
    <x v="6"/>
    <x v="0"/>
  </r>
  <r>
    <x v="2727"/>
    <d v="2023-10-16T03:10:04"/>
    <x v="2675"/>
    <x v="12"/>
    <x v="11"/>
    <n v="4"/>
    <n v="1"/>
    <s v="USD"/>
    <x v="0"/>
    <s v="EMP0052"/>
    <n v="4"/>
    <s v="Mon"/>
    <x v="0"/>
    <x v="4"/>
  </r>
  <r>
    <x v="2728"/>
    <d v="2023-09-12T00:37:04"/>
    <x v="1550"/>
    <x v="9"/>
    <x v="10"/>
    <n v="5"/>
    <n v="2"/>
    <s v="USD"/>
    <x v="1"/>
    <s v="EMP0015"/>
    <n v="10"/>
    <s v="Tue"/>
    <x v="9"/>
    <x v="4"/>
  </r>
  <r>
    <x v="2729"/>
    <d v="2021-06-17T08:29:04"/>
    <x v="2676"/>
    <x v="13"/>
    <x v="2"/>
    <n v="2.5"/>
    <n v="9"/>
    <s v="USD"/>
    <x v="3"/>
    <s v="EMP0072"/>
    <n v="22.5"/>
    <s v="Thu"/>
    <x v="3"/>
    <x v="0"/>
  </r>
  <r>
    <x v="2730"/>
    <d v="2022-09-01T00:28:04"/>
    <x v="2677"/>
    <x v="3"/>
    <x v="16"/>
    <n v="4"/>
    <n v="3"/>
    <s v="USD"/>
    <x v="3"/>
    <s v="EMP0067"/>
    <n v="12"/>
    <s v="Thu"/>
    <x v="9"/>
    <x v="3"/>
  </r>
  <r>
    <x v="2731"/>
    <d v="2024-05-05T19:30:04"/>
    <x v="2678"/>
    <x v="2"/>
    <x v="14"/>
    <n v="2.2000000000000002"/>
    <n v="4"/>
    <s v="USD"/>
    <x v="3"/>
    <s v="EMP0066"/>
    <n v="8.8000000000000007"/>
    <s v="Sun"/>
    <x v="5"/>
    <x v="1"/>
  </r>
  <r>
    <x v="2732"/>
    <d v="2021-12-13T19:30:04"/>
    <x v="2679"/>
    <x v="7"/>
    <x v="2"/>
    <n v="2.5"/>
    <n v="9"/>
    <s v="USD"/>
    <x v="1"/>
    <s v="EMP0011"/>
    <n v="22.5"/>
    <s v="Mon"/>
    <x v="4"/>
    <x v="0"/>
  </r>
  <r>
    <x v="2733"/>
    <d v="2023-06-14T20:52:04"/>
    <x v="2680"/>
    <x v="7"/>
    <x v="0"/>
    <n v="3.1"/>
    <n v="5"/>
    <s v="USD"/>
    <x v="4"/>
    <s v="EMP0071"/>
    <n v="15.5"/>
    <s v="Wed"/>
    <x v="3"/>
    <x v="4"/>
  </r>
  <r>
    <x v="2734"/>
    <d v="2024-08-04T08:24:04"/>
    <x v="2681"/>
    <x v="8"/>
    <x v="15"/>
    <n v="1.5"/>
    <n v="4"/>
    <s v="USD"/>
    <x v="0"/>
    <s v="EMP0029"/>
    <n v="6"/>
    <s v="Sun"/>
    <x v="6"/>
    <x v="1"/>
  </r>
  <r>
    <x v="2735"/>
    <d v="2021-06-07T17:21:04"/>
    <x v="2682"/>
    <x v="9"/>
    <x v="14"/>
    <n v="2.2000000000000002"/>
    <n v="10"/>
    <s v="USD"/>
    <x v="5"/>
    <s v="EMP0010"/>
    <n v="22"/>
    <s v="Mon"/>
    <x v="3"/>
    <x v="0"/>
  </r>
  <r>
    <x v="2736"/>
    <d v="2022-12-26T13:46:04"/>
    <x v="2683"/>
    <x v="9"/>
    <x v="9"/>
    <n v="3"/>
    <n v="6"/>
    <s v="USD"/>
    <x v="5"/>
    <s v="EMP0022"/>
    <n v="18"/>
    <s v="Mon"/>
    <x v="4"/>
    <x v="3"/>
  </r>
  <r>
    <x v="2737"/>
    <d v="2021-07-14T04:32:04"/>
    <x v="2684"/>
    <x v="5"/>
    <x v="3"/>
    <n v="1.2"/>
    <n v="1"/>
    <s v="USD"/>
    <x v="3"/>
    <s v="EMP0100"/>
    <n v="1.2"/>
    <s v="Wed"/>
    <x v="8"/>
    <x v="0"/>
  </r>
  <r>
    <x v="2738"/>
    <d v="2025-03-14T15:42:04"/>
    <x v="2685"/>
    <x v="13"/>
    <x v="3"/>
    <n v="1.2"/>
    <n v="2"/>
    <s v="USD"/>
    <x v="4"/>
    <s v="EMP0022"/>
    <n v="2.4"/>
    <s v="Fri"/>
    <x v="1"/>
    <x v="2"/>
  </r>
  <r>
    <x v="2739"/>
    <d v="2021-10-12T19:21:04"/>
    <x v="2686"/>
    <x v="7"/>
    <x v="11"/>
    <n v="4"/>
    <n v="8"/>
    <s v="USD"/>
    <x v="3"/>
    <s v="EMP0057"/>
    <n v="32"/>
    <s v="Tue"/>
    <x v="0"/>
    <x v="0"/>
  </r>
  <r>
    <x v="2740"/>
    <d v="2022-05-01T17:03:04"/>
    <x v="2687"/>
    <x v="13"/>
    <x v="5"/>
    <n v="1"/>
    <n v="1"/>
    <s v="USD"/>
    <x v="2"/>
    <s v="EMP0020"/>
    <n v="1"/>
    <s v="Sun"/>
    <x v="5"/>
    <x v="3"/>
  </r>
  <r>
    <x v="2741"/>
    <d v="2023-05-17T03:02:04"/>
    <x v="2688"/>
    <x v="3"/>
    <x v="19"/>
    <n v="5.5"/>
    <n v="9"/>
    <s v="USD"/>
    <x v="2"/>
    <s v="EMP0038"/>
    <n v="49.5"/>
    <s v="Wed"/>
    <x v="5"/>
    <x v="4"/>
  </r>
  <r>
    <x v="2742"/>
    <d v="2023-09-19T05:16:04"/>
    <x v="2689"/>
    <x v="7"/>
    <x v="1"/>
    <n v="1"/>
    <n v="3"/>
    <s v="USD"/>
    <x v="1"/>
    <s v="EMP0086"/>
    <n v="3"/>
    <s v="Tue"/>
    <x v="9"/>
    <x v="4"/>
  </r>
  <r>
    <x v="2743"/>
    <d v="2022-02-13T19:56:04"/>
    <x v="2690"/>
    <x v="11"/>
    <x v="15"/>
    <n v="1.5"/>
    <n v="9"/>
    <s v="USD"/>
    <x v="3"/>
    <s v="EMP0020"/>
    <n v="13.5"/>
    <s v="Sun"/>
    <x v="7"/>
    <x v="3"/>
  </r>
  <r>
    <x v="2744"/>
    <d v="2024-05-15T03:54:04"/>
    <x v="641"/>
    <x v="12"/>
    <x v="17"/>
    <n v="2.5"/>
    <n v="6"/>
    <s v="USD"/>
    <x v="5"/>
    <s v="EMP0061"/>
    <n v="15"/>
    <s v="Wed"/>
    <x v="5"/>
    <x v="1"/>
  </r>
  <r>
    <x v="2745"/>
    <d v="2025-02-15T20:59:04"/>
    <x v="2691"/>
    <x v="10"/>
    <x v="3"/>
    <n v="1.2"/>
    <n v="1"/>
    <s v="USD"/>
    <x v="1"/>
    <s v="EMP0007"/>
    <n v="1.2"/>
    <s v="Sat"/>
    <x v="7"/>
    <x v="2"/>
  </r>
  <r>
    <x v="2746"/>
    <d v="2025-05-03T16:10:04"/>
    <x v="2692"/>
    <x v="1"/>
    <x v="2"/>
    <n v="2.5"/>
    <n v="7"/>
    <s v="USD"/>
    <x v="4"/>
    <s v="EMP0082"/>
    <n v="17.5"/>
    <s v="Sat"/>
    <x v="5"/>
    <x v="2"/>
  </r>
  <r>
    <x v="2747"/>
    <d v="2023-06-10T11:03:04"/>
    <x v="2693"/>
    <x v="0"/>
    <x v="12"/>
    <n v="1.8"/>
    <n v="5"/>
    <s v="USD"/>
    <x v="1"/>
    <s v="EMP0020"/>
    <n v="9"/>
    <s v="Sat"/>
    <x v="3"/>
    <x v="4"/>
  </r>
  <r>
    <x v="2748"/>
    <d v="2023-01-31T00:50:04"/>
    <x v="2694"/>
    <x v="7"/>
    <x v="2"/>
    <n v="2.5"/>
    <n v="7"/>
    <s v="USD"/>
    <x v="0"/>
    <s v="EMP0035"/>
    <n v="17.5"/>
    <s v="Tue"/>
    <x v="2"/>
    <x v="4"/>
  </r>
  <r>
    <x v="2749"/>
    <d v="2022-06-27T06:06:04"/>
    <x v="2695"/>
    <x v="5"/>
    <x v="17"/>
    <n v="2.5"/>
    <n v="6"/>
    <s v="USD"/>
    <x v="4"/>
    <s v="EMP0022"/>
    <n v="15"/>
    <s v="Mon"/>
    <x v="3"/>
    <x v="3"/>
  </r>
  <r>
    <x v="2750"/>
    <d v="2022-02-13T00:40:04"/>
    <x v="2696"/>
    <x v="13"/>
    <x v="1"/>
    <n v="1"/>
    <n v="1"/>
    <s v="USD"/>
    <x v="2"/>
    <s v="EMP0061"/>
    <n v="1"/>
    <s v="Sun"/>
    <x v="7"/>
    <x v="3"/>
  </r>
  <r>
    <x v="2751"/>
    <d v="2025-01-21T00:13:04"/>
    <x v="2697"/>
    <x v="2"/>
    <x v="18"/>
    <n v="1.7"/>
    <n v="10"/>
    <s v="USD"/>
    <x v="1"/>
    <s v="EMP0072"/>
    <n v="17"/>
    <s v="Tue"/>
    <x v="2"/>
    <x v="2"/>
  </r>
  <r>
    <x v="2752"/>
    <d v="2022-10-09T18:04:04"/>
    <x v="2698"/>
    <x v="14"/>
    <x v="3"/>
    <n v="1.2"/>
    <n v="10"/>
    <s v="USD"/>
    <x v="2"/>
    <s v="EMP0068"/>
    <n v="12"/>
    <s v="Sun"/>
    <x v="0"/>
    <x v="3"/>
  </r>
  <r>
    <x v="2753"/>
    <d v="2024-04-26T09:22:04"/>
    <x v="2699"/>
    <x v="13"/>
    <x v="0"/>
    <n v="3.1"/>
    <n v="1"/>
    <s v="USD"/>
    <x v="3"/>
    <s v="EMP0051"/>
    <n v="3.1"/>
    <s v="Fri"/>
    <x v="11"/>
    <x v="1"/>
  </r>
  <r>
    <x v="2754"/>
    <d v="2023-12-08T21:19:04"/>
    <x v="2700"/>
    <x v="1"/>
    <x v="1"/>
    <n v="1"/>
    <n v="9"/>
    <s v="USD"/>
    <x v="2"/>
    <s v="EMP0001"/>
    <n v="9"/>
    <s v="Fri"/>
    <x v="4"/>
    <x v="4"/>
  </r>
  <r>
    <x v="2755"/>
    <d v="2023-11-20T16:40:04"/>
    <x v="2701"/>
    <x v="11"/>
    <x v="13"/>
    <n v="0.8"/>
    <n v="9"/>
    <s v="USD"/>
    <x v="5"/>
    <s v="EMP0064"/>
    <n v="7.2"/>
    <s v="Mon"/>
    <x v="10"/>
    <x v="4"/>
  </r>
  <r>
    <x v="2756"/>
    <d v="2023-12-16T21:14:04"/>
    <x v="2702"/>
    <x v="8"/>
    <x v="11"/>
    <n v="4"/>
    <n v="9"/>
    <s v="USD"/>
    <x v="2"/>
    <s v="EMP0009"/>
    <n v="36"/>
    <s v="Sat"/>
    <x v="4"/>
    <x v="4"/>
  </r>
  <r>
    <x v="2757"/>
    <d v="2023-02-11T05:11:04"/>
    <x v="2703"/>
    <x v="6"/>
    <x v="9"/>
    <n v="3"/>
    <n v="3"/>
    <s v="USD"/>
    <x v="2"/>
    <s v="EMP0052"/>
    <n v="9"/>
    <s v="Sat"/>
    <x v="7"/>
    <x v="4"/>
  </r>
  <r>
    <x v="2758"/>
    <d v="2021-11-18T16:08:04"/>
    <x v="2704"/>
    <x v="0"/>
    <x v="13"/>
    <n v="0.8"/>
    <n v="9"/>
    <s v="USD"/>
    <x v="1"/>
    <s v="EMP0083"/>
    <n v="7.2"/>
    <s v="Thu"/>
    <x v="10"/>
    <x v="0"/>
  </r>
  <r>
    <x v="2759"/>
    <d v="2021-08-06T15:40:04"/>
    <x v="2705"/>
    <x v="11"/>
    <x v="18"/>
    <n v="1.7"/>
    <n v="5"/>
    <s v="USD"/>
    <x v="0"/>
    <s v="EMP0003"/>
    <n v="8.5"/>
    <s v="Fri"/>
    <x v="6"/>
    <x v="0"/>
  </r>
  <r>
    <x v="2760"/>
    <d v="2023-12-28T23:38:04"/>
    <x v="2706"/>
    <x v="0"/>
    <x v="14"/>
    <n v="2.2000000000000002"/>
    <n v="6"/>
    <s v="USD"/>
    <x v="2"/>
    <s v="EMP0093"/>
    <n v="13.200000000000001"/>
    <s v="Thu"/>
    <x v="4"/>
    <x v="4"/>
  </r>
  <r>
    <x v="2761"/>
    <d v="2022-05-23T00:13:04"/>
    <x v="2707"/>
    <x v="7"/>
    <x v="8"/>
    <n v="4.5"/>
    <n v="5"/>
    <s v="USD"/>
    <x v="3"/>
    <s v="EMP0060"/>
    <n v="22.5"/>
    <s v="Mon"/>
    <x v="5"/>
    <x v="3"/>
  </r>
  <r>
    <x v="2762"/>
    <d v="2025-02-15T01:08:04"/>
    <x v="2708"/>
    <x v="3"/>
    <x v="6"/>
    <n v="7"/>
    <n v="3"/>
    <s v="USD"/>
    <x v="4"/>
    <s v="EMP0097"/>
    <n v="21"/>
    <s v="Sat"/>
    <x v="7"/>
    <x v="2"/>
  </r>
  <r>
    <x v="2763"/>
    <d v="2023-04-05T03:31:04"/>
    <x v="2709"/>
    <x v="4"/>
    <x v="17"/>
    <n v="2.5"/>
    <n v="3"/>
    <s v="USD"/>
    <x v="5"/>
    <s v="EMP0030"/>
    <n v="7.5"/>
    <s v="Wed"/>
    <x v="11"/>
    <x v="4"/>
  </r>
  <r>
    <x v="2764"/>
    <d v="2021-07-26T02:05:04"/>
    <x v="2710"/>
    <x v="9"/>
    <x v="13"/>
    <n v="0.8"/>
    <n v="5"/>
    <s v="USD"/>
    <x v="0"/>
    <s v="EMP0094"/>
    <n v="4"/>
    <s v="Mon"/>
    <x v="8"/>
    <x v="0"/>
  </r>
  <r>
    <x v="2765"/>
    <d v="2025-03-22T16:21:04"/>
    <x v="2711"/>
    <x v="10"/>
    <x v="6"/>
    <n v="7"/>
    <n v="5"/>
    <s v="USD"/>
    <x v="5"/>
    <s v="EMP0036"/>
    <n v="35"/>
    <s v="Sat"/>
    <x v="1"/>
    <x v="2"/>
  </r>
  <r>
    <x v="2766"/>
    <d v="2023-09-21T20:50:04"/>
    <x v="2712"/>
    <x v="4"/>
    <x v="12"/>
    <n v="1.8"/>
    <n v="9"/>
    <s v="USD"/>
    <x v="3"/>
    <s v="EMP0099"/>
    <n v="16.2"/>
    <s v="Thu"/>
    <x v="9"/>
    <x v="4"/>
  </r>
  <r>
    <x v="2767"/>
    <d v="2024-02-01T14:20:04"/>
    <x v="2713"/>
    <x v="5"/>
    <x v="2"/>
    <n v="2.5"/>
    <n v="9"/>
    <s v="USD"/>
    <x v="2"/>
    <s v="EMP0065"/>
    <n v="22.5"/>
    <s v="Thu"/>
    <x v="7"/>
    <x v="1"/>
  </r>
  <r>
    <x v="2768"/>
    <d v="2022-06-12T07:33:04"/>
    <x v="2714"/>
    <x v="11"/>
    <x v="4"/>
    <n v="3.2"/>
    <n v="3"/>
    <s v="USD"/>
    <x v="5"/>
    <s v="EMP0079"/>
    <n v="9.6000000000000014"/>
    <s v="Sun"/>
    <x v="3"/>
    <x v="3"/>
  </r>
  <r>
    <x v="2769"/>
    <d v="2021-06-12T11:43:04"/>
    <x v="2715"/>
    <x v="0"/>
    <x v="4"/>
    <n v="3.2"/>
    <n v="1"/>
    <s v="USD"/>
    <x v="4"/>
    <s v="EMP0088"/>
    <n v="3.2"/>
    <s v="Sat"/>
    <x v="3"/>
    <x v="0"/>
  </r>
  <r>
    <x v="2770"/>
    <d v="2021-10-09T11:32:04"/>
    <x v="2716"/>
    <x v="11"/>
    <x v="2"/>
    <n v="2.5"/>
    <n v="4"/>
    <s v="USD"/>
    <x v="0"/>
    <s v="EMP0027"/>
    <n v="10"/>
    <s v="Sat"/>
    <x v="0"/>
    <x v="0"/>
  </r>
  <r>
    <x v="2771"/>
    <d v="2023-05-13T06:33:04"/>
    <x v="2717"/>
    <x v="9"/>
    <x v="0"/>
    <n v="3.1"/>
    <n v="10"/>
    <s v="USD"/>
    <x v="4"/>
    <s v="EMP0091"/>
    <n v="31"/>
    <s v="Sat"/>
    <x v="5"/>
    <x v="4"/>
  </r>
  <r>
    <x v="2772"/>
    <d v="2024-09-01T00:40:04"/>
    <x v="2718"/>
    <x v="2"/>
    <x v="14"/>
    <n v="2.2000000000000002"/>
    <n v="2"/>
    <s v="USD"/>
    <x v="3"/>
    <s v="EMP0013"/>
    <n v="4.4000000000000004"/>
    <s v="Sun"/>
    <x v="9"/>
    <x v="1"/>
  </r>
  <r>
    <x v="2773"/>
    <d v="2021-05-13T17:57:04"/>
    <x v="2719"/>
    <x v="9"/>
    <x v="10"/>
    <n v="5"/>
    <n v="2"/>
    <s v="USD"/>
    <x v="1"/>
    <s v="EMP0007"/>
    <n v="10"/>
    <s v="Thu"/>
    <x v="5"/>
    <x v="0"/>
  </r>
  <r>
    <x v="2774"/>
    <d v="2021-12-14T07:11:04"/>
    <x v="2720"/>
    <x v="12"/>
    <x v="9"/>
    <n v="3"/>
    <n v="4"/>
    <s v="USD"/>
    <x v="5"/>
    <s v="EMP0028"/>
    <n v="12"/>
    <s v="Tue"/>
    <x v="4"/>
    <x v="0"/>
  </r>
  <r>
    <x v="2775"/>
    <d v="2024-08-07T00:45:04"/>
    <x v="2721"/>
    <x v="5"/>
    <x v="2"/>
    <n v="2.5"/>
    <n v="1"/>
    <s v="USD"/>
    <x v="5"/>
    <s v="EMP0005"/>
    <n v="2.5"/>
    <s v="Wed"/>
    <x v="6"/>
    <x v="1"/>
  </r>
  <r>
    <x v="2776"/>
    <d v="2024-12-03T10:28:04"/>
    <x v="2722"/>
    <x v="14"/>
    <x v="5"/>
    <n v="1"/>
    <n v="9"/>
    <s v="USD"/>
    <x v="5"/>
    <s v="EMP0098"/>
    <n v="9"/>
    <s v="Tue"/>
    <x v="4"/>
    <x v="1"/>
  </r>
  <r>
    <x v="2777"/>
    <d v="2023-07-09T01:20:04"/>
    <x v="2723"/>
    <x v="10"/>
    <x v="12"/>
    <n v="1.8"/>
    <n v="7"/>
    <s v="USD"/>
    <x v="1"/>
    <s v="EMP0093"/>
    <n v="12.6"/>
    <s v="Sun"/>
    <x v="8"/>
    <x v="4"/>
  </r>
  <r>
    <x v="2778"/>
    <d v="2022-05-31T13:26:04"/>
    <x v="2724"/>
    <x v="1"/>
    <x v="13"/>
    <n v="0.8"/>
    <n v="4"/>
    <s v="USD"/>
    <x v="3"/>
    <s v="EMP0004"/>
    <n v="3.2"/>
    <s v="Tue"/>
    <x v="5"/>
    <x v="3"/>
  </r>
  <r>
    <x v="2779"/>
    <d v="2022-01-25T10:05:04"/>
    <x v="2725"/>
    <x v="14"/>
    <x v="18"/>
    <n v="1.7"/>
    <n v="2"/>
    <s v="USD"/>
    <x v="1"/>
    <s v="EMP0017"/>
    <n v="3.4"/>
    <s v="Tue"/>
    <x v="2"/>
    <x v="3"/>
  </r>
  <r>
    <x v="2780"/>
    <d v="2022-01-01T20:27:05"/>
    <x v="2726"/>
    <x v="13"/>
    <x v="2"/>
    <n v="2.5"/>
    <n v="7"/>
    <s v="USD"/>
    <x v="4"/>
    <s v="EMP0061"/>
    <n v="17.5"/>
    <s v="Sat"/>
    <x v="2"/>
    <x v="3"/>
  </r>
  <r>
    <x v="2781"/>
    <d v="2021-10-12T14:55:05"/>
    <x v="2727"/>
    <x v="11"/>
    <x v="8"/>
    <n v="4.5"/>
    <n v="10"/>
    <s v="USD"/>
    <x v="3"/>
    <s v="EMP0093"/>
    <n v="45"/>
    <s v="Tue"/>
    <x v="0"/>
    <x v="0"/>
  </r>
  <r>
    <x v="2782"/>
    <d v="2023-01-10T12:30:05"/>
    <x v="2728"/>
    <x v="12"/>
    <x v="11"/>
    <n v="4"/>
    <n v="7"/>
    <s v="USD"/>
    <x v="4"/>
    <s v="EMP0079"/>
    <n v="28"/>
    <s v="Tue"/>
    <x v="2"/>
    <x v="4"/>
  </r>
  <r>
    <x v="2783"/>
    <d v="2023-06-01T08:30:05"/>
    <x v="2729"/>
    <x v="13"/>
    <x v="9"/>
    <n v="3"/>
    <n v="5"/>
    <s v="USD"/>
    <x v="1"/>
    <s v="EMP0010"/>
    <n v="15"/>
    <s v="Thu"/>
    <x v="3"/>
    <x v="4"/>
  </r>
  <r>
    <x v="2784"/>
    <d v="2024-08-29T20:46:05"/>
    <x v="2730"/>
    <x v="14"/>
    <x v="16"/>
    <n v="4"/>
    <n v="5"/>
    <s v="USD"/>
    <x v="3"/>
    <s v="EMP0070"/>
    <n v="20"/>
    <s v="Thu"/>
    <x v="6"/>
    <x v="1"/>
  </r>
  <r>
    <x v="2785"/>
    <d v="2023-09-19T06:12:05"/>
    <x v="2731"/>
    <x v="8"/>
    <x v="12"/>
    <n v="1.8"/>
    <n v="8"/>
    <s v="USD"/>
    <x v="4"/>
    <s v="EMP0004"/>
    <n v="14.4"/>
    <s v="Tue"/>
    <x v="9"/>
    <x v="4"/>
  </r>
  <r>
    <x v="2786"/>
    <d v="2022-01-24T08:38:05"/>
    <x v="2732"/>
    <x v="8"/>
    <x v="11"/>
    <n v="4"/>
    <n v="3"/>
    <s v="USD"/>
    <x v="2"/>
    <s v="EMP0021"/>
    <n v="12"/>
    <s v="Mon"/>
    <x v="2"/>
    <x v="3"/>
  </r>
  <r>
    <x v="2787"/>
    <d v="2024-02-22T17:48:05"/>
    <x v="2733"/>
    <x v="9"/>
    <x v="14"/>
    <n v="2.2000000000000002"/>
    <n v="2"/>
    <s v="USD"/>
    <x v="0"/>
    <s v="EMP0058"/>
    <n v="4.4000000000000004"/>
    <s v="Thu"/>
    <x v="7"/>
    <x v="1"/>
  </r>
  <r>
    <x v="2788"/>
    <d v="2023-10-24T03:05:05"/>
    <x v="2734"/>
    <x v="8"/>
    <x v="9"/>
    <n v="3"/>
    <n v="2"/>
    <s v="USD"/>
    <x v="4"/>
    <s v="EMP0005"/>
    <n v="6"/>
    <s v="Tue"/>
    <x v="0"/>
    <x v="4"/>
  </r>
  <r>
    <x v="2789"/>
    <d v="2021-06-14T13:32:05"/>
    <x v="2735"/>
    <x v="0"/>
    <x v="8"/>
    <n v="4.5"/>
    <n v="3"/>
    <s v="USD"/>
    <x v="1"/>
    <s v="EMP0069"/>
    <n v="13.5"/>
    <s v="Mon"/>
    <x v="3"/>
    <x v="0"/>
  </r>
  <r>
    <x v="2790"/>
    <d v="2023-01-25T14:24:05"/>
    <x v="2736"/>
    <x v="4"/>
    <x v="7"/>
    <n v="2.8"/>
    <n v="1"/>
    <s v="USD"/>
    <x v="4"/>
    <s v="EMP0031"/>
    <n v="2.8"/>
    <s v="Wed"/>
    <x v="2"/>
    <x v="4"/>
  </r>
  <r>
    <x v="2791"/>
    <d v="2022-08-05T00:59:05"/>
    <x v="2737"/>
    <x v="8"/>
    <x v="17"/>
    <n v="2.5"/>
    <n v="9"/>
    <s v="USD"/>
    <x v="2"/>
    <s v="EMP0013"/>
    <n v="22.5"/>
    <s v="Fri"/>
    <x v="6"/>
    <x v="3"/>
  </r>
  <r>
    <x v="2792"/>
    <d v="2024-09-12T14:18:05"/>
    <x v="2738"/>
    <x v="8"/>
    <x v="3"/>
    <n v="1.2"/>
    <n v="1"/>
    <s v="USD"/>
    <x v="0"/>
    <s v="EMP0008"/>
    <n v="1.2"/>
    <s v="Thu"/>
    <x v="9"/>
    <x v="1"/>
  </r>
  <r>
    <x v="2793"/>
    <d v="2022-06-09T07:03:05"/>
    <x v="2739"/>
    <x v="8"/>
    <x v="6"/>
    <n v="7"/>
    <n v="10"/>
    <s v="USD"/>
    <x v="3"/>
    <s v="EMP0098"/>
    <n v="70"/>
    <s v="Thu"/>
    <x v="3"/>
    <x v="3"/>
  </r>
  <r>
    <x v="2794"/>
    <d v="2025-03-15T01:17:05"/>
    <x v="2740"/>
    <x v="3"/>
    <x v="10"/>
    <n v="5"/>
    <n v="2"/>
    <s v="USD"/>
    <x v="4"/>
    <s v="EMP0096"/>
    <n v="10"/>
    <s v="Sat"/>
    <x v="1"/>
    <x v="2"/>
  </r>
  <r>
    <x v="2795"/>
    <d v="2024-02-29T10:15:05"/>
    <x v="2741"/>
    <x v="14"/>
    <x v="11"/>
    <n v="4"/>
    <n v="5"/>
    <s v="USD"/>
    <x v="4"/>
    <s v="EMP0046"/>
    <n v="20"/>
    <s v="Thu"/>
    <x v="7"/>
    <x v="1"/>
  </r>
  <r>
    <x v="2796"/>
    <d v="2025-01-22T23:54:05"/>
    <x v="2742"/>
    <x v="9"/>
    <x v="13"/>
    <n v="0.8"/>
    <n v="7"/>
    <s v="USD"/>
    <x v="1"/>
    <s v="EMP0014"/>
    <n v="5.6000000000000005"/>
    <s v="Wed"/>
    <x v="2"/>
    <x v="2"/>
  </r>
  <r>
    <x v="2797"/>
    <d v="2022-08-18T16:32:05"/>
    <x v="2743"/>
    <x v="10"/>
    <x v="18"/>
    <n v="1.7"/>
    <n v="9"/>
    <s v="USD"/>
    <x v="2"/>
    <s v="EMP0019"/>
    <n v="15.299999999999999"/>
    <s v="Thu"/>
    <x v="6"/>
    <x v="3"/>
  </r>
  <r>
    <x v="2798"/>
    <d v="2021-11-14T06:53:05"/>
    <x v="2744"/>
    <x v="4"/>
    <x v="0"/>
    <n v="3.1"/>
    <n v="5"/>
    <s v="USD"/>
    <x v="2"/>
    <s v="EMP0006"/>
    <n v="15.5"/>
    <s v="Sun"/>
    <x v="10"/>
    <x v="0"/>
  </r>
  <r>
    <x v="2799"/>
    <d v="2024-09-14T06:07:05"/>
    <x v="2745"/>
    <x v="1"/>
    <x v="1"/>
    <n v="1"/>
    <n v="1"/>
    <s v="USD"/>
    <x v="1"/>
    <s v="EMP0058"/>
    <n v="1"/>
    <s v="Sat"/>
    <x v="9"/>
    <x v="1"/>
  </r>
  <r>
    <x v="2800"/>
    <d v="2024-04-07T03:07:05"/>
    <x v="2746"/>
    <x v="2"/>
    <x v="15"/>
    <n v="1.5"/>
    <n v="9"/>
    <s v="USD"/>
    <x v="2"/>
    <s v="EMP0068"/>
    <n v="13.5"/>
    <s v="Sun"/>
    <x v="11"/>
    <x v="1"/>
  </r>
  <r>
    <x v="2801"/>
    <d v="2024-08-03T00:24:05"/>
    <x v="91"/>
    <x v="2"/>
    <x v="2"/>
    <n v="2.5"/>
    <n v="6"/>
    <s v="USD"/>
    <x v="1"/>
    <s v="EMP0093"/>
    <n v="15"/>
    <s v="Sat"/>
    <x v="6"/>
    <x v="1"/>
  </r>
  <r>
    <x v="2802"/>
    <d v="2024-08-28T12:20:05"/>
    <x v="1820"/>
    <x v="3"/>
    <x v="7"/>
    <n v="2.8"/>
    <n v="8"/>
    <s v="USD"/>
    <x v="2"/>
    <s v="EMP0089"/>
    <n v="22.4"/>
    <s v="Wed"/>
    <x v="6"/>
    <x v="1"/>
  </r>
  <r>
    <x v="2803"/>
    <d v="2025-04-02T17:34:05"/>
    <x v="2747"/>
    <x v="13"/>
    <x v="12"/>
    <n v="1.8"/>
    <n v="6"/>
    <s v="USD"/>
    <x v="1"/>
    <s v="EMP0075"/>
    <n v="10.8"/>
    <s v="Wed"/>
    <x v="11"/>
    <x v="2"/>
  </r>
  <r>
    <x v="2804"/>
    <d v="2021-05-21T10:35:05"/>
    <x v="2748"/>
    <x v="11"/>
    <x v="8"/>
    <n v="4.5"/>
    <n v="10"/>
    <s v="USD"/>
    <x v="0"/>
    <s v="EMP0003"/>
    <n v="45"/>
    <s v="Fri"/>
    <x v="5"/>
    <x v="0"/>
  </r>
  <r>
    <x v="2805"/>
    <d v="2022-10-25T04:49:05"/>
    <x v="2749"/>
    <x v="14"/>
    <x v="13"/>
    <n v="0.8"/>
    <n v="7"/>
    <s v="USD"/>
    <x v="1"/>
    <s v="EMP0091"/>
    <n v="5.6000000000000005"/>
    <s v="Tue"/>
    <x v="0"/>
    <x v="3"/>
  </r>
  <r>
    <x v="2806"/>
    <d v="2022-02-20T17:46:05"/>
    <x v="2750"/>
    <x v="8"/>
    <x v="5"/>
    <n v="1"/>
    <n v="10"/>
    <s v="USD"/>
    <x v="5"/>
    <s v="EMP0100"/>
    <n v="10"/>
    <s v="Sun"/>
    <x v="7"/>
    <x v="3"/>
  </r>
  <r>
    <x v="2807"/>
    <d v="2021-09-02T03:33:05"/>
    <x v="2751"/>
    <x v="9"/>
    <x v="5"/>
    <n v="1"/>
    <n v="10"/>
    <s v="USD"/>
    <x v="2"/>
    <s v="EMP0094"/>
    <n v="10"/>
    <s v="Thu"/>
    <x v="9"/>
    <x v="0"/>
  </r>
  <r>
    <x v="2808"/>
    <d v="2021-07-24T15:38:05"/>
    <x v="2752"/>
    <x v="4"/>
    <x v="10"/>
    <n v="5"/>
    <n v="2"/>
    <s v="USD"/>
    <x v="1"/>
    <s v="EMP0038"/>
    <n v="10"/>
    <s v="Sat"/>
    <x v="8"/>
    <x v="0"/>
  </r>
  <r>
    <x v="2809"/>
    <d v="2024-07-15T19:36:05"/>
    <x v="2753"/>
    <x v="5"/>
    <x v="16"/>
    <n v="4"/>
    <n v="7"/>
    <s v="USD"/>
    <x v="2"/>
    <s v="EMP0073"/>
    <n v="28"/>
    <s v="Mon"/>
    <x v="8"/>
    <x v="1"/>
  </r>
  <r>
    <x v="2810"/>
    <d v="2023-12-18T09:05:05"/>
    <x v="2754"/>
    <x v="12"/>
    <x v="19"/>
    <n v="5.5"/>
    <n v="5"/>
    <s v="USD"/>
    <x v="3"/>
    <s v="EMP0099"/>
    <n v="27.5"/>
    <s v="Mon"/>
    <x v="4"/>
    <x v="4"/>
  </r>
  <r>
    <x v="2811"/>
    <d v="2022-07-20T03:50:05"/>
    <x v="2755"/>
    <x v="12"/>
    <x v="11"/>
    <n v="4"/>
    <n v="3"/>
    <s v="USD"/>
    <x v="0"/>
    <s v="EMP0014"/>
    <n v="12"/>
    <s v="Wed"/>
    <x v="8"/>
    <x v="3"/>
  </r>
  <r>
    <x v="2812"/>
    <d v="2024-04-26T06:08:05"/>
    <x v="2756"/>
    <x v="14"/>
    <x v="14"/>
    <n v="2.2000000000000002"/>
    <n v="7"/>
    <s v="USD"/>
    <x v="5"/>
    <s v="EMP0073"/>
    <n v="15.400000000000002"/>
    <s v="Fri"/>
    <x v="11"/>
    <x v="1"/>
  </r>
  <r>
    <x v="2813"/>
    <d v="2022-03-20T12:00:05"/>
    <x v="2757"/>
    <x v="12"/>
    <x v="3"/>
    <n v="1.2"/>
    <n v="9"/>
    <s v="USD"/>
    <x v="5"/>
    <s v="EMP0020"/>
    <n v="10.799999999999999"/>
    <s v="Sun"/>
    <x v="1"/>
    <x v="3"/>
  </r>
  <r>
    <x v="2814"/>
    <d v="2023-02-13T17:19:05"/>
    <x v="2758"/>
    <x v="10"/>
    <x v="18"/>
    <n v="1.7"/>
    <n v="1"/>
    <s v="USD"/>
    <x v="2"/>
    <s v="EMP0057"/>
    <n v="1.7"/>
    <s v="Mon"/>
    <x v="7"/>
    <x v="4"/>
  </r>
  <r>
    <x v="2815"/>
    <d v="2024-05-17T14:13:05"/>
    <x v="2759"/>
    <x v="11"/>
    <x v="1"/>
    <n v="1"/>
    <n v="4"/>
    <s v="USD"/>
    <x v="1"/>
    <s v="EMP0078"/>
    <n v="4"/>
    <s v="Fri"/>
    <x v="5"/>
    <x v="1"/>
  </r>
  <r>
    <x v="2816"/>
    <d v="2024-02-13T02:44:05"/>
    <x v="2760"/>
    <x v="3"/>
    <x v="5"/>
    <n v="1"/>
    <n v="6"/>
    <s v="USD"/>
    <x v="2"/>
    <s v="EMP0032"/>
    <n v="6"/>
    <s v="Tue"/>
    <x v="7"/>
    <x v="1"/>
  </r>
  <r>
    <x v="2817"/>
    <d v="2022-06-09T08:44:05"/>
    <x v="2761"/>
    <x v="1"/>
    <x v="1"/>
    <n v="1"/>
    <n v="1"/>
    <s v="USD"/>
    <x v="4"/>
    <s v="EMP0001"/>
    <n v="1"/>
    <s v="Thu"/>
    <x v="3"/>
    <x v="3"/>
  </r>
  <r>
    <x v="2818"/>
    <d v="2023-06-03T23:30:05"/>
    <x v="2762"/>
    <x v="3"/>
    <x v="19"/>
    <n v="5.5"/>
    <n v="3"/>
    <s v="USD"/>
    <x v="2"/>
    <s v="EMP0073"/>
    <n v="16.5"/>
    <s v="Sat"/>
    <x v="3"/>
    <x v="4"/>
  </r>
  <r>
    <x v="2819"/>
    <d v="2021-12-07T00:05:05"/>
    <x v="2763"/>
    <x v="13"/>
    <x v="1"/>
    <n v="1"/>
    <n v="3"/>
    <s v="USD"/>
    <x v="5"/>
    <s v="EMP0076"/>
    <n v="3"/>
    <s v="Tue"/>
    <x v="4"/>
    <x v="0"/>
  </r>
  <r>
    <x v="2820"/>
    <d v="2023-05-05T19:43:05"/>
    <x v="2764"/>
    <x v="6"/>
    <x v="18"/>
    <n v="1.7"/>
    <n v="5"/>
    <s v="USD"/>
    <x v="3"/>
    <s v="EMP0071"/>
    <n v="8.5"/>
    <s v="Fri"/>
    <x v="5"/>
    <x v="4"/>
  </r>
  <r>
    <x v="2821"/>
    <d v="2023-03-17T19:02:05"/>
    <x v="2765"/>
    <x v="5"/>
    <x v="18"/>
    <n v="1.7"/>
    <n v="2"/>
    <s v="USD"/>
    <x v="0"/>
    <s v="EMP0002"/>
    <n v="3.4"/>
    <s v="Fri"/>
    <x v="1"/>
    <x v="4"/>
  </r>
  <r>
    <x v="2822"/>
    <d v="2022-03-15T21:35:05"/>
    <x v="2766"/>
    <x v="8"/>
    <x v="19"/>
    <n v="5.5"/>
    <n v="3"/>
    <s v="USD"/>
    <x v="0"/>
    <s v="EMP0068"/>
    <n v="16.5"/>
    <s v="Tue"/>
    <x v="1"/>
    <x v="3"/>
  </r>
  <r>
    <x v="2823"/>
    <d v="2023-08-05T19:05:05"/>
    <x v="2767"/>
    <x v="1"/>
    <x v="19"/>
    <n v="5.5"/>
    <n v="5"/>
    <s v="USD"/>
    <x v="0"/>
    <s v="EMP0100"/>
    <n v="27.5"/>
    <s v="Sat"/>
    <x v="6"/>
    <x v="4"/>
  </r>
  <r>
    <x v="2824"/>
    <d v="2023-11-10T00:52:05"/>
    <x v="2768"/>
    <x v="6"/>
    <x v="2"/>
    <n v="2.5"/>
    <n v="10"/>
    <s v="USD"/>
    <x v="4"/>
    <s v="EMP0066"/>
    <n v="25"/>
    <s v="Fri"/>
    <x v="10"/>
    <x v="4"/>
  </r>
  <r>
    <x v="2825"/>
    <d v="2023-10-30T16:29:05"/>
    <x v="2769"/>
    <x v="13"/>
    <x v="3"/>
    <n v="1.2"/>
    <n v="3"/>
    <s v="USD"/>
    <x v="5"/>
    <s v="EMP0097"/>
    <n v="3.5999999999999996"/>
    <s v="Mon"/>
    <x v="0"/>
    <x v="4"/>
  </r>
  <r>
    <x v="2826"/>
    <d v="2024-02-06T13:26:05"/>
    <x v="2770"/>
    <x v="3"/>
    <x v="12"/>
    <n v="1.8"/>
    <n v="7"/>
    <s v="USD"/>
    <x v="1"/>
    <s v="EMP0051"/>
    <n v="12.6"/>
    <s v="Tue"/>
    <x v="7"/>
    <x v="1"/>
  </r>
  <r>
    <x v="2827"/>
    <d v="2023-03-04T11:23:05"/>
    <x v="2771"/>
    <x v="7"/>
    <x v="6"/>
    <n v="7"/>
    <n v="9"/>
    <s v="USD"/>
    <x v="0"/>
    <s v="EMP0010"/>
    <n v="63"/>
    <s v="Sat"/>
    <x v="1"/>
    <x v="4"/>
  </r>
  <r>
    <x v="2828"/>
    <d v="2024-11-23T16:14:05"/>
    <x v="2772"/>
    <x v="4"/>
    <x v="5"/>
    <n v="1"/>
    <n v="6"/>
    <s v="USD"/>
    <x v="3"/>
    <s v="EMP0007"/>
    <n v="6"/>
    <s v="Sat"/>
    <x v="10"/>
    <x v="1"/>
  </r>
  <r>
    <x v="2829"/>
    <d v="2024-12-25T00:53:05"/>
    <x v="2773"/>
    <x v="13"/>
    <x v="5"/>
    <n v="1"/>
    <n v="5"/>
    <s v="USD"/>
    <x v="3"/>
    <s v="EMP0038"/>
    <n v="5"/>
    <s v="Wed"/>
    <x v="4"/>
    <x v="1"/>
  </r>
  <r>
    <x v="2830"/>
    <d v="2021-10-27T18:22:05"/>
    <x v="2774"/>
    <x v="4"/>
    <x v="4"/>
    <n v="3.2"/>
    <n v="1"/>
    <s v="USD"/>
    <x v="5"/>
    <s v="EMP0053"/>
    <n v="3.2"/>
    <s v="Wed"/>
    <x v="0"/>
    <x v="0"/>
  </r>
  <r>
    <x v="2831"/>
    <d v="2024-05-11T16:53:05"/>
    <x v="2775"/>
    <x v="2"/>
    <x v="16"/>
    <n v="4"/>
    <n v="8"/>
    <s v="USD"/>
    <x v="2"/>
    <s v="EMP0053"/>
    <n v="32"/>
    <s v="Sat"/>
    <x v="5"/>
    <x v="1"/>
  </r>
  <r>
    <x v="2832"/>
    <d v="2021-11-02T09:23:05"/>
    <x v="2776"/>
    <x v="0"/>
    <x v="7"/>
    <n v="2.8"/>
    <n v="4"/>
    <s v="USD"/>
    <x v="2"/>
    <s v="EMP0036"/>
    <n v="11.2"/>
    <s v="Tue"/>
    <x v="10"/>
    <x v="0"/>
  </r>
  <r>
    <x v="2833"/>
    <d v="2023-11-03T12:29:05"/>
    <x v="2777"/>
    <x v="10"/>
    <x v="10"/>
    <n v="5"/>
    <n v="8"/>
    <s v="USD"/>
    <x v="1"/>
    <s v="EMP0037"/>
    <n v="40"/>
    <s v="Fri"/>
    <x v="10"/>
    <x v="4"/>
  </r>
  <r>
    <x v="2834"/>
    <d v="2023-03-01T08:23:05"/>
    <x v="2778"/>
    <x v="0"/>
    <x v="10"/>
    <n v="5"/>
    <n v="3"/>
    <s v="USD"/>
    <x v="2"/>
    <s v="EMP0052"/>
    <n v="15"/>
    <s v="Wed"/>
    <x v="1"/>
    <x v="4"/>
  </r>
  <r>
    <x v="2835"/>
    <d v="2023-01-16T16:18:05"/>
    <x v="2779"/>
    <x v="12"/>
    <x v="14"/>
    <n v="2.2000000000000002"/>
    <n v="6"/>
    <s v="USD"/>
    <x v="3"/>
    <s v="EMP0072"/>
    <n v="13.200000000000001"/>
    <s v="Mon"/>
    <x v="2"/>
    <x v="4"/>
  </r>
  <r>
    <x v="2836"/>
    <d v="2024-11-01T13:31:05"/>
    <x v="2780"/>
    <x v="10"/>
    <x v="15"/>
    <n v="1.5"/>
    <n v="7"/>
    <s v="USD"/>
    <x v="3"/>
    <s v="EMP0021"/>
    <n v="10.5"/>
    <s v="Fri"/>
    <x v="10"/>
    <x v="1"/>
  </r>
  <r>
    <x v="2837"/>
    <d v="2022-03-08T14:27:05"/>
    <x v="2781"/>
    <x v="12"/>
    <x v="9"/>
    <n v="3"/>
    <n v="5"/>
    <s v="USD"/>
    <x v="3"/>
    <s v="EMP0051"/>
    <n v="15"/>
    <s v="Tue"/>
    <x v="1"/>
    <x v="3"/>
  </r>
  <r>
    <x v="2838"/>
    <d v="2022-05-31T15:52:05"/>
    <x v="2782"/>
    <x v="11"/>
    <x v="9"/>
    <n v="3"/>
    <n v="4"/>
    <s v="USD"/>
    <x v="0"/>
    <s v="EMP0026"/>
    <n v="12"/>
    <s v="Tue"/>
    <x v="5"/>
    <x v="3"/>
  </r>
  <r>
    <x v="2839"/>
    <d v="2022-10-23T06:21:05"/>
    <x v="2783"/>
    <x v="1"/>
    <x v="14"/>
    <n v="2.2000000000000002"/>
    <n v="6"/>
    <s v="USD"/>
    <x v="4"/>
    <s v="EMP0092"/>
    <n v="13.200000000000001"/>
    <s v="Sun"/>
    <x v="0"/>
    <x v="3"/>
  </r>
  <r>
    <x v="2840"/>
    <d v="2024-05-24T07:04:05"/>
    <x v="2784"/>
    <x v="1"/>
    <x v="6"/>
    <n v="7"/>
    <n v="2"/>
    <s v="USD"/>
    <x v="5"/>
    <s v="EMP0070"/>
    <n v="14"/>
    <s v="Fri"/>
    <x v="5"/>
    <x v="1"/>
  </r>
  <r>
    <x v="2841"/>
    <d v="2024-11-27T23:26:05"/>
    <x v="2785"/>
    <x v="2"/>
    <x v="13"/>
    <n v="0.8"/>
    <n v="2"/>
    <s v="USD"/>
    <x v="3"/>
    <s v="EMP0078"/>
    <n v="1.6"/>
    <s v="Wed"/>
    <x v="10"/>
    <x v="1"/>
  </r>
  <r>
    <x v="2842"/>
    <d v="2024-06-09T13:02:05"/>
    <x v="2786"/>
    <x v="7"/>
    <x v="2"/>
    <n v="2.5"/>
    <n v="7"/>
    <s v="USD"/>
    <x v="0"/>
    <s v="EMP0066"/>
    <n v="17.5"/>
    <s v="Sun"/>
    <x v="3"/>
    <x v="1"/>
  </r>
  <r>
    <x v="2843"/>
    <d v="2021-08-07T03:18:05"/>
    <x v="2787"/>
    <x v="10"/>
    <x v="15"/>
    <n v="1.5"/>
    <n v="9"/>
    <s v="USD"/>
    <x v="1"/>
    <s v="EMP0045"/>
    <n v="13.5"/>
    <s v="Sat"/>
    <x v="6"/>
    <x v="0"/>
  </r>
  <r>
    <x v="2844"/>
    <d v="2023-03-31T10:14:05"/>
    <x v="2788"/>
    <x v="2"/>
    <x v="10"/>
    <n v="5"/>
    <n v="2"/>
    <s v="USD"/>
    <x v="2"/>
    <s v="EMP0070"/>
    <n v="10"/>
    <s v="Fri"/>
    <x v="1"/>
    <x v="4"/>
  </r>
  <r>
    <x v="2845"/>
    <d v="2023-09-10T04:10:05"/>
    <x v="2789"/>
    <x v="12"/>
    <x v="17"/>
    <n v="2.5"/>
    <n v="3"/>
    <s v="USD"/>
    <x v="1"/>
    <s v="EMP0042"/>
    <n v="7.5"/>
    <s v="Sun"/>
    <x v="9"/>
    <x v="4"/>
  </r>
  <r>
    <x v="2846"/>
    <d v="2025-02-01T08:31:05"/>
    <x v="2790"/>
    <x v="8"/>
    <x v="8"/>
    <n v="4.5"/>
    <n v="9"/>
    <s v="USD"/>
    <x v="3"/>
    <s v="EMP0013"/>
    <n v="40.5"/>
    <s v="Sat"/>
    <x v="7"/>
    <x v="2"/>
  </r>
  <r>
    <x v="2847"/>
    <d v="2022-12-08T05:08:05"/>
    <x v="2791"/>
    <x v="13"/>
    <x v="2"/>
    <n v="2.5"/>
    <n v="8"/>
    <s v="USD"/>
    <x v="0"/>
    <s v="EMP0088"/>
    <n v="20"/>
    <s v="Thu"/>
    <x v="4"/>
    <x v="3"/>
  </r>
  <r>
    <x v="2848"/>
    <d v="2023-12-14T10:01:05"/>
    <x v="2792"/>
    <x v="10"/>
    <x v="1"/>
    <n v="1"/>
    <n v="2"/>
    <s v="USD"/>
    <x v="0"/>
    <s v="EMP0060"/>
    <n v="2"/>
    <s v="Thu"/>
    <x v="4"/>
    <x v="4"/>
  </r>
  <r>
    <x v="2849"/>
    <d v="2022-07-20T15:54:05"/>
    <x v="2793"/>
    <x v="6"/>
    <x v="13"/>
    <n v="0.8"/>
    <n v="2"/>
    <s v="USD"/>
    <x v="3"/>
    <s v="EMP0021"/>
    <n v="1.6"/>
    <s v="Wed"/>
    <x v="8"/>
    <x v="3"/>
  </r>
  <r>
    <x v="2850"/>
    <d v="2021-10-09T10:30:05"/>
    <x v="2794"/>
    <x v="10"/>
    <x v="16"/>
    <n v="4"/>
    <n v="9"/>
    <s v="USD"/>
    <x v="0"/>
    <s v="EMP0014"/>
    <n v="36"/>
    <s v="Sat"/>
    <x v="0"/>
    <x v="0"/>
  </r>
  <r>
    <x v="2851"/>
    <d v="2021-10-31T07:10:05"/>
    <x v="2795"/>
    <x v="9"/>
    <x v="18"/>
    <n v="1.7"/>
    <n v="3"/>
    <s v="USD"/>
    <x v="1"/>
    <s v="EMP0070"/>
    <n v="5.0999999999999996"/>
    <s v="Sun"/>
    <x v="0"/>
    <x v="0"/>
  </r>
  <r>
    <x v="2852"/>
    <d v="2023-06-12T13:33:05"/>
    <x v="2796"/>
    <x v="10"/>
    <x v="5"/>
    <n v="1"/>
    <n v="8"/>
    <s v="USD"/>
    <x v="0"/>
    <s v="EMP0098"/>
    <n v="8"/>
    <s v="Mon"/>
    <x v="3"/>
    <x v="4"/>
  </r>
  <r>
    <x v="2853"/>
    <d v="2022-12-19T05:31:05"/>
    <x v="2797"/>
    <x v="4"/>
    <x v="1"/>
    <n v="1"/>
    <n v="4"/>
    <s v="USD"/>
    <x v="3"/>
    <s v="EMP0066"/>
    <n v="4"/>
    <s v="Mon"/>
    <x v="4"/>
    <x v="3"/>
  </r>
  <r>
    <x v="2854"/>
    <d v="2024-05-11T19:43:05"/>
    <x v="2798"/>
    <x v="5"/>
    <x v="18"/>
    <n v="1.7"/>
    <n v="1"/>
    <s v="USD"/>
    <x v="4"/>
    <s v="EMP0030"/>
    <n v="1.7"/>
    <s v="Sat"/>
    <x v="5"/>
    <x v="1"/>
  </r>
  <r>
    <x v="2855"/>
    <d v="2022-02-21T22:39:05"/>
    <x v="2799"/>
    <x v="13"/>
    <x v="15"/>
    <n v="1.5"/>
    <n v="10"/>
    <s v="USD"/>
    <x v="1"/>
    <s v="EMP0093"/>
    <n v="15"/>
    <s v="Mon"/>
    <x v="7"/>
    <x v="3"/>
  </r>
  <r>
    <x v="2856"/>
    <d v="2021-10-14T00:01:05"/>
    <x v="2800"/>
    <x v="3"/>
    <x v="19"/>
    <n v="5.5"/>
    <n v="8"/>
    <s v="USD"/>
    <x v="5"/>
    <s v="EMP0090"/>
    <n v="44"/>
    <s v="Thu"/>
    <x v="0"/>
    <x v="0"/>
  </r>
  <r>
    <x v="2857"/>
    <d v="2025-01-04T00:31:05"/>
    <x v="2801"/>
    <x v="10"/>
    <x v="2"/>
    <n v="2.5"/>
    <n v="7"/>
    <s v="USD"/>
    <x v="1"/>
    <s v="EMP0100"/>
    <n v="17.5"/>
    <s v="Sat"/>
    <x v="2"/>
    <x v="2"/>
  </r>
  <r>
    <x v="2858"/>
    <d v="2024-07-13T13:03:05"/>
    <x v="2802"/>
    <x v="14"/>
    <x v="3"/>
    <n v="1.2"/>
    <n v="7"/>
    <s v="USD"/>
    <x v="1"/>
    <s v="EMP0019"/>
    <n v="8.4"/>
    <s v="Sat"/>
    <x v="8"/>
    <x v="1"/>
  </r>
  <r>
    <x v="2859"/>
    <d v="2024-11-17T15:33:05"/>
    <x v="2803"/>
    <x v="6"/>
    <x v="13"/>
    <n v="0.8"/>
    <n v="4"/>
    <s v="USD"/>
    <x v="2"/>
    <s v="EMP0045"/>
    <n v="3.2"/>
    <s v="Sun"/>
    <x v="10"/>
    <x v="1"/>
  </r>
  <r>
    <x v="2860"/>
    <d v="2023-07-07T16:16:05"/>
    <x v="2804"/>
    <x v="7"/>
    <x v="6"/>
    <n v="7"/>
    <n v="6"/>
    <s v="USD"/>
    <x v="3"/>
    <s v="EMP0100"/>
    <n v="42"/>
    <s v="Fri"/>
    <x v="8"/>
    <x v="4"/>
  </r>
  <r>
    <x v="2861"/>
    <d v="2023-06-22T19:58:05"/>
    <x v="2805"/>
    <x v="1"/>
    <x v="19"/>
    <n v="5.5"/>
    <n v="5"/>
    <s v="USD"/>
    <x v="5"/>
    <s v="EMP0073"/>
    <n v="27.5"/>
    <s v="Thu"/>
    <x v="3"/>
    <x v="4"/>
  </r>
  <r>
    <x v="2862"/>
    <d v="2024-07-05T14:22:05"/>
    <x v="2806"/>
    <x v="9"/>
    <x v="13"/>
    <n v="0.8"/>
    <n v="2"/>
    <s v="USD"/>
    <x v="1"/>
    <s v="EMP0018"/>
    <n v="1.6"/>
    <s v="Fri"/>
    <x v="8"/>
    <x v="1"/>
  </r>
  <r>
    <x v="2863"/>
    <d v="2023-07-08T19:01:05"/>
    <x v="2807"/>
    <x v="10"/>
    <x v="5"/>
    <n v="1"/>
    <n v="1"/>
    <s v="USD"/>
    <x v="1"/>
    <s v="EMP0076"/>
    <n v="1"/>
    <s v="Sat"/>
    <x v="8"/>
    <x v="4"/>
  </r>
  <r>
    <x v="2864"/>
    <d v="2022-05-10T16:09:05"/>
    <x v="2808"/>
    <x v="2"/>
    <x v="18"/>
    <n v="1.7"/>
    <n v="10"/>
    <s v="USD"/>
    <x v="1"/>
    <s v="EMP0070"/>
    <n v="17"/>
    <s v="Tue"/>
    <x v="5"/>
    <x v="3"/>
  </r>
  <r>
    <x v="2865"/>
    <d v="2023-09-25T19:31:05"/>
    <x v="2247"/>
    <x v="13"/>
    <x v="13"/>
    <n v="0.8"/>
    <n v="3"/>
    <s v="USD"/>
    <x v="3"/>
    <s v="EMP0043"/>
    <n v="2.4000000000000004"/>
    <s v="Mon"/>
    <x v="9"/>
    <x v="4"/>
  </r>
  <r>
    <x v="2866"/>
    <d v="2025-02-28T17:42:05"/>
    <x v="2809"/>
    <x v="0"/>
    <x v="2"/>
    <n v="2.5"/>
    <n v="9"/>
    <s v="USD"/>
    <x v="5"/>
    <s v="EMP0093"/>
    <n v="22.5"/>
    <s v="Fri"/>
    <x v="7"/>
    <x v="2"/>
  </r>
  <r>
    <x v="2867"/>
    <d v="2021-12-30T14:42:05"/>
    <x v="2810"/>
    <x v="11"/>
    <x v="12"/>
    <n v="1.8"/>
    <n v="5"/>
    <s v="USD"/>
    <x v="2"/>
    <s v="EMP0017"/>
    <n v="9"/>
    <s v="Thu"/>
    <x v="4"/>
    <x v="0"/>
  </r>
  <r>
    <x v="2868"/>
    <d v="2023-09-06T18:05:05"/>
    <x v="1984"/>
    <x v="4"/>
    <x v="5"/>
    <n v="1"/>
    <n v="9"/>
    <s v="USD"/>
    <x v="1"/>
    <s v="EMP0081"/>
    <n v="9"/>
    <s v="Wed"/>
    <x v="9"/>
    <x v="4"/>
  </r>
  <r>
    <x v="2869"/>
    <d v="2024-12-24T17:21:05"/>
    <x v="2811"/>
    <x v="11"/>
    <x v="7"/>
    <n v="2.8"/>
    <n v="8"/>
    <s v="USD"/>
    <x v="2"/>
    <s v="EMP0070"/>
    <n v="22.4"/>
    <s v="Tue"/>
    <x v="4"/>
    <x v="1"/>
  </r>
  <r>
    <x v="2870"/>
    <d v="2022-07-04T22:35:05"/>
    <x v="2812"/>
    <x v="14"/>
    <x v="17"/>
    <n v="2.5"/>
    <n v="8"/>
    <s v="USD"/>
    <x v="3"/>
    <s v="EMP0046"/>
    <n v="20"/>
    <s v="Mon"/>
    <x v="8"/>
    <x v="3"/>
  </r>
  <r>
    <x v="2871"/>
    <d v="2024-05-08T05:29:05"/>
    <x v="2813"/>
    <x v="9"/>
    <x v="6"/>
    <n v="7"/>
    <n v="8"/>
    <s v="USD"/>
    <x v="5"/>
    <s v="EMP0062"/>
    <n v="56"/>
    <s v="Wed"/>
    <x v="5"/>
    <x v="1"/>
  </r>
  <r>
    <x v="2872"/>
    <d v="2024-04-02T19:37:05"/>
    <x v="2814"/>
    <x v="3"/>
    <x v="13"/>
    <n v="0.8"/>
    <n v="1"/>
    <s v="USD"/>
    <x v="1"/>
    <s v="EMP0058"/>
    <n v="0.8"/>
    <s v="Tue"/>
    <x v="11"/>
    <x v="1"/>
  </r>
  <r>
    <x v="2873"/>
    <d v="2023-10-25T00:37:05"/>
    <x v="2815"/>
    <x v="7"/>
    <x v="5"/>
    <n v="1"/>
    <n v="2"/>
    <s v="USD"/>
    <x v="2"/>
    <s v="EMP0081"/>
    <n v="2"/>
    <s v="Wed"/>
    <x v="0"/>
    <x v="4"/>
  </r>
  <r>
    <x v="2874"/>
    <d v="2021-08-18T22:55:05"/>
    <x v="2816"/>
    <x v="12"/>
    <x v="1"/>
    <n v="1"/>
    <n v="8"/>
    <s v="USD"/>
    <x v="5"/>
    <s v="EMP0070"/>
    <n v="8"/>
    <s v="Wed"/>
    <x v="6"/>
    <x v="0"/>
  </r>
  <r>
    <x v="2875"/>
    <d v="2024-07-05T17:50:05"/>
    <x v="2817"/>
    <x v="1"/>
    <x v="18"/>
    <n v="1.7"/>
    <n v="9"/>
    <s v="USD"/>
    <x v="5"/>
    <s v="EMP0092"/>
    <n v="15.299999999999999"/>
    <s v="Fri"/>
    <x v="8"/>
    <x v="1"/>
  </r>
  <r>
    <x v="2876"/>
    <d v="2024-06-28T09:06:05"/>
    <x v="2818"/>
    <x v="9"/>
    <x v="16"/>
    <n v="4"/>
    <n v="4"/>
    <s v="USD"/>
    <x v="5"/>
    <s v="EMP0096"/>
    <n v="16"/>
    <s v="Fri"/>
    <x v="3"/>
    <x v="1"/>
  </r>
  <r>
    <x v="2877"/>
    <d v="2025-02-19T16:52:05"/>
    <x v="2819"/>
    <x v="5"/>
    <x v="12"/>
    <n v="1.8"/>
    <n v="1"/>
    <s v="USD"/>
    <x v="5"/>
    <s v="EMP0083"/>
    <n v="1.8"/>
    <s v="Wed"/>
    <x v="7"/>
    <x v="2"/>
  </r>
  <r>
    <x v="2878"/>
    <d v="2024-04-22T15:46:05"/>
    <x v="2820"/>
    <x v="14"/>
    <x v="2"/>
    <n v="2.5"/>
    <n v="6"/>
    <s v="USD"/>
    <x v="3"/>
    <s v="EMP0090"/>
    <n v="15"/>
    <s v="Mon"/>
    <x v="11"/>
    <x v="1"/>
  </r>
  <r>
    <x v="2879"/>
    <d v="2023-11-05T12:44:05"/>
    <x v="2821"/>
    <x v="1"/>
    <x v="7"/>
    <n v="2.8"/>
    <n v="7"/>
    <s v="USD"/>
    <x v="5"/>
    <s v="EMP0094"/>
    <n v="19.599999999999998"/>
    <s v="Sun"/>
    <x v="10"/>
    <x v="4"/>
  </r>
  <r>
    <x v="2880"/>
    <d v="2021-11-18T02:43:05"/>
    <x v="2822"/>
    <x v="10"/>
    <x v="16"/>
    <n v="4"/>
    <n v="1"/>
    <s v="USD"/>
    <x v="3"/>
    <s v="EMP0087"/>
    <n v="4"/>
    <s v="Thu"/>
    <x v="10"/>
    <x v="0"/>
  </r>
  <r>
    <x v="2881"/>
    <d v="2024-08-27T08:09:05"/>
    <x v="2823"/>
    <x v="1"/>
    <x v="1"/>
    <n v="1"/>
    <n v="3"/>
    <s v="USD"/>
    <x v="2"/>
    <s v="EMP0044"/>
    <n v="3"/>
    <s v="Tue"/>
    <x v="6"/>
    <x v="1"/>
  </r>
  <r>
    <x v="2882"/>
    <d v="2023-04-03T05:10:05"/>
    <x v="2824"/>
    <x v="6"/>
    <x v="12"/>
    <n v="1.8"/>
    <n v="7"/>
    <s v="USD"/>
    <x v="5"/>
    <s v="EMP0076"/>
    <n v="12.6"/>
    <s v="Mon"/>
    <x v="11"/>
    <x v="4"/>
  </r>
  <r>
    <x v="2883"/>
    <d v="2023-02-22T07:18:05"/>
    <x v="2825"/>
    <x v="5"/>
    <x v="5"/>
    <n v="1"/>
    <n v="5"/>
    <s v="USD"/>
    <x v="0"/>
    <s v="EMP0082"/>
    <n v="5"/>
    <s v="Wed"/>
    <x v="7"/>
    <x v="4"/>
  </r>
  <r>
    <x v="2884"/>
    <d v="2023-12-20T17:18:05"/>
    <x v="2826"/>
    <x v="3"/>
    <x v="1"/>
    <n v="1"/>
    <n v="10"/>
    <s v="USD"/>
    <x v="4"/>
    <s v="EMP0051"/>
    <n v="10"/>
    <s v="Wed"/>
    <x v="4"/>
    <x v="4"/>
  </r>
  <r>
    <x v="2885"/>
    <d v="2024-02-09T06:52:05"/>
    <x v="2827"/>
    <x v="1"/>
    <x v="16"/>
    <n v="4"/>
    <n v="2"/>
    <s v="USD"/>
    <x v="4"/>
    <s v="EMP0052"/>
    <n v="8"/>
    <s v="Fri"/>
    <x v="7"/>
    <x v="1"/>
  </r>
  <r>
    <x v="2886"/>
    <d v="2024-06-07T05:21:05"/>
    <x v="2828"/>
    <x v="3"/>
    <x v="4"/>
    <n v="3.2"/>
    <n v="3"/>
    <s v="USD"/>
    <x v="1"/>
    <s v="EMP0098"/>
    <n v="9.6000000000000014"/>
    <s v="Fri"/>
    <x v="3"/>
    <x v="1"/>
  </r>
  <r>
    <x v="2887"/>
    <d v="2023-06-17T13:27:05"/>
    <x v="2829"/>
    <x v="10"/>
    <x v="13"/>
    <n v="0.8"/>
    <n v="6"/>
    <s v="USD"/>
    <x v="5"/>
    <s v="EMP0022"/>
    <n v="4.8000000000000007"/>
    <s v="Sat"/>
    <x v="3"/>
    <x v="4"/>
  </r>
  <r>
    <x v="2888"/>
    <d v="2022-02-16T08:01:05"/>
    <x v="2830"/>
    <x v="12"/>
    <x v="2"/>
    <n v="2.5"/>
    <n v="4"/>
    <s v="USD"/>
    <x v="4"/>
    <s v="EMP0068"/>
    <n v="10"/>
    <s v="Wed"/>
    <x v="7"/>
    <x v="3"/>
  </r>
  <r>
    <x v="2889"/>
    <d v="2021-12-10T16:03:05"/>
    <x v="2831"/>
    <x v="7"/>
    <x v="2"/>
    <n v="2.5"/>
    <n v="9"/>
    <s v="USD"/>
    <x v="3"/>
    <s v="EMP0072"/>
    <n v="22.5"/>
    <s v="Fri"/>
    <x v="4"/>
    <x v="0"/>
  </r>
  <r>
    <x v="2890"/>
    <d v="2021-05-15T01:03:05"/>
    <x v="2832"/>
    <x v="5"/>
    <x v="3"/>
    <n v="1.2"/>
    <n v="8"/>
    <s v="USD"/>
    <x v="1"/>
    <s v="EMP0034"/>
    <n v="9.6"/>
    <s v="Sat"/>
    <x v="5"/>
    <x v="0"/>
  </r>
  <r>
    <x v="2891"/>
    <d v="2023-03-09T20:06:05"/>
    <x v="2833"/>
    <x v="13"/>
    <x v="5"/>
    <n v="1"/>
    <n v="6"/>
    <s v="USD"/>
    <x v="5"/>
    <s v="EMP0099"/>
    <n v="6"/>
    <s v="Thu"/>
    <x v="1"/>
    <x v="4"/>
  </r>
  <r>
    <x v="2892"/>
    <d v="2021-07-17T03:34:05"/>
    <x v="2834"/>
    <x v="11"/>
    <x v="2"/>
    <n v="2.5"/>
    <n v="1"/>
    <s v="USD"/>
    <x v="0"/>
    <s v="EMP0040"/>
    <n v="2.5"/>
    <s v="Sat"/>
    <x v="8"/>
    <x v="0"/>
  </r>
  <r>
    <x v="2893"/>
    <d v="2021-10-30T18:19:05"/>
    <x v="2835"/>
    <x v="1"/>
    <x v="12"/>
    <n v="1.8"/>
    <n v="10"/>
    <s v="USD"/>
    <x v="3"/>
    <s v="EMP0015"/>
    <n v="18"/>
    <s v="Sat"/>
    <x v="0"/>
    <x v="0"/>
  </r>
  <r>
    <x v="2894"/>
    <d v="2022-08-27T17:56:05"/>
    <x v="2836"/>
    <x v="6"/>
    <x v="17"/>
    <n v="2.5"/>
    <n v="4"/>
    <s v="USD"/>
    <x v="1"/>
    <s v="EMP0091"/>
    <n v="10"/>
    <s v="Sat"/>
    <x v="6"/>
    <x v="3"/>
  </r>
  <r>
    <x v="2895"/>
    <d v="2023-06-25T19:11:05"/>
    <x v="2837"/>
    <x v="11"/>
    <x v="17"/>
    <n v="2.5"/>
    <n v="2"/>
    <s v="USD"/>
    <x v="4"/>
    <s v="EMP0027"/>
    <n v="5"/>
    <s v="Sun"/>
    <x v="3"/>
    <x v="4"/>
  </r>
  <r>
    <x v="2896"/>
    <d v="2023-02-22T04:21:05"/>
    <x v="2838"/>
    <x v="5"/>
    <x v="8"/>
    <n v="4.5"/>
    <n v="8"/>
    <s v="USD"/>
    <x v="3"/>
    <s v="EMP0042"/>
    <n v="36"/>
    <s v="Wed"/>
    <x v="7"/>
    <x v="4"/>
  </r>
  <r>
    <x v="2897"/>
    <d v="2023-07-08T07:20:05"/>
    <x v="2839"/>
    <x v="2"/>
    <x v="13"/>
    <n v="0.8"/>
    <n v="6"/>
    <s v="USD"/>
    <x v="1"/>
    <s v="EMP0028"/>
    <n v="4.8000000000000007"/>
    <s v="Sat"/>
    <x v="8"/>
    <x v="4"/>
  </r>
  <r>
    <x v="2898"/>
    <d v="2022-12-31T21:40:05"/>
    <x v="2840"/>
    <x v="4"/>
    <x v="12"/>
    <n v="1.8"/>
    <n v="2"/>
    <s v="USD"/>
    <x v="0"/>
    <s v="EMP0055"/>
    <n v="3.6"/>
    <s v="Sat"/>
    <x v="4"/>
    <x v="3"/>
  </r>
  <r>
    <x v="2899"/>
    <d v="2022-11-05T03:24:05"/>
    <x v="2841"/>
    <x v="13"/>
    <x v="5"/>
    <n v="1"/>
    <n v="5"/>
    <s v="USD"/>
    <x v="0"/>
    <s v="EMP0090"/>
    <n v="5"/>
    <s v="Sat"/>
    <x v="10"/>
    <x v="3"/>
  </r>
  <r>
    <x v="2900"/>
    <d v="2021-09-30T10:08:05"/>
    <x v="2842"/>
    <x v="14"/>
    <x v="9"/>
    <n v="3"/>
    <n v="1"/>
    <s v="USD"/>
    <x v="4"/>
    <s v="EMP0023"/>
    <n v="3"/>
    <s v="Thu"/>
    <x v="9"/>
    <x v="0"/>
  </r>
  <r>
    <x v="2901"/>
    <d v="2022-10-17T00:47:05"/>
    <x v="2843"/>
    <x v="9"/>
    <x v="19"/>
    <n v="5.5"/>
    <n v="10"/>
    <s v="USD"/>
    <x v="1"/>
    <s v="EMP0061"/>
    <n v="55"/>
    <s v="Mon"/>
    <x v="0"/>
    <x v="3"/>
  </r>
  <r>
    <x v="2902"/>
    <d v="2022-03-17T11:48:05"/>
    <x v="2844"/>
    <x v="0"/>
    <x v="14"/>
    <n v="2.2000000000000002"/>
    <n v="8"/>
    <s v="USD"/>
    <x v="3"/>
    <s v="EMP0035"/>
    <n v="17.600000000000001"/>
    <s v="Thu"/>
    <x v="1"/>
    <x v="3"/>
  </r>
  <r>
    <x v="2903"/>
    <d v="2023-05-01T09:11:05"/>
    <x v="2845"/>
    <x v="4"/>
    <x v="12"/>
    <n v="1.8"/>
    <n v="9"/>
    <s v="USD"/>
    <x v="1"/>
    <s v="EMP0099"/>
    <n v="16.2"/>
    <s v="Mon"/>
    <x v="5"/>
    <x v="4"/>
  </r>
  <r>
    <x v="2904"/>
    <d v="2023-05-27T01:16:05"/>
    <x v="2846"/>
    <x v="1"/>
    <x v="14"/>
    <n v="2.2000000000000002"/>
    <n v="6"/>
    <s v="USD"/>
    <x v="1"/>
    <s v="EMP0100"/>
    <n v="13.200000000000001"/>
    <s v="Sat"/>
    <x v="5"/>
    <x v="4"/>
  </r>
  <r>
    <x v="2905"/>
    <d v="2022-12-15T00:23:05"/>
    <x v="2847"/>
    <x v="5"/>
    <x v="16"/>
    <n v="4"/>
    <n v="9"/>
    <s v="USD"/>
    <x v="5"/>
    <s v="EMP0097"/>
    <n v="36"/>
    <s v="Thu"/>
    <x v="4"/>
    <x v="3"/>
  </r>
  <r>
    <x v="2906"/>
    <d v="2022-10-30T19:58:05"/>
    <x v="2848"/>
    <x v="11"/>
    <x v="8"/>
    <n v="4.5"/>
    <n v="3"/>
    <s v="USD"/>
    <x v="0"/>
    <s v="EMP0064"/>
    <n v="13.5"/>
    <s v="Sun"/>
    <x v="0"/>
    <x v="3"/>
  </r>
  <r>
    <x v="2907"/>
    <d v="2021-05-24T02:54:05"/>
    <x v="1644"/>
    <x v="5"/>
    <x v="0"/>
    <n v="3.1"/>
    <n v="9"/>
    <s v="USD"/>
    <x v="2"/>
    <s v="EMP0044"/>
    <n v="27.900000000000002"/>
    <s v="Mon"/>
    <x v="5"/>
    <x v="0"/>
  </r>
  <r>
    <x v="2908"/>
    <d v="2022-01-21T00:03:05"/>
    <x v="2849"/>
    <x v="14"/>
    <x v="4"/>
    <n v="3.2"/>
    <n v="10"/>
    <s v="USD"/>
    <x v="4"/>
    <s v="EMP0023"/>
    <n v="32"/>
    <s v="Fri"/>
    <x v="2"/>
    <x v="3"/>
  </r>
  <r>
    <x v="2909"/>
    <d v="2022-07-16T09:07:05"/>
    <x v="2850"/>
    <x v="12"/>
    <x v="19"/>
    <n v="5.5"/>
    <n v="2"/>
    <s v="USD"/>
    <x v="2"/>
    <s v="EMP0055"/>
    <n v="11"/>
    <s v="Sat"/>
    <x v="8"/>
    <x v="3"/>
  </r>
  <r>
    <x v="2910"/>
    <d v="2023-06-29T13:18:05"/>
    <x v="2851"/>
    <x v="1"/>
    <x v="3"/>
    <n v="1.2"/>
    <n v="1"/>
    <s v="USD"/>
    <x v="3"/>
    <s v="EMP0020"/>
    <n v="1.2"/>
    <s v="Thu"/>
    <x v="3"/>
    <x v="4"/>
  </r>
  <r>
    <x v="2911"/>
    <d v="2023-08-20T01:46:05"/>
    <x v="2852"/>
    <x v="2"/>
    <x v="16"/>
    <n v="4"/>
    <n v="4"/>
    <s v="USD"/>
    <x v="3"/>
    <s v="EMP0031"/>
    <n v="16"/>
    <s v="Sun"/>
    <x v="6"/>
    <x v="4"/>
  </r>
  <r>
    <x v="2912"/>
    <d v="2024-08-13T16:30:05"/>
    <x v="2853"/>
    <x v="4"/>
    <x v="19"/>
    <n v="5.5"/>
    <n v="6"/>
    <s v="USD"/>
    <x v="4"/>
    <s v="EMP0009"/>
    <n v="33"/>
    <s v="Tue"/>
    <x v="6"/>
    <x v="1"/>
  </r>
  <r>
    <x v="2913"/>
    <d v="2024-03-09T13:06:05"/>
    <x v="2854"/>
    <x v="5"/>
    <x v="15"/>
    <n v="1.5"/>
    <n v="1"/>
    <s v="USD"/>
    <x v="1"/>
    <s v="EMP0027"/>
    <n v="1.5"/>
    <s v="Sat"/>
    <x v="1"/>
    <x v="1"/>
  </r>
  <r>
    <x v="2914"/>
    <d v="2021-10-19T16:59:05"/>
    <x v="2855"/>
    <x v="9"/>
    <x v="13"/>
    <n v="0.8"/>
    <n v="2"/>
    <s v="USD"/>
    <x v="4"/>
    <s v="EMP0039"/>
    <n v="1.6"/>
    <s v="Tue"/>
    <x v="0"/>
    <x v="0"/>
  </r>
  <r>
    <x v="2915"/>
    <d v="2023-10-04T20:53:05"/>
    <x v="2856"/>
    <x v="12"/>
    <x v="6"/>
    <n v="7"/>
    <n v="7"/>
    <s v="USD"/>
    <x v="1"/>
    <s v="EMP0080"/>
    <n v="49"/>
    <s v="Wed"/>
    <x v="0"/>
    <x v="4"/>
  </r>
  <r>
    <x v="2916"/>
    <d v="2022-08-09T08:55:05"/>
    <x v="2857"/>
    <x v="4"/>
    <x v="2"/>
    <n v="2.5"/>
    <n v="7"/>
    <s v="USD"/>
    <x v="5"/>
    <s v="EMP0082"/>
    <n v="17.5"/>
    <s v="Tue"/>
    <x v="6"/>
    <x v="3"/>
  </r>
  <r>
    <x v="2917"/>
    <d v="2022-11-17T14:08:05"/>
    <x v="2858"/>
    <x v="3"/>
    <x v="18"/>
    <n v="1.7"/>
    <n v="3"/>
    <s v="USD"/>
    <x v="2"/>
    <s v="EMP0001"/>
    <n v="5.0999999999999996"/>
    <s v="Thu"/>
    <x v="10"/>
    <x v="3"/>
  </r>
  <r>
    <x v="2918"/>
    <d v="2024-08-17T01:32:05"/>
    <x v="2859"/>
    <x v="9"/>
    <x v="13"/>
    <n v="0.8"/>
    <n v="6"/>
    <s v="USD"/>
    <x v="4"/>
    <s v="EMP0027"/>
    <n v="4.8000000000000007"/>
    <s v="Sat"/>
    <x v="6"/>
    <x v="1"/>
  </r>
  <r>
    <x v="2919"/>
    <d v="2024-12-17T21:13:05"/>
    <x v="2860"/>
    <x v="14"/>
    <x v="13"/>
    <n v="0.8"/>
    <n v="9"/>
    <s v="USD"/>
    <x v="3"/>
    <s v="EMP0095"/>
    <n v="7.2"/>
    <s v="Tue"/>
    <x v="4"/>
    <x v="1"/>
  </r>
  <r>
    <x v="2920"/>
    <d v="2024-08-09T06:33:05"/>
    <x v="2861"/>
    <x v="7"/>
    <x v="14"/>
    <n v="2.2000000000000002"/>
    <n v="4"/>
    <s v="USD"/>
    <x v="1"/>
    <s v="EMP0019"/>
    <n v="8.8000000000000007"/>
    <s v="Fri"/>
    <x v="6"/>
    <x v="1"/>
  </r>
  <r>
    <x v="2921"/>
    <d v="2021-09-26T12:46:05"/>
    <x v="2862"/>
    <x v="11"/>
    <x v="5"/>
    <n v="1"/>
    <n v="2"/>
    <s v="USD"/>
    <x v="3"/>
    <s v="EMP0049"/>
    <n v="2"/>
    <s v="Sun"/>
    <x v="9"/>
    <x v="0"/>
  </r>
  <r>
    <x v="2922"/>
    <d v="2025-04-23T10:53:05"/>
    <x v="2863"/>
    <x v="2"/>
    <x v="18"/>
    <n v="1.7"/>
    <n v="5"/>
    <s v="USD"/>
    <x v="5"/>
    <s v="EMP0021"/>
    <n v="8.5"/>
    <s v="Wed"/>
    <x v="11"/>
    <x v="2"/>
  </r>
  <r>
    <x v="2923"/>
    <d v="2024-03-17T14:51:05"/>
    <x v="2864"/>
    <x v="10"/>
    <x v="7"/>
    <n v="2.8"/>
    <n v="1"/>
    <s v="USD"/>
    <x v="1"/>
    <s v="EMP0022"/>
    <n v="2.8"/>
    <s v="Sun"/>
    <x v="1"/>
    <x v="1"/>
  </r>
  <r>
    <x v="2924"/>
    <d v="2022-09-17T00:53:05"/>
    <x v="2865"/>
    <x v="0"/>
    <x v="9"/>
    <n v="3"/>
    <n v="8"/>
    <s v="USD"/>
    <x v="0"/>
    <s v="EMP0024"/>
    <n v="24"/>
    <s v="Sat"/>
    <x v="9"/>
    <x v="3"/>
  </r>
  <r>
    <x v="2925"/>
    <d v="2023-05-23T21:57:05"/>
    <x v="2866"/>
    <x v="5"/>
    <x v="0"/>
    <n v="3.1"/>
    <n v="6"/>
    <s v="USD"/>
    <x v="1"/>
    <s v="EMP0081"/>
    <n v="18.600000000000001"/>
    <s v="Tue"/>
    <x v="5"/>
    <x v="4"/>
  </r>
  <r>
    <x v="2926"/>
    <d v="2023-11-11T22:18:05"/>
    <x v="2867"/>
    <x v="8"/>
    <x v="14"/>
    <n v="2.2000000000000002"/>
    <n v="10"/>
    <s v="USD"/>
    <x v="3"/>
    <s v="EMP0042"/>
    <n v="22"/>
    <s v="Sat"/>
    <x v="10"/>
    <x v="4"/>
  </r>
  <r>
    <x v="2927"/>
    <d v="2024-07-21T18:21:05"/>
    <x v="2868"/>
    <x v="9"/>
    <x v="10"/>
    <n v="5"/>
    <n v="7"/>
    <s v="USD"/>
    <x v="2"/>
    <s v="EMP0071"/>
    <n v="35"/>
    <s v="Sun"/>
    <x v="8"/>
    <x v="1"/>
  </r>
  <r>
    <x v="2928"/>
    <d v="2024-01-01T14:20:05"/>
    <x v="2869"/>
    <x v="8"/>
    <x v="17"/>
    <n v="2.5"/>
    <n v="9"/>
    <s v="USD"/>
    <x v="0"/>
    <s v="EMP0092"/>
    <n v="22.5"/>
    <s v="Mon"/>
    <x v="2"/>
    <x v="1"/>
  </r>
  <r>
    <x v="2929"/>
    <d v="2022-11-21T09:45:05"/>
    <x v="2870"/>
    <x v="10"/>
    <x v="13"/>
    <n v="0.8"/>
    <n v="2"/>
    <s v="USD"/>
    <x v="5"/>
    <s v="EMP0088"/>
    <n v="1.6"/>
    <s v="Mon"/>
    <x v="10"/>
    <x v="3"/>
  </r>
  <r>
    <x v="2930"/>
    <d v="2024-02-24T06:58:05"/>
    <x v="2871"/>
    <x v="14"/>
    <x v="11"/>
    <n v="4"/>
    <n v="10"/>
    <s v="USD"/>
    <x v="2"/>
    <s v="EMP0075"/>
    <n v="40"/>
    <s v="Sat"/>
    <x v="7"/>
    <x v="1"/>
  </r>
  <r>
    <x v="2931"/>
    <d v="2024-04-23T13:06:05"/>
    <x v="2872"/>
    <x v="6"/>
    <x v="13"/>
    <n v="0.8"/>
    <n v="3"/>
    <s v="USD"/>
    <x v="1"/>
    <s v="EMP0073"/>
    <n v="2.4000000000000004"/>
    <s v="Tue"/>
    <x v="11"/>
    <x v="1"/>
  </r>
  <r>
    <x v="2932"/>
    <d v="2021-11-27T06:39:05"/>
    <x v="2873"/>
    <x v="8"/>
    <x v="13"/>
    <n v="0.8"/>
    <n v="2"/>
    <s v="USD"/>
    <x v="2"/>
    <s v="EMP0055"/>
    <n v="1.6"/>
    <s v="Sat"/>
    <x v="10"/>
    <x v="0"/>
  </r>
  <r>
    <x v="2933"/>
    <d v="2023-07-09T15:32:05"/>
    <x v="2874"/>
    <x v="12"/>
    <x v="9"/>
    <n v="3"/>
    <n v="5"/>
    <s v="USD"/>
    <x v="0"/>
    <s v="EMP0071"/>
    <n v="15"/>
    <s v="Sun"/>
    <x v="8"/>
    <x v="4"/>
  </r>
  <r>
    <x v="2934"/>
    <d v="2022-04-08T09:11:05"/>
    <x v="2875"/>
    <x v="1"/>
    <x v="13"/>
    <n v="0.8"/>
    <n v="6"/>
    <s v="USD"/>
    <x v="2"/>
    <s v="EMP0047"/>
    <n v="4.8000000000000007"/>
    <s v="Fri"/>
    <x v="11"/>
    <x v="3"/>
  </r>
  <r>
    <x v="2935"/>
    <d v="2021-06-01T05:36:05"/>
    <x v="2876"/>
    <x v="12"/>
    <x v="1"/>
    <n v="1"/>
    <n v="4"/>
    <s v="USD"/>
    <x v="4"/>
    <s v="EMP0072"/>
    <n v="4"/>
    <s v="Tue"/>
    <x v="3"/>
    <x v="0"/>
  </r>
  <r>
    <x v="2936"/>
    <d v="2023-08-18T05:00:05"/>
    <x v="2877"/>
    <x v="7"/>
    <x v="15"/>
    <n v="1.5"/>
    <n v="8"/>
    <s v="USD"/>
    <x v="2"/>
    <s v="EMP0096"/>
    <n v="12"/>
    <s v="Fri"/>
    <x v="6"/>
    <x v="4"/>
  </r>
  <r>
    <x v="2937"/>
    <d v="2022-08-04T06:16:05"/>
    <x v="2878"/>
    <x v="14"/>
    <x v="6"/>
    <n v="7"/>
    <n v="5"/>
    <s v="USD"/>
    <x v="0"/>
    <s v="EMP0003"/>
    <n v="35"/>
    <s v="Thu"/>
    <x v="6"/>
    <x v="3"/>
  </r>
  <r>
    <x v="2938"/>
    <d v="2022-02-25T03:10:05"/>
    <x v="2879"/>
    <x v="4"/>
    <x v="0"/>
    <n v="3.1"/>
    <n v="10"/>
    <s v="USD"/>
    <x v="5"/>
    <s v="EMP0079"/>
    <n v="31"/>
    <s v="Fri"/>
    <x v="7"/>
    <x v="3"/>
  </r>
  <r>
    <x v="2939"/>
    <d v="2024-09-13T07:29:05"/>
    <x v="2616"/>
    <x v="10"/>
    <x v="5"/>
    <n v="1"/>
    <n v="10"/>
    <s v="USD"/>
    <x v="5"/>
    <s v="EMP0001"/>
    <n v="10"/>
    <s v="Fri"/>
    <x v="9"/>
    <x v="1"/>
  </r>
  <r>
    <x v="2940"/>
    <d v="2024-04-21T19:15:05"/>
    <x v="2880"/>
    <x v="10"/>
    <x v="9"/>
    <n v="3"/>
    <n v="3"/>
    <s v="USD"/>
    <x v="3"/>
    <s v="EMP0043"/>
    <n v="9"/>
    <s v="Sun"/>
    <x v="11"/>
    <x v="1"/>
  </r>
  <r>
    <x v="2941"/>
    <d v="2023-12-21T15:29:05"/>
    <x v="2881"/>
    <x v="12"/>
    <x v="10"/>
    <n v="5"/>
    <n v="9"/>
    <s v="USD"/>
    <x v="5"/>
    <s v="EMP0093"/>
    <n v="45"/>
    <s v="Thu"/>
    <x v="4"/>
    <x v="4"/>
  </r>
  <r>
    <x v="2942"/>
    <d v="2024-09-21T06:55:05"/>
    <x v="2882"/>
    <x v="0"/>
    <x v="4"/>
    <n v="3.2"/>
    <n v="3"/>
    <s v="USD"/>
    <x v="1"/>
    <s v="EMP0072"/>
    <n v="9.6000000000000014"/>
    <s v="Sat"/>
    <x v="9"/>
    <x v="1"/>
  </r>
  <r>
    <x v="2943"/>
    <d v="2022-06-12T06:18:05"/>
    <x v="2883"/>
    <x v="6"/>
    <x v="3"/>
    <n v="1.2"/>
    <n v="2"/>
    <s v="USD"/>
    <x v="0"/>
    <s v="EMP0047"/>
    <n v="2.4"/>
    <s v="Sun"/>
    <x v="3"/>
    <x v="3"/>
  </r>
  <r>
    <x v="2944"/>
    <d v="2023-02-15T13:36:05"/>
    <x v="2884"/>
    <x v="0"/>
    <x v="17"/>
    <n v="2.5"/>
    <n v="9"/>
    <s v="USD"/>
    <x v="0"/>
    <s v="EMP0023"/>
    <n v="22.5"/>
    <s v="Wed"/>
    <x v="7"/>
    <x v="4"/>
  </r>
  <r>
    <x v="2945"/>
    <d v="2025-02-21T12:10:05"/>
    <x v="2885"/>
    <x v="14"/>
    <x v="1"/>
    <n v="1"/>
    <n v="8"/>
    <s v="USD"/>
    <x v="1"/>
    <s v="EMP0088"/>
    <n v="8"/>
    <s v="Fri"/>
    <x v="7"/>
    <x v="2"/>
  </r>
  <r>
    <x v="2946"/>
    <d v="2022-09-28T20:54:05"/>
    <x v="2886"/>
    <x v="9"/>
    <x v="16"/>
    <n v="4"/>
    <n v="8"/>
    <s v="USD"/>
    <x v="4"/>
    <s v="EMP0088"/>
    <n v="32"/>
    <s v="Wed"/>
    <x v="9"/>
    <x v="3"/>
  </r>
  <r>
    <x v="2947"/>
    <d v="2024-03-03T14:39:05"/>
    <x v="2887"/>
    <x v="0"/>
    <x v="7"/>
    <n v="2.8"/>
    <n v="9"/>
    <s v="USD"/>
    <x v="4"/>
    <s v="EMP0024"/>
    <n v="25.2"/>
    <s v="Sun"/>
    <x v="1"/>
    <x v="1"/>
  </r>
  <r>
    <x v="2948"/>
    <d v="2024-01-10T16:52:05"/>
    <x v="2888"/>
    <x v="8"/>
    <x v="17"/>
    <n v="2.5"/>
    <n v="1"/>
    <s v="USD"/>
    <x v="0"/>
    <s v="EMP0003"/>
    <n v="2.5"/>
    <s v="Wed"/>
    <x v="2"/>
    <x v="1"/>
  </r>
  <r>
    <x v="2949"/>
    <d v="2023-10-18T04:11:05"/>
    <x v="2889"/>
    <x v="1"/>
    <x v="6"/>
    <n v="7"/>
    <n v="2"/>
    <s v="USD"/>
    <x v="1"/>
    <s v="EMP0074"/>
    <n v="14"/>
    <s v="Wed"/>
    <x v="0"/>
    <x v="4"/>
  </r>
  <r>
    <x v="2950"/>
    <d v="2023-07-23T09:57:05"/>
    <x v="2890"/>
    <x v="7"/>
    <x v="7"/>
    <n v="2.8"/>
    <n v="3"/>
    <s v="USD"/>
    <x v="0"/>
    <s v="EMP0094"/>
    <n v="8.3999999999999986"/>
    <s v="Sun"/>
    <x v="8"/>
    <x v="4"/>
  </r>
  <r>
    <x v="2951"/>
    <d v="2022-02-26T11:25:05"/>
    <x v="2891"/>
    <x v="14"/>
    <x v="14"/>
    <n v="2.2000000000000002"/>
    <n v="10"/>
    <s v="USD"/>
    <x v="0"/>
    <s v="EMP0100"/>
    <n v="22"/>
    <s v="Sat"/>
    <x v="7"/>
    <x v="3"/>
  </r>
  <r>
    <x v="2952"/>
    <d v="2022-01-23T14:04:05"/>
    <x v="2892"/>
    <x v="3"/>
    <x v="3"/>
    <n v="1.2"/>
    <n v="2"/>
    <s v="USD"/>
    <x v="4"/>
    <s v="EMP0026"/>
    <n v="2.4"/>
    <s v="Sun"/>
    <x v="2"/>
    <x v="3"/>
  </r>
  <r>
    <x v="2953"/>
    <d v="2022-09-04T04:45:05"/>
    <x v="2893"/>
    <x v="4"/>
    <x v="12"/>
    <n v="1.8"/>
    <n v="4"/>
    <s v="USD"/>
    <x v="3"/>
    <s v="EMP0079"/>
    <n v="7.2"/>
    <s v="Sun"/>
    <x v="9"/>
    <x v="3"/>
  </r>
  <r>
    <x v="2954"/>
    <d v="2024-04-02T12:50:05"/>
    <x v="2894"/>
    <x v="8"/>
    <x v="15"/>
    <n v="1.5"/>
    <n v="2"/>
    <s v="USD"/>
    <x v="0"/>
    <s v="EMP0088"/>
    <n v="3"/>
    <s v="Tue"/>
    <x v="11"/>
    <x v="1"/>
  </r>
  <r>
    <x v="2955"/>
    <d v="2022-01-09T22:21:05"/>
    <x v="2895"/>
    <x v="12"/>
    <x v="19"/>
    <n v="5.5"/>
    <n v="3"/>
    <s v="USD"/>
    <x v="5"/>
    <s v="EMP0007"/>
    <n v="16.5"/>
    <s v="Sun"/>
    <x v="2"/>
    <x v="3"/>
  </r>
  <r>
    <x v="2956"/>
    <d v="2021-10-21T08:40:05"/>
    <x v="2896"/>
    <x v="6"/>
    <x v="19"/>
    <n v="5.5"/>
    <n v="4"/>
    <s v="USD"/>
    <x v="0"/>
    <s v="EMP0016"/>
    <n v="22"/>
    <s v="Thu"/>
    <x v="0"/>
    <x v="0"/>
  </r>
  <r>
    <x v="2957"/>
    <d v="2021-07-02T14:57:05"/>
    <x v="2897"/>
    <x v="8"/>
    <x v="10"/>
    <n v="5"/>
    <n v="3"/>
    <s v="USD"/>
    <x v="3"/>
    <s v="EMP0015"/>
    <n v="15"/>
    <s v="Fri"/>
    <x v="8"/>
    <x v="0"/>
  </r>
  <r>
    <x v="2958"/>
    <d v="2021-12-15T13:43:05"/>
    <x v="2898"/>
    <x v="7"/>
    <x v="19"/>
    <n v="5.5"/>
    <n v="2"/>
    <s v="USD"/>
    <x v="5"/>
    <s v="EMP0052"/>
    <n v="11"/>
    <s v="Wed"/>
    <x v="4"/>
    <x v="0"/>
  </r>
  <r>
    <x v="2959"/>
    <d v="2024-10-07T08:28:05"/>
    <x v="2899"/>
    <x v="6"/>
    <x v="17"/>
    <n v="2.5"/>
    <n v="2"/>
    <s v="USD"/>
    <x v="1"/>
    <s v="EMP0093"/>
    <n v="5"/>
    <s v="Mon"/>
    <x v="0"/>
    <x v="1"/>
  </r>
  <r>
    <x v="2960"/>
    <d v="2025-03-04T23:18:05"/>
    <x v="2900"/>
    <x v="0"/>
    <x v="4"/>
    <n v="3.2"/>
    <n v="9"/>
    <s v="USD"/>
    <x v="5"/>
    <s v="EMP0032"/>
    <n v="28.8"/>
    <s v="Tue"/>
    <x v="1"/>
    <x v="2"/>
  </r>
  <r>
    <x v="2961"/>
    <d v="2024-03-29T17:39:05"/>
    <x v="2901"/>
    <x v="0"/>
    <x v="11"/>
    <n v="4"/>
    <n v="1"/>
    <s v="USD"/>
    <x v="4"/>
    <s v="EMP0074"/>
    <n v="4"/>
    <s v="Fri"/>
    <x v="1"/>
    <x v="1"/>
  </r>
  <r>
    <x v="2962"/>
    <d v="2024-04-10T00:02:05"/>
    <x v="2902"/>
    <x v="5"/>
    <x v="11"/>
    <n v="4"/>
    <n v="9"/>
    <s v="USD"/>
    <x v="3"/>
    <s v="EMP0085"/>
    <n v="36"/>
    <s v="Wed"/>
    <x v="11"/>
    <x v="1"/>
  </r>
  <r>
    <x v="2963"/>
    <d v="2024-05-07T22:45:05"/>
    <x v="2903"/>
    <x v="1"/>
    <x v="8"/>
    <n v="4.5"/>
    <n v="9"/>
    <s v="USD"/>
    <x v="3"/>
    <s v="EMP0020"/>
    <n v="40.5"/>
    <s v="Tue"/>
    <x v="5"/>
    <x v="1"/>
  </r>
  <r>
    <x v="2964"/>
    <d v="2023-10-10T08:20:05"/>
    <x v="2904"/>
    <x v="7"/>
    <x v="8"/>
    <n v="4.5"/>
    <n v="1"/>
    <s v="USD"/>
    <x v="1"/>
    <s v="EMP0088"/>
    <n v="4.5"/>
    <s v="Tue"/>
    <x v="0"/>
    <x v="4"/>
  </r>
  <r>
    <x v="2965"/>
    <d v="2023-02-20T16:53:05"/>
    <x v="2905"/>
    <x v="6"/>
    <x v="4"/>
    <n v="3.2"/>
    <n v="1"/>
    <s v="USD"/>
    <x v="1"/>
    <s v="EMP0086"/>
    <n v="3.2"/>
    <s v="Mon"/>
    <x v="7"/>
    <x v="4"/>
  </r>
  <r>
    <x v="2966"/>
    <d v="2023-07-11T09:17:05"/>
    <x v="2906"/>
    <x v="12"/>
    <x v="8"/>
    <n v="4.5"/>
    <n v="7"/>
    <s v="USD"/>
    <x v="0"/>
    <s v="EMP0003"/>
    <n v="31.5"/>
    <s v="Tue"/>
    <x v="8"/>
    <x v="4"/>
  </r>
  <r>
    <x v="2967"/>
    <d v="2022-01-14T06:42:05"/>
    <x v="2907"/>
    <x v="4"/>
    <x v="7"/>
    <n v="2.8"/>
    <n v="6"/>
    <s v="USD"/>
    <x v="2"/>
    <s v="EMP0049"/>
    <n v="16.799999999999997"/>
    <s v="Fri"/>
    <x v="2"/>
    <x v="3"/>
  </r>
  <r>
    <x v="2968"/>
    <d v="2024-12-24T13:39:05"/>
    <x v="2908"/>
    <x v="3"/>
    <x v="3"/>
    <n v="1.2"/>
    <n v="4"/>
    <s v="USD"/>
    <x v="2"/>
    <s v="EMP0086"/>
    <n v="4.8"/>
    <s v="Tue"/>
    <x v="4"/>
    <x v="1"/>
  </r>
  <r>
    <x v="2969"/>
    <d v="2022-02-28T18:04:05"/>
    <x v="2909"/>
    <x v="6"/>
    <x v="16"/>
    <n v="4"/>
    <n v="8"/>
    <s v="USD"/>
    <x v="3"/>
    <s v="EMP0100"/>
    <n v="32"/>
    <s v="Mon"/>
    <x v="7"/>
    <x v="3"/>
  </r>
  <r>
    <x v="2970"/>
    <d v="2024-10-22T05:57:05"/>
    <x v="2910"/>
    <x v="7"/>
    <x v="14"/>
    <n v="2.2000000000000002"/>
    <n v="5"/>
    <s v="USD"/>
    <x v="0"/>
    <s v="EMP0055"/>
    <n v="11"/>
    <s v="Tue"/>
    <x v="0"/>
    <x v="1"/>
  </r>
  <r>
    <x v="2971"/>
    <d v="2023-05-04T20:06:05"/>
    <x v="2911"/>
    <x v="9"/>
    <x v="7"/>
    <n v="2.8"/>
    <n v="7"/>
    <s v="USD"/>
    <x v="4"/>
    <s v="EMP0098"/>
    <n v="19.599999999999998"/>
    <s v="Thu"/>
    <x v="5"/>
    <x v="4"/>
  </r>
  <r>
    <x v="2972"/>
    <d v="2024-08-16T06:32:05"/>
    <x v="2912"/>
    <x v="13"/>
    <x v="0"/>
    <n v="3.1"/>
    <n v="2"/>
    <s v="USD"/>
    <x v="2"/>
    <s v="EMP0100"/>
    <n v="6.2"/>
    <s v="Fri"/>
    <x v="6"/>
    <x v="1"/>
  </r>
  <r>
    <x v="2973"/>
    <d v="2024-06-24T13:17:05"/>
    <x v="2913"/>
    <x v="10"/>
    <x v="17"/>
    <n v="2.5"/>
    <n v="7"/>
    <s v="USD"/>
    <x v="3"/>
    <s v="EMP0047"/>
    <n v="17.5"/>
    <s v="Mon"/>
    <x v="3"/>
    <x v="1"/>
  </r>
  <r>
    <x v="2974"/>
    <d v="2021-11-29T07:56:05"/>
    <x v="2914"/>
    <x v="2"/>
    <x v="1"/>
    <n v="1"/>
    <n v="8"/>
    <s v="USD"/>
    <x v="4"/>
    <s v="EMP0008"/>
    <n v="8"/>
    <s v="Mon"/>
    <x v="10"/>
    <x v="0"/>
  </r>
  <r>
    <x v="2975"/>
    <d v="2024-06-02T17:47:05"/>
    <x v="2915"/>
    <x v="13"/>
    <x v="10"/>
    <n v="5"/>
    <n v="2"/>
    <s v="USD"/>
    <x v="5"/>
    <s v="EMP0055"/>
    <n v="10"/>
    <s v="Sun"/>
    <x v="3"/>
    <x v="1"/>
  </r>
  <r>
    <x v="2976"/>
    <d v="2022-01-16T13:00:05"/>
    <x v="2916"/>
    <x v="2"/>
    <x v="14"/>
    <n v="2.2000000000000002"/>
    <n v="3"/>
    <s v="USD"/>
    <x v="4"/>
    <s v="EMP0068"/>
    <n v="6.6000000000000005"/>
    <s v="Sun"/>
    <x v="2"/>
    <x v="3"/>
  </r>
  <r>
    <x v="2977"/>
    <d v="2021-09-16T10:05:05"/>
    <x v="2917"/>
    <x v="5"/>
    <x v="0"/>
    <n v="3.1"/>
    <n v="3"/>
    <s v="USD"/>
    <x v="2"/>
    <s v="EMP0081"/>
    <n v="9.3000000000000007"/>
    <s v="Thu"/>
    <x v="9"/>
    <x v="0"/>
  </r>
  <r>
    <x v="2978"/>
    <d v="2021-10-03T13:12:05"/>
    <x v="2918"/>
    <x v="0"/>
    <x v="8"/>
    <n v="4.5"/>
    <n v="1"/>
    <s v="USD"/>
    <x v="0"/>
    <s v="EMP0008"/>
    <n v="4.5"/>
    <s v="Sun"/>
    <x v="0"/>
    <x v="0"/>
  </r>
  <r>
    <x v="2979"/>
    <d v="2024-08-27T12:47:05"/>
    <x v="2919"/>
    <x v="5"/>
    <x v="6"/>
    <n v="7"/>
    <n v="8"/>
    <s v="USD"/>
    <x v="1"/>
    <s v="EMP0099"/>
    <n v="56"/>
    <s v="Tue"/>
    <x v="6"/>
    <x v="1"/>
  </r>
  <r>
    <x v="2980"/>
    <d v="2021-10-06T23:03:05"/>
    <x v="2920"/>
    <x v="8"/>
    <x v="8"/>
    <n v="4.5"/>
    <n v="10"/>
    <s v="USD"/>
    <x v="3"/>
    <s v="EMP0048"/>
    <n v="45"/>
    <s v="Wed"/>
    <x v="0"/>
    <x v="0"/>
  </r>
  <r>
    <x v="2981"/>
    <d v="2022-11-14T18:43:05"/>
    <x v="2921"/>
    <x v="14"/>
    <x v="7"/>
    <n v="2.8"/>
    <n v="6"/>
    <s v="USD"/>
    <x v="4"/>
    <s v="EMP0055"/>
    <n v="16.799999999999997"/>
    <s v="Mon"/>
    <x v="10"/>
    <x v="3"/>
  </r>
  <r>
    <x v="2982"/>
    <d v="2024-05-21T06:10:05"/>
    <x v="2922"/>
    <x v="10"/>
    <x v="19"/>
    <n v="5.5"/>
    <n v="3"/>
    <s v="USD"/>
    <x v="4"/>
    <s v="EMP0060"/>
    <n v="16.5"/>
    <s v="Tue"/>
    <x v="5"/>
    <x v="1"/>
  </r>
  <r>
    <x v="2983"/>
    <d v="2022-12-02T13:19:05"/>
    <x v="2923"/>
    <x v="13"/>
    <x v="1"/>
    <n v="1"/>
    <n v="1"/>
    <s v="USD"/>
    <x v="3"/>
    <s v="EMP0066"/>
    <n v="1"/>
    <s v="Fri"/>
    <x v="4"/>
    <x v="3"/>
  </r>
  <r>
    <x v="2984"/>
    <d v="2024-08-31T12:13:05"/>
    <x v="2924"/>
    <x v="13"/>
    <x v="18"/>
    <n v="1.7"/>
    <n v="9"/>
    <s v="USD"/>
    <x v="0"/>
    <s v="EMP0013"/>
    <n v="15.299999999999999"/>
    <s v="Sat"/>
    <x v="6"/>
    <x v="1"/>
  </r>
  <r>
    <x v="2985"/>
    <d v="2022-11-01T01:09:05"/>
    <x v="2925"/>
    <x v="14"/>
    <x v="9"/>
    <n v="3"/>
    <n v="8"/>
    <s v="USD"/>
    <x v="0"/>
    <s v="EMP0055"/>
    <n v="24"/>
    <s v="Tue"/>
    <x v="10"/>
    <x v="3"/>
  </r>
  <r>
    <x v="2986"/>
    <d v="2022-06-17T11:52:05"/>
    <x v="2926"/>
    <x v="13"/>
    <x v="12"/>
    <n v="1.8"/>
    <n v="2"/>
    <s v="USD"/>
    <x v="2"/>
    <s v="EMP0086"/>
    <n v="3.6"/>
    <s v="Fri"/>
    <x v="3"/>
    <x v="3"/>
  </r>
  <r>
    <x v="2987"/>
    <d v="2023-04-19T23:20:05"/>
    <x v="955"/>
    <x v="6"/>
    <x v="16"/>
    <n v="4"/>
    <n v="1"/>
    <s v="USD"/>
    <x v="2"/>
    <s v="EMP0014"/>
    <n v="4"/>
    <s v="Wed"/>
    <x v="11"/>
    <x v="4"/>
  </r>
  <r>
    <x v="2988"/>
    <d v="2023-06-07T15:23:05"/>
    <x v="2927"/>
    <x v="10"/>
    <x v="9"/>
    <n v="3"/>
    <n v="4"/>
    <s v="USD"/>
    <x v="1"/>
    <s v="EMP0006"/>
    <n v="12"/>
    <s v="Wed"/>
    <x v="3"/>
    <x v="4"/>
  </r>
  <r>
    <x v="2989"/>
    <d v="2023-01-23T23:20:05"/>
    <x v="2928"/>
    <x v="2"/>
    <x v="17"/>
    <n v="2.5"/>
    <n v="8"/>
    <s v="USD"/>
    <x v="2"/>
    <s v="EMP0030"/>
    <n v="20"/>
    <s v="Mon"/>
    <x v="2"/>
    <x v="4"/>
  </r>
  <r>
    <x v="2990"/>
    <d v="2023-06-29T11:23:05"/>
    <x v="2929"/>
    <x v="4"/>
    <x v="8"/>
    <n v="4.5"/>
    <n v="6"/>
    <s v="USD"/>
    <x v="1"/>
    <s v="EMP0036"/>
    <n v="27"/>
    <s v="Thu"/>
    <x v="3"/>
    <x v="4"/>
  </r>
  <r>
    <x v="2991"/>
    <d v="2022-08-06T04:14:05"/>
    <x v="2930"/>
    <x v="14"/>
    <x v="6"/>
    <n v="7"/>
    <n v="3"/>
    <s v="USD"/>
    <x v="3"/>
    <s v="EMP0091"/>
    <n v="21"/>
    <s v="Sat"/>
    <x v="6"/>
    <x v="3"/>
  </r>
  <r>
    <x v="2992"/>
    <d v="2024-04-02T13:25:05"/>
    <x v="2931"/>
    <x v="12"/>
    <x v="18"/>
    <n v="1.7"/>
    <n v="3"/>
    <s v="USD"/>
    <x v="4"/>
    <s v="EMP0069"/>
    <n v="5.0999999999999996"/>
    <s v="Tue"/>
    <x v="11"/>
    <x v="1"/>
  </r>
  <r>
    <x v="2993"/>
    <d v="2022-05-23T16:04:05"/>
    <x v="2932"/>
    <x v="10"/>
    <x v="18"/>
    <n v="1.7"/>
    <n v="7"/>
    <s v="USD"/>
    <x v="1"/>
    <s v="EMP0033"/>
    <n v="11.9"/>
    <s v="Mon"/>
    <x v="5"/>
    <x v="3"/>
  </r>
  <r>
    <x v="2994"/>
    <d v="2022-07-28T13:13:05"/>
    <x v="2933"/>
    <x v="7"/>
    <x v="1"/>
    <n v="1"/>
    <n v="1"/>
    <s v="USD"/>
    <x v="4"/>
    <s v="EMP0026"/>
    <n v="1"/>
    <s v="Thu"/>
    <x v="8"/>
    <x v="3"/>
  </r>
  <r>
    <x v="2995"/>
    <d v="2021-08-04T06:48:05"/>
    <x v="2934"/>
    <x v="8"/>
    <x v="13"/>
    <n v="0.8"/>
    <n v="8"/>
    <s v="USD"/>
    <x v="4"/>
    <s v="EMP0056"/>
    <n v="6.4"/>
    <s v="Wed"/>
    <x v="6"/>
    <x v="0"/>
  </r>
  <r>
    <x v="2996"/>
    <d v="2023-02-22T23:34:05"/>
    <x v="2935"/>
    <x v="6"/>
    <x v="9"/>
    <n v="3"/>
    <n v="6"/>
    <s v="USD"/>
    <x v="1"/>
    <s v="EMP0009"/>
    <n v="18"/>
    <s v="Wed"/>
    <x v="7"/>
    <x v="4"/>
  </r>
  <r>
    <x v="2997"/>
    <d v="2022-05-31T05:33:05"/>
    <x v="2936"/>
    <x v="6"/>
    <x v="15"/>
    <n v="1.5"/>
    <n v="1"/>
    <s v="USD"/>
    <x v="3"/>
    <s v="EMP0008"/>
    <n v="1.5"/>
    <s v="Tue"/>
    <x v="5"/>
    <x v="3"/>
  </r>
  <r>
    <x v="2998"/>
    <d v="2023-11-12T01:00:05"/>
    <x v="2937"/>
    <x v="8"/>
    <x v="19"/>
    <n v="5.5"/>
    <n v="5"/>
    <s v="USD"/>
    <x v="4"/>
    <s v="EMP0081"/>
    <n v="27.5"/>
    <s v="Sun"/>
    <x v="10"/>
    <x v="4"/>
  </r>
  <r>
    <x v="2999"/>
    <d v="2022-01-19T12:38:05"/>
    <x v="2938"/>
    <x v="7"/>
    <x v="19"/>
    <n v="5.5"/>
    <n v="1"/>
    <s v="USD"/>
    <x v="5"/>
    <s v="EMP0076"/>
    <n v="5.5"/>
    <s v="Wed"/>
    <x v="2"/>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A3C20E9-EF16-419F-957E-4C9C3ED8900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A1966" firstHeaderRow="1" firstDataRow="1" firstDataCol="1"/>
  <pivotFields count="14">
    <pivotField showAll="0"/>
    <pivotField numFmtId="22" showAll="0"/>
    <pivotField axis="axisRow" showAll="0">
      <items count="2940">
        <item x="1235"/>
        <item x="1629"/>
        <item x="2351"/>
        <item x="1457"/>
        <item x="2310"/>
        <item x="457"/>
        <item x="1331"/>
        <item x="726"/>
        <item x="820"/>
        <item x="96"/>
        <item x="1822"/>
        <item x="2731"/>
        <item x="1851"/>
        <item x="2142"/>
        <item x="6"/>
        <item x="2174"/>
        <item x="2768"/>
        <item x="1415"/>
        <item x="385"/>
        <item x="2232"/>
        <item x="704"/>
        <item x="791"/>
        <item x="198"/>
        <item x="1661"/>
        <item x="891"/>
        <item x="89"/>
        <item x="383"/>
        <item x="2180"/>
        <item x="2489"/>
        <item x="1533"/>
        <item x="2332"/>
        <item x="1043"/>
        <item x="1381"/>
        <item x="2020"/>
        <item x="2397"/>
        <item x="175"/>
        <item x="1044"/>
        <item x="451"/>
        <item x="180"/>
        <item x="1759"/>
        <item x="2447"/>
        <item x="1624"/>
        <item x="729"/>
        <item x="2687"/>
        <item x="1648"/>
        <item x="837"/>
        <item x="1747"/>
        <item x="2560"/>
        <item x="1525"/>
        <item x="647"/>
        <item x="1568"/>
        <item x="1734"/>
        <item x="1814"/>
        <item x="453"/>
        <item x="1535"/>
        <item x="2853"/>
        <item x="695"/>
        <item x="1023"/>
        <item x="2398"/>
        <item x="2068"/>
        <item x="924"/>
        <item x="1490"/>
        <item x="1284"/>
        <item x="775"/>
        <item x="195"/>
        <item x="369"/>
        <item x="0"/>
        <item x="2291"/>
        <item x="2828"/>
        <item x="339"/>
        <item x="511"/>
        <item x="2392"/>
        <item x="1402"/>
        <item x="167"/>
        <item x="948"/>
        <item x="166"/>
        <item x="2015"/>
        <item x="1577"/>
        <item x="967"/>
        <item x="1749"/>
        <item x="931"/>
        <item x="2269"/>
        <item x="1019"/>
        <item x="2394"/>
        <item x="279"/>
        <item x="1605"/>
        <item x="1257"/>
        <item x="1438"/>
        <item x="2416"/>
        <item x="918"/>
        <item x="759"/>
        <item x="1799"/>
        <item x="2818"/>
        <item x="1607"/>
        <item x="632"/>
        <item x="1604"/>
        <item x="65"/>
        <item x="2115"/>
        <item x="1155"/>
        <item x="298"/>
        <item x="2188"/>
        <item x="2315"/>
        <item x="1097"/>
        <item x="1141"/>
        <item x="144"/>
        <item x="649"/>
        <item x="2854"/>
        <item x="1867"/>
        <item x="778"/>
        <item x="651"/>
        <item x="1990"/>
        <item x="624"/>
        <item x="1729"/>
        <item x="519"/>
        <item x="868"/>
        <item x="933"/>
        <item x="1430"/>
        <item x="74"/>
        <item x="2858"/>
        <item x="349"/>
        <item x="2402"/>
        <item x="2019"/>
        <item x="1640"/>
        <item x="1036"/>
        <item x="2689"/>
        <item x="2373"/>
        <item x="1570"/>
        <item x="334"/>
        <item x="2813"/>
        <item x="2532"/>
        <item x="2683"/>
        <item x="2547"/>
        <item x="2121"/>
        <item x="240"/>
        <item x="2244"/>
        <item x="1324"/>
        <item x="1505"/>
        <item x="2428"/>
        <item x="648"/>
        <item x="1521"/>
        <item x="1301"/>
        <item x="236"/>
        <item x="1115"/>
        <item x="2764"/>
        <item x="2595"/>
        <item x="549"/>
        <item x="2784"/>
        <item x="528"/>
        <item x="1656"/>
        <item x="139"/>
        <item x="1226"/>
        <item x="1500"/>
        <item x="2233"/>
        <item x="1866"/>
        <item x="981"/>
        <item x="409"/>
        <item x="76"/>
        <item x="1710"/>
        <item x="2840"/>
        <item x="182"/>
        <item x="2226"/>
        <item x="1923"/>
        <item x="193"/>
        <item x="513"/>
        <item x="44"/>
        <item x="1846"/>
        <item x="2"/>
        <item x="1919"/>
        <item x="1721"/>
        <item x="1692"/>
        <item x="2149"/>
        <item x="1120"/>
        <item x="811"/>
        <item x="1611"/>
        <item x="95"/>
        <item x="2894"/>
        <item x="1495"/>
        <item x="2934"/>
        <item x="1204"/>
        <item x="983"/>
        <item x="2810"/>
        <item x="1475"/>
        <item x="2222"/>
        <item x="1971"/>
        <item x="1974"/>
        <item x="1025"/>
        <item x="989"/>
        <item x="2112"/>
        <item x="215"/>
        <item x="1795"/>
        <item x="533"/>
        <item x="341"/>
        <item x="43"/>
        <item x="708"/>
        <item x="2085"/>
        <item x="1730"/>
        <item x="377"/>
        <item x="1802"/>
        <item x="2710"/>
        <item x="2297"/>
        <item x="1199"/>
        <item x="29"/>
        <item x="407"/>
        <item x="1667"/>
        <item x="2575"/>
        <item x="414"/>
        <item x="2362"/>
        <item x="861"/>
        <item x="2620"/>
        <item x="2581"/>
        <item x="1146"/>
        <item x="1781"/>
        <item x="122"/>
        <item x="1654"/>
        <item x="2672"/>
        <item x="328"/>
        <item x="1537"/>
        <item x="942"/>
        <item x="735"/>
        <item x="2210"/>
        <item x="1053"/>
        <item x="1876"/>
        <item x="2660"/>
        <item x="2766"/>
        <item x="183"/>
        <item x="1616"/>
        <item x="1523"/>
        <item x="840"/>
        <item x="2737"/>
        <item x="316"/>
        <item x="397"/>
        <item x="2831"/>
        <item x="1997"/>
        <item x="1152"/>
        <item x="1463"/>
        <item x="899"/>
        <item x="1184"/>
        <item x="2826"/>
        <item x="2805"/>
        <item x="1989"/>
        <item x="568"/>
        <item x="1955"/>
        <item x="117"/>
        <item x="433"/>
        <item x="1743"/>
        <item x="2618"/>
        <item x="860"/>
        <item x="2507"/>
        <item x="2341"/>
        <item x="495"/>
        <item x="2466"/>
        <item x="1345"/>
        <item x="2032"/>
        <item x="1323"/>
        <item x="1597"/>
        <item x="219"/>
        <item x="1556"/>
        <item x="253"/>
        <item x="551"/>
        <item x="1939"/>
        <item x="2211"/>
        <item x="2773"/>
        <item x="1999"/>
        <item x="2284"/>
        <item x="1589"/>
        <item x="2251"/>
        <item x="1774"/>
        <item x="2482"/>
        <item x="2919"/>
        <item x="839"/>
        <item x="225"/>
        <item x="2931"/>
        <item x="1256"/>
        <item x="813"/>
        <item x="1448"/>
        <item x="1680"/>
        <item x="2443"/>
        <item x="2602"/>
        <item x="1129"/>
        <item x="536"/>
        <item x="2136"/>
        <item x="2164"/>
        <item x="1003"/>
        <item x="2863"/>
        <item x="487"/>
        <item x="2200"/>
        <item x="830"/>
        <item x="857"/>
        <item x="2153"/>
        <item x="2167"/>
        <item x="2140"/>
        <item x="2655"/>
        <item x="1510"/>
        <item x="794"/>
        <item x="2733"/>
        <item x="2799"/>
        <item x="2420"/>
        <item x="842"/>
        <item x="243"/>
        <item x="1221"/>
        <item x="2905"/>
        <item x="505"/>
        <item x="1068"/>
        <item x="1334"/>
        <item x="1445"/>
        <item x="2920"/>
        <item x="1699"/>
        <item x="2907"/>
        <item x="322"/>
        <item x="1553"/>
        <item x="1230"/>
        <item x="841"/>
        <item x="1928"/>
        <item x="1103"/>
        <item x="1808"/>
        <item x="1583"/>
        <item x="1075"/>
        <item x="1529"/>
        <item x="154"/>
        <item x="2533"/>
        <item x="715"/>
        <item x="1961"/>
        <item x="1909"/>
        <item x="920"/>
        <item x="456"/>
        <item x="445"/>
        <item x="2367"/>
        <item x="2259"/>
        <item x="1757"/>
        <item x="697"/>
        <item x="58"/>
        <item x="2016"/>
        <item x="1836"/>
        <item x="325"/>
        <item x="1752"/>
        <item x="1243"/>
        <item x="2217"/>
        <item x="1396"/>
        <item x="1690"/>
        <item x="1441"/>
        <item x="500"/>
        <item x="2293"/>
        <item x="1105"/>
        <item x="986"/>
        <item x="2838"/>
        <item x="2452"/>
        <item x="1050"/>
        <item x="1987"/>
        <item x="209"/>
        <item x="604"/>
        <item x="1872"/>
        <item x="2616"/>
        <item x="2502"/>
        <item x="2056"/>
        <item x="855"/>
        <item x="15"/>
        <item x="91"/>
        <item x="2723"/>
        <item x="391"/>
        <item x="2832"/>
        <item x="2219"/>
        <item x="288"/>
        <item x="1554"/>
        <item x="2448"/>
        <item x="2645"/>
        <item x="1111"/>
        <item x="39"/>
        <item x="845"/>
        <item x="449"/>
        <item x="2891"/>
        <item x="1594"/>
        <item x="1798"/>
        <item x="2841"/>
        <item x="1220"/>
        <item x="990"/>
        <item x="1897"/>
        <item x="1198"/>
        <item x="910"/>
        <item x="2700"/>
        <item x="72"/>
        <item x="1355"/>
        <item x="1660"/>
        <item x="1796"/>
        <item x="361"/>
        <item x="206"/>
        <item x="1965"/>
        <item x="913"/>
        <item x="614"/>
        <item x="1810"/>
        <item x="1125"/>
        <item x="2937"/>
        <item x="2910"/>
        <item x="2688"/>
        <item x="2179"/>
        <item x="128"/>
        <item x="101"/>
        <item x="2699"/>
        <item x="1181"/>
        <item x="1285"/>
        <item x="2896"/>
        <item x="2738"/>
        <item x="2906"/>
        <item x="2679"/>
        <item x="2668"/>
        <item x="2162"/>
        <item x="19"/>
        <item x="979"/>
        <item x="1891"/>
        <item x="1962"/>
        <item x="306"/>
        <item x="771"/>
        <item x="985"/>
        <item x="2578"/>
        <item x="2787"/>
        <item x="2604"/>
        <item x="2501"/>
        <item x="833"/>
        <item x="806"/>
        <item x="67"/>
        <item x="2098"/>
        <item x="2572"/>
        <item x="1845"/>
        <item x="1291"/>
        <item x="2511"/>
        <item x="286"/>
        <item x="1497"/>
        <item x="1274"/>
        <item x="416"/>
        <item x="1689"/>
        <item x="1733"/>
        <item x="607"/>
        <item x="598"/>
        <item x="618"/>
        <item x="2109"/>
        <item x="1253"/>
        <item x="836"/>
        <item x="904"/>
        <item x="2803"/>
        <item x="37"/>
        <item x="1037"/>
        <item x="2835"/>
        <item x="1771"/>
        <item x="1787"/>
        <item x="888"/>
        <item x="1986"/>
        <item x="1065"/>
        <item x="1067"/>
        <item x="2666"/>
        <item x="1422"/>
        <item x="2037"/>
        <item x="2647"/>
        <item x="1968"/>
        <item x="2661"/>
        <item x="207"/>
        <item x="784"/>
        <item x="2223"/>
        <item x="1840"/>
        <item x="2641"/>
        <item x="432"/>
        <item x="1451"/>
        <item x="384"/>
        <item x="2819"/>
        <item x="1663"/>
        <item x="2856"/>
        <item x="1322"/>
        <item x="2568"/>
        <item x="1373"/>
        <item x="2316"/>
        <item x="1694"/>
        <item x="336"/>
        <item x="1988"/>
        <item x="2106"/>
        <item x="2642"/>
        <item x="373"/>
        <item x="2294"/>
        <item x="320"/>
        <item x="2062"/>
        <item x="734"/>
        <item x="668"/>
        <item x="1028"/>
        <item x="779"/>
        <item x="2406"/>
        <item x="1424"/>
        <item x="2503"/>
        <item x="1476"/>
        <item x="2102"/>
        <item x="2343"/>
        <item x="1649"/>
        <item x="2183"/>
        <item x="140"/>
        <item x="883"/>
        <item x="2902"/>
        <item x="724"/>
        <item x="2893"/>
        <item x="357"/>
        <item x="2185"/>
        <item x="2686"/>
        <item x="569"/>
        <item x="894"/>
        <item x="2003"/>
        <item x="2822"/>
        <item x="2307"/>
        <item x="1514"/>
        <item x="2187"/>
        <item x="992"/>
        <item x="2777"/>
        <item x="2753"/>
        <item x="2093"/>
        <item x="93"/>
        <item x="1465"/>
        <item x="1173"/>
        <item x="2573"/>
        <item x="1662"/>
        <item x="777"/>
        <item x="1280"/>
        <item x="912"/>
        <item x="1148"/>
        <item x="2145"/>
        <item x="2181"/>
        <item x="103"/>
        <item x="1871"/>
        <item x="1370"/>
        <item x="87"/>
        <item x="2088"/>
        <item x="2824"/>
        <item x="1531"/>
        <item x="1815"/>
        <item x="2873"/>
        <item x="436"/>
        <item x="2424"/>
        <item x="2148"/>
        <item x="2926"/>
        <item x="1712"/>
        <item x="1442"/>
        <item x="2868"/>
        <item x="1330"/>
        <item x="1279"/>
        <item x="2812"/>
        <item x="2548"/>
        <item x="1240"/>
        <item x="2395"/>
        <item x="772"/>
        <item x="520"/>
        <item x="1287"/>
        <item x="1942"/>
        <item x="232"/>
        <item x="1399"/>
        <item x="1389"/>
        <item x="1820"/>
        <item x="1631"/>
        <item x="143"/>
        <item x="210"/>
        <item x="1679"/>
        <item x="2049"/>
        <item x="2537"/>
        <item x="2765"/>
        <item x="1485"/>
        <item x="543"/>
        <item x="823"/>
        <item x="785"/>
        <item x="2789"/>
        <item x="1453"/>
        <item x="2172"/>
        <item x="774"/>
        <item x="1561"/>
        <item x="1899"/>
        <item x="930"/>
        <item x="787"/>
        <item x="1458"/>
        <item x="2593"/>
        <item x="1307"/>
        <item x="267"/>
        <item x="621"/>
        <item x="330"/>
        <item x="2740"/>
        <item x="318"/>
        <item x="5"/>
        <item x="2609"/>
        <item x="655"/>
        <item x="1788"/>
        <item x="62"/>
        <item x="2499"/>
        <item x="2197"/>
        <item x="1791"/>
        <item x="2372"/>
        <item x="1567"/>
        <item x="1450"/>
        <item x="1032"/>
        <item x="1826"/>
        <item x="2600"/>
        <item x="2393"/>
        <item x="963"/>
        <item x="2735"/>
        <item x="137"/>
        <item x="450"/>
        <item x="220"/>
        <item x="1062"/>
        <item x="365"/>
        <item x="641"/>
        <item x="2095"/>
        <item x="400"/>
        <item x="2337"/>
        <item x="2742"/>
        <item x="4"/>
        <item x="1548"/>
        <item x="2756"/>
        <item x="1295"/>
        <item x="1371"/>
        <item x="1427"/>
        <item x="1536"/>
        <item x="113"/>
        <item x="690"/>
        <item x="1887"/>
        <item x="2342"/>
        <item x="52"/>
        <item x="2760"/>
        <item x="1627"/>
        <item x="2205"/>
        <item x="510"/>
        <item x="1084"/>
        <item x="934"/>
        <item x="477"/>
        <item x="1687"/>
        <item x="2076"/>
        <item x="906"/>
        <item x="2747"/>
        <item x="970"/>
        <item x="2475"/>
        <item x="2059"/>
        <item x="2535"/>
        <item x="254"/>
        <item x="340"/>
        <item x="1186"/>
        <item x="268"/>
        <item x="1715"/>
        <item x="2852"/>
        <item x="452"/>
        <item x="909"/>
        <item x="1296"/>
        <item x="586"/>
        <item x="1354"/>
        <item x="2522"/>
        <item x="745"/>
        <item x="394"/>
        <item x="2487"/>
        <item x="752"/>
        <item x="333"/>
        <item x="882"/>
        <item x="2405"/>
        <item x="85"/>
        <item x="2901"/>
        <item x="807"/>
        <item x="579"/>
        <item x="1758"/>
        <item x="1239"/>
        <item x="2033"/>
        <item x="952"/>
        <item x="1268"/>
        <item x="335"/>
        <item x="133"/>
        <item x="1972"/>
        <item x="1952"/>
        <item x="169"/>
        <item x="572"/>
        <item x="2462"/>
        <item x="196"/>
        <item x="2387"/>
        <item x="2198"/>
        <item x="3"/>
        <item x="1202"/>
        <item x="2207"/>
        <item x="1033"/>
        <item x="1348"/>
        <item x="2750"/>
        <item x="1515"/>
        <item x="2529"/>
        <item x="919"/>
        <item x="895"/>
        <item x="2288"/>
        <item x="2751"/>
        <item x="832"/>
        <item x="1935"/>
        <item x="51"/>
        <item x="171"/>
        <item x="2437"/>
        <item x="1978"/>
        <item x="1093"/>
        <item x="138"/>
        <item x="2320"/>
        <item x="1070"/>
        <item x="713"/>
        <item x="237"/>
        <item x="141"/>
        <item x="577"/>
        <item x="2388"/>
        <item x="664"/>
        <item x="1113"/>
        <item x="1223"/>
        <item x="2481"/>
        <item x="2680"/>
        <item x="2127"/>
        <item x="1664"/>
        <item x="916"/>
        <item x="605"/>
        <item x="2354"/>
        <item x="205"/>
        <item x="1563"/>
        <item x="611"/>
        <item x="1540"/>
        <item x="1190"/>
        <item x="2358"/>
        <item x="896"/>
        <item x="1372"/>
        <item x="650"/>
        <item x="2376"/>
        <item x="974"/>
        <item x="289"/>
        <item x="1066"/>
        <item x="1572"/>
        <item x="338"/>
        <item x="1410"/>
        <item x="1249"/>
        <item x="1892"/>
        <item x="2794"/>
        <item x="150"/>
        <item x="2472"/>
        <item x="2046"/>
        <item x="2075"/>
        <item x="1439"/>
        <item x="479"/>
        <item x="1486"/>
        <item x="1315"/>
        <item x="1197"/>
        <item x="308"/>
        <item x="1311"/>
        <item x="680"/>
        <item x="2319"/>
        <item x="2576"/>
        <item x="2908"/>
        <item x="1528"/>
        <item x="1366"/>
        <item x="2118"/>
        <item x="988"/>
        <item x="2022"/>
        <item x="97"/>
        <item x="2743"/>
        <item x="1777"/>
        <item x="1255"/>
        <item x="1473"/>
        <item x="1562"/>
        <item x="1027"/>
        <item x="192"/>
        <item x="34"/>
        <item x="190"/>
        <item x="816"/>
        <item x="2930"/>
        <item x="1351"/>
        <item x="370"/>
        <item x="876"/>
        <item x="258"/>
        <item x="1454"/>
        <item x="92"/>
        <item x="152"/>
        <item x="581"/>
        <item x="1560"/>
        <item x="211"/>
        <item x="1391"/>
        <item x="1932"/>
        <item x="2004"/>
        <item x="1418"/>
        <item x="780"/>
        <item x="997"/>
        <item x="1106"/>
        <item x="1875"/>
        <item x="973"/>
        <item x="17"/>
        <item x="727"/>
        <item x="998"/>
        <item x="824"/>
        <item x="1426"/>
        <item x="2808"/>
        <item x="2762"/>
        <item x="2705"/>
        <item x="2465"/>
        <item x="1491"/>
        <item x="261"/>
        <item x="1336"/>
        <item x="153"/>
        <item x="550"/>
        <item x="1546"/>
        <item x="1912"/>
        <item x="115"/>
        <item x="2105"/>
        <item x="2246"/>
        <item x="263"/>
        <item x="1306"/>
        <item x="1829"/>
        <item x="2350"/>
        <item x="1659"/>
        <item x="795"/>
        <item x="849"/>
        <item x="2579"/>
        <item x="1882"/>
        <item x="63"/>
        <item x="1187"/>
        <item x="1178"/>
        <item x="2191"/>
        <item x="531"/>
        <item x="2469"/>
        <item x="1727"/>
        <item x="245"/>
        <item x="2918"/>
        <item x="2103"/>
        <item x="2311"/>
        <item x="2029"/>
        <item x="1154"/>
        <item x="1886"/>
        <item x="381"/>
        <item x="2239"/>
        <item x="808"/>
        <item x="2887"/>
        <item x="1024"/>
        <item x="889"/>
        <item x="2570"/>
        <item x="2271"/>
        <item x="185"/>
        <item x="2925"/>
        <item x="1720"/>
        <item x="1571"/>
        <item x="514"/>
        <item x="2714"/>
        <item x="532"/>
        <item x="1449"/>
        <item x="309"/>
        <item x="1007"/>
        <item x="1375"/>
        <item x="1385"/>
        <item x="2599"/>
        <item x="2586"/>
        <item x="208"/>
        <item x="455"/>
        <item x="131"/>
        <item x="584"/>
        <item x="1509"/>
        <item x="14"/>
        <item x="2749"/>
        <item x="1390"/>
        <item x="1580"/>
        <item x="731"/>
        <item x="993"/>
        <item x="1339"/>
        <item x="1456"/>
        <item x="305"/>
        <item x="932"/>
        <item x="991"/>
        <item x="1074"/>
        <item x="2725"/>
        <item x="642"/>
        <item x="284"/>
        <item x="2433"/>
        <item x="2677"/>
        <item x="2399"/>
        <item x="2034"/>
        <item x="1499"/>
        <item x="892"/>
        <item x="1793"/>
        <item x="980"/>
        <item x="2116"/>
        <item x="38"/>
        <item x="1069"/>
        <item x="2043"/>
        <item x="1376"/>
        <item x="852"/>
        <item x="1628"/>
        <item x="2866"/>
        <item x="130"/>
        <item x="2169"/>
        <item x="617"/>
        <item x="1171"/>
        <item x="2693"/>
        <item x="222"/>
        <item x="202"/>
        <item x="2334"/>
        <item x="2792"/>
        <item x="2837"/>
        <item x="994"/>
        <item x="612"/>
        <item x="371"/>
        <item x="1552"/>
        <item x="1400"/>
        <item x="1189"/>
        <item x="426"/>
        <item x="2065"/>
        <item x="2318"/>
        <item x="1555"/>
        <item x="2536"/>
        <item x="1637"/>
        <item x="1657"/>
        <item x="2440"/>
        <item x="1437"/>
        <item x="908"/>
        <item x="1408"/>
        <item x="1116"/>
        <item x="616"/>
        <item x="659"/>
        <item x="537"/>
        <item x="506"/>
        <item x="964"/>
        <item x="1474"/>
        <item x="49"/>
        <item x="1957"/>
        <item x="2727"/>
        <item x="2509"/>
        <item x="2377"/>
        <item x="951"/>
        <item x="1519"/>
        <item x="1030"/>
        <item x="769"/>
        <item x="2564"/>
        <item x="1744"/>
        <item x="1646"/>
        <item x="738"/>
        <item x="2295"/>
        <item x="959"/>
        <item x="654"/>
        <item x="1489"/>
        <item x="1858"/>
        <item x="460"/>
        <item x="413"/>
        <item x="2146"/>
        <item x="1516"/>
        <item x="955"/>
        <item x="1210"/>
        <item x="1176"/>
        <item x="2708"/>
        <item x="1403"/>
        <item x="2801"/>
        <item x="1807"/>
        <item x="1834"/>
        <item x="1835"/>
        <item x="2407"/>
        <item x="125"/>
        <item x="2769"/>
        <item x="2524"/>
        <item x="2060"/>
        <item x="1109"/>
        <item x="204"/>
        <item x="1889"/>
        <item x="1131"/>
        <item x="22"/>
        <item x="1482"/>
        <item x="1077"/>
        <item x="1898"/>
        <item x="1248"/>
        <item x="2506"/>
        <item x="1900"/>
        <item x="2924"/>
        <item x="108"/>
        <item x="481"/>
        <item x="472"/>
        <item x="423"/>
        <item x="670"/>
        <item x="2357"/>
        <item x="939"/>
        <item x="2846"/>
        <item x="1941"/>
        <item x="2413"/>
        <item x="247"/>
        <item x="1518"/>
        <item x="1085"/>
        <item x="610"/>
        <item x="41"/>
        <item x="8"/>
        <item x="114"/>
        <item x="1849"/>
        <item x="1981"/>
        <item x="396"/>
        <item x="2429"/>
        <item x="1205"/>
        <item x="555"/>
        <item x="2359"/>
        <item x="2690"/>
        <item x="419"/>
        <item x="740"/>
        <item x="61"/>
        <item x="2212"/>
        <item x="7"/>
        <item x="2396"/>
        <item x="1665"/>
        <item x="375"/>
        <item x="1428"/>
        <item x="2158"/>
        <item x="1153"/>
        <item x="2898"/>
        <item x="1959"/>
        <item x="1294"/>
        <item x="1738"/>
        <item x="2776"/>
        <item x="2380"/>
        <item x="1724"/>
        <item x="1843"/>
        <item x="1174"/>
        <item x="2274"/>
        <item x="644"/>
        <item x="2798"/>
        <item x="1048"/>
        <item x="1918"/>
        <item x="580"/>
        <item x="424"/>
        <item x="2017"/>
        <item x="1885"/>
        <item x="415"/>
        <item x="764"/>
        <item x="1742"/>
        <item x="521"/>
        <item x="398"/>
        <item x="1038"/>
        <item x="1501"/>
        <item x="1542"/>
        <item x="2255"/>
        <item x="490"/>
        <item x="1201"/>
        <item x="822"/>
        <item x="2333"/>
        <item x="1479"/>
        <item x="300"/>
        <item x="2083"/>
        <item x="1916"/>
        <item x="2328"/>
        <item x="1783"/>
        <item x="2425"/>
        <item x="1639"/>
        <item x="1384"/>
        <item x="2227"/>
        <item x="805"/>
        <item x="1277"/>
        <item x="2329"/>
        <item x="489"/>
        <item x="756"/>
        <item x="2067"/>
        <item x="1149"/>
        <item x="2072"/>
        <item x="2027"/>
        <item x="2231"/>
        <item x="1392"/>
        <item x="2767"/>
        <item x="124"/>
        <item x="2732"/>
        <item x="1977"/>
        <item x="2587"/>
        <item x="1493"/>
        <item x="366"/>
        <item x="879"/>
        <item x="442"/>
        <item x="858"/>
        <item x="16"/>
        <item x="480"/>
        <item x="2505"/>
        <item x="2492"/>
        <item x="2739"/>
        <item x="878"/>
        <item x="1252"/>
        <item x="2899"/>
        <item x="250"/>
        <item x="1590"/>
        <item x="1310"/>
        <item x="2054"/>
        <item x="430"/>
        <item x="819"/>
        <item x="2508"/>
        <item x="2267"/>
        <item x="1917"/>
        <item x="1483"/>
        <item x="1472"/>
        <item x="1312"/>
        <item x="1468"/>
        <item x="1095"/>
        <item x="1269"/>
        <item x="2585"/>
        <item x="1444"/>
        <item x="1369"/>
        <item x="922"/>
        <item x="2419"/>
        <item x="2497"/>
        <item x="1837"/>
        <item x="418"/>
        <item x="887"/>
        <item x="1487"/>
        <item x="496"/>
        <item x="68"/>
        <item x="1087"/>
        <item x="2543"/>
        <item x="2451"/>
        <item x="31"/>
        <item x="1705"/>
        <item x="538"/>
        <item x="2404"/>
        <item x="2842"/>
        <item x="1127"/>
        <item x="1122"/>
        <item x="1060"/>
        <item x="1612"/>
        <item x="1040"/>
        <item x="1511"/>
        <item x="1541"/>
        <item x="1319"/>
        <item x="2415"/>
        <item x="1011"/>
        <item x="975"/>
        <item x="386"/>
        <item x="347"/>
        <item x="2521"/>
        <item x="2369"/>
        <item x="1910"/>
        <item x="1121"/>
        <item x="2007"/>
        <item x="1522"/>
        <item x="703"/>
        <item x="1018"/>
        <item x="699"/>
        <item x="2280"/>
        <item x="660"/>
        <item x="682"/>
        <item x="11"/>
        <item x="582"/>
        <item x="1592"/>
        <item x="2613"/>
        <item x="2927"/>
        <item x="159"/>
        <item x="1691"/>
        <item x="1276"/>
        <item x="170"/>
        <item x="2614"/>
        <item x="2483"/>
        <item x="1768"/>
        <item x="637"/>
        <item x="2565"/>
        <item x="2000"/>
        <item x="2552"/>
        <item x="1211"/>
        <item x="2830"/>
        <item x="1167"/>
        <item x="270"/>
        <item x="483"/>
        <item x="1188"/>
        <item x="2936"/>
        <item x="465"/>
        <item x="2206"/>
        <item x="2045"/>
        <item x="1644"/>
        <item x="2763"/>
        <item x="1170"/>
        <item x="2375"/>
        <item x="1585"/>
        <item x="1014"/>
        <item x="911"/>
        <item x="2445"/>
        <item x="590"/>
        <item x="2224"/>
        <item x="2306"/>
        <item x="2298"/>
        <item x="765"/>
        <item x="1683"/>
        <item x="127"/>
        <item x="438"/>
        <item x="1926"/>
        <item x="1338"/>
        <item x="157"/>
        <item x="2759"/>
        <item x="1130"/>
        <item x="2498"/>
        <item x="2563"/>
        <item x="1695"/>
        <item x="468"/>
        <item x="2636"/>
        <item x="2165"/>
        <item x="2682"/>
        <item x="1864"/>
        <item x="356"/>
        <item x="2607"/>
        <item x="2317"/>
        <item x="1414"/>
        <item x="119"/>
        <item x="35"/>
        <item x="2152"/>
        <item x="1119"/>
        <item x="163"/>
        <item x="2928"/>
        <item x="464"/>
        <item x="417"/>
        <item x="717"/>
        <item x="2553"/>
        <item x="2736"/>
        <item x="1158"/>
        <item x="966"/>
        <item x="425"/>
        <item x="746"/>
        <item x="161"/>
        <item x="2638"/>
        <item x="2262"/>
        <item x="499"/>
        <item x="395"/>
        <item x="1888"/>
        <item x="1704"/>
        <item x="1478"/>
        <item x="2243"/>
        <item x="760"/>
        <item x="681"/>
        <item x="2540"/>
        <item x="1099"/>
        <item x="1558"/>
        <item x="2649"/>
        <item x="712"/>
        <item x="2847"/>
        <item x="2268"/>
        <item x="2681"/>
        <item x="646"/>
        <item x="2459"/>
        <item x="885"/>
        <item x="1578"/>
        <item x="1001"/>
        <item x="2569"/>
        <item x="1362"/>
        <item x="2030"/>
        <item x="751"/>
        <item x="599"/>
        <item x="2484"/>
        <item x="2194"/>
        <item x="2434"/>
        <item x="786"/>
        <item x="1934"/>
        <item x="1377"/>
        <item x="1393"/>
        <item x="2290"/>
        <item x="2324"/>
        <item x="1142"/>
        <item x="1726"/>
        <item x="2722"/>
        <item x="221"/>
        <item x="2221"/>
        <item x="2596"/>
        <item x="439"/>
        <item x="1775"/>
        <item x="291"/>
        <item x="327"/>
        <item x="585"/>
        <item x="2531"/>
        <item x="406"/>
        <item x="2538"/>
        <item x="790"/>
        <item x="1290"/>
        <item x="1246"/>
        <item x="1526"/>
        <item x="728"/>
        <item x="2546"/>
        <item x="408"/>
        <item x="1150"/>
        <item x="767"/>
        <item x="869"/>
        <item x="2386"/>
        <item x="354"/>
        <item x="355"/>
        <item x="1610"/>
        <item x="1645"/>
        <item x="1271"/>
        <item x="1587"/>
        <item x="844"/>
        <item x="2309"/>
        <item x="64"/>
        <item x="2347"/>
        <item x="1686"/>
        <item x="281"/>
        <item x="2182"/>
        <item x="189"/>
        <item x="1698"/>
        <item x="1327"/>
        <item x="50"/>
        <item x="546"/>
        <item x="2063"/>
        <item x="1250"/>
        <item x="2048"/>
        <item x="2422"/>
        <item x="2100"/>
        <item x="1434"/>
        <item x="2712"/>
        <item x="1976"/>
        <item x="2157"/>
        <item x="98"/>
        <item x="230"/>
        <item x="2558"/>
        <item x="2588"/>
        <item x="1894"/>
        <item x="925"/>
        <item x="1208"/>
        <item x="2823"/>
        <item x="1913"/>
        <item x="2674"/>
        <item x="2289"/>
        <item x="1983"/>
        <item x="1144"/>
        <item x="796"/>
        <item x="2216"/>
        <item x="1012"/>
        <item x="2230"/>
        <item x="440"/>
        <item x="1794"/>
        <item x="403"/>
        <item x="1379"/>
        <item x="1713"/>
        <item x="412"/>
        <item x="2574"/>
        <item x="504"/>
        <item x="2252"/>
        <item x="2321"/>
        <item x="1786"/>
        <item x="927"/>
        <item x="168"/>
        <item x="1435"/>
        <item x="1140"/>
        <item x="2410"/>
        <item x="165"/>
        <item x="1367"/>
        <item x="1678"/>
        <item x="194"/>
        <item x="563"/>
        <item x="59"/>
        <item x="2551"/>
        <item x="1262"/>
        <item x="1177"/>
        <item x="2266"/>
        <item x="1114"/>
        <item x="1305"/>
        <item x="2175"/>
        <item x="2184"/>
        <item x="1431"/>
        <item x="1666"/>
        <item x="1852"/>
        <item x="1765"/>
        <item x="1770"/>
        <item x="1297"/>
        <item x="2734"/>
        <item x="1995"/>
        <item x="2091"/>
        <item x="1358"/>
        <item x="46"/>
        <item x="1996"/>
        <item x="2302"/>
        <item x="1412"/>
        <item x="2323"/>
        <item x="1718"/>
        <item x="2650"/>
        <item x="94"/>
        <item x="294"/>
        <item x="1838"/>
        <item x="900"/>
        <item x="321"/>
        <item x="2335"/>
        <item x="544"/>
        <item x="2196"/>
        <item x="2478"/>
        <item x="1108"/>
        <item x="1263"/>
        <item x="691"/>
        <item x="1368"/>
        <item x="484"/>
        <item x="615"/>
        <item x="272"/>
        <item x="2541"/>
        <item x="1203"/>
        <item x="186"/>
        <item x="2549"/>
        <item x="1506"/>
        <item x="1732"/>
        <item x="2382"/>
        <item x="331"/>
        <item x="314"/>
        <item x="70"/>
        <item x="2141"/>
        <item x="2133"/>
        <item x="2345"/>
        <item x="2411"/>
        <item x="2761"/>
        <item x="881"/>
        <item x="864"/>
        <item x="1914"/>
        <item x="761"/>
        <item x="463"/>
        <item x="1195"/>
        <item x="676"/>
        <item x="1265"/>
        <item x="1725"/>
        <item x="2438"/>
        <item x="818"/>
        <item x="135"/>
        <item x="248"/>
        <item x="2815"/>
        <item x="2261"/>
        <item x="203"/>
        <item x="1017"/>
        <item x="1823"/>
        <item x="2694"/>
        <item x="1134"/>
        <item x="694"/>
        <item x="675"/>
        <item x="2458"/>
        <item x="1461"/>
        <item x="285"/>
        <item x="1425"/>
        <item x="1944"/>
        <item x="1853"/>
        <item x="2490"/>
        <item x="698"/>
        <item x="524"/>
        <item x="843"/>
        <item x="2610"/>
        <item x="2120"/>
        <item x="1950"/>
        <item x="706"/>
        <item x="626"/>
        <item x="1785"/>
        <item x="999"/>
        <item x="48"/>
        <item x="1701"/>
        <item x="1613"/>
        <item x="1550"/>
        <item x="172"/>
        <item x="977"/>
        <item x="2035"/>
        <item x="1527"/>
        <item x="2671"/>
        <item x="2881"/>
        <item x="2778"/>
        <item x="2528"/>
        <item x="2241"/>
        <item x="1901"/>
        <item x="1551"/>
        <item x="2460"/>
        <item x="2724"/>
        <item x="2624"/>
        <item x="156"/>
        <item x="265"/>
        <item x="640"/>
        <item x="1716"/>
        <item x="507"/>
        <item x="937"/>
        <item x="1803"/>
        <item x="2791"/>
        <item x="274"/>
        <item x="629"/>
        <item x="145"/>
        <item x="2454"/>
        <item x="2339"/>
        <item x="2071"/>
        <item x="2473"/>
        <item x="476"/>
        <item x="1539"/>
        <item x="1881"/>
        <item x="25"/>
        <item x="1797"/>
        <item x="2277"/>
        <item x="1242"/>
        <item x="2468"/>
        <item x="1653"/>
        <item x="112"/>
        <item x="411"/>
        <item x="1929"/>
        <item x="214"/>
        <item x="1672"/>
        <item x="1071"/>
        <item x="474"/>
        <item x="545"/>
        <item x="1931"/>
        <item x="1196"/>
        <item x="26"/>
        <item x="2442"/>
        <item x="2008"/>
        <item x="1416"/>
        <item x="1380"/>
        <item x="1513"/>
        <item x="2305"/>
        <item x="2662"/>
        <item x="1471"/>
        <item x="1870"/>
        <item x="2667"/>
        <item x="1927"/>
        <item x="1855"/>
        <item x="1621"/>
        <item x="218"/>
        <item x="679"/>
        <item x="2669"/>
        <item x="2080"/>
        <item x="1800"/>
        <item x="620"/>
        <item x="2186"/>
        <item x="1933"/>
        <item x="1100"/>
        <item x="1905"/>
        <item x="2584"/>
        <item x="1151"/>
        <item x="1782"/>
        <item x="2580"/>
        <item x="1361"/>
        <item x="1350"/>
        <item x="191"/>
        <item x="2260"/>
        <item x="2155"/>
        <item x="984"/>
        <item x="2843"/>
        <item x="1002"/>
        <item x="1706"/>
        <item x="754"/>
        <item x="2463"/>
        <item x="1601"/>
        <item x="2713"/>
        <item x="1746"/>
        <item x="1314"/>
        <item x="2486"/>
        <item x="1737"/>
        <item x="2130"/>
        <item x="700"/>
        <item x="379"/>
        <item x="1709"/>
        <item x="2711"/>
        <item x="2064"/>
        <item x="1792"/>
        <item x="1081"/>
        <item x="1779"/>
        <item x="2193"/>
        <item x="2455"/>
        <item x="503"/>
        <item x="213"/>
        <item x="686"/>
        <item x="2663"/>
        <item x="789"/>
        <item x="1078"/>
        <item x="1622"/>
        <item x="257"/>
        <item x="541"/>
        <item x="402"/>
        <item x="1073"/>
        <item x="2872"/>
        <item x="1004"/>
        <item x="716"/>
        <item x="938"/>
        <item x="235"/>
        <item x="554"/>
        <item x="1035"/>
        <item x="148"/>
        <item x="467"/>
        <item x="2012"/>
        <item x="260"/>
        <item x="2412"/>
        <item x="2656"/>
        <item x="2154"/>
        <item x="343"/>
        <item x="2426"/>
        <item x="478"/>
        <item x="905"/>
        <item x="297"/>
        <item x="1076"/>
        <item x="2474"/>
        <item x="1907"/>
        <item x="601"/>
        <item x="1579"/>
        <item x="1347"/>
        <item x="2675"/>
        <item x="2057"/>
        <item x="1615"/>
        <item x="80"/>
        <item x="2135"/>
        <item x="573"/>
        <item x="1576"/>
        <item x="902"/>
        <item x="1179"/>
        <item x="2467"/>
        <item x="548"/>
        <item x="1575"/>
        <item x="2286"/>
        <item x="1333"/>
        <item x="1467"/>
        <item x="2673"/>
        <item x="2571"/>
        <item x="2163"/>
        <item x="1650"/>
        <item x="2720"/>
        <item x="2257"/>
        <item x="2718"/>
        <item x="459"/>
        <item x="941"/>
        <item x="1286"/>
        <item x="540"/>
        <item x="1466"/>
        <item x="2352"/>
        <item x="825"/>
        <item x="364"/>
        <item x="121"/>
        <item x="880"/>
        <item x="2024"/>
        <item x="2374"/>
        <item x="351"/>
        <item x="1530"/>
        <item x="2258"/>
        <item x="2892"/>
        <item x="1247"/>
        <item x="627"/>
        <item x="1258"/>
        <item x="1303"/>
        <item x="2850"/>
        <item x="2381"/>
        <item x="2534"/>
        <item x="1494"/>
        <item x="1735"/>
        <item x="2582"/>
        <item x="1344"/>
        <item x="1586"/>
        <item x="2421"/>
        <item x="1949"/>
        <item x="1365"/>
        <item x="304"/>
        <item x="776"/>
        <item x="893"/>
        <item x="242"/>
        <item x="589"/>
        <item x="307"/>
        <item x="1954"/>
        <item x="1671"/>
        <item x="1878"/>
        <item x="559"/>
        <item x="1745"/>
        <item x="1538"/>
        <item x="643"/>
        <item x="2849"/>
        <item x="1231"/>
        <item x="800"/>
        <item x="266"/>
        <item x="249"/>
        <item x="1397"/>
        <item x="1259"/>
        <item x="1224"/>
        <item x="1193"/>
        <item x="865"/>
        <item x="1404"/>
        <item x="350"/>
        <item x="1865"/>
        <item x="596"/>
        <item x="1216"/>
        <item x="226"/>
        <item x="748"/>
        <item x="246"/>
        <item x="523"/>
        <item x="797"/>
        <item x="255"/>
        <item x="2871"/>
        <item x="2793"/>
        <item x="1455"/>
        <item x="2807"/>
        <item x="1234"/>
        <item x="1000"/>
        <item x="674"/>
        <item x="884"/>
        <item x="1222"/>
        <item x="1137"/>
        <item x="669"/>
        <item x="2366"/>
        <item x="1342"/>
        <item x="1016"/>
        <item x="527"/>
        <item x="949"/>
        <item x="1407"/>
        <item x="1288"/>
        <item x="2340"/>
        <item x="1991"/>
        <item x="1642"/>
        <item x="1508"/>
        <item x="1166"/>
        <item x="1329"/>
        <item x="653"/>
        <item x="1982"/>
        <item x="2783"/>
        <item x="2368"/>
        <item x="730"/>
        <item x="1602"/>
        <item x="1668"/>
        <item x="1406"/>
        <item x="2199"/>
        <item x="2559"/>
        <item x="488"/>
        <item x="120"/>
        <item x="1915"/>
        <item x="673"/>
        <item x="1714"/>
        <item x="556"/>
        <item x="2011"/>
        <item x="1341"/>
        <item x="1717"/>
        <item x="2644"/>
        <item x="762"/>
        <item x="295"/>
        <item x="625"/>
        <item x="2657"/>
        <item x="733"/>
        <item x="877"/>
        <item x="2166"/>
        <item x="1061"/>
        <item x="390"/>
        <item x="233"/>
        <item x="1778"/>
        <item x="1388"/>
        <item x="1498"/>
        <item x="2601"/>
        <item x="1308"/>
        <item x="315"/>
        <item x="1937"/>
        <item x="73"/>
        <item x="923"/>
        <item x="1873"/>
        <item x="565"/>
        <item x="2639"/>
        <item x="1911"/>
        <item x="782"/>
        <item x="711"/>
        <item x="360"/>
        <item x="588"/>
        <item x="2464"/>
        <item x="2134"/>
        <item x="178"/>
        <item x="494"/>
        <item x="1754"/>
        <item x="2703"/>
        <item x="2516"/>
        <item x="1020"/>
        <item x="1619"/>
        <item x="747"/>
        <item x="1850"/>
        <item x="1157"/>
        <item x="2698"/>
        <item x="2523"/>
        <item x="1609"/>
        <item x="737"/>
        <item x="1655"/>
        <item x="332"/>
        <item x="850"/>
        <item x="184"/>
        <item x="1045"/>
        <item x="2623"/>
        <item x="2816"/>
        <item x="2678"/>
        <item x="162"/>
        <item x="287"/>
        <item x="88"/>
        <item x="79"/>
        <item x="1532"/>
        <item x="783"/>
        <item x="1675"/>
        <item x="1052"/>
        <item x="2276"/>
        <item x="1603"/>
        <item x="1953"/>
        <item x="1209"/>
        <item x="12"/>
        <item x="410"/>
        <item x="18"/>
        <item x="2530"/>
        <item x="1565"/>
        <item x="1013"/>
        <item x="2370"/>
        <item x="1462"/>
        <item x="2695"/>
        <item x="1423"/>
        <item x="619"/>
        <item x="863"/>
        <item x="566"/>
        <item x="1147"/>
        <item x="1574"/>
        <item x="2597"/>
        <item x="1938"/>
        <item x="2042"/>
        <item x="2254"/>
        <item x="1009"/>
        <item x="229"/>
        <item x="405"/>
        <item x="471"/>
        <item x="1544"/>
        <item x="2825"/>
        <item x="862"/>
        <item x="1731"/>
        <item x="1821"/>
        <item x="2361"/>
        <item x="657"/>
        <item x="1101"/>
        <item x="1582"/>
        <item x="557"/>
        <item x="2471"/>
        <item x="2296"/>
        <item x="1082"/>
        <item x="2758"/>
        <item x="2730"/>
        <item x="2833"/>
        <item x="2729"/>
        <item x="2285"/>
        <item x="2107"/>
        <item x="1789"/>
        <item x="935"/>
        <item x="188"/>
        <item x="404"/>
        <item x="739"/>
        <item x="1869"/>
        <item x="1245"/>
        <item x="2875"/>
        <item x="105"/>
        <item x="2001"/>
        <item x="1598"/>
        <item x="292"/>
        <item x="1761"/>
        <item x="781"/>
        <item x="20"/>
        <item x="2883"/>
        <item x="757"/>
        <item x="2235"/>
        <item x="972"/>
        <item x="687"/>
        <item x="1219"/>
        <item x="1047"/>
        <item x="788"/>
        <item x="2916"/>
        <item x="636"/>
        <item x="429"/>
        <item x="684"/>
        <item x="420"/>
        <item x="1633"/>
        <item x="303"/>
        <item x="2526"/>
        <item x="2096"/>
        <item x="2326"/>
        <item x="1123"/>
        <item x="1383"/>
        <item x="1300"/>
        <item x="276"/>
        <item x="454"/>
        <item x="961"/>
        <item x="529"/>
        <item x="2036"/>
        <item x="1477"/>
        <item x="2651"/>
        <item x="1401"/>
        <item x="817"/>
        <item x="1784"/>
        <item x="217"/>
        <item x="2476"/>
        <item x="1741"/>
        <item x="492"/>
        <item x="1862"/>
        <item x="2355"/>
        <item x="2087"/>
        <item x="2567"/>
        <item x="2514"/>
        <item x="530"/>
        <item x="2365"/>
        <item x="1818"/>
        <item x="2449"/>
        <item x="1790"/>
        <item x="53"/>
        <item x="2236"/>
        <item x="2314"/>
        <item x="1079"/>
        <item x="1998"/>
        <item x="1386"/>
        <item x="2160"/>
        <item x="2577"/>
        <item x="639"/>
        <item x="2774"/>
        <item x="2151"/>
        <item x="1098"/>
        <item x="1776"/>
        <item x="2517"/>
        <item x="2878"/>
        <item x="1317"/>
        <item x="2592"/>
        <item x="1289"/>
        <item x="422"/>
        <item x="1200"/>
        <item x="1760"/>
        <item x="1118"/>
        <item x="692"/>
        <item x="2861"/>
        <item x="758"/>
        <item x="2435"/>
        <item x="132"/>
        <item x="722"/>
        <item x="1102"/>
        <item x="2279"/>
        <item x="2400"/>
        <item x="1460"/>
        <item x="401"/>
        <item x="1138"/>
        <item x="2605"/>
        <item x="1293"/>
        <item x="2806"/>
        <item x="2771"/>
        <item x="1857"/>
        <item x="995"/>
        <item x="24"/>
        <item x="1145"/>
        <item x="1503"/>
        <item x="173"/>
        <item x="1275"/>
        <item x="1238"/>
        <item x="2457"/>
        <item x="90"/>
        <item x="1447"/>
        <item x="241"/>
        <item x="224"/>
        <item x="2829"/>
        <item x="2654"/>
        <item x="613"/>
        <item x="898"/>
        <item x="2018"/>
        <item x="1309"/>
        <item x="1229"/>
        <item x="2168"/>
        <item x="1135"/>
        <item x="2933"/>
        <item x="1042"/>
        <item x="1356"/>
        <item x="1652"/>
        <item x="815"/>
        <item x="1756"/>
        <item x="917"/>
        <item x="1346"/>
        <item x="301"/>
        <item x="378"/>
        <item x="1005"/>
        <item x="129"/>
        <item x="77"/>
        <item x="493"/>
        <item x="2836"/>
        <item x="497"/>
        <item x="1058"/>
        <item x="2138"/>
        <item x="2430"/>
        <item x="1420"/>
        <item x="851"/>
        <item x="2242"/>
        <item x="576"/>
        <item x="2477"/>
        <item x="200"/>
        <item x="2441"/>
        <item x="1304"/>
        <item x="2178"/>
        <item x="158"/>
        <item x="2851"/>
        <item x="1669"/>
        <item x="2684"/>
        <item x="1320"/>
        <item x="212"/>
        <item x="2070"/>
        <item x="962"/>
        <item x="2344"/>
        <item x="2110"/>
        <item x="2330"/>
        <item x="2090"/>
        <item x="755"/>
        <item x="587"/>
        <item x="2785"/>
        <item x="2240"/>
        <item x="1395"/>
        <item x="2754"/>
        <item x="701"/>
        <item x="1801"/>
        <item x="1217"/>
        <item x="1948"/>
        <item x="1595"/>
        <item x="2630"/>
        <item x="2786"/>
        <item x="867"/>
        <item x="987"/>
        <item x="228"/>
        <item x="1124"/>
        <item x="1608"/>
        <item x="516"/>
        <item x="1136"/>
        <item x="2470"/>
        <item x="1908"/>
        <item x="2603"/>
        <item x="176"/>
        <item x="2108"/>
        <item x="82"/>
        <item x="352"/>
        <item x="1316"/>
        <item x="750"/>
        <item x="749"/>
        <item x="1180"/>
        <item x="2128"/>
        <item x="2170"/>
        <item x="1517"/>
        <item x="1632"/>
        <item x="744"/>
        <item x="1614"/>
        <item x="2622"/>
        <item x="1049"/>
        <item x="2555"/>
        <item x="2914"/>
        <item x="567"/>
        <item x="2010"/>
        <item x="2637"/>
        <item x="55"/>
        <item x="609"/>
        <item x="2322"/>
        <item x="234"/>
        <item x="1638"/>
        <item x="1318"/>
        <item x="1674"/>
        <item x="871"/>
        <item x="623"/>
        <item x="421"/>
        <item x="2635"/>
        <item x="2159"/>
        <item x="667"/>
        <item x="2384"/>
        <item x="1748"/>
        <item x="1676"/>
        <item x="2348"/>
        <item x="793"/>
        <item x="1107"/>
        <item x="814"/>
        <item x="164"/>
        <item x="2938"/>
        <item x="1128"/>
        <item x="809"/>
        <item x="2214"/>
        <item x="2493"/>
        <item x="2025"/>
        <item x="2932"/>
        <item x="2092"/>
        <item x="1086"/>
        <item x="1232"/>
        <item x="1364"/>
        <item x="2237"/>
        <item x="638"/>
        <item x="1696"/>
        <item x="2790"/>
        <item x="929"/>
        <item x="1811"/>
        <item x="177"/>
        <item x="227"/>
        <item x="1966"/>
        <item x="1755"/>
        <item x="2611"/>
        <item x="1828"/>
        <item x="2101"/>
        <item x="1564"/>
        <item x="834"/>
        <item x="1993"/>
        <item x="2859"/>
        <item x="1218"/>
        <item x="2889"/>
        <item x="1643"/>
        <item x="2627"/>
        <item x="1980"/>
        <item x="1034"/>
        <item x="1192"/>
        <item x="835"/>
        <item x="13"/>
        <item x="155"/>
        <item x="2256"/>
        <item x="901"/>
        <item x="2640"/>
        <item x="126"/>
        <item x="123"/>
        <item x="508"/>
        <item x="2215"/>
        <item x="873"/>
        <item x="526"/>
        <item x="1623"/>
        <item x="2081"/>
        <item x="2629"/>
        <item x="1895"/>
        <item x="2189"/>
        <item x="2495"/>
        <item x="1975"/>
        <item x="1159"/>
        <item x="2414"/>
        <item x="2664"/>
        <item x="1172"/>
        <item x="81"/>
        <item x="2009"/>
        <item x="2554"/>
        <item x="2439"/>
        <item x="2800"/>
        <item x="1325"/>
        <item x="2648"/>
        <item x="1175"/>
        <item x="1112"/>
        <item x="1156"/>
        <item x="954"/>
        <item x="1281"/>
        <item x="645"/>
        <item x="562"/>
        <item x="1970"/>
        <item x="1165"/>
        <item x="1233"/>
        <item x="1557"/>
        <item x="2897"/>
        <item x="821"/>
        <item x="10"/>
        <item x="485"/>
        <item x="2144"/>
        <item x="1496"/>
        <item x="2202"/>
        <item x="535"/>
        <item x="693"/>
        <item x="542"/>
        <item x="382"/>
        <item x="1163"/>
        <item x="1877"/>
        <item x="1244"/>
        <item x="1283"/>
        <item x="2303"/>
        <item x="736"/>
        <item x="1452"/>
        <item x="2659"/>
        <item x="768"/>
        <item x="2263"/>
        <item x="1903"/>
        <item x="1688"/>
        <item x="501"/>
        <item x="2626"/>
        <item x="1278"/>
        <item x="534"/>
        <item x="2192"/>
        <item x="683"/>
        <item x="826"/>
        <item x="705"/>
        <item x="2052"/>
        <item x="1951"/>
        <item x="1164"/>
        <item x="2633"/>
        <item x="2177"/>
        <item x="2234"/>
        <item x="2250"/>
        <item x="1979"/>
        <item x="1700"/>
        <item x="443"/>
        <item x="1626"/>
        <item x="2510"/>
        <item x="259"/>
        <item x="1272"/>
        <item x="1429"/>
        <item x="602"/>
        <item x="2385"/>
        <item x="1488"/>
        <item x="2556"/>
        <item x="571"/>
        <item x="2084"/>
        <item x="558"/>
        <item x="2432"/>
        <item x="428"/>
        <item x="2190"/>
        <item x="2111"/>
        <item x="2643"/>
        <item x="725"/>
        <item x="1267"/>
        <item x="323"/>
        <item x="1029"/>
        <item x="2245"/>
        <item x="199"/>
        <item x="33"/>
        <item x="278"/>
        <item x="886"/>
        <item x="1104"/>
        <item x="1630"/>
        <item x="666"/>
        <item x="1089"/>
        <item x="2389"/>
        <item x="2709"/>
        <item x="1848"/>
        <item x="1484"/>
        <item x="2811"/>
        <item x="1251"/>
        <item x="1094"/>
        <item x="1507"/>
        <item x="2922"/>
        <item x="982"/>
        <item x="2809"/>
        <item x="965"/>
        <item x="2545"/>
        <item x="1394"/>
        <item x="1719"/>
        <item x="342"/>
        <item x="2715"/>
        <item x="2701"/>
        <item x="1573"/>
        <item x="1353"/>
        <item x="1728"/>
        <item x="1039"/>
        <item x="2378"/>
        <item x="553"/>
        <item x="1313"/>
        <item x="2520"/>
        <item x="174"/>
        <item x="1859"/>
        <item x="2247"/>
        <item x="2882"/>
        <item x="362"/>
        <item x="853"/>
        <item x="1225"/>
        <item x="2716"/>
        <item x="1963"/>
        <item x="2821"/>
        <item x="1"/>
        <item x="1015"/>
        <item x="251"/>
        <item x="1417"/>
        <item x="2726"/>
        <item x="2436"/>
        <item x="2525"/>
        <item x="2123"/>
        <item x="151"/>
        <item x="2612"/>
        <item x="547"/>
        <item x="689"/>
        <item x="2125"/>
        <item x="1168"/>
        <item x="2325"/>
        <item x="2026"/>
        <item x="2078"/>
        <item x="1809"/>
        <item x="1357"/>
        <item x="1945"/>
        <item x="359"/>
        <item x="1512"/>
        <item x="2923"/>
        <item x="2041"/>
        <item x="2360"/>
        <item x="1161"/>
        <item x="2379"/>
        <item x="875"/>
        <item x="353"/>
        <item x="1132"/>
        <item x="142"/>
        <item x="1817"/>
        <item x="1893"/>
        <item x="804"/>
        <item x="2865"/>
        <item x="2238"/>
        <item x="1831"/>
        <item x="2697"/>
        <item x="2890"/>
        <item x="2390"/>
        <item x="1022"/>
        <item x="1569"/>
        <item x="324"/>
        <item x="1874"/>
        <item x="2617"/>
        <item x="2741"/>
        <item x="269"/>
        <item x="870"/>
        <item x="1459"/>
        <item x="21"/>
        <item x="160"/>
        <item x="2301"/>
        <item x="2204"/>
        <item x="2228"/>
        <item x="2869"/>
        <item x="2876"/>
        <item x="1183"/>
        <item x="83"/>
        <item x="2606"/>
        <item x="847"/>
        <item x="374"/>
        <item x="2935"/>
        <item x="1206"/>
        <item x="2002"/>
        <item x="2665"/>
        <item x="1946"/>
        <item x="2888"/>
        <item x="2300"/>
        <item x="380"/>
        <item x="2061"/>
        <item x="376"/>
        <item x="940"/>
        <item x="1647"/>
        <item x="564"/>
        <item x="40"/>
        <item x="517"/>
        <item x="1332"/>
        <item x="2156"/>
        <item x="2349"/>
        <item x="1006"/>
        <item x="1117"/>
        <item x="45"/>
        <item x="1824"/>
        <item x="1080"/>
        <item x="498"/>
        <item x="2491"/>
        <item x="1419"/>
        <item x="2745"/>
        <item x="1398"/>
        <item x="448"/>
        <item x="1228"/>
        <item x="1780"/>
        <item x="2275"/>
        <item x="606"/>
        <item x="2371"/>
        <item x="753"/>
        <item x="1844"/>
        <item x="2086"/>
        <item x="2885"/>
        <item x="435"/>
        <item x="1056"/>
        <item x="2480"/>
        <item x="635"/>
        <item x="718"/>
        <item x="1596"/>
        <item x="1825"/>
        <item x="1772"/>
        <item x="591"/>
        <item x="1433"/>
        <item x="2249"/>
        <item x="763"/>
        <item x="1753"/>
        <item x="719"/>
        <item x="575"/>
        <item x="1261"/>
        <item x="1860"/>
        <item x="2496"/>
        <item x="2652"/>
        <item x="2126"/>
        <item x="1879"/>
        <item x="1723"/>
        <item x="30"/>
        <item x="509"/>
        <item x="1292"/>
        <item x="134"/>
        <item x="945"/>
        <item x="2744"/>
        <item x="2403"/>
        <item x="723"/>
        <item x="1681"/>
        <item x="1682"/>
        <item x="102"/>
        <item x="2658"/>
        <item x="2283"/>
        <item x="1057"/>
        <item x="1126"/>
        <item x="1328"/>
        <item x="1409"/>
        <item x="1260"/>
        <item x="570"/>
        <item x="798"/>
        <item x="696"/>
        <item x="367"/>
        <item x="662"/>
        <item x="1264"/>
        <item x="947"/>
        <item x="628"/>
        <item x="1421"/>
        <item x="437"/>
        <item x="2895"/>
        <item x="874"/>
        <item x="57"/>
        <item x="1443"/>
        <item x="470"/>
        <item x="2796"/>
        <item x="2867"/>
        <item x="1298"/>
        <item x="1635"/>
        <item x="104"/>
        <item x="1591"/>
        <item x="2446"/>
        <item x="2539"/>
        <item x="2150"/>
        <item x="2788"/>
        <item x="1711"/>
        <item x="1504"/>
        <item x="2770"/>
        <item x="110"/>
        <item x="1994"/>
        <item x="313"/>
        <item x="827"/>
        <item x="1227"/>
        <item x="1832"/>
        <item x="1861"/>
        <item x="201"/>
        <item x="1964"/>
        <item x="461"/>
        <item x="2632"/>
        <item x="512"/>
        <item x="2273"/>
        <item x="1830"/>
        <item x="1411"/>
        <item x="1302"/>
        <item x="1282"/>
        <item x="630"/>
        <item x="652"/>
        <item x="2444"/>
        <item x="1685"/>
        <item x="803"/>
        <item x="1736"/>
        <item x="1213"/>
        <item x="2229"/>
        <item x="441"/>
        <item x="907"/>
        <item x="1806"/>
        <item x="2050"/>
        <item x="685"/>
        <item x="2879"/>
        <item x="1670"/>
        <item x="2557"/>
        <item x="1956"/>
        <item x="392"/>
        <item x="552"/>
        <item x="179"/>
        <item x="2225"/>
        <item x="136"/>
        <item x="631"/>
        <item x="560"/>
        <item x="1387"/>
        <item x="2488"/>
        <item x="943"/>
        <item x="2423"/>
        <item x="2903"/>
        <item x="1374"/>
        <item x="1046"/>
        <item x="2848"/>
        <item x="2248"/>
        <item x="1960"/>
        <item x="1805"/>
        <item x="1921"/>
        <item x="2356"/>
        <item x="1143"/>
        <item x="1378"/>
        <item x="2676"/>
        <item x="2917"/>
        <item x="475"/>
        <item x="2864"/>
        <item x="1545"/>
        <item x="2591"/>
        <item x="427"/>
        <item x="2594"/>
        <item x="473"/>
        <item x="399"/>
        <item x="1088"/>
        <item x="216"/>
        <item x="2797"/>
        <item x="799"/>
        <item x="2044"/>
        <item x="2631"/>
        <item x="358"/>
        <item x="2817"/>
        <item x="2209"/>
        <item x="2047"/>
        <item x="2299"/>
        <item x="1581"/>
        <item x="801"/>
        <item x="2870"/>
        <item x="2327"/>
        <item x="2877"/>
        <item x="458"/>
        <item x="1464"/>
        <item x="2014"/>
        <item x="915"/>
        <item x="1432"/>
        <item x="1985"/>
        <item x="2363"/>
        <item x="2028"/>
        <item x="2913"/>
        <item x="2031"/>
        <item x="293"/>
        <item x="1992"/>
        <item x="688"/>
        <item x="1625"/>
        <item x="1969"/>
        <item x="9"/>
        <item x="890"/>
        <item x="2721"/>
        <item x="2527"/>
        <item x="447"/>
        <item x="1813"/>
        <item x="1182"/>
        <item x="368"/>
        <item x="1804"/>
        <item x="2542"/>
        <item x="1854"/>
        <item x="1947"/>
        <item x="928"/>
        <item x="187"/>
        <item x="486"/>
        <item x="2082"/>
        <item x="1702"/>
        <item x="2685"/>
        <item x="2728"/>
        <item x="1349"/>
        <item x="1299"/>
        <item x="608"/>
        <item x="2802"/>
        <item x="914"/>
        <item x="2264"/>
        <item x="1207"/>
        <item x="1842"/>
        <item x="1566"/>
        <item x="1534"/>
        <item x="2515"/>
        <item x="2051"/>
        <item x="1031"/>
        <item x="661"/>
        <item x="770"/>
        <item x="100"/>
        <item x="866"/>
        <item x="387"/>
        <item x="2089"/>
        <item x="926"/>
        <item x="1930"/>
        <item x="2122"/>
        <item x="1273"/>
        <item x="1636"/>
        <item x="2494"/>
        <item x="1606"/>
        <item x="302"/>
        <item x="2313"/>
        <item x="238"/>
        <item x="1896"/>
        <item x="2827"/>
        <item x="2069"/>
        <item x="1139"/>
        <item x="1051"/>
        <item x="1641"/>
        <item x="2203"/>
        <item x="2880"/>
        <item x="522"/>
        <item x="1940"/>
        <item x="2779"/>
        <item x="75"/>
        <item x="1064"/>
        <item x="1241"/>
        <item x="946"/>
        <item x="1890"/>
        <item x="2615"/>
        <item x="828"/>
        <item x="1762"/>
        <item x="2021"/>
        <item x="810"/>
        <item x="2417"/>
        <item x="2104"/>
        <item x="1984"/>
        <item x="2707"/>
        <item x="2911"/>
        <item x="1599"/>
        <item x="2292"/>
        <item x="337"/>
        <item x="388"/>
        <item x="2929"/>
        <item x="707"/>
        <item x="978"/>
        <item x="1924"/>
        <item x="1502"/>
        <item x="2073"/>
        <item x="539"/>
        <item x="2079"/>
        <item x="2278"/>
        <item x="2132"/>
        <item x="2338"/>
        <item x="372"/>
        <item x="47"/>
        <item x="1651"/>
        <item x="1054"/>
        <item x="277"/>
        <item x="54"/>
        <item x="702"/>
        <item x="846"/>
        <item x="311"/>
        <item x="244"/>
        <item x="1751"/>
        <item x="1254"/>
        <item x="111"/>
        <item x="957"/>
        <item x="2038"/>
        <item x="2450"/>
        <item x="345"/>
        <item x="106"/>
        <item x="109"/>
        <item x="2855"/>
        <item x="2053"/>
        <item x="2282"/>
        <item x="2131"/>
        <item x="1185"/>
        <item x="2653"/>
        <item x="2265"/>
        <item x="1703"/>
        <item x="1883"/>
        <item x="2213"/>
        <item x="2094"/>
        <item x="2915"/>
        <item x="2566"/>
        <item x="2909"/>
        <item x="1096"/>
        <item x="1191"/>
        <item x="2862"/>
        <item x="2590"/>
        <item x="2173"/>
        <item x="282"/>
        <item x="622"/>
        <item x="2408"/>
        <item x="273"/>
        <item x="446"/>
        <item x="36"/>
        <item x="2119"/>
        <item x="42"/>
        <item x="897"/>
        <item x="593"/>
        <item x="86"/>
        <item x="2706"/>
        <item x="107"/>
        <item x="1677"/>
        <item x="1480"/>
        <item x="434"/>
        <item x="197"/>
        <item x="2409"/>
        <item x="976"/>
        <item x="1816"/>
        <item x="2281"/>
        <item x="1958"/>
        <item x="2137"/>
        <item x="1868"/>
        <item x="2589"/>
        <item x="2208"/>
        <item x="290"/>
        <item x="1237"/>
        <item x="1764"/>
        <item x="709"/>
        <item x="1055"/>
        <item x="1693"/>
        <item x="1634"/>
        <item x="1763"/>
        <item x="149"/>
        <item x="2921"/>
        <item x="2519"/>
        <item x="27"/>
        <item x="147"/>
        <item x="2562"/>
        <item x="2780"/>
        <item x="283"/>
        <item x="2772"/>
        <item x="1440"/>
        <item x="1090"/>
        <item x="971"/>
        <item x="2418"/>
        <item x="2795"/>
        <item x="317"/>
        <item x="99"/>
        <item x="2500"/>
        <item x="996"/>
        <item x="1600"/>
        <item x="1470"/>
        <item x="482"/>
        <item x="1021"/>
        <item x="78"/>
        <item x="854"/>
        <item x="2195"/>
        <item x="1767"/>
        <item x="1863"/>
        <item x="2453"/>
        <item x="1658"/>
        <item x="1833"/>
        <item x="1091"/>
        <item x="1214"/>
        <item x="2287"/>
        <item x="1973"/>
        <item x="714"/>
        <item x="2900"/>
        <item x="2272"/>
        <item x="732"/>
        <item x="2124"/>
        <item x="1922"/>
        <item x="1773"/>
        <item x="1110"/>
        <item x="1593"/>
        <item x="595"/>
        <item x="1588"/>
        <item x="2781"/>
        <item x="2220"/>
        <item x="256"/>
        <item x="1352"/>
        <item x="1063"/>
        <item x="2857"/>
        <item x="231"/>
        <item x="597"/>
        <item x="1697"/>
        <item x="319"/>
        <item x="1335"/>
        <item x="1010"/>
        <item x="678"/>
        <item x="2561"/>
        <item x="2077"/>
        <item x="2912"/>
        <item x="956"/>
        <item x="393"/>
        <item x="1967"/>
        <item x="2834"/>
        <item x="1673"/>
        <item x="812"/>
        <item x="280"/>
        <item x="665"/>
        <item x="2746"/>
        <item x="2646"/>
        <item x="2427"/>
        <item x="1766"/>
        <item x="2775"/>
        <item x="2544"/>
        <item x="600"/>
        <item x="1524"/>
        <item x="1492"/>
        <item x="2129"/>
        <item x="2336"/>
        <item x="299"/>
        <item x="252"/>
        <item x="592"/>
        <item x="2058"/>
        <item x="2839"/>
        <item x="1618"/>
        <item x="462"/>
        <item x="969"/>
        <item x="1584"/>
        <item x="1880"/>
        <item x="2504"/>
        <item x="2346"/>
        <item x="2113"/>
        <item x="2383"/>
        <item x="1072"/>
        <item x="2814"/>
        <item x="1270"/>
        <item x="2161"/>
        <item x="348"/>
        <item x="2074"/>
        <item x="223"/>
        <item x="2218"/>
        <item x="1236"/>
        <item x="1326"/>
        <item x="344"/>
        <item x="1413"/>
        <item x="389"/>
        <item x="953"/>
        <item x="1943"/>
        <item x="2485"/>
        <item x="574"/>
        <item x="2364"/>
        <item x="2006"/>
        <item x="1212"/>
        <item x="1902"/>
        <item x="1856"/>
        <item x="2139"/>
        <item x="1215"/>
        <item x="2005"/>
        <item x="2717"/>
        <item x="2143"/>
        <item x="2619"/>
        <item x="859"/>
        <item x="1707"/>
        <item x="1337"/>
        <item x="2550"/>
        <item x="1469"/>
        <item x="56"/>
        <item x="710"/>
        <item x="2598"/>
        <item x="1839"/>
        <item x="2782"/>
        <item x="671"/>
        <item x="831"/>
        <item x="634"/>
        <item x="1160"/>
        <item x="1739"/>
        <item x="2312"/>
        <item x="2608"/>
        <item x="2040"/>
        <item x="262"/>
        <item x="1559"/>
        <item x="2692"/>
        <item x="2331"/>
        <item x="1812"/>
        <item x="583"/>
        <item x="773"/>
        <item x="2844"/>
        <item x="1750"/>
        <item x="181"/>
        <item x="1162"/>
        <item x="1340"/>
        <item x="1819"/>
        <item x="525"/>
        <item x="721"/>
        <item x="603"/>
        <item x="766"/>
        <item x="958"/>
        <item x="2625"/>
        <item x="23"/>
        <item x="1722"/>
        <item x="2201"/>
        <item x="2055"/>
        <item x="2886"/>
        <item x="1343"/>
        <item x="1382"/>
        <item x="1194"/>
        <item x="2066"/>
        <item x="792"/>
        <item x="2719"/>
        <item x="1041"/>
        <item x="312"/>
        <item x="363"/>
        <item x="1169"/>
        <item x="2114"/>
        <item x="663"/>
        <item x="2176"/>
        <item x="2904"/>
        <item x="66"/>
        <item x="444"/>
        <item x="968"/>
        <item x="1827"/>
        <item x="960"/>
        <item x="742"/>
        <item x="656"/>
        <item x="1266"/>
        <item x="1092"/>
        <item x="2696"/>
        <item x="431"/>
        <item x="2099"/>
        <item x="2147"/>
        <item x="326"/>
        <item x="32"/>
        <item x="2461"/>
        <item x="872"/>
        <item x="1925"/>
        <item x="1769"/>
        <item x="829"/>
        <item x="1547"/>
        <item x="2513"/>
        <item x="2097"/>
        <item x="1684"/>
        <item x="741"/>
        <item x="2353"/>
        <item x="1841"/>
        <item x="856"/>
        <item x="329"/>
        <item x="2874"/>
        <item x="1904"/>
        <item x="1133"/>
        <item x="2702"/>
        <item x="1906"/>
        <item x="2621"/>
        <item x="469"/>
        <item x="2804"/>
        <item x="561"/>
        <item x="271"/>
        <item x="2512"/>
        <item x="921"/>
        <item x="1436"/>
        <item x="118"/>
        <item x="346"/>
        <item x="2456"/>
        <item x="848"/>
        <item x="2039"/>
        <item x="2304"/>
        <item x="594"/>
        <item x="310"/>
        <item x="60"/>
        <item x="2023"/>
        <item x="2583"/>
        <item x="146"/>
        <item x="1617"/>
        <item x="743"/>
        <item x="1083"/>
        <item x="518"/>
        <item x="2820"/>
        <item x="2171"/>
        <item x="1321"/>
        <item x="2860"/>
        <item x="936"/>
        <item x="2253"/>
        <item x="2518"/>
        <item x="838"/>
        <item x="2117"/>
        <item x="1520"/>
        <item x="2691"/>
        <item x="275"/>
        <item x="1884"/>
        <item x="1405"/>
        <item x="2634"/>
        <item x="2752"/>
        <item x="1549"/>
        <item x="2013"/>
        <item x="1620"/>
        <item x="2479"/>
        <item x="71"/>
        <item x="69"/>
        <item x="296"/>
        <item x="2308"/>
        <item x="2391"/>
        <item x="2884"/>
        <item x="658"/>
        <item x="515"/>
        <item x="578"/>
        <item x="491"/>
        <item x="1008"/>
        <item x="677"/>
        <item x="116"/>
        <item x="2757"/>
        <item x="2670"/>
        <item x="466"/>
        <item x="950"/>
        <item x="2704"/>
        <item x="2628"/>
        <item x="1543"/>
        <item x="2748"/>
        <item x="903"/>
        <item x="1360"/>
        <item x="1359"/>
        <item x="1026"/>
        <item x="2270"/>
        <item x="1363"/>
        <item x="2755"/>
        <item x="720"/>
        <item x="1920"/>
        <item x="1740"/>
        <item x="1446"/>
        <item x="1059"/>
        <item x="2401"/>
        <item x="2431"/>
        <item x="264"/>
        <item x="239"/>
        <item x="802"/>
        <item x="84"/>
        <item x="28"/>
        <item x="1936"/>
        <item x="672"/>
        <item x="633"/>
        <item x="502"/>
        <item x="1481"/>
        <item x="944"/>
        <item x="1708"/>
        <item x="1847"/>
        <item x="2845"/>
        <item t="default"/>
      </items>
    </pivotField>
    <pivotField showAll="0">
      <items count="16">
        <item x="2"/>
        <item x="12"/>
        <item x="9"/>
        <item x="7"/>
        <item x="4"/>
        <item x="1"/>
        <item x="3"/>
        <item x="13"/>
        <item x="6"/>
        <item x="10"/>
        <item x="0"/>
        <item x="14"/>
        <item x="5"/>
        <item x="11"/>
        <item x="8"/>
        <item t="default"/>
      </items>
    </pivotField>
    <pivotField showAll="0"/>
    <pivotField showAll="0"/>
    <pivotField showAll="0"/>
    <pivotField showAll="0"/>
    <pivotField showAll="0"/>
    <pivotField showAll="0"/>
    <pivotField showAll="0"/>
    <pivotField showAll="0"/>
    <pivotField showAll="0"/>
    <pivotField showAll="0">
      <items count="6">
        <item x="0"/>
        <item x="3"/>
        <item x="4"/>
        <item h="1" x="1"/>
        <item h="1" x="2"/>
        <item t="default"/>
      </items>
    </pivotField>
  </pivotFields>
  <rowFields count="1">
    <field x="2"/>
  </rowFields>
  <rowItems count="1964">
    <i>
      <x/>
    </i>
    <i>
      <x v="1"/>
    </i>
    <i>
      <x v="3"/>
    </i>
    <i>
      <x v="5"/>
    </i>
    <i>
      <x v="8"/>
    </i>
    <i>
      <x v="11"/>
    </i>
    <i>
      <x v="13"/>
    </i>
    <i>
      <x v="15"/>
    </i>
    <i>
      <x v="16"/>
    </i>
    <i>
      <x v="17"/>
    </i>
    <i>
      <x v="18"/>
    </i>
    <i>
      <x v="19"/>
    </i>
    <i>
      <x v="20"/>
    </i>
    <i>
      <x v="21"/>
    </i>
    <i>
      <x v="22"/>
    </i>
    <i>
      <x v="23"/>
    </i>
    <i>
      <x v="24"/>
    </i>
    <i>
      <x v="25"/>
    </i>
    <i>
      <x v="26"/>
    </i>
    <i>
      <x v="27"/>
    </i>
    <i>
      <x v="29"/>
    </i>
    <i>
      <x v="31"/>
    </i>
    <i>
      <x v="33"/>
    </i>
    <i>
      <x v="38"/>
    </i>
    <i>
      <x v="43"/>
    </i>
    <i>
      <x v="45"/>
    </i>
    <i>
      <x v="48"/>
    </i>
    <i>
      <x v="49"/>
    </i>
    <i>
      <x v="50"/>
    </i>
    <i>
      <x v="52"/>
    </i>
    <i>
      <x v="53"/>
    </i>
    <i>
      <x v="56"/>
    </i>
    <i>
      <x v="57"/>
    </i>
    <i>
      <x v="58"/>
    </i>
    <i>
      <x v="60"/>
    </i>
    <i>
      <x v="62"/>
    </i>
    <i>
      <x v="63"/>
    </i>
    <i>
      <x v="64"/>
    </i>
    <i>
      <x v="66"/>
    </i>
    <i>
      <x v="67"/>
    </i>
    <i>
      <x v="72"/>
    </i>
    <i>
      <x v="73"/>
    </i>
    <i>
      <x v="76"/>
    </i>
    <i>
      <x v="77"/>
    </i>
    <i>
      <x v="78"/>
    </i>
    <i>
      <x v="79"/>
    </i>
    <i>
      <x v="80"/>
    </i>
    <i>
      <x v="81"/>
    </i>
    <i>
      <x v="82"/>
    </i>
    <i>
      <x v="83"/>
    </i>
    <i>
      <x v="84"/>
    </i>
    <i>
      <x v="85"/>
    </i>
    <i>
      <x v="90"/>
    </i>
    <i>
      <x v="91"/>
    </i>
    <i>
      <x v="93"/>
    </i>
    <i>
      <x v="94"/>
    </i>
    <i>
      <x v="95"/>
    </i>
    <i>
      <x v="96"/>
    </i>
    <i>
      <x v="97"/>
    </i>
    <i>
      <x v="98"/>
    </i>
    <i>
      <x v="100"/>
    </i>
    <i>
      <x v="102"/>
    </i>
    <i>
      <x v="104"/>
    </i>
    <i>
      <x v="108"/>
    </i>
    <i>
      <x v="109"/>
    </i>
    <i>
      <x v="110"/>
    </i>
    <i>
      <x v="111"/>
    </i>
    <i>
      <x v="112"/>
    </i>
    <i>
      <x v="114"/>
    </i>
    <i>
      <x v="115"/>
    </i>
    <i>
      <x v="116"/>
    </i>
    <i>
      <x v="117"/>
    </i>
    <i>
      <x v="118"/>
    </i>
    <i>
      <x v="120"/>
    </i>
    <i>
      <x v="123"/>
    </i>
    <i>
      <x v="124"/>
    </i>
    <i>
      <x v="126"/>
    </i>
    <i>
      <x v="127"/>
    </i>
    <i>
      <x v="130"/>
    </i>
    <i>
      <x v="133"/>
    </i>
    <i>
      <x v="134"/>
    </i>
    <i>
      <x v="135"/>
    </i>
    <i>
      <x v="136"/>
    </i>
    <i>
      <x v="139"/>
    </i>
    <i>
      <x v="141"/>
    </i>
    <i>
      <x v="142"/>
    </i>
    <i>
      <x v="143"/>
    </i>
    <i>
      <x v="145"/>
    </i>
    <i>
      <x v="147"/>
    </i>
    <i>
      <x v="148"/>
    </i>
    <i>
      <x v="149"/>
    </i>
    <i>
      <x v="151"/>
    </i>
    <i>
      <x v="152"/>
    </i>
    <i>
      <x v="153"/>
    </i>
    <i>
      <x v="154"/>
    </i>
    <i>
      <x v="155"/>
    </i>
    <i>
      <x v="156"/>
    </i>
    <i>
      <x v="158"/>
    </i>
    <i>
      <x v="160"/>
    </i>
    <i>
      <x v="162"/>
    </i>
    <i>
      <x v="165"/>
    </i>
    <i>
      <x v="167"/>
    </i>
    <i>
      <x v="169"/>
    </i>
    <i>
      <x v="170"/>
    </i>
    <i>
      <x v="171"/>
    </i>
    <i>
      <x v="172"/>
    </i>
    <i>
      <x v="173"/>
    </i>
    <i>
      <x v="174"/>
    </i>
    <i>
      <x v="177"/>
    </i>
    <i>
      <x v="178"/>
    </i>
    <i>
      <x v="179"/>
    </i>
    <i>
      <x v="180"/>
    </i>
    <i>
      <x v="181"/>
    </i>
    <i>
      <x v="182"/>
    </i>
    <i>
      <x v="183"/>
    </i>
    <i>
      <x v="184"/>
    </i>
    <i>
      <x v="185"/>
    </i>
    <i>
      <x v="186"/>
    </i>
    <i>
      <x v="187"/>
    </i>
    <i>
      <x v="190"/>
    </i>
    <i>
      <x v="192"/>
    </i>
    <i>
      <x v="194"/>
    </i>
    <i>
      <x v="195"/>
    </i>
    <i>
      <x v="196"/>
    </i>
    <i>
      <x v="197"/>
    </i>
    <i>
      <x v="198"/>
    </i>
    <i>
      <x v="199"/>
    </i>
    <i>
      <x v="201"/>
    </i>
    <i>
      <x v="202"/>
    </i>
    <i>
      <x v="203"/>
    </i>
    <i>
      <x v="204"/>
    </i>
    <i>
      <x v="209"/>
    </i>
    <i>
      <x v="211"/>
    </i>
    <i>
      <x v="212"/>
    </i>
    <i>
      <x v="214"/>
    </i>
    <i>
      <x v="215"/>
    </i>
    <i>
      <x v="219"/>
    </i>
    <i>
      <x v="220"/>
    </i>
    <i>
      <x v="221"/>
    </i>
    <i>
      <x v="222"/>
    </i>
    <i>
      <x v="223"/>
    </i>
    <i>
      <x v="226"/>
    </i>
    <i>
      <x v="227"/>
    </i>
    <i>
      <x v="228"/>
    </i>
    <i>
      <x v="229"/>
    </i>
    <i>
      <x v="230"/>
    </i>
    <i>
      <x v="231"/>
    </i>
    <i>
      <x v="232"/>
    </i>
    <i>
      <x v="233"/>
    </i>
    <i>
      <x v="234"/>
    </i>
    <i>
      <x v="236"/>
    </i>
    <i>
      <x v="237"/>
    </i>
    <i>
      <x v="238"/>
    </i>
    <i>
      <x v="239"/>
    </i>
    <i>
      <x v="241"/>
    </i>
    <i>
      <x v="242"/>
    </i>
    <i>
      <x v="243"/>
    </i>
    <i>
      <x v="244"/>
    </i>
    <i>
      <x v="245"/>
    </i>
    <i>
      <x v="247"/>
    </i>
    <i>
      <x v="248"/>
    </i>
    <i>
      <x v="250"/>
    </i>
    <i>
      <x v="252"/>
    </i>
    <i>
      <x v="254"/>
    </i>
    <i>
      <x v="256"/>
    </i>
    <i>
      <x v="257"/>
    </i>
    <i>
      <x v="258"/>
    </i>
    <i>
      <x v="259"/>
    </i>
    <i>
      <x v="260"/>
    </i>
    <i>
      <x v="262"/>
    </i>
    <i>
      <x v="264"/>
    </i>
    <i>
      <x v="265"/>
    </i>
    <i>
      <x v="266"/>
    </i>
    <i>
      <x v="267"/>
    </i>
    <i>
      <x v="270"/>
    </i>
    <i>
      <x v="272"/>
    </i>
    <i>
      <x v="273"/>
    </i>
    <i>
      <x v="276"/>
    </i>
    <i>
      <x v="278"/>
    </i>
    <i>
      <x v="279"/>
    </i>
    <i>
      <x v="280"/>
    </i>
    <i>
      <x v="281"/>
    </i>
    <i>
      <x v="282"/>
    </i>
    <i>
      <x v="285"/>
    </i>
    <i>
      <x v="287"/>
    </i>
    <i>
      <x v="288"/>
    </i>
    <i>
      <x v="289"/>
    </i>
    <i>
      <x v="290"/>
    </i>
    <i>
      <x v="292"/>
    </i>
    <i>
      <x v="293"/>
    </i>
    <i>
      <x v="295"/>
    </i>
    <i>
      <x v="296"/>
    </i>
    <i>
      <x v="298"/>
    </i>
    <i>
      <x v="299"/>
    </i>
    <i>
      <x v="300"/>
    </i>
    <i>
      <x v="302"/>
    </i>
    <i>
      <x v="304"/>
    </i>
    <i>
      <x v="305"/>
    </i>
    <i>
      <x v="306"/>
    </i>
    <i>
      <x v="307"/>
    </i>
    <i>
      <x v="308"/>
    </i>
    <i>
      <x v="309"/>
    </i>
    <i>
      <x v="310"/>
    </i>
    <i>
      <x v="311"/>
    </i>
    <i>
      <x v="312"/>
    </i>
    <i>
      <x v="314"/>
    </i>
    <i>
      <x v="317"/>
    </i>
    <i>
      <x v="319"/>
    </i>
    <i>
      <x v="320"/>
    </i>
    <i>
      <x v="321"/>
    </i>
    <i>
      <x v="322"/>
    </i>
    <i>
      <x v="323"/>
    </i>
    <i>
      <x v="324"/>
    </i>
    <i>
      <x v="326"/>
    </i>
    <i>
      <x v="328"/>
    </i>
    <i>
      <x v="330"/>
    </i>
    <i>
      <x v="332"/>
    </i>
    <i>
      <x v="333"/>
    </i>
    <i>
      <x v="335"/>
    </i>
    <i>
      <x v="336"/>
    </i>
    <i>
      <x v="337"/>
    </i>
    <i>
      <x v="338"/>
    </i>
    <i>
      <x v="339"/>
    </i>
    <i>
      <x v="341"/>
    </i>
    <i>
      <x v="342"/>
    </i>
    <i>
      <x v="343"/>
    </i>
    <i>
      <x v="344"/>
    </i>
    <i>
      <x v="345"/>
    </i>
    <i>
      <x v="346"/>
    </i>
    <i>
      <x v="347"/>
    </i>
    <i>
      <x v="348"/>
    </i>
    <i>
      <x v="349"/>
    </i>
    <i>
      <x v="350"/>
    </i>
    <i>
      <x v="352"/>
    </i>
    <i>
      <x v="354"/>
    </i>
    <i>
      <x v="356"/>
    </i>
    <i>
      <x v="357"/>
    </i>
    <i>
      <x v="358"/>
    </i>
    <i>
      <x v="359"/>
    </i>
    <i>
      <x v="361"/>
    </i>
    <i>
      <x v="362"/>
    </i>
    <i>
      <x v="363"/>
    </i>
    <i>
      <x v="364"/>
    </i>
    <i>
      <x v="366"/>
    </i>
    <i>
      <x v="367"/>
    </i>
    <i>
      <x v="368"/>
    </i>
    <i>
      <x v="369"/>
    </i>
    <i>
      <x v="371"/>
    </i>
    <i>
      <x v="372"/>
    </i>
    <i>
      <x v="373"/>
    </i>
    <i>
      <x v="374"/>
    </i>
    <i>
      <x v="375"/>
    </i>
    <i>
      <x v="376"/>
    </i>
    <i>
      <x v="377"/>
    </i>
    <i>
      <x v="378"/>
    </i>
    <i>
      <x v="379"/>
    </i>
    <i>
      <x v="381"/>
    </i>
    <i>
      <x v="384"/>
    </i>
    <i>
      <x v="385"/>
    </i>
    <i>
      <x v="386"/>
    </i>
    <i>
      <x v="389"/>
    </i>
    <i>
      <x v="390"/>
    </i>
    <i>
      <x v="392"/>
    </i>
    <i>
      <x v="393"/>
    </i>
    <i>
      <x v="395"/>
    </i>
    <i>
      <x v="398"/>
    </i>
    <i>
      <x v="399"/>
    </i>
    <i>
      <x v="401"/>
    </i>
    <i>
      <x v="402"/>
    </i>
    <i>
      <x v="404"/>
    </i>
    <i>
      <x v="405"/>
    </i>
    <i>
      <x v="407"/>
    </i>
    <i>
      <x v="409"/>
    </i>
    <i>
      <x v="410"/>
    </i>
    <i>
      <x v="412"/>
    </i>
    <i>
      <x v="413"/>
    </i>
    <i>
      <x v="414"/>
    </i>
    <i>
      <x v="415"/>
    </i>
    <i>
      <x v="417"/>
    </i>
    <i>
      <x v="418"/>
    </i>
    <i>
      <x v="419"/>
    </i>
    <i>
      <x v="420"/>
    </i>
    <i>
      <x v="421"/>
    </i>
    <i>
      <x v="422"/>
    </i>
    <i>
      <x v="424"/>
    </i>
    <i>
      <x v="426"/>
    </i>
    <i>
      <x v="427"/>
    </i>
    <i>
      <x v="428"/>
    </i>
    <i>
      <x v="429"/>
    </i>
    <i>
      <x v="431"/>
    </i>
    <i>
      <x v="432"/>
    </i>
    <i>
      <x v="433"/>
    </i>
    <i>
      <x v="434"/>
    </i>
    <i>
      <x v="436"/>
    </i>
    <i>
      <x v="438"/>
    </i>
    <i>
      <x v="440"/>
    </i>
    <i>
      <x v="443"/>
    </i>
    <i>
      <x v="444"/>
    </i>
    <i>
      <x v="445"/>
    </i>
    <i>
      <x v="446"/>
    </i>
    <i>
      <x v="450"/>
    </i>
    <i>
      <x v="452"/>
    </i>
    <i>
      <x v="453"/>
    </i>
    <i>
      <x v="454"/>
    </i>
    <i>
      <x v="455"/>
    </i>
    <i>
      <x v="456"/>
    </i>
    <i>
      <x v="457"/>
    </i>
    <i>
      <x v="458"/>
    </i>
    <i>
      <x v="459"/>
    </i>
    <i>
      <x v="460"/>
    </i>
    <i>
      <x v="462"/>
    </i>
    <i>
      <x v="463"/>
    </i>
    <i>
      <x v="464"/>
    </i>
    <i>
      <x v="465"/>
    </i>
    <i>
      <x v="466"/>
    </i>
    <i>
      <x v="468"/>
    </i>
    <i>
      <x v="469"/>
    </i>
    <i>
      <x v="470"/>
    </i>
    <i>
      <x v="471"/>
    </i>
    <i>
      <x v="472"/>
    </i>
    <i>
      <x v="474"/>
    </i>
    <i>
      <x v="475"/>
    </i>
    <i>
      <x v="477"/>
    </i>
    <i>
      <x v="478"/>
    </i>
    <i>
      <x v="480"/>
    </i>
    <i>
      <x v="483"/>
    </i>
    <i>
      <x v="484"/>
    </i>
    <i>
      <x v="485"/>
    </i>
    <i>
      <x v="487"/>
    </i>
    <i>
      <x v="488"/>
    </i>
    <i>
      <x v="490"/>
    </i>
    <i>
      <x v="493"/>
    </i>
    <i>
      <x v="494"/>
    </i>
    <i>
      <x v="496"/>
    </i>
    <i>
      <x v="499"/>
    </i>
    <i>
      <x v="500"/>
    </i>
    <i>
      <x v="501"/>
    </i>
    <i>
      <x v="503"/>
    </i>
    <i>
      <x v="504"/>
    </i>
    <i>
      <x v="505"/>
    </i>
    <i>
      <x v="507"/>
    </i>
    <i>
      <x v="509"/>
    </i>
    <i>
      <x v="510"/>
    </i>
    <i>
      <x v="511"/>
    </i>
    <i>
      <x v="513"/>
    </i>
    <i>
      <x v="514"/>
    </i>
    <i>
      <x v="515"/>
    </i>
    <i>
      <x v="516"/>
    </i>
    <i>
      <x v="518"/>
    </i>
    <i>
      <x v="520"/>
    </i>
    <i>
      <x v="522"/>
    </i>
    <i>
      <x v="523"/>
    </i>
    <i>
      <x v="524"/>
    </i>
    <i>
      <x v="527"/>
    </i>
    <i>
      <x v="528"/>
    </i>
    <i>
      <x v="529"/>
    </i>
    <i>
      <x v="531"/>
    </i>
    <i>
      <x v="532"/>
    </i>
    <i>
      <x v="533"/>
    </i>
    <i>
      <x v="536"/>
    </i>
    <i>
      <x v="537"/>
    </i>
    <i>
      <x v="538"/>
    </i>
    <i>
      <x v="539"/>
    </i>
    <i>
      <x v="540"/>
    </i>
    <i>
      <x v="541"/>
    </i>
    <i>
      <x v="542"/>
    </i>
    <i>
      <x v="543"/>
    </i>
    <i>
      <x v="544"/>
    </i>
    <i>
      <x v="545"/>
    </i>
    <i>
      <x v="546"/>
    </i>
    <i>
      <x v="548"/>
    </i>
    <i>
      <x v="551"/>
    </i>
    <i>
      <x v="552"/>
    </i>
    <i>
      <x v="554"/>
    </i>
    <i>
      <x v="555"/>
    </i>
    <i>
      <x v="557"/>
    </i>
    <i>
      <x v="558"/>
    </i>
    <i>
      <x v="560"/>
    </i>
    <i>
      <x v="561"/>
    </i>
    <i>
      <x v="563"/>
    </i>
    <i>
      <x v="564"/>
    </i>
    <i>
      <x v="565"/>
    </i>
    <i>
      <x v="566"/>
    </i>
    <i>
      <x v="567"/>
    </i>
    <i>
      <x v="568"/>
    </i>
    <i>
      <x v="569"/>
    </i>
    <i>
      <x v="570"/>
    </i>
    <i>
      <x v="571"/>
    </i>
    <i>
      <x v="572"/>
    </i>
    <i>
      <x v="573"/>
    </i>
    <i>
      <x v="575"/>
    </i>
    <i>
      <x v="576"/>
    </i>
    <i>
      <x v="579"/>
    </i>
    <i>
      <x v="582"/>
    </i>
    <i>
      <x v="583"/>
    </i>
    <i>
      <x v="584"/>
    </i>
    <i>
      <x v="585"/>
    </i>
    <i>
      <x v="586"/>
    </i>
    <i>
      <x v="587"/>
    </i>
    <i>
      <x v="588"/>
    </i>
    <i>
      <x v="589"/>
    </i>
    <i>
      <x v="590"/>
    </i>
    <i>
      <x v="591"/>
    </i>
    <i>
      <x v="592"/>
    </i>
    <i>
      <x v="593"/>
    </i>
    <i>
      <x v="594"/>
    </i>
    <i>
      <x v="596"/>
    </i>
    <i>
      <x v="597"/>
    </i>
    <i>
      <x v="599"/>
    </i>
    <i>
      <x v="600"/>
    </i>
    <i>
      <x v="603"/>
    </i>
    <i>
      <x v="604"/>
    </i>
    <i>
      <x v="606"/>
    </i>
    <i>
      <x v="607"/>
    </i>
    <i>
      <x v="608"/>
    </i>
    <i>
      <x v="609"/>
    </i>
    <i>
      <x v="611"/>
    </i>
    <i>
      <x v="612"/>
    </i>
    <i>
      <x v="616"/>
    </i>
    <i>
      <x v="617"/>
    </i>
    <i>
      <x v="618"/>
    </i>
    <i>
      <x v="620"/>
    </i>
    <i>
      <x v="623"/>
    </i>
    <i>
      <x v="624"/>
    </i>
    <i>
      <x v="626"/>
    </i>
    <i>
      <x v="627"/>
    </i>
    <i>
      <x v="629"/>
    </i>
    <i>
      <x v="631"/>
    </i>
    <i>
      <x v="633"/>
    </i>
    <i>
      <x v="634"/>
    </i>
    <i>
      <x v="635"/>
    </i>
    <i>
      <x v="636"/>
    </i>
    <i>
      <x v="637"/>
    </i>
    <i>
      <x v="638"/>
    </i>
    <i>
      <x v="640"/>
    </i>
    <i>
      <x v="641"/>
    </i>
    <i>
      <x v="642"/>
    </i>
    <i>
      <x v="644"/>
    </i>
    <i>
      <x v="645"/>
    </i>
    <i>
      <x v="646"/>
    </i>
    <i>
      <x v="647"/>
    </i>
    <i>
      <x v="649"/>
    </i>
    <i>
      <x v="651"/>
    </i>
    <i>
      <x v="653"/>
    </i>
    <i>
      <x v="654"/>
    </i>
    <i>
      <x v="656"/>
    </i>
    <i>
      <x v="659"/>
    </i>
    <i>
      <x v="661"/>
    </i>
    <i>
      <x v="662"/>
    </i>
    <i>
      <x v="663"/>
    </i>
    <i>
      <x v="664"/>
    </i>
    <i>
      <x v="667"/>
    </i>
    <i>
      <x v="668"/>
    </i>
    <i>
      <x v="669"/>
    </i>
    <i>
      <x v="670"/>
    </i>
    <i>
      <x v="672"/>
    </i>
    <i>
      <x v="673"/>
    </i>
    <i>
      <x v="674"/>
    </i>
    <i>
      <x v="675"/>
    </i>
    <i>
      <x v="676"/>
    </i>
    <i>
      <x v="677"/>
    </i>
    <i>
      <x v="678"/>
    </i>
    <i>
      <x v="679"/>
    </i>
    <i>
      <x v="681"/>
    </i>
    <i>
      <x v="682"/>
    </i>
    <i>
      <x v="684"/>
    </i>
    <i>
      <x v="687"/>
    </i>
    <i>
      <x v="688"/>
    </i>
    <i>
      <x v="689"/>
    </i>
    <i>
      <x v="690"/>
    </i>
    <i>
      <x v="691"/>
    </i>
    <i>
      <x v="692"/>
    </i>
    <i>
      <x v="693"/>
    </i>
    <i>
      <x v="698"/>
    </i>
    <i>
      <x v="699"/>
    </i>
    <i>
      <x v="700"/>
    </i>
    <i>
      <x v="701"/>
    </i>
    <i>
      <x v="703"/>
    </i>
    <i>
      <x v="704"/>
    </i>
    <i>
      <x v="706"/>
    </i>
    <i>
      <x v="707"/>
    </i>
    <i>
      <x v="709"/>
    </i>
    <i>
      <x v="711"/>
    </i>
    <i>
      <x v="712"/>
    </i>
    <i>
      <x v="714"/>
    </i>
    <i>
      <x v="715"/>
    </i>
    <i>
      <x v="716"/>
    </i>
    <i>
      <x v="717"/>
    </i>
    <i>
      <x v="718"/>
    </i>
    <i>
      <x v="720"/>
    </i>
    <i>
      <x v="721"/>
    </i>
    <i>
      <x v="723"/>
    </i>
    <i>
      <x v="724"/>
    </i>
    <i>
      <x v="726"/>
    </i>
    <i>
      <x v="727"/>
    </i>
    <i>
      <x v="729"/>
    </i>
    <i>
      <x v="732"/>
    </i>
    <i>
      <x v="734"/>
    </i>
    <i>
      <x v="736"/>
    </i>
    <i>
      <x v="739"/>
    </i>
    <i>
      <x v="741"/>
    </i>
    <i>
      <x v="742"/>
    </i>
    <i>
      <x v="743"/>
    </i>
    <i>
      <x v="744"/>
    </i>
    <i>
      <x v="745"/>
    </i>
    <i>
      <x v="747"/>
    </i>
    <i>
      <x v="748"/>
    </i>
    <i>
      <x v="750"/>
    </i>
    <i>
      <x v="753"/>
    </i>
    <i>
      <x v="755"/>
    </i>
    <i>
      <x v="758"/>
    </i>
    <i>
      <x v="759"/>
    </i>
    <i>
      <x v="760"/>
    </i>
    <i>
      <x v="761"/>
    </i>
    <i>
      <x v="764"/>
    </i>
    <i>
      <x v="765"/>
    </i>
    <i>
      <x v="766"/>
    </i>
    <i>
      <x v="767"/>
    </i>
    <i>
      <x v="768"/>
    </i>
    <i>
      <x v="770"/>
    </i>
    <i>
      <x v="771"/>
    </i>
    <i>
      <x v="772"/>
    </i>
    <i>
      <x v="774"/>
    </i>
    <i>
      <x v="775"/>
    </i>
    <i>
      <x v="776"/>
    </i>
    <i>
      <x v="777"/>
    </i>
    <i>
      <x v="780"/>
    </i>
    <i>
      <x v="781"/>
    </i>
    <i>
      <x v="782"/>
    </i>
    <i>
      <x v="783"/>
    </i>
    <i>
      <x v="787"/>
    </i>
    <i>
      <x v="789"/>
    </i>
    <i>
      <x v="790"/>
    </i>
    <i>
      <x v="791"/>
    </i>
    <i>
      <x v="792"/>
    </i>
    <i>
      <x v="793"/>
    </i>
    <i>
      <x v="795"/>
    </i>
    <i>
      <x v="796"/>
    </i>
    <i>
      <x v="798"/>
    </i>
    <i>
      <x v="799"/>
    </i>
    <i>
      <x v="801"/>
    </i>
    <i>
      <x v="802"/>
    </i>
    <i>
      <x v="803"/>
    </i>
    <i>
      <x v="804"/>
    </i>
    <i>
      <x v="805"/>
    </i>
    <i>
      <x v="807"/>
    </i>
    <i>
      <x v="809"/>
    </i>
    <i>
      <x v="810"/>
    </i>
    <i>
      <x v="811"/>
    </i>
    <i>
      <x v="818"/>
    </i>
    <i>
      <x v="821"/>
    </i>
    <i>
      <x v="822"/>
    </i>
    <i>
      <x v="823"/>
    </i>
    <i>
      <x v="825"/>
    </i>
    <i>
      <x v="826"/>
    </i>
    <i>
      <x v="827"/>
    </i>
    <i>
      <x v="828"/>
    </i>
    <i>
      <x v="830"/>
    </i>
    <i>
      <x v="833"/>
    </i>
    <i>
      <x v="834"/>
    </i>
    <i>
      <x v="835"/>
    </i>
    <i>
      <x v="839"/>
    </i>
    <i>
      <x v="840"/>
    </i>
    <i>
      <x v="841"/>
    </i>
    <i>
      <x v="842"/>
    </i>
    <i>
      <x v="844"/>
    </i>
    <i>
      <x v="845"/>
    </i>
    <i>
      <x v="846"/>
    </i>
    <i>
      <x v="847"/>
    </i>
    <i>
      <x v="848"/>
    </i>
    <i>
      <x v="849"/>
    </i>
    <i>
      <x v="850"/>
    </i>
    <i>
      <x v="851"/>
    </i>
    <i>
      <x v="853"/>
    </i>
    <i>
      <x v="854"/>
    </i>
    <i>
      <x v="855"/>
    </i>
    <i>
      <x v="856"/>
    </i>
    <i>
      <x v="857"/>
    </i>
    <i>
      <x v="858"/>
    </i>
    <i>
      <x v="859"/>
    </i>
    <i>
      <x v="860"/>
    </i>
    <i>
      <x v="861"/>
    </i>
    <i>
      <x v="862"/>
    </i>
    <i>
      <x v="863"/>
    </i>
    <i>
      <x v="867"/>
    </i>
    <i>
      <x v="870"/>
    </i>
    <i>
      <x v="871"/>
    </i>
    <i>
      <x v="872"/>
    </i>
    <i>
      <x v="873"/>
    </i>
    <i>
      <x v="874"/>
    </i>
    <i>
      <x v="877"/>
    </i>
    <i>
      <x v="878"/>
    </i>
    <i>
      <x v="879"/>
    </i>
    <i>
      <x v="881"/>
    </i>
    <i>
      <x v="882"/>
    </i>
    <i>
      <x v="883"/>
    </i>
    <i>
      <x v="884"/>
    </i>
    <i>
      <x v="885"/>
    </i>
    <i>
      <x v="887"/>
    </i>
    <i>
      <x v="889"/>
    </i>
    <i>
      <x v="890"/>
    </i>
    <i>
      <x v="891"/>
    </i>
    <i>
      <x v="892"/>
    </i>
    <i>
      <x v="893"/>
    </i>
    <i>
      <x v="895"/>
    </i>
    <i>
      <x v="896"/>
    </i>
    <i>
      <x v="898"/>
    </i>
    <i>
      <x v="900"/>
    </i>
    <i>
      <x v="902"/>
    </i>
    <i>
      <x v="904"/>
    </i>
    <i>
      <x v="905"/>
    </i>
    <i>
      <x v="910"/>
    </i>
    <i>
      <x v="911"/>
    </i>
    <i>
      <x v="912"/>
    </i>
    <i>
      <x v="913"/>
    </i>
    <i>
      <x v="914"/>
    </i>
    <i>
      <x v="915"/>
    </i>
    <i>
      <x v="916"/>
    </i>
    <i>
      <x v="917"/>
    </i>
    <i>
      <x v="918"/>
    </i>
    <i>
      <x v="920"/>
    </i>
    <i>
      <x v="921"/>
    </i>
    <i>
      <x v="922"/>
    </i>
    <i>
      <x v="924"/>
    </i>
    <i>
      <x v="927"/>
    </i>
    <i>
      <x v="929"/>
    </i>
    <i>
      <x v="930"/>
    </i>
    <i>
      <x v="931"/>
    </i>
    <i>
      <x v="932"/>
    </i>
    <i>
      <x v="935"/>
    </i>
    <i>
      <x v="937"/>
    </i>
    <i>
      <x v="942"/>
    </i>
    <i>
      <x v="944"/>
    </i>
    <i>
      <x v="946"/>
    </i>
    <i>
      <x v="948"/>
    </i>
    <i>
      <x v="949"/>
    </i>
    <i>
      <x v="950"/>
    </i>
    <i>
      <x v="951"/>
    </i>
    <i>
      <x v="953"/>
    </i>
    <i>
      <x v="954"/>
    </i>
    <i>
      <x v="955"/>
    </i>
    <i>
      <x v="957"/>
    </i>
    <i>
      <x v="958"/>
    </i>
    <i>
      <x v="960"/>
    </i>
    <i>
      <x v="962"/>
    </i>
    <i>
      <x v="963"/>
    </i>
    <i>
      <x v="964"/>
    </i>
    <i>
      <x v="965"/>
    </i>
    <i>
      <x v="966"/>
    </i>
    <i>
      <x v="967"/>
    </i>
    <i>
      <x v="970"/>
    </i>
    <i>
      <x v="971"/>
    </i>
    <i>
      <x v="972"/>
    </i>
    <i>
      <x v="973"/>
    </i>
    <i>
      <x v="974"/>
    </i>
    <i>
      <x v="975"/>
    </i>
    <i>
      <x v="980"/>
    </i>
    <i>
      <x v="981"/>
    </i>
    <i>
      <x v="982"/>
    </i>
    <i>
      <x v="983"/>
    </i>
    <i>
      <x v="984"/>
    </i>
    <i>
      <x v="985"/>
    </i>
    <i>
      <x v="986"/>
    </i>
    <i>
      <x v="987"/>
    </i>
    <i>
      <x v="989"/>
    </i>
    <i>
      <x v="990"/>
    </i>
    <i>
      <x v="992"/>
    </i>
    <i>
      <x v="993"/>
    </i>
    <i>
      <x v="996"/>
    </i>
    <i>
      <x v="997"/>
    </i>
    <i>
      <x v="1000"/>
    </i>
    <i>
      <x v="1001"/>
    </i>
    <i>
      <x v="1002"/>
    </i>
    <i>
      <x v="1003"/>
    </i>
    <i>
      <x v="1005"/>
    </i>
    <i>
      <x v="1007"/>
    </i>
    <i>
      <x v="1008"/>
    </i>
    <i>
      <x v="1009"/>
    </i>
    <i>
      <x v="1010"/>
    </i>
    <i>
      <x v="1012"/>
    </i>
    <i>
      <x v="1013"/>
    </i>
    <i>
      <x v="1014"/>
    </i>
    <i>
      <x v="1016"/>
    </i>
    <i>
      <x v="1017"/>
    </i>
    <i>
      <x v="1018"/>
    </i>
    <i>
      <x v="1020"/>
    </i>
    <i>
      <x v="1021"/>
    </i>
    <i>
      <x v="1030"/>
    </i>
    <i>
      <x v="1033"/>
    </i>
    <i>
      <x v="1034"/>
    </i>
    <i>
      <x v="1035"/>
    </i>
    <i>
      <x v="1037"/>
    </i>
    <i>
      <x v="1038"/>
    </i>
    <i>
      <x v="1040"/>
    </i>
    <i>
      <x v="1041"/>
    </i>
    <i>
      <x v="1042"/>
    </i>
    <i>
      <x v="1043"/>
    </i>
    <i>
      <x v="1044"/>
    </i>
    <i>
      <x v="1045"/>
    </i>
    <i>
      <x v="1046"/>
    </i>
    <i>
      <x v="1047"/>
    </i>
    <i>
      <x v="1048"/>
    </i>
    <i>
      <x v="1050"/>
    </i>
    <i>
      <x v="1052"/>
    </i>
    <i>
      <x v="1053"/>
    </i>
    <i>
      <x v="1054"/>
    </i>
    <i>
      <x v="1055"/>
    </i>
    <i>
      <x v="1056"/>
    </i>
    <i>
      <x v="1057"/>
    </i>
    <i>
      <x v="1058"/>
    </i>
    <i>
      <x v="1059"/>
    </i>
    <i>
      <x v="1061"/>
    </i>
    <i>
      <x v="1063"/>
    </i>
    <i>
      <x v="1065"/>
    </i>
    <i>
      <x v="1067"/>
    </i>
    <i>
      <x v="1070"/>
    </i>
    <i>
      <x v="1071"/>
    </i>
    <i>
      <x v="1072"/>
    </i>
    <i>
      <x v="1073"/>
    </i>
    <i>
      <x v="1074"/>
    </i>
    <i>
      <x v="1075"/>
    </i>
    <i>
      <x v="1076"/>
    </i>
    <i>
      <x v="1077"/>
    </i>
    <i>
      <x v="1078"/>
    </i>
    <i>
      <x v="1080"/>
    </i>
    <i>
      <x v="1081"/>
    </i>
    <i>
      <x v="1082"/>
    </i>
    <i>
      <x v="1084"/>
    </i>
    <i>
      <x v="1086"/>
    </i>
    <i>
      <x v="1087"/>
    </i>
    <i>
      <x v="1088"/>
    </i>
    <i>
      <x v="1089"/>
    </i>
    <i>
      <x v="1094"/>
    </i>
    <i>
      <x v="1095"/>
    </i>
    <i>
      <x v="1096"/>
    </i>
    <i>
      <x v="1097"/>
    </i>
    <i>
      <x v="1099"/>
    </i>
    <i>
      <x v="1102"/>
    </i>
    <i>
      <x v="1104"/>
    </i>
    <i>
      <x v="1105"/>
    </i>
    <i>
      <x v="1106"/>
    </i>
    <i>
      <x v="1107"/>
    </i>
    <i>
      <x v="1108"/>
    </i>
    <i>
      <x v="1109"/>
    </i>
    <i>
      <x v="1111"/>
    </i>
    <i>
      <x v="1112"/>
    </i>
    <i>
      <x v="1115"/>
    </i>
    <i>
      <x v="1117"/>
    </i>
    <i>
      <x v="1118"/>
    </i>
    <i>
      <x v="1119"/>
    </i>
    <i>
      <x v="1120"/>
    </i>
    <i>
      <x v="1122"/>
    </i>
    <i>
      <x v="1124"/>
    </i>
    <i>
      <x v="1125"/>
    </i>
    <i>
      <x v="1126"/>
    </i>
    <i>
      <x v="1127"/>
    </i>
    <i>
      <x v="1129"/>
    </i>
    <i>
      <x v="1130"/>
    </i>
    <i>
      <x v="1131"/>
    </i>
    <i>
      <x v="1132"/>
    </i>
    <i>
      <x v="1134"/>
    </i>
    <i>
      <x v="1135"/>
    </i>
    <i>
      <x v="1136"/>
    </i>
    <i>
      <x v="1138"/>
    </i>
    <i>
      <x v="1139"/>
    </i>
    <i>
      <x v="1140"/>
    </i>
    <i>
      <x v="1141"/>
    </i>
    <i>
      <x v="1142"/>
    </i>
    <i>
      <x v="1143"/>
    </i>
    <i>
      <x v="1145"/>
    </i>
    <i>
      <x v="1146"/>
    </i>
    <i>
      <x v="1147"/>
    </i>
    <i>
      <x v="1148"/>
    </i>
    <i>
      <x v="1149"/>
    </i>
    <i>
      <x v="1150"/>
    </i>
    <i>
      <x v="1151"/>
    </i>
    <i>
      <x v="1152"/>
    </i>
    <i>
      <x v="1153"/>
    </i>
    <i>
      <x v="1155"/>
    </i>
    <i>
      <x v="1157"/>
    </i>
    <i>
      <x v="1159"/>
    </i>
    <i>
      <x v="1160"/>
    </i>
    <i>
      <x v="1162"/>
    </i>
    <i>
      <x v="1164"/>
    </i>
    <i>
      <x v="1165"/>
    </i>
    <i>
      <x v="1167"/>
    </i>
    <i>
      <x v="1170"/>
    </i>
    <i>
      <x v="1173"/>
    </i>
    <i>
      <x v="1174"/>
    </i>
    <i>
      <x v="1176"/>
    </i>
    <i>
      <x v="1177"/>
    </i>
    <i>
      <x v="1179"/>
    </i>
    <i>
      <x v="1181"/>
    </i>
    <i>
      <x v="1182"/>
    </i>
    <i>
      <x v="1184"/>
    </i>
    <i>
      <x v="1185"/>
    </i>
    <i>
      <x v="1187"/>
    </i>
    <i>
      <x v="1188"/>
    </i>
    <i>
      <x v="1189"/>
    </i>
    <i>
      <x v="1191"/>
    </i>
    <i>
      <x v="1192"/>
    </i>
    <i>
      <x v="1195"/>
    </i>
    <i>
      <x v="1196"/>
    </i>
    <i>
      <x v="1197"/>
    </i>
    <i>
      <x v="1198"/>
    </i>
    <i>
      <x v="1200"/>
    </i>
    <i>
      <x v="1201"/>
    </i>
    <i>
      <x v="1204"/>
    </i>
    <i>
      <x v="1205"/>
    </i>
    <i>
      <x v="1208"/>
    </i>
    <i>
      <x v="1210"/>
    </i>
    <i>
      <x v="1211"/>
    </i>
    <i>
      <x v="1212"/>
    </i>
    <i>
      <x v="1213"/>
    </i>
    <i>
      <x v="1216"/>
    </i>
    <i>
      <x v="1217"/>
    </i>
    <i>
      <x v="1218"/>
    </i>
    <i>
      <x v="1219"/>
    </i>
    <i>
      <x v="1220"/>
    </i>
    <i>
      <x v="1221"/>
    </i>
    <i>
      <x v="1225"/>
    </i>
    <i>
      <x v="1226"/>
    </i>
    <i>
      <x v="1230"/>
    </i>
    <i>
      <x v="1232"/>
    </i>
    <i>
      <x v="1233"/>
    </i>
    <i>
      <x v="1234"/>
    </i>
    <i>
      <x v="1238"/>
    </i>
    <i>
      <x v="1239"/>
    </i>
    <i>
      <x v="1240"/>
    </i>
    <i>
      <x v="1241"/>
    </i>
    <i>
      <x v="1244"/>
    </i>
    <i>
      <x v="1245"/>
    </i>
    <i>
      <x v="1247"/>
    </i>
    <i>
      <x v="1249"/>
    </i>
    <i>
      <x v="1250"/>
    </i>
    <i>
      <x v="1251"/>
    </i>
    <i>
      <x v="1253"/>
    </i>
    <i>
      <x v="1254"/>
    </i>
    <i>
      <x v="1256"/>
    </i>
    <i>
      <x v="1257"/>
    </i>
    <i>
      <x v="1258"/>
    </i>
    <i>
      <x v="1260"/>
    </i>
    <i>
      <x v="1261"/>
    </i>
    <i>
      <x v="1262"/>
    </i>
    <i>
      <x v="1266"/>
    </i>
    <i>
      <x v="1267"/>
    </i>
    <i>
      <x v="1269"/>
    </i>
    <i>
      <x v="1271"/>
    </i>
    <i>
      <x v="1272"/>
    </i>
    <i>
      <x v="1273"/>
    </i>
    <i>
      <x v="1276"/>
    </i>
    <i>
      <x v="1278"/>
    </i>
    <i>
      <x v="1279"/>
    </i>
    <i>
      <x v="1280"/>
    </i>
    <i>
      <x v="1281"/>
    </i>
    <i>
      <x v="1283"/>
    </i>
    <i>
      <x v="1284"/>
    </i>
    <i>
      <x v="1285"/>
    </i>
    <i>
      <x v="1287"/>
    </i>
    <i>
      <x v="1288"/>
    </i>
    <i>
      <x v="1289"/>
    </i>
    <i>
      <x v="1290"/>
    </i>
    <i>
      <x v="1296"/>
    </i>
    <i>
      <x v="1298"/>
    </i>
    <i>
      <x v="1299"/>
    </i>
    <i>
      <x v="1301"/>
    </i>
    <i>
      <x v="1303"/>
    </i>
    <i>
      <x v="1304"/>
    </i>
    <i>
      <x v="1305"/>
    </i>
    <i>
      <x v="1306"/>
    </i>
    <i>
      <x v="1307"/>
    </i>
    <i>
      <x v="1308"/>
    </i>
    <i>
      <x v="1310"/>
    </i>
    <i>
      <x v="1311"/>
    </i>
    <i>
      <x v="1312"/>
    </i>
    <i>
      <x v="1313"/>
    </i>
    <i>
      <x v="1314"/>
    </i>
    <i>
      <x v="1315"/>
    </i>
    <i>
      <x v="1320"/>
    </i>
    <i>
      <x v="1321"/>
    </i>
    <i>
      <x v="1322"/>
    </i>
    <i>
      <x v="1323"/>
    </i>
    <i>
      <x v="1324"/>
    </i>
    <i>
      <x v="1325"/>
    </i>
    <i>
      <x v="1326"/>
    </i>
    <i>
      <x v="1330"/>
    </i>
    <i>
      <x v="1333"/>
    </i>
    <i>
      <x v="1334"/>
    </i>
    <i>
      <x v="1335"/>
    </i>
    <i>
      <x v="1336"/>
    </i>
    <i>
      <x v="1337"/>
    </i>
    <i>
      <x v="1338"/>
    </i>
    <i>
      <x v="1339"/>
    </i>
    <i>
      <x v="1340"/>
    </i>
    <i>
      <x v="1341"/>
    </i>
    <i>
      <x v="1342"/>
    </i>
    <i>
      <x v="1343"/>
    </i>
    <i>
      <x v="1344"/>
    </i>
    <i>
      <x v="1345"/>
    </i>
    <i>
      <x v="1346"/>
    </i>
    <i>
      <x v="1347"/>
    </i>
    <i>
      <x v="1348"/>
    </i>
    <i>
      <x v="1351"/>
    </i>
    <i>
      <x v="1352"/>
    </i>
    <i>
      <x v="1353"/>
    </i>
    <i>
      <x v="1354"/>
    </i>
    <i>
      <x v="1355"/>
    </i>
    <i>
      <x v="1356"/>
    </i>
    <i>
      <x v="1358"/>
    </i>
    <i>
      <x v="1359"/>
    </i>
    <i>
      <x v="1360"/>
    </i>
    <i>
      <x v="1361"/>
    </i>
    <i>
      <x v="1362"/>
    </i>
    <i>
      <x v="1363"/>
    </i>
    <i>
      <x v="1366"/>
    </i>
    <i>
      <x v="1367"/>
    </i>
    <i>
      <x v="1368"/>
    </i>
    <i>
      <x v="1369"/>
    </i>
    <i>
      <x v="1370"/>
    </i>
    <i>
      <x v="1371"/>
    </i>
    <i>
      <x v="1372"/>
    </i>
    <i>
      <x v="1373"/>
    </i>
    <i>
      <x v="1376"/>
    </i>
    <i>
      <x v="1377"/>
    </i>
    <i>
      <x v="1379"/>
    </i>
    <i>
      <x v="1380"/>
    </i>
    <i>
      <x v="1381"/>
    </i>
    <i>
      <x v="1382"/>
    </i>
    <i>
      <x v="1384"/>
    </i>
    <i>
      <x v="1386"/>
    </i>
    <i>
      <x v="1387"/>
    </i>
    <i>
      <x v="1388"/>
    </i>
    <i>
      <x v="1390"/>
    </i>
    <i>
      <x v="1391"/>
    </i>
    <i>
      <x v="1393"/>
    </i>
    <i>
      <x v="1395"/>
    </i>
    <i>
      <x v="1397"/>
    </i>
    <i>
      <x v="1398"/>
    </i>
    <i>
      <x v="1399"/>
    </i>
    <i>
      <x v="1400"/>
    </i>
    <i>
      <x v="1401"/>
    </i>
    <i>
      <x v="1403"/>
    </i>
    <i>
      <x v="1404"/>
    </i>
    <i>
      <x v="1407"/>
    </i>
    <i>
      <x v="1408"/>
    </i>
    <i>
      <x v="1409"/>
    </i>
    <i>
      <x v="1410"/>
    </i>
    <i>
      <x v="1411"/>
    </i>
    <i>
      <x v="1412"/>
    </i>
    <i>
      <x v="1413"/>
    </i>
    <i>
      <x v="1414"/>
    </i>
    <i>
      <x v="1415"/>
    </i>
    <i>
      <x v="1416"/>
    </i>
    <i>
      <x v="1420"/>
    </i>
    <i>
      <x v="1422"/>
    </i>
    <i>
      <x v="1423"/>
    </i>
    <i>
      <x v="1424"/>
    </i>
    <i>
      <x v="1425"/>
    </i>
    <i>
      <x v="1426"/>
    </i>
    <i>
      <x v="1428"/>
    </i>
    <i>
      <x v="1430"/>
    </i>
    <i>
      <x v="1431"/>
    </i>
    <i>
      <x v="1433"/>
    </i>
    <i>
      <x v="1434"/>
    </i>
    <i>
      <x v="1435"/>
    </i>
    <i>
      <x v="1436"/>
    </i>
    <i>
      <x v="1437"/>
    </i>
    <i>
      <x v="1439"/>
    </i>
    <i>
      <x v="1441"/>
    </i>
    <i>
      <x v="1443"/>
    </i>
    <i>
      <x v="1444"/>
    </i>
    <i>
      <x v="1445"/>
    </i>
    <i>
      <x v="1446"/>
    </i>
    <i>
      <x v="1447"/>
    </i>
    <i>
      <x v="1449"/>
    </i>
    <i>
      <x v="1452"/>
    </i>
    <i>
      <x v="1453"/>
    </i>
    <i>
      <x v="1455"/>
    </i>
    <i>
      <x v="1456"/>
    </i>
    <i>
      <x v="1457"/>
    </i>
    <i>
      <x v="1459"/>
    </i>
    <i>
      <x v="1460"/>
    </i>
    <i>
      <x v="1461"/>
    </i>
    <i>
      <x v="1462"/>
    </i>
    <i>
      <x v="1463"/>
    </i>
    <i>
      <x v="1464"/>
    </i>
    <i>
      <x v="1465"/>
    </i>
    <i>
      <x v="1466"/>
    </i>
    <i>
      <x v="1467"/>
    </i>
    <i>
      <x v="1469"/>
    </i>
    <i>
      <x v="1471"/>
    </i>
    <i>
      <x v="1473"/>
    </i>
    <i>
      <x v="1474"/>
    </i>
    <i>
      <x v="1478"/>
    </i>
    <i>
      <x v="1479"/>
    </i>
    <i>
      <x v="1481"/>
    </i>
    <i>
      <x v="1483"/>
    </i>
    <i>
      <x v="1487"/>
    </i>
    <i>
      <x v="1488"/>
    </i>
    <i>
      <x v="1490"/>
    </i>
    <i>
      <x v="1491"/>
    </i>
    <i>
      <x v="1493"/>
    </i>
    <i>
      <x v="1494"/>
    </i>
    <i>
      <x v="1498"/>
    </i>
    <i>
      <x v="1505"/>
    </i>
    <i>
      <x v="1506"/>
    </i>
    <i>
      <x v="1507"/>
    </i>
    <i>
      <x v="1509"/>
    </i>
    <i>
      <x v="1510"/>
    </i>
    <i>
      <x v="1511"/>
    </i>
    <i>
      <x v="1512"/>
    </i>
    <i>
      <x v="1514"/>
    </i>
    <i>
      <x v="1516"/>
    </i>
    <i>
      <x v="1517"/>
    </i>
    <i>
      <x v="1518"/>
    </i>
    <i>
      <x v="1519"/>
    </i>
    <i>
      <x v="1520"/>
    </i>
    <i>
      <x v="1523"/>
    </i>
    <i>
      <x v="1524"/>
    </i>
    <i>
      <x v="1525"/>
    </i>
    <i>
      <x v="1526"/>
    </i>
    <i>
      <x v="1528"/>
    </i>
    <i>
      <x v="1529"/>
    </i>
    <i>
      <x v="1530"/>
    </i>
    <i>
      <x v="1531"/>
    </i>
    <i>
      <x v="1532"/>
    </i>
    <i>
      <x v="1533"/>
    </i>
    <i>
      <x v="1535"/>
    </i>
    <i>
      <x v="1537"/>
    </i>
    <i>
      <x v="1538"/>
    </i>
    <i>
      <x v="1539"/>
    </i>
    <i>
      <x v="1541"/>
    </i>
    <i>
      <x v="1543"/>
    </i>
    <i>
      <x v="1544"/>
    </i>
    <i>
      <x v="1548"/>
    </i>
    <i>
      <x v="1549"/>
    </i>
    <i>
      <x v="1550"/>
    </i>
    <i>
      <x v="1553"/>
    </i>
    <i>
      <x v="1555"/>
    </i>
    <i>
      <x v="1557"/>
    </i>
    <i>
      <x v="1558"/>
    </i>
    <i>
      <x v="1559"/>
    </i>
    <i>
      <x v="1560"/>
    </i>
    <i>
      <x v="1561"/>
    </i>
    <i>
      <x v="1562"/>
    </i>
    <i>
      <x v="1565"/>
    </i>
    <i>
      <x v="1566"/>
    </i>
    <i>
      <x v="1568"/>
    </i>
    <i>
      <x v="1569"/>
    </i>
    <i>
      <x v="1570"/>
    </i>
    <i>
      <x v="1571"/>
    </i>
    <i>
      <x v="1572"/>
    </i>
    <i>
      <x v="1573"/>
    </i>
    <i>
      <x v="1574"/>
    </i>
    <i>
      <x v="1578"/>
    </i>
    <i>
      <x v="1579"/>
    </i>
    <i>
      <x v="1580"/>
    </i>
    <i>
      <x v="1582"/>
    </i>
    <i>
      <x v="1584"/>
    </i>
    <i>
      <x v="1585"/>
    </i>
    <i>
      <x v="1587"/>
    </i>
    <i>
      <x v="1588"/>
    </i>
    <i>
      <x v="1592"/>
    </i>
    <i>
      <x v="1593"/>
    </i>
    <i>
      <x v="1594"/>
    </i>
    <i>
      <x v="1595"/>
    </i>
    <i>
      <x v="1596"/>
    </i>
    <i>
      <x v="1597"/>
    </i>
    <i>
      <x v="1598"/>
    </i>
    <i>
      <x v="1599"/>
    </i>
    <i>
      <x v="1600"/>
    </i>
    <i>
      <x v="1601"/>
    </i>
    <i>
      <x v="1602"/>
    </i>
    <i>
      <x v="1603"/>
    </i>
    <i>
      <x v="1604"/>
    </i>
    <i>
      <x v="1605"/>
    </i>
    <i>
      <x v="1606"/>
    </i>
    <i>
      <x v="1607"/>
    </i>
    <i>
      <x v="1611"/>
    </i>
    <i>
      <x v="1612"/>
    </i>
    <i>
      <x v="1615"/>
    </i>
    <i>
      <x v="1616"/>
    </i>
    <i>
      <x v="1617"/>
    </i>
    <i>
      <x v="1621"/>
    </i>
    <i>
      <x v="1623"/>
    </i>
    <i>
      <x v="1624"/>
    </i>
    <i>
      <x v="1625"/>
    </i>
    <i>
      <x v="1626"/>
    </i>
    <i>
      <x v="1628"/>
    </i>
    <i>
      <x v="1630"/>
    </i>
    <i>
      <x v="1631"/>
    </i>
    <i>
      <x v="1632"/>
    </i>
    <i>
      <x v="1634"/>
    </i>
    <i>
      <x v="1635"/>
    </i>
    <i>
      <x v="1636"/>
    </i>
    <i>
      <x v="1638"/>
    </i>
    <i>
      <x v="1640"/>
    </i>
    <i>
      <x v="1641"/>
    </i>
    <i>
      <x v="1642"/>
    </i>
    <i>
      <x v="1643"/>
    </i>
    <i>
      <x v="1644"/>
    </i>
    <i>
      <x v="1645"/>
    </i>
    <i>
      <x v="1648"/>
    </i>
    <i>
      <x v="1649"/>
    </i>
    <i>
      <x v="1650"/>
    </i>
    <i>
      <x v="1651"/>
    </i>
    <i>
      <x v="1653"/>
    </i>
    <i>
      <x v="1654"/>
    </i>
    <i>
      <x v="1655"/>
    </i>
    <i>
      <x v="1656"/>
    </i>
    <i>
      <x v="1657"/>
    </i>
    <i>
      <x v="1659"/>
    </i>
    <i>
      <x v="1660"/>
    </i>
    <i>
      <x v="1661"/>
    </i>
    <i>
      <x v="1662"/>
    </i>
    <i>
      <x v="1663"/>
    </i>
    <i>
      <x v="1664"/>
    </i>
    <i>
      <x v="1665"/>
    </i>
    <i>
      <x v="1668"/>
    </i>
    <i>
      <x v="1670"/>
    </i>
    <i>
      <x v="1672"/>
    </i>
    <i>
      <x v="1673"/>
    </i>
    <i>
      <x v="1674"/>
    </i>
    <i>
      <x v="1675"/>
    </i>
    <i>
      <x v="1677"/>
    </i>
    <i>
      <x v="1678"/>
    </i>
    <i>
      <x v="1682"/>
    </i>
    <i>
      <x v="1683"/>
    </i>
    <i>
      <x v="1685"/>
    </i>
    <i>
      <x v="1686"/>
    </i>
    <i>
      <x v="1688"/>
    </i>
    <i>
      <x v="1691"/>
    </i>
    <i>
      <x v="1692"/>
    </i>
    <i>
      <x v="1694"/>
    </i>
    <i>
      <x v="1695"/>
    </i>
    <i>
      <x v="1697"/>
    </i>
    <i>
      <x v="1698"/>
    </i>
    <i>
      <x v="1701"/>
    </i>
    <i>
      <x v="1702"/>
    </i>
    <i>
      <x v="1703"/>
    </i>
    <i>
      <x v="1704"/>
    </i>
    <i>
      <x v="1706"/>
    </i>
    <i>
      <x v="1707"/>
    </i>
    <i>
      <x v="1708"/>
    </i>
    <i>
      <x v="1709"/>
    </i>
    <i>
      <x v="1710"/>
    </i>
    <i>
      <x v="1711"/>
    </i>
    <i>
      <x v="1712"/>
    </i>
    <i>
      <x v="1713"/>
    </i>
    <i>
      <x v="1715"/>
    </i>
    <i>
      <x v="1719"/>
    </i>
    <i>
      <x v="1720"/>
    </i>
    <i>
      <x v="1721"/>
    </i>
    <i>
      <x v="1722"/>
    </i>
    <i>
      <x v="1723"/>
    </i>
    <i>
      <x v="1724"/>
    </i>
    <i>
      <x v="1725"/>
    </i>
    <i>
      <x v="1726"/>
    </i>
    <i>
      <x v="1727"/>
    </i>
    <i>
      <x v="1728"/>
    </i>
    <i>
      <x v="1730"/>
    </i>
    <i>
      <x v="1732"/>
    </i>
    <i>
      <x v="1734"/>
    </i>
    <i>
      <x v="1735"/>
    </i>
    <i>
      <x v="1736"/>
    </i>
    <i>
      <x v="1738"/>
    </i>
    <i>
      <x v="1739"/>
    </i>
    <i>
      <x v="1740"/>
    </i>
    <i>
      <x v="1741"/>
    </i>
    <i>
      <x v="1742"/>
    </i>
    <i>
      <x v="1744"/>
    </i>
    <i>
      <x v="1745"/>
    </i>
    <i>
      <x v="1747"/>
    </i>
    <i>
      <x v="1749"/>
    </i>
    <i>
      <x v="1750"/>
    </i>
    <i>
      <x v="1751"/>
    </i>
    <i>
      <x v="1752"/>
    </i>
    <i>
      <x v="1754"/>
    </i>
    <i>
      <x v="1755"/>
    </i>
    <i>
      <x v="1756"/>
    </i>
    <i>
      <x v="1757"/>
    </i>
    <i>
      <x v="1758"/>
    </i>
    <i>
      <x v="1759"/>
    </i>
    <i>
      <x v="1760"/>
    </i>
    <i>
      <x v="1762"/>
    </i>
    <i>
      <x v="1763"/>
    </i>
    <i>
      <x v="1764"/>
    </i>
    <i>
      <x v="1765"/>
    </i>
    <i>
      <x v="1767"/>
    </i>
    <i>
      <x v="1768"/>
    </i>
    <i>
      <x v="1769"/>
    </i>
    <i>
      <x v="1770"/>
    </i>
    <i>
      <x v="1771"/>
    </i>
    <i>
      <x v="1772"/>
    </i>
    <i>
      <x v="1774"/>
    </i>
    <i>
      <x v="1775"/>
    </i>
    <i>
      <x v="1776"/>
    </i>
    <i>
      <x v="1777"/>
    </i>
    <i>
      <x v="1778"/>
    </i>
    <i>
      <x v="1779"/>
    </i>
    <i>
      <x v="1780"/>
    </i>
    <i>
      <x v="1781"/>
    </i>
    <i>
      <x v="1783"/>
    </i>
    <i>
      <x v="1784"/>
    </i>
    <i>
      <x v="1790"/>
    </i>
    <i>
      <x v="1791"/>
    </i>
    <i>
      <x v="1792"/>
    </i>
    <i>
      <x v="1794"/>
    </i>
    <i>
      <x v="1795"/>
    </i>
    <i>
      <x v="1797"/>
    </i>
    <i>
      <x v="1798"/>
    </i>
    <i>
      <x v="1799"/>
    </i>
    <i>
      <x v="1800"/>
    </i>
    <i>
      <x v="1803"/>
    </i>
    <i>
      <x v="1804"/>
    </i>
    <i>
      <x v="1806"/>
    </i>
    <i>
      <x v="1807"/>
    </i>
    <i>
      <x v="1808"/>
    </i>
    <i>
      <x v="1809"/>
    </i>
    <i>
      <x v="1810"/>
    </i>
    <i>
      <x v="1812"/>
    </i>
    <i>
      <x v="1814"/>
    </i>
    <i>
      <x v="1815"/>
    </i>
    <i>
      <x v="1816"/>
    </i>
    <i>
      <x v="1817"/>
    </i>
    <i>
      <x v="1818"/>
    </i>
    <i>
      <x v="1820"/>
    </i>
    <i>
      <x v="1821"/>
    </i>
    <i>
      <x v="1822"/>
    </i>
    <i>
      <x v="1823"/>
    </i>
    <i>
      <x v="1824"/>
    </i>
    <i>
      <x v="1826"/>
    </i>
    <i>
      <x v="1827"/>
    </i>
    <i>
      <x v="1830"/>
    </i>
    <i>
      <x v="1831"/>
    </i>
    <i>
      <x v="1832"/>
    </i>
    <i>
      <x v="1833"/>
    </i>
    <i>
      <x v="1834"/>
    </i>
    <i>
      <x v="1836"/>
    </i>
    <i>
      <x v="1837"/>
    </i>
    <i>
      <x v="1838"/>
    </i>
    <i>
      <x v="1839"/>
    </i>
    <i>
      <x v="1841"/>
    </i>
    <i>
      <x v="1842"/>
    </i>
    <i>
      <x v="1843"/>
    </i>
    <i>
      <x v="1845"/>
    </i>
    <i>
      <x v="1846"/>
    </i>
    <i>
      <x v="1847"/>
    </i>
    <i>
      <x v="1848"/>
    </i>
    <i>
      <x v="1849"/>
    </i>
    <i>
      <x v="1850"/>
    </i>
    <i>
      <x v="1851"/>
    </i>
    <i>
      <x v="1852"/>
    </i>
    <i>
      <x v="1853"/>
    </i>
    <i>
      <x v="1854"/>
    </i>
    <i>
      <x v="1855"/>
    </i>
    <i>
      <x v="1857"/>
    </i>
    <i>
      <x v="1858"/>
    </i>
    <i>
      <x v="1859"/>
    </i>
    <i>
      <x v="1860"/>
    </i>
    <i>
      <x v="1861"/>
    </i>
    <i>
      <x v="1863"/>
    </i>
    <i>
      <x v="1864"/>
    </i>
    <i>
      <x v="1865"/>
    </i>
    <i>
      <x v="1866"/>
    </i>
    <i>
      <x v="1868"/>
    </i>
    <i>
      <x v="1870"/>
    </i>
    <i>
      <x v="1871"/>
    </i>
    <i>
      <x v="1872"/>
    </i>
    <i>
      <x v="1874"/>
    </i>
    <i>
      <x v="1875"/>
    </i>
    <i>
      <x v="1876"/>
    </i>
    <i>
      <x v="1877"/>
    </i>
    <i>
      <x v="1878"/>
    </i>
    <i>
      <x v="1879"/>
    </i>
    <i>
      <x v="1880"/>
    </i>
    <i>
      <x v="1881"/>
    </i>
    <i>
      <x v="1882"/>
    </i>
    <i>
      <x v="1883"/>
    </i>
    <i>
      <x v="1886"/>
    </i>
    <i>
      <x v="1888"/>
    </i>
    <i>
      <x v="1889"/>
    </i>
    <i>
      <x v="1890"/>
    </i>
    <i>
      <x v="1892"/>
    </i>
    <i>
      <x v="1895"/>
    </i>
    <i>
      <x v="1898"/>
    </i>
    <i>
      <x v="1899"/>
    </i>
    <i>
      <x v="1900"/>
    </i>
    <i>
      <x v="1901"/>
    </i>
    <i>
      <x v="1902"/>
    </i>
    <i>
      <x v="1905"/>
    </i>
    <i>
      <x v="1907"/>
    </i>
    <i>
      <x v="1908"/>
    </i>
    <i>
      <x v="1910"/>
    </i>
    <i>
      <x v="1911"/>
    </i>
    <i>
      <x v="1912"/>
    </i>
    <i>
      <x v="1915"/>
    </i>
    <i>
      <x v="1916"/>
    </i>
    <i>
      <x v="1917"/>
    </i>
    <i>
      <x v="1919"/>
    </i>
    <i>
      <x v="1921"/>
    </i>
    <i>
      <x v="1923"/>
    </i>
    <i>
      <x v="1925"/>
    </i>
    <i>
      <x v="1927"/>
    </i>
    <i>
      <x v="1928"/>
    </i>
    <i>
      <x v="1931"/>
    </i>
    <i>
      <x v="1935"/>
    </i>
    <i>
      <x v="1936"/>
    </i>
    <i>
      <x v="1939"/>
    </i>
    <i>
      <x v="1941"/>
    </i>
    <i>
      <x v="1942"/>
    </i>
    <i>
      <x v="1945"/>
    </i>
    <i>
      <x v="1946"/>
    </i>
    <i>
      <x v="1947"/>
    </i>
    <i>
      <x v="1948"/>
    </i>
    <i>
      <x v="1949"/>
    </i>
    <i>
      <x v="1950"/>
    </i>
    <i>
      <x v="1951"/>
    </i>
    <i>
      <x v="1952"/>
    </i>
    <i>
      <x v="1953"/>
    </i>
    <i>
      <x v="1958"/>
    </i>
    <i>
      <x v="1964"/>
    </i>
    <i>
      <x v="1966"/>
    </i>
    <i>
      <x v="1967"/>
    </i>
    <i>
      <x v="1968"/>
    </i>
    <i>
      <x v="1969"/>
    </i>
    <i>
      <x v="1970"/>
    </i>
    <i>
      <x v="1971"/>
    </i>
    <i>
      <x v="1972"/>
    </i>
    <i>
      <x v="1974"/>
    </i>
    <i>
      <x v="1975"/>
    </i>
    <i>
      <x v="1977"/>
    </i>
    <i>
      <x v="1979"/>
    </i>
    <i>
      <x v="1980"/>
    </i>
    <i>
      <x v="1982"/>
    </i>
    <i>
      <x v="1983"/>
    </i>
    <i>
      <x v="1984"/>
    </i>
    <i>
      <x v="1985"/>
    </i>
    <i>
      <x v="1986"/>
    </i>
    <i>
      <x v="1987"/>
    </i>
    <i>
      <x v="1988"/>
    </i>
    <i>
      <x v="1989"/>
    </i>
    <i>
      <x v="1991"/>
    </i>
    <i>
      <x v="1992"/>
    </i>
    <i>
      <x v="1993"/>
    </i>
    <i>
      <x v="1994"/>
    </i>
    <i>
      <x v="1996"/>
    </i>
    <i>
      <x v="1997"/>
    </i>
    <i>
      <x v="1999"/>
    </i>
    <i>
      <x v="2000"/>
    </i>
    <i>
      <x v="2001"/>
    </i>
    <i>
      <x v="2002"/>
    </i>
    <i>
      <x v="2003"/>
    </i>
    <i>
      <x v="2004"/>
    </i>
    <i>
      <x v="2005"/>
    </i>
    <i>
      <x v="2006"/>
    </i>
    <i>
      <x v="2007"/>
    </i>
    <i>
      <x v="2008"/>
    </i>
    <i>
      <x v="2009"/>
    </i>
    <i>
      <x v="2010"/>
    </i>
    <i>
      <x v="2011"/>
    </i>
    <i>
      <x v="2015"/>
    </i>
    <i>
      <x v="2016"/>
    </i>
    <i>
      <x v="2018"/>
    </i>
    <i>
      <x v="2020"/>
    </i>
    <i>
      <x v="2022"/>
    </i>
    <i>
      <x v="2023"/>
    </i>
    <i>
      <x v="2024"/>
    </i>
    <i>
      <x v="2025"/>
    </i>
    <i>
      <x v="2026"/>
    </i>
    <i>
      <x v="2027"/>
    </i>
    <i>
      <x v="2029"/>
    </i>
    <i>
      <x v="2030"/>
    </i>
    <i>
      <x v="2032"/>
    </i>
    <i>
      <x v="2033"/>
    </i>
    <i>
      <x v="2034"/>
    </i>
    <i>
      <x v="2036"/>
    </i>
    <i>
      <x v="2037"/>
    </i>
    <i>
      <x v="2038"/>
    </i>
    <i>
      <x v="2041"/>
    </i>
    <i>
      <x v="2042"/>
    </i>
    <i>
      <x v="2044"/>
    </i>
    <i>
      <x v="2045"/>
    </i>
    <i>
      <x v="2047"/>
    </i>
    <i>
      <x v="2048"/>
    </i>
    <i>
      <x v="2049"/>
    </i>
    <i>
      <x v="2051"/>
    </i>
    <i>
      <x v="2054"/>
    </i>
    <i>
      <x v="2055"/>
    </i>
    <i>
      <x v="2056"/>
    </i>
    <i>
      <x v="2058"/>
    </i>
    <i>
      <x v="2059"/>
    </i>
    <i>
      <x v="2060"/>
    </i>
    <i>
      <x v="2062"/>
    </i>
    <i>
      <x v="2063"/>
    </i>
    <i>
      <x v="2067"/>
    </i>
    <i>
      <x v="2068"/>
    </i>
    <i>
      <x v="2069"/>
    </i>
    <i>
      <x v="2070"/>
    </i>
    <i>
      <x v="2071"/>
    </i>
    <i>
      <x v="2072"/>
    </i>
    <i>
      <x v="2073"/>
    </i>
    <i>
      <x v="2075"/>
    </i>
    <i>
      <x v="2076"/>
    </i>
    <i>
      <x v="2077"/>
    </i>
    <i>
      <x v="2078"/>
    </i>
    <i>
      <x v="2080"/>
    </i>
    <i>
      <x v="2081"/>
    </i>
    <i>
      <x v="2083"/>
    </i>
    <i>
      <x v="2084"/>
    </i>
    <i>
      <x v="2085"/>
    </i>
    <i>
      <x v="2086"/>
    </i>
    <i>
      <x v="2088"/>
    </i>
    <i>
      <x v="2089"/>
    </i>
    <i>
      <x v="2090"/>
    </i>
    <i>
      <x v="2092"/>
    </i>
    <i>
      <x v="2093"/>
    </i>
    <i>
      <x v="2094"/>
    </i>
    <i>
      <x v="2096"/>
    </i>
    <i>
      <x v="2097"/>
    </i>
    <i>
      <x v="2098"/>
    </i>
    <i>
      <x v="2099"/>
    </i>
    <i>
      <x v="2101"/>
    </i>
    <i>
      <x v="2102"/>
    </i>
    <i>
      <x v="2104"/>
    </i>
    <i>
      <x v="2107"/>
    </i>
    <i>
      <x v="2108"/>
    </i>
    <i>
      <x v="2109"/>
    </i>
    <i>
      <x v="2111"/>
    </i>
    <i>
      <x v="2114"/>
    </i>
    <i>
      <x v="2119"/>
    </i>
    <i>
      <x v="2120"/>
    </i>
    <i>
      <x v="2121"/>
    </i>
    <i>
      <x v="2122"/>
    </i>
    <i>
      <x v="2123"/>
    </i>
    <i>
      <x v="2124"/>
    </i>
    <i>
      <x v="2125"/>
    </i>
    <i>
      <x v="2126"/>
    </i>
    <i>
      <x v="2130"/>
    </i>
    <i>
      <x v="2131"/>
    </i>
    <i>
      <x v="2133"/>
    </i>
    <i>
      <x v="2134"/>
    </i>
    <i>
      <x v="2135"/>
    </i>
    <i>
      <x v="2137"/>
    </i>
    <i>
      <x v="2138"/>
    </i>
    <i>
      <x v="2140"/>
    </i>
    <i>
      <x v="2141"/>
    </i>
    <i>
      <x v="2142"/>
    </i>
    <i>
      <x v="2143"/>
    </i>
    <i>
      <x v="2144"/>
    </i>
    <i>
      <x v="2145"/>
    </i>
    <i>
      <x v="2148"/>
    </i>
    <i>
      <x v="2149"/>
    </i>
    <i>
      <x v="2151"/>
    </i>
    <i>
      <x v="2152"/>
    </i>
    <i>
      <x v="2154"/>
    </i>
    <i>
      <x v="2155"/>
    </i>
    <i>
      <x v="2156"/>
    </i>
    <i>
      <x v="2158"/>
    </i>
    <i>
      <x v="2160"/>
    </i>
    <i>
      <x v="2161"/>
    </i>
    <i>
      <x v="2162"/>
    </i>
    <i>
      <x v="2163"/>
    </i>
    <i>
      <x v="2166"/>
    </i>
    <i>
      <x v="2167"/>
    </i>
    <i>
      <x v="2168"/>
    </i>
    <i>
      <x v="2169"/>
    </i>
    <i>
      <x v="2170"/>
    </i>
    <i>
      <x v="2171"/>
    </i>
    <i>
      <x v="2172"/>
    </i>
    <i>
      <x v="2173"/>
    </i>
    <i>
      <x v="2174"/>
    </i>
    <i>
      <x v="2175"/>
    </i>
    <i>
      <x v="2176"/>
    </i>
    <i>
      <x v="2178"/>
    </i>
    <i>
      <x v="2180"/>
    </i>
    <i>
      <x v="2182"/>
    </i>
    <i>
      <x v="2184"/>
    </i>
    <i>
      <x v="2186"/>
    </i>
    <i>
      <x v="2187"/>
    </i>
    <i>
      <x v="2189"/>
    </i>
    <i>
      <x v="2190"/>
    </i>
    <i>
      <x v="2191"/>
    </i>
    <i>
      <x v="2192"/>
    </i>
    <i>
      <x v="2193"/>
    </i>
    <i>
      <x v="2194"/>
    </i>
    <i>
      <x v="2195"/>
    </i>
    <i>
      <x v="2198"/>
    </i>
    <i>
      <x v="2200"/>
    </i>
    <i>
      <x v="2201"/>
    </i>
    <i>
      <x v="2204"/>
    </i>
    <i>
      <x v="2205"/>
    </i>
    <i>
      <x v="2206"/>
    </i>
    <i>
      <x v="2208"/>
    </i>
    <i>
      <x v="2212"/>
    </i>
    <i>
      <x v="2213"/>
    </i>
    <i>
      <x v="2217"/>
    </i>
    <i>
      <x v="2219"/>
    </i>
    <i>
      <x v="2220"/>
    </i>
    <i>
      <x v="2223"/>
    </i>
    <i>
      <x v="2225"/>
    </i>
    <i>
      <x v="2226"/>
    </i>
    <i>
      <x v="2229"/>
    </i>
    <i>
      <x v="2230"/>
    </i>
    <i>
      <x v="2231"/>
    </i>
    <i>
      <x v="2234"/>
    </i>
    <i>
      <x v="2235"/>
    </i>
    <i>
      <x v="2236"/>
    </i>
    <i>
      <x v="2237"/>
    </i>
    <i>
      <x v="2238"/>
    </i>
    <i>
      <x v="2239"/>
    </i>
    <i>
      <x v="2243"/>
    </i>
    <i>
      <x v="2244"/>
    </i>
    <i>
      <x v="2245"/>
    </i>
    <i>
      <x v="2247"/>
    </i>
    <i>
      <x v="2251"/>
    </i>
    <i>
      <x v="2255"/>
    </i>
    <i>
      <x v="2256"/>
    </i>
    <i>
      <x v="2257"/>
    </i>
    <i>
      <x v="2259"/>
    </i>
    <i>
      <x v="2260"/>
    </i>
    <i>
      <x v="2261"/>
    </i>
    <i>
      <x v="2264"/>
    </i>
    <i>
      <x v="2267"/>
    </i>
    <i>
      <x v="2268"/>
    </i>
    <i>
      <x v="2270"/>
    </i>
    <i>
      <x v="2271"/>
    </i>
    <i>
      <x v="2272"/>
    </i>
    <i>
      <x v="2274"/>
    </i>
    <i>
      <x v="2276"/>
    </i>
    <i>
      <x v="2278"/>
    </i>
    <i>
      <x v="2280"/>
    </i>
    <i>
      <x v="2281"/>
    </i>
    <i>
      <x v="2284"/>
    </i>
    <i>
      <x v="2287"/>
    </i>
    <i>
      <x v="2288"/>
    </i>
    <i>
      <x v="2289"/>
    </i>
    <i>
      <x v="2290"/>
    </i>
    <i>
      <x v="2291"/>
    </i>
    <i>
      <x v="2292"/>
    </i>
    <i>
      <x v="2295"/>
    </i>
    <i>
      <x v="2297"/>
    </i>
    <i>
      <x v="2298"/>
    </i>
    <i>
      <x v="2299"/>
    </i>
    <i>
      <x v="2301"/>
    </i>
    <i>
      <x v="2303"/>
    </i>
    <i>
      <x v="2304"/>
    </i>
    <i>
      <x v="2305"/>
    </i>
    <i>
      <x v="2306"/>
    </i>
    <i>
      <x v="2310"/>
    </i>
    <i>
      <x v="2312"/>
    </i>
    <i>
      <x v="2313"/>
    </i>
    <i>
      <x v="2316"/>
    </i>
    <i>
      <x v="2318"/>
    </i>
    <i>
      <x v="2319"/>
    </i>
    <i>
      <x v="2320"/>
    </i>
    <i>
      <x v="2324"/>
    </i>
    <i>
      <x v="2325"/>
    </i>
    <i>
      <x v="2327"/>
    </i>
    <i>
      <x v="2328"/>
    </i>
    <i>
      <x v="2329"/>
    </i>
    <i>
      <x v="2330"/>
    </i>
    <i>
      <x v="2332"/>
    </i>
    <i>
      <x v="2333"/>
    </i>
    <i>
      <x v="2334"/>
    </i>
    <i>
      <x v="2335"/>
    </i>
    <i>
      <x v="2336"/>
    </i>
    <i>
      <x v="2339"/>
    </i>
    <i>
      <x v="2340"/>
    </i>
    <i>
      <x v="2341"/>
    </i>
    <i>
      <x v="2342"/>
    </i>
    <i>
      <x v="2344"/>
    </i>
    <i>
      <x v="2345"/>
    </i>
    <i>
      <x v="2346"/>
    </i>
    <i>
      <x v="2348"/>
    </i>
    <i>
      <x v="2349"/>
    </i>
    <i>
      <x v="2352"/>
    </i>
    <i>
      <x v="2353"/>
    </i>
    <i>
      <x v="2355"/>
    </i>
    <i>
      <x v="2357"/>
    </i>
    <i>
      <x v="2358"/>
    </i>
    <i>
      <x v="2360"/>
    </i>
    <i>
      <x v="2361"/>
    </i>
    <i>
      <x v="2362"/>
    </i>
    <i>
      <x v="2363"/>
    </i>
    <i>
      <x v="2364"/>
    </i>
    <i>
      <x v="2366"/>
    </i>
    <i>
      <x v="2367"/>
    </i>
    <i>
      <x v="2369"/>
    </i>
    <i>
      <x v="2371"/>
    </i>
    <i>
      <x v="2372"/>
    </i>
    <i>
      <x v="2376"/>
    </i>
    <i>
      <x v="2377"/>
    </i>
    <i>
      <x v="2378"/>
    </i>
    <i>
      <x v="2380"/>
    </i>
    <i>
      <x v="2383"/>
    </i>
    <i>
      <x v="2384"/>
    </i>
    <i>
      <x v="2385"/>
    </i>
    <i>
      <x v="2386"/>
    </i>
    <i>
      <x v="2387"/>
    </i>
    <i>
      <x v="2389"/>
    </i>
    <i>
      <x v="2391"/>
    </i>
    <i>
      <x v="2392"/>
    </i>
    <i>
      <x v="2394"/>
    </i>
    <i>
      <x v="2395"/>
    </i>
    <i>
      <x v="2396"/>
    </i>
    <i>
      <x v="2397"/>
    </i>
    <i>
      <x v="2398"/>
    </i>
    <i>
      <x v="2400"/>
    </i>
    <i>
      <x v="2403"/>
    </i>
    <i>
      <x v="2404"/>
    </i>
    <i>
      <x v="2405"/>
    </i>
    <i>
      <x v="2406"/>
    </i>
    <i>
      <x v="2407"/>
    </i>
    <i>
      <x v="2408"/>
    </i>
    <i>
      <x v="2409"/>
    </i>
    <i>
      <x v="2410"/>
    </i>
    <i>
      <x v="2411"/>
    </i>
    <i>
      <x v="2412"/>
    </i>
    <i>
      <x v="2414"/>
    </i>
    <i>
      <x v="2416"/>
    </i>
    <i>
      <x v="2418"/>
    </i>
    <i>
      <x v="2420"/>
    </i>
    <i>
      <x v="2422"/>
    </i>
    <i>
      <x v="2423"/>
    </i>
    <i>
      <x v="2424"/>
    </i>
    <i>
      <x v="2425"/>
    </i>
    <i>
      <x v="2426"/>
    </i>
    <i>
      <x v="2427"/>
    </i>
    <i>
      <x v="2431"/>
    </i>
    <i>
      <x v="2432"/>
    </i>
    <i>
      <x v="2433"/>
    </i>
    <i>
      <x v="2434"/>
    </i>
    <i>
      <x v="2441"/>
    </i>
    <i>
      <x v="2442"/>
    </i>
    <i>
      <x v="2443"/>
    </i>
    <i>
      <x v="2444"/>
    </i>
    <i>
      <x v="2445"/>
    </i>
    <i>
      <x v="2446"/>
    </i>
    <i>
      <x v="2447"/>
    </i>
    <i>
      <x v="2448"/>
    </i>
    <i>
      <x v="2450"/>
    </i>
    <i>
      <x v="2451"/>
    </i>
    <i>
      <x v="2454"/>
    </i>
    <i>
      <x v="2455"/>
    </i>
    <i>
      <x v="2456"/>
    </i>
    <i>
      <x v="2457"/>
    </i>
    <i>
      <x v="2458"/>
    </i>
    <i>
      <x v="2459"/>
    </i>
    <i>
      <x v="2461"/>
    </i>
    <i>
      <x v="2462"/>
    </i>
    <i>
      <x v="2463"/>
    </i>
    <i>
      <x v="2464"/>
    </i>
    <i>
      <x v="2467"/>
    </i>
    <i>
      <x v="2470"/>
    </i>
    <i>
      <x v="2471"/>
    </i>
    <i>
      <x v="2476"/>
    </i>
    <i>
      <x v="2477"/>
    </i>
    <i>
      <x v="2478"/>
    </i>
    <i>
      <x v="2479"/>
    </i>
    <i>
      <x v="2481"/>
    </i>
    <i>
      <x v="2482"/>
    </i>
    <i>
      <x v="2483"/>
    </i>
    <i>
      <x v="2484"/>
    </i>
    <i>
      <x v="2486"/>
    </i>
    <i>
      <x v="2487"/>
    </i>
    <i>
      <x v="2488"/>
    </i>
    <i>
      <x v="2489"/>
    </i>
    <i>
      <x v="2491"/>
    </i>
    <i>
      <x v="2493"/>
    </i>
    <i>
      <x v="2496"/>
    </i>
    <i>
      <x v="2497"/>
    </i>
    <i>
      <x v="2498"/>
    </i>
    <i>
      <x v="2499"/>
    </i>
    <i>
      <x v="2500"/>
    </i>
    <i>
      <x v="2501"/>
    </i>
    <i>
      <x v="2503"/>
    </i>
    <i>
      <x v="2504"/>
    </i>
    <i>
      <x v="2505"/>
    </i>
    <i>
      <x v="2506"/>
    </i>
    <i>
      <x v="2508"/>
    </i>
    <i>
      <x v="2509"/>
    </i>
    <i>
      <x v="2510"/>
    </i>
    <i>
      <x v="2515"/>
    </i>
    <i>
      <x v="2516"/>
    </i>
    <i>
      <x v="2517"/>
    </i>
    <i>
      <x v="2518"/>
    </i>
    <i>
      <x v="2521"/>
    </i>
    <i>
      <x v="2523"/>
    </i>
    <i>
      <x v="2526"/>
    </i>
    <i>
      <x v="2529"/>
    </i>
    <i>
      <x v="2531"/>
    </i>
    <i>
      <x v="2533"/>
    </i>
    <i>
      <x v="2534"/>
    </i>
    <i>
      <x v="2535"/>
    </i>
    <i>
      <x v="2536"/>
    </i>
    <i>
      <x v="2537"/>
    </i>
    <i>
      <x v="2538"/>
    </i>
    <i>
      <x v="2539"/>
    </i>
    <i>
      <x v="2541"/>
    </i>
    <i>
      <x v="2544"/>
    </i>
    <i>
      <x v="2545"/>
    </i>
    <i>
      <x v="2546"/>
    </i>
    <i>
      <x v="2548"/>
    </i>
    <i>
      <x v="2549"/>
    </i>
    <i>
      <x v="2551"/>
    </i>
    <i>
      <x v="2552"/>
    </i>
    <i>
      <x v="2553"/>
    </i>
    <i>
      <x v="2554"/>
    </i>
    <i>
      <x v="2555"/>
    </i>
    <i>
      <x v="2558"/>
    </i>
    <i>
      <x v="2559"/>
    </i>
    <i>
      <x v="2560"/>
    </i>
    <i>
      <x v="2562"/>
    </i>
    <i>
      <x v="2563"/>
    </i>
    <i>
      <x v="2567"/>
    </i>
    <i>
      <x v="2568"/>
    </i>
    <i>
      <x v="2569"/>
    </i>
    <i>
      <x v="2570"/>
    </i>
    <i>
      <x v="2571"/>
    </i>
    <i>
      <x v="2572"/>
    </i>
    <i>
      <x v="2575"/>
    </i>
    <i>
      <x v="2578"/>
    </i>
    <i>
      <x v="2579"/>
    </i>
    <i>
      <x v="2580"/>
    </i>
    <i>
      <x v="2581"/>
    </i>
    <i>
      <x v="2585"/>
    </i>
    <i>
      <x v="2586"/>
    </i>
    <i>
      <x v="2587"/>
    </i>
    <i>
      <x v="2588"/>
    </i>
    <i>
      <x v="2589"/>
    </i>
    <i>
      <x v="2593"/>
    </i>
    <i>
      <x v="2594"/>
    </i>
    <i>
      <x v="2595"/>
    </i>
    <i>
      <x v="2597"/>
    </i>
    <i>
      <x v="2600"/>
    </i>
    <i>
      <x v="2601"/>
    </i>
    <i>
      <x v="2602"/>
    </i>
    <i>
      <x v="2603"/>
    </i>
    <i>
      <x v="2605"/>
    </i>
    <i>
      <x v="2606"/>
    </i>
    <i>
      <x v="2611"/>
    </i>
    <i>
      <x v="2612"/>
    </i>
    <i>
      <x v="2615"/>
    </i>
    <i>
      <x v="2617"/>
    </i>
    <i>
      <x v="2618"/>
    </i>
    <i>
      <x v="2619"/>
    </i>
    <i>
      <x v="2620"/>
    </i>
    <i>
      <x v="2621"/>
    </i>
    <i>
      <x v="2622"/>
    </i>
    <i>
      <x v="2625"/>
    </i>
    <i>
      <x v="2626"/>
    </i>
    <i>
      <x v="2627"/>
    </i>
    <i>
      <x v="2629"/>
    </i>
    <i>
      <x v="2631"/>
    </i>
    <i>
      <x v="2632"/>
    </i>
    <i>
      <x v="2633"/>
    </i>
    <i>
      <x v="2634"/>
    </i>
    <i>
      <x v="2635"/>
    </i>
    <i>
      <x v="2636"/>
    </i>
    <i>
      <x v="2637"/>
    </i>
    <i>
      <x v="2638"/>
    </i>
    <i>
      <x v="2641"/>
    </i>
    <i>
      <x v="2644"/>
    </i>
    <i>
      <x v="2645"/>
    </i>
    <i>
      <x v="2646"/>
    </i>
    <i>
      <x v="2647"/>
    </i>
    <i>
      <x v="2648"/>
    </i>
    <i>
      <x v="2649"/>
    </i>
    <i>
      <x v="2651"/>
    </i>
    <i>
      <x v="2653"/>
    </i>
    <i>
      <x v="2654"/>
    </i>
    <i>
      <x v="2655"/>
    </i>
    <i>
      <x v="2657"/>
    </i>
    <i>
      <x v="2661"/>
    </i>
    <i>
      <x v="2664"/>
    </i>
    <i>
      <x v="2665"/>
    </i>
    <i>
      <x v="2666"/>
    </i>
    <i>
      <x v="2667"/>
    </i>
    <i>
      <x v="2668"/>
    </i>
    <i>
      <x v="2670"/>
    </i>
    <i>
      <x v="2671"/>
    </i>
    <i>
      <x v="2673"/>
    </i>
    <i>
      <x v="2675"/>
    </i>
    <i>
      <x v="2676"/>
    </i>
    <i>
      <x v="2677"/>
    </i>
    <i>
      <x v="2678"/>
    </i>
    <i>
      <x v="2679"/>
    </i>
    <i>
      <x v="2682"/>
    </i>
    <i>
      <x v="2683"/>
    </i>
    <i>
      <x v="2684"/>
    </i>
    <i>
      <x v="2685"/>
    </i>
    <i>
      <x v="2688"/>
    </i>
    <i>
      <x v="2689"/>
    </i>
    <i>
      <x v="2690"/>
    </i>
    <i>
      <x v="2692"/>
    </i>
    <i>
      <x v="2698"/>
    </i>
    <i>
      <x v="2699"/>
    </i>
    <i>
      <x v="2700"/>
    </i>
    <i>
      <x v="2701"/>
    </i>
    <i>
      <x v="2702"/>
    </i>
    <i>
      <x v="2704"/>
    </i>
    <i>
      <x v="2706"/>
    </i>
    <i>
      <x v="2709"/>
    </i>
    <i>
      <x v="2710"/>
    </i>
    <i>
      <x v="2711"/>
    </i>
    <i>
      <x v="2712"/>
    </i>
    <i>
      <x v="2713"/>
    </i>
    <i>
      <x v="2714"/>
    </i>
    <i>
      <x v="2715"/>
    </i>
    <i>
      <x v="2716"/>
    </i>
    <i>
      <x v="2717"/>
    </i>
    <i>
      <x v="2718"/>
    </i>
    <i>
      <x v="2721"/>
    </i>
    <i>
      <x v="2722"/>
    </i>
    <i>
      <x v="2723"/>
    </i>
    <i>
      <x v="2725"/>
    </i>
    <i>
      <x v="2726"/>
    </i>
    <i>
      <x v="2728"/>
    </i>
    <i>
      <x v="2730"/>
    </i>
    <i>
      <x v="2731"/>
    </i>
    <i>
      <x v="2733"/>
    </i>
    <i>
      <x v="2736"/>
    </i>
    <i>
      <x v="2737"/>
    </i>
    <i>
      <x v="2738"/>
    </i>
    <i>
      <x v="2739"/>
    </i>
    <i>
      <x v="2740"/>
    </i>
    <i>
      <x v="2741"/>
    </i>
    <i>
      <x v="2742"/>
    </i>
    <i>
      <x v="2743"/>
    </i>
    <i>
      <x v="2745"/>
    </i>
    <i>
      <x v="2750"/>
    </i>
    <i>
      <x v="2751"/>
    </i>
    <i>
      <x v="2752"/>
    </i>
    <i>
      <x v="2753"/>
    </i>
    <i>
      <x v="2754"/>
    </i>
    <i>
      <x v="2755"/>
    </i>
    <i>
      <x v="2756"/>
    </i>
    <i>
      <x v="2758"/>
    </i>
    <i>
      <x v="2759"/>
    </i>
    <i>
      <x v="2760"/>
    </i>
    <i>
      <x v="2761"/>
    </i>
    <i>
      <x v="2762"/>
    </i>
    <i>
      <x v="2763"/>
    </i>
    <i>
      <x v="2765"/>
    </i>
    <i>
      <x v="2766"/>
    </i>
    <i>
      <x v="2768"/>
    </i>
    <i>
      <x v="2769"/>
    </i>
    <i>
      <x v="2770"/>
    </i>
    <i>
      <x v="2774"/>
    </i>
    <i>
      <x v="2775"/>
    </i>
    <i>
      <x v="2777"/>
    </i>
    <i>
      <x v="2778"/>
    </i>
    <i>
      <x v="2779"/>
    </i>
    <i>
      <x v="2780"/>
    </i>
    <i>
      <x v="2781"/>
    </i>
    <i>
      <x v="2782"/>
    </i>
    <i>
      <x v="2783"/>
    </i>
    <i>
      <x v="2784"/>
    </i>
    <i>
      <x v="2785"/>
    </i>
    <i>
      <x v="2786"/>
    </i>
    <i>
      <x v="2788"/>
    </i>
    <i>
      <x v="2789"/>
    </i>
    <i>
      <x v="2791"/>
    </i>
    <i>
      <x v="2792"/>
    </i>
    <i>
      <x v="2793"/>
    </i>
    <i>
      <x v="2795"/>
    </i>
    <i>
      <x v="2796"/>
    </i>
    <i>
      <x v="2797"/>
    </i>
    <i>
      <x v="2798"/>
    </i>
    <i>
      <x v="2800"/>
    </i>
    <i>
      <x v="2801"/>
    </i>
    <i>
      <x v="2803"/>
    </i>
    <i>
      <x v="2805"/>
    </i>
    <i>
      <x v="2806"/>
    </i>
    <i>
      <x v="2811"/>
    </i>
    <i>
      <x v="2812"/>
    </i>
    <i>
      <x v="2813"/>
    </i>
    <i>
      <x v="2815"/>
    </i>
    <i>
      <x v="2816"/>
    </i>
    <i>
      <x v="2817"/>
    </i>
    <i>
      <x v="2818"/>
    </i>
    <i>
      <x v="2819"/>
    </i>
    <i>
      <x v="2821"/>
    </i>
    <i>
      <x v="2822"/>
    </i>
    <i>
      <x v="2823"/>
    </i>
    <i>
      <x v="2824"/>
    </i>
    <i>
      <x v="2827"/>
    </i>
    <i>
      <x v="2828"/>
    </i>
    <i>
      <x v="2830"/>
    </i>
    <i>
      <x v="2831"/>
    </i>
    <i>
      <x v="2832"/>
    </i>
    <i>
      <x v="2834"/>
    </i>
    <i>
      <x v="2835"/>
    </i>
    <i>
      <x v="2837"/>
    </i>
    <i>
      <x v="2838"/>
    </i>
    <i>
      <x v="2840"/>
    </i>
    <i>
      <x v="2841"/>
    </i>
    <i>
      <x v="2842"/>
    </i>
    <i>
      <x v="2843"/>
    </i>
    <i>
      <x v="2844"/>
    </i>
    <i>
      <x v="2845"/>
    </i>
    <i>
      <x v="2846"/>
    </i>
    <i>
      <x v="2847"/>
    </i>
    <i>
      <x v="2848"/>
    </i>
    <i>
      <x v="2850"/>
    </i>
    <i>
      <x v="2857"/>
    </i>
    <i>
      <x v="2859"/>
    </i>
    <i>
      <x v="2861"/>
    </i>
    <i>
      <x v="2863"/>
    </i>
    <i>
      <x v="2864"/>
    </i>
    <i>
      <x v="2866"/>
    </i>
    <i>
      <x v="2867"/>
    </i>
    <i>
      <x v="2868"/>
    </i>
    <i>
      <x v="2869"/>
    </i>
    <i>
      <x v="2872"/>
    </i>
    <i>
      <x v="2874"/>
    </i>
    <i>
      <x v="2878"/>
    </i>
    <i>
      <x v="2879"/>
    </i>
    <i>
      <x v="2881"/>
    </i>
    <i>
      <x v="2884"/>
    </i>
    <i>
      <x v="2885"/>
    </i>
    <i>
      <x v="2886"/>
    </i>
    <i>
      <x v="2887"/>
    </i>
    <i>
      <x v="2888"/>
    </i>
    <i>
      <x v="2889"/>
    </i>
    <i>
      <x v="2890"/>
    </i>
    <i>
      <x v="2891"/>
    </i>
    <i>
      <x v="2894"/>
    </i>
    <i>
      <x v="2895"/>
    </i>
    <i>
      <x v="2896"/>
    </i>
    <i>
      <x v="2897"/>
    </i>
    <i>
      <x v="2898"/>
    </i>
    <i>
      <x v="2899"/>
    </i>
    <i>
      <x v="2901"/>
    </i>
    <i>
      <x v="2902"/>
    </i>
    <i>
      <x v="2903"/>
    </i>
    <i>
      <x v="2904"/>
    </i>
    <i>
      <x v="2907"/>
    </i>
    <i>
      <x v="2908"/>
    </i>
    <i>
      <x v="2909"/>
    </i>
    <i>
      <x v="2910"/>
    </i>
    <i>
      <x v="2911"/>
    </i>
    <i>
      <x v="2912"/>
    </i>
    <i>
      <x v="2915"/>
    </i>
    <i>
      <x v="2916"/>
    </i>
    <i>
      <x v="2917"/>
    </i>
    <i>
      <x v="2920"/>
    </i>
    <i>
      <x v="2921"/>
    </i>
    <i>
      <x v="2922"/>
    </i>
    <i>
      <x v="2923"/>
    </i>
    <i>
      <x v="2924"/>
    </i>
    <i>
      <x v="2925"/>
    </i>
    <i>
      <x v="2926"/>
    </i>
    <i>
      <x v="2928"/>
    </i>
    <i>
      <x v="2929"/>
    </i>
    <i>
      <x v="2930"/>
    </i>
    <i>
      <x v="2932"/>
    </i>
    <i>
      <x v="2933"/>
    </i>
    <i>
      <x v="2934"/>
    </i>
    <i>
      <x v="2936"/>
    </i>
    <i>
      <x v="2937"/>
    </i>
    <i>
      <x v="2938"/>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CA6E946-CC35-41E5-84B0-CC3BD8A1A039}"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2:M18" firstHeaderRow="1" firstDataRow="1" firstDataCol="1"/>
  <pivotFields count="14">
    <pivotField showAll="0"/>
    <pivotField numFmtId="22" showAll="0"/>
    <pivotField showAll="0"/>
    <pivotField axis="axisRow" showAll="0">
      <items count="16">
        <item x="2"/>
        <item x="12"/>
        <item x="9"/>
        <item x="7"/>
        <item x="4"/>
        <item x="1"/>
        <item x="3"/>
        <item x="13"/>
        <item x="6"/>
        <item x="10"/>
        <item x="0"/>
        <item x="14"/>
        <item x="5"/>
        <item x="11"/>
        <item x="8"/>
        <item t="default"/>
      </items>
    </pivotField>
    <pivotField showAll="0"/>
    <pivotField showAll="0"/>
    <pivotField showAll="0"/>
    <pivotField showAll="0"/>
    <pivotField showAll="0"/>
    <pivotField showAll="0"/>
    <pivotField showAll="0"/>
    <pivotField showAll="0"/>
    <pivotField showAll="0"/>
    <pivotField showAll="0">
      <items count="6">
        <item x="0"/>
        <item x="3"/>
        <item x="4"/>
        <item h="1" x="1"/>
        <item h="1" x="2"/>
        <item t="default"/>
      </items>
    </pivotField>
  </pivotFields>
  <rowFields count="1">
    <field x="3"/>
  </rowFields>
  <rowItems count="16">
    <i>
      <x/>
    </i>
    <i>
      <x v="1"/>
    </i>
    <i>
      <x v="2"/>
    </i>
    <i>
      <x v="3"/>
    </i>
    <i>
      <x v="4"/>
    </i>
    <i>
      <x v="5"/>
    </i>
    <i>
      <x v="6"/>
    </i>
    <i>
      <x v="7"/>
    </i>
    <i>
      <x v="8"/>
    </i>
    <i>
      <x v="9"/>
    </i>
    <i>
      <x v="10"/>
    </i>
    <i>
      <x v="11"/>
    </i>
    <i>
      <x v="12"/>
    </i>
    <i>
      <x v="13"/>
    </i>
    <i>
      <x v="14"/>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397B446-90FF-4EEA-AB16-309CAF52020E}"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2:K3" firstHeaderRow="1" firstDataRow="1" firstDataCol="0"/>
  <pivotFields count="14">
    <pivotField showAll="0"/>
    <pivotField numFmtId="22" showAll="0"/>
    <pivotField showAll="0"/>
    <pivotField showAll="0">
      <items count="16">
        <item x="2"/>
        <item x="12"/>
        <item x="9"/>
        <item x="7"/>
        <item x="4"/>
        <item x="1"/>
        <item x="3"/>
        <item x="13"/>
        <item x="6"/>
        <item x="10"/>
        <item x="0"/>
        <item x="14"/>
        <item x="5"/>
        <item x="11"/>
        <item x="8"/>
        <item t="default"/>
      </items>
    </pivotField>
    <pivotField showAll="0"/>
    <pivotField showAll="0"/>
    <pivotField dataField="1" showAll="0"/>
    <pivotField showAll="0"/>
    <pivotField showAll="0"/>
    <pivotField showAll="0"/>
    <pivotField showAll="0"/>
    <pivotField showAll="0"/>
    <pivotField showAll="0"/>
    <pivotField showAll="0">
      <items count="6">
        <item x="0"/>
        <item x="3"/>
        <item x="4"/>
        <item h="1" x="1"/>
        <item h="1" x="2"/>
        <item t="default"/>
      </items>
    </pivotField>
  </pivotFields>
  <rowItems count="1">
    <i/>
  </rowItems>
  <colItems count="1">
    <i/>
  </colItems>
  <dataFields count="1">
    <dataField name="Sum of Quantity"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48D5FAC-B945-4F80-A12D-EF7F949ECAB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2:I3" firstHeaderRow="1" firstDataRow="1" firstDataCol="0"/>
  <pivotFields count="14">
    <pivotField showAll="0"/>
    <pivotField numFmtId="22" showAll="0"/>
    <pivotField showAll="0"/>
    <pivotField showAll="0">
      <items count="16">
        <item x="2"/>
        <item x="12"/>
        <item x="9"/>
        <item x="7"/>
        <item x="4"/>
        <item x="1"/>
        <item x="3"/>
        <item x="13"/>
        <item x="6"/>
        <item x="10"/>
        <item x="0"/>
        <item x="14"/>
        <item x="5"/>
        <item x="11"/>
        <item x="8"/>
        <item t="default"/>
      </items>
    </pivotField>
    <pivotField showAll="0"/>
    <pivotField showAll="0"/>
    <pivotField showAll="0"/>
    <pivotField showAll="0"/>
    <pivotField showAll="0"/>
    <pivotField showAll="0"/>
    <pivotField dataField="1" showAll="0"/>
    <pivotField showAll="0"/>
    <pivotField showAll="0"/>
    <pivotField showAll="0">
      <items count="6">
        <item x="0"/>
        <item x="3"/>
        <item x="4"/>
        <item h="1" x="1"/>
        <item h="1" x="2"/>
        <item t="default"/>
      </items>
    </pivotField>
  </pivotFields>
  <rowItems count="1">
    <i/>
  </rowItems>
  <colItems count="1">
    <i/>
  </colItems>
  <dataFields count="1">
    <dataField name="Sum of Revenue"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F807E1B-C7F9-47D9-B33C-29AF2ABCF41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2:E1990" firstHeaderRow="1" firstDataRow="1" firstDataCol="1"/>
  <pivotFields count="14">
    <pivotField axis="axisRow" showAll="0">
      <items count="3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t="default"/>
      </items>
    </pivotField>
    <pivotField numFmtId="22" showAll="0"/>
    <pivotField showAll="0"/>
    <pivotField showAll="0">
      <items count="16">
        <item x="2"/>
        <item x="12"/>
        <item x="9"/>
        <item x="7"/>
        <item x="4"/>
        <item x="1"/>
        <item x="3"/>
        <item x="13"/>
        <item x="6"/>
        <item x="10"/>
        <item x="0"/>
        <item x="14"/>
        <item x="5"/>
        <item x="11"/>
        <item x="8"/>
        <item t="default"/>
      </items>
    </pivotField>
    <pivotField showAll="0"/>
    <pivotField showAll="0"/>
    <pivotField showAll="0"/>
    <pivotField showAll="0"/>
    <pivotField showAll="0"/>
    <pivotField showAll="0"/>
    <pivotField showAll="0"/>
    <pivotField showAll="0"/>
    <pivotField showAll="0"/>
    <pivotField showAll="0">
      <items count="6">
        <item x="0"/>
        <item x="3"/>
        <item x="4"/>
        <item h="1" x="1"/>
        <item h="1" x="2"/>
        <item t="default"/>
      </items>
    </pivotField>
  </pivotFields>
  <rowFields count="1">
    <field x="0"/>
  </rowFields>
  <rowItems count="1988">
    <i>
      <x/>
    </i>
    <i>
      <x v="3"/>
    </i>
    <i>
      <x v="4"/>
    </i>
    <i>
      <x v="5"/>
    </i>
    <i>
      <x v="7"/>
    </i>
    <i>
      <x v="8"/>
    </i>
    <i>
      <x v="10"/>
    </i>
    <i>
      <x v="12"/>
    </i>
    <i>
      <x v="13"/>
    </i>
    <i>
      <x v="14"/>
    </i>
    <i>
      <x v="16"/>
    </i>
    <i>
      <x v="17"/>
    </i>
    <i>
      <x v="19"/>
    </i>
    <i>
      <x v="20"/>
    </i>
    <i>
      <x v="22"/>
    </i>
    <i>
      <x v="23"/>
    </i>
    <i>
      <x v="24"/>
    </i>
    <i>
      <x v="25"/>
    </i>
    <i>
      <x v="26"/>
    </i>
    <i>
      <x v="27"/>
    </i>
    <i>
      <x v="28"/>
    </i>
    <i>
      <x v="29"/>
    </i>
    <i>
      <x v="30"/>
    </i>
    <i>
      <x v="33"/>
    </i>
    <i>
      <x v="36"/>
    </i>
    <i>
      <x v="37"/>
    </i>
    <i>
      <x v="39"/>
    </i>
    <i>
      <x v="41"/>
    </i>
    <i>
      <x v="43"/>
    </i>
    <i>
      <x v="45"/>
    </i>
    <i>
      <x v="46"/>
    </i>
    <i>
      <x v="47"/>
    </i>
    <i>
      <x v="50"/>
    </i>
    <i>
      <x v="51"/>
    </i>
    <i>
      <x v="53"/>
    </i>
    <i>
      <x v="54"/>
    </i>
    <i>
      <x v="55"/>
    </i>
    <i>
      <x v="56"/>
    </i>
    <i>
      <x v="57"/>
    </i>
    <i>
      <x v="58"/>
    </i>
    <i>
      <x v="59"/>
    </i>
    <i>
      <x v="61"/>
    </i>
    <i>
      <x v="63"/>
    </i>
    <i>
      <x v="65"/>
    </i>
    <i>
      <x v="66"/>
    </i>
    <i>
      <x v="67"/>
    </i>
    <i>
      <x v="68"/>
    </i>
    <i>
      <x v="69"/>
    </i>
    <i>
      <x v="70"/>
    </i>
    <i>
      <x v="71"/>
    </i>
    <i>
      <x v="72"/>
    </i>
    <i>
      <x v="73"/>
    </i>
    <i>
      <x v="74"/>
    </i>
    <i>
      <x v="76"/>
    </i>
    <i>
      <x v="79"/>
    </i>
    <i>
      <x v="80"/>
    </i>
    <i>
      <x v="81"/>
    </i>
    <i>
      <x v="82"/>
    </i>
    <i>
      <x v="84"/>
    </i>
    <i>
      <x v="85"/>
    </i>
    <i>
      <x v="87"/>
    </i>
    <i>
      <x v="88"/>
    </i>
    <i>
      <x v="89"/>
    </i>
    <i>
      <x v="90"/>
    </i>
    <i>
      <x v="91"/>
    </i>
    <i>
      <x v="92"/>
    </i>
    <i>
      <x v="94"/>
    </i>
    <i>
      <x v="95"/>
    </i>
    <i>
      <x v="97"/>
    </i>
    <i>
      <x v="99"/>
    </i>
    <i>
      <x v="101"/>
    </i>
    <i>
      <x v="102"/>
    </i>
    <i>
      <x v="104"/>
    </i>
    <i>
      <x v="105"/>
    </i>
    <i>
      <x v="106"/>
    </i>
    <i>
      <x v="107"/>
    </i>
    <i>
      <x v="108"/>
    </i>
    <i>
      <x v="109"/>
    </i>
    <i>
      <x v="110"/>
    </i>
    <i>
      <x v="112"/>
    </i>
    <i>
      <x v="114"/>
    </i>
    <i>
      <x v="115"/>
    </i>
    <i>
      <x v="116"/>
    </i>
    <i>
      <x v="117"/>
    </i>
    <i>
      <x v="119"/>
    </i>
    <i>
      <x v="121"/>
    </i>
    <i>
      <x v="122"/>
    </i>
    <i>
      <x v="123"/>
    </i>
    <i>
      <x v="124"/>
    </i>
    <i>
      <x v="126"/>
    </i>
    <i>
      <x v="131"/>
    </i>
    <i>
      <x v="133"/>
    </i>
    <i>
      <x v="134"/>
    </i>
    <i>
      <x v="135"/>
    </i>
    <i>
      <x v="136"/>
    </i>
    <i>
      <x v="137"/>
    </i>
    <i>
      <x v="138"/>
    </i>
    <i>
      <x v="139"/>
    </i>
    <i>
      <x v="141"/>
    </i>
    <i>
      <x v="142"/>
    </i>
    <i>
      <x v="144"/>
    </i>
    <i>
      <x v="145"/>
    </i>
    <i>
      <x v="147"/>
    </i>
    <i>
      <x v="149"/>
    </i>
    <i>
      <x v="150"/>
    </i>
    <i>
      <x v="151"/>
    </i>
    <i>
      <x v="153"/>
    </i>
    <i>
      <x v="155"/>
    </i>
    <i>
      <x v="156"/>
    </i>
    <i>
      <x v="157"/>
    </i>
    <i>
      <x v="158"/>
    </i>
    <i>
      <x v="160"/>
    </i>
    <i>
      <x v="161"/>
    </i>
    <i>
      <x v="162"/>
    </i>
    <i>
      <x v="164"/>
    </i>
    <i>
      <x v="165"/>
    </i>
    <i>
      <x v="167"/>
    </i>
    <i>
      <x v="169"/>
    </i>
    <i>
      <x v="170"/>
    </i>
    <i>
      <x v="172"/>
    </i>
    <i>
      <x v="176"/>
    </i>
    <i>
      <x v="178"/>
    </i>
    <i>
      <x v="179"/>
    </i>
    <i>
      <x v="180"/>
    </i>
    <i>
      <x v="181"/>
    </i>
    <i>
      <x v="184"/>
    </i>
    <i>
      <x v="185"/>
    </i>
    <i>
      <x v="186"/>
    </i>
    <i>
      <x v="187"/>
    </i>
    <i>
      <x v="188"/>
    </i>
    <i>
      <x v="189"/>
    </i>
    <i>
      <x v="190"/>
    </i>
    <i>
      <x v="193"/>
    </i>
    <i>
      <x v="194"/>
    </i>
    <i>
      <x v="195"/>
    </i>
    <i>
      <x v="198"/>
    </i>
    <i>
      <x v="200"/>
    </i>
    <i>
      <x v="201"/>
    </i>
    <i>
      <x v="202"/>
    </i>
    <i>
      <x v="203"/>
    </i>
    <i>
      <x v="204"/>
    </i>
    <i>
      <x v="206"/>
    </i>
    <i>
      <x v="207"/>
    </i>
    <i>
      <x v="208"/>
    </i>
    <i>
      <x v="209"/>
    </i>
    <i>
      <x v="210"/>
    </i>
    <i>
      <x v="211"/>
    </i>
    <i>
      <x v="213"/>
    </i>
    <i>
      <x v="214"/>
    </i>
    <i>
      <x v="216"/>
    </i>
    <i>
      <x v="217"/>
    </i>
    <i>
      <x v="218"/>
    </i>
    <i>
      <x v="221"/>
    </i>
    <i>
      <x v="224"/>
    </i>
    <i>
      <x v="227"/>
    </i>
    <i>
      <x v="229"/>
    </i>
    <i>
      <x v="230"/>
    </i>
    <i>
      <x v="231"/>
    </i>
    <i>
      <x v="232"/>
    </i>
    <i>
      <x v="234"/>
    </i>
    <i>
      <x v="235"/>
    </i>
    <i>
      <x v="236"/>
    </i>
    <i>
      <x v="239"/>
    </i>
    <i>
      <x v="240"/>
    </i>
    <i>
      <x v="241"/>
    </i>
    <i>
      <x v="242"/>
    </i>
    <i>
      <x v="243"/>
    </i>
    <i>
      <x v="244"/>
    </i>
    <i>
      <x v="245"/>
    </i>
    <i>
      <x v="246"/>
    </i>
    <i>
      <x v="247"/>
    </i>
    <i>
      <x v="249"/>
    </i>
    <i>
      <x v="250"/>
    </i>
    <i>
      <x v="252"/>
    </i>
    <i>
      <x v="253"/>
    </i>
    <i>
      <x v="255"/>
    </i>
    <i>
      <x v="258"/>
    </i>
    <i>
      <x v="259"/>
    </i>
    <i>
      <x v="260"/>
    </i>
    <i>
      <x v="262"/>
    </i>
    <i>
      <x v="264"/>
    </i>
    <i>
      <x v="266"/>
    </i>
    <i>
      <x v="267"/>
    </i>
    <i>
      <x v="268"/>
    </i>
    <i>
      <x v="269"/>
    </i>
    <i>
      <x v="270"/>
    </i>
    <i>
      <x v="271"/>
    </i>
    <i>
      <x v="272"/>
    </i>
    <i>
      <x v="273"/>
    </i>
    <i>
      <x v="274"/>
    </i>
    <i>
      <x v="275"/>
    </i>
    <i>
      <x v="276"/>
    </i>
    <i>
      <x v="277"/>
    </i>
    <i>
      <x v="279"/>
    </i>
    <i>
      <x v="280"/>
    </i>
    <i>
      <x v="281"/>
    </i>
    <i>
      <x v="282"/>
    </i>
    <i>
      <x v="283"/>
    </i>
    <i>
      <x v="284"/>
    </i>
    <i>
      <x v="285"/>
    </i>
    <i>
      <x v="287"/>
    </i>
    <i>
      <x v="289"/>
    </i>
    <i>
      <x v="290"/>
    </i>
    <i>
      <x v="291"/>
    </i>
    <i>
      <x v="293"/>
    </i>
    <i>
      <x v="295"/>
    </i>
    <i>
      <x v="296"/>
    </i>
    <i>
      <x v="298"/>
    </i>
    <i>
      <x v="300"/>
    </i>
    <i>
      <x v="303"/>
    </i>
    <i>
      <x v="304"/>
    </i>
    <i>
      <x v="307"/>
    </i>
    <i>
      <x v="308"/>
    </i>
    <i>
      <x v="310"/>
    </i>
    <i>
      <x v="311"/>
    </i>
    <i>
      <x v="312"/>
    </i>
    <i>
      <x v="313"/>
    </i>
    <i>
      <x v="316"/>
    </i>
    <i>
      <x v="317"/>
    </i>
    <i>
      <x v="318"/>
    </i>
    <i>
      <x v="319"/>
    </i>
    <i>
      <x v="320"/>
    </i>
    <i>
      <x v="321"/>
    </i>
    <i>
      <x v="322"/>
    </i>
    <i>
      <x v="323"/>
    </i>
    <i>
      <x v="324"/>
    </i>
    <i>
      <x v="325"/>
    </i>
    <i>
      <x v="326"/>
    </i>
    <i>
      <x v="328"/>
    </i>
    <i>
      <x v="329"/>
    </i>
    <i>
      <x v="330"/>
    </i>
    <i>
      <x v="331"/>
    </i>
    <i>
      <x v="333"/>
    </i>
    <i>
      <x v="334"/>
    </i>
    <i>
      <x v="335"/>
    </i>
    <i>
      <x v="337"/>
    </i>
    <i>
      <x v="338"/>
    </i>
    <i>
      <x v="341"/>
    </i>
    <i>
      <x v="345"/>
    </i>
    <i>
      <x v="346"/>
    </i>
    <i>
      <x v="351"/>
    </i>
    <i>
      <x v="352"/>
    </i>
    <i>
      <x v="353"/>
    </i>
    <i>
      <x v="354"/>
    </i>
    <i>
      <x v="355"/>
    </i>
    <i>
      <x v="356"/>
    </i>
    <i>
      <x v="358"/>
    </i>
    <i>
      <x v="359"/>
    </i>
    <i>
      <x v="360"/>
    </i>
    <i>
      <x v="361"/>
    </i>
    <i>
      <x v="364"/>
    </i>
    <i>
      <x v="365"/>
    </i>
    <i>
      <x v="366"/>
    </i>
    <i>
      <x v="372"/>
    </i>
    <i>
      <x v="373"/>
    </i>
    <i>
      <x v="376"/>
    </i>
    <i>
      <x v="378"/>
    </i>
    <i>
      <x v="380"/>
    </i>
    <i>
      <x v="384"/>
    </i>
    <i>
      <x v="385"/>
    </i>
    <i>
      <x v="386"/>
    </i>
    <i>
      <x v="387"/>
    </i>
    <i>
      <x v="388"/>
    </i>
    <i>
      <x v="390"/>
    </i>
    <i>
      <x v="391"/>
    </i>
    <i>
      <x v="392"/>
    </i>
    <i>
      <x v="393"/>
    </i>
    <i>
      <x v="396"/>
    </i>
    <i>
      <x v="398"/>
    </i>
    <i>
      <x v="400"/>
    </i>
    <i>
      <x v="401"/>
    </i>
    <i>
      <x v="403"/>
    </i>
    <i>
      <x v="404"/>
    </i>
    <i>
      <x v="405"/>
    </i>
    <i>
      <x v="406"/>
    </i>
    <i>
      <x v="407"/>
    </i>
    <i>
      <x v="408"/>
    </i>
    <i>
      <x v="410"/>
    </i>
    <i>
      <x v="411"/>
    </i>
    <i>
      <x v="412"/>
    </i>
    <i>
      <x v="417"/>
    </i>
    <i>
      <x v="418"/>
    </i>
    <i>
      <x v="420"/>
    </i>
    <i>
      <x v="423"/>
    </i>
    <i>
      <x v="424"/>
    </i>
    <i>
      <x v="425"/>
    </i>
    <i>
      <x v="426"/>
    </i>
    <i>
      <x v="427"/>
    </i>
    <i>
      <x v="429"/>
    </i>
    <i>
      <x v="430"/>
    </i>
    <i>
      <x v="431"/>
    </i>
    <i>
      <x v="432"/>
    </i>
    <i>
      <x v="433"/>
    </i>
    <i>
      <x v="434"/>
    </i>
    <i>
      <x v="435"/>
    </i>
    <i>
      <x v="437"/>
    </i>
    <i>
      <x v="438"/>
    </i>
    <i>
      <x v="439"/>
    </i>
    <i>
      <x v="440"/>
    </i>
    <i>
      <x v="441"/>
    </i>
    <i>
      <x v="443"/>
    </i>
    <i>
      <x v="444"/>
    </i>
    <i>
      <x v="445"/>
    </i>
    <i>
      <x v="448"/>
    </i>
    <i>
      <x v="449"/>
    </i>
    <i>
      <x v="450"/>
    </i>
    <i>
      <x v="451"/>
    </i>
    <i>
      <x v="453"/>
    </i>
    <i>
      <x v="454"/>
    </i>
    <i>
      <x v="455"/>
    </i>
    <i>
      <x v="456"/>
    </i>
    <i>
      <x v="457"/>
    </i>
    <i>
      <x v="458"/>
    </i>
    <i>
      <x v="459"/>
    </i>
    <i>
      <x v="460"/>
    </i>
    <i>
      <x v="461"/>
    </i>
    <i>
      <x v="462"/>
    </i>
    <i>
      <x v="464"/>
    </i>
    <i>
      <x v="465"/>
    </i>
    <i>
      <x v="466"/>
    </i>
    <i>
      <x v="468"/>
    </i>
    <i>
      <x v="469"/>
    </i>
    <i>
      <x v="470"/>
    </i>
    <i>
      <x v="471"/>
    </i>
    <i>
      <x v="472"/>
    </i>
    <i>
      <x v="475"/>
    </i>
    <i>
      <x v="476"/>
    </i>
    <i>
      <x v="480"/>
    </i>
    <i>
      <x v="481"/>
    </i>
    <i>
      <x v="482"/>
    </i>
    <i>
      <x v="483"/>
    </i>
    <i>
      <x v="484"/>
    </i>
    <i>
      <x v="487"/>
    </i>
    <i>
      <x v="489"/>
    </i>
    <i>
      <x v="490"/>
    </i>
    <i>
      <x v="491"/>
    </i>
    <i>
      <x v="492"/>
    </i>
    <i>
      <x v="493"/>
    </i>
    <i>
      <x v="495"/>
    </i>
    <i>
      <x v="497"/>
    </i>
    <i>
      <x v="498"/>
    </i>
    <i>
      <x v="500"/>
    </i>
    <i>
      <x v="502"/>
    </i>
    <i>
      <x v="503"/>
    </i>
    <i>
      <x v="504"/>
    </i>
    <i>
      <x v="505"/>
    </i>
    <i>
      <x v="508"/>
    </i>
    <i>
      <x v="509"/>
    </i>
    <i>
      <x v="511"/>
    </i>
    <i>
      <x v="513"/>
    </i>
    <i>
      <x v="516"/>
    </i>
    <i>
      <x v="518"/>
    </i>
    <i>
      <x v="519"/>
    </i>
    <i>
      <x v="521"/>
    </i>
    <i>
      <x v="522"/>
    </i>
    <i>
      <x v="523"/>
    </i>
    <i>
      <x v="524"/>
    </i>
    <i>
      <x v="525"/>
    </i>
    <i>
      <x v="527"/>
    </i>
    <i>
      <x v="529"/>
    </i>
    <i>
      <x v="532"/>
    </i>
    <i>
      <x v="534"/>
    </i>
    <i>
      <x v="536"/>
    </i>
    <i>
      <x v="537"/>
    </i>
    <i>
      <x v="538"/>
    </i>
    <i>
      <x v="540"/>
    </i>
    <i>
      <x v="543"/>
    </i>
    <i>
      <x v="544"/>
    </i>
    <i>
      <x v="545"/>
    </i>
    <i>
      <x v="549"/>
    </i>
    <i>
      <x v="551"/>
    </i>
    <i>
      <x v="553"/>
    </i>
    <i>
      <x v="554"/>
    </i>
    <i>
      <x v="558"/>
    </i>
    <i>
      <x v="559"/>
    </i>
    <i>
      <x v="560"/>
    </i>
    <i>
      <x v="562"/>
    </i>
    <i>
      <x v="564"/>
    </i>
    <i>
      <x v="565"/>
    </i>
    <i>
      <x v="568"/>
    </i>
    <i>
      <x v="569"/>
    </i>
    <i>
      <x v="572"/>
    </i>
    <i>
      <x v="573"/>
    </i>
    <i>
      <x v="574"/>
    </i>
    <i>
      <x v="575"/>
    </i>
    <i>
      <x v="579"/>
    </i>
    <i>
      <x v="580"/>
    </i>
    <i>
      <x v="582"/>
    </i>
    <i>
      <x v="584"/>
    </i>
    <i>
      <x v="585"/>
    </i>
    <i>
      <x v="586"/>
    </i>
    <i>
      <x v="587"/>
    </i>
    <i>
      <x v="590"/>
    </i>
    <i>
      <x v="592"/>
    </i>
    <i>
      <x v="593"/>
    </i>
    <i>
      <x v="594"/>
    </i>
    <i>
      <x v="597"/>
    </i>
    <i>
      <x v="598"/>
    </i>
    <i>
      <x v="600"/>
    </i>
    <i>
      <x v="601"/>
    </i>
    <i>
      <x v="602"/>
    </i>
    <i>
      <x v="603"/>
    </i>
    <i>
      <x v="604"/>
    </i>
    <i>
      <x v="605"/>
    </i>
    <i>
      <x v="606"/>
    </i>
    <i>
      <x v="607"/>
    </i>
    <i>
      <x v="611"/>
    </i>
    <i>
      <x v="612"/>
    </i>
    <i>
      <x v="613"/>
    </i>
    <i>
      <x v="619"/>
    </i>
    <i>
      <x v="620"/>
    </i>
    <i>
      <x v="621"/>
    </i>
    <i>
      <x v="623"/>
    </i>
    <i>
      <x v="624"/>
    </i>
    <i>
      <x v="626"/>
    </i>
    <i>
      <x v="627"/>
    </i>
    <i>
      <x v="629"/>
    </i>
    <i>
      <x v="630"/>
    </i>
    <i>
      <x v="634"/>
    </i>
    <i>
      <x v="635"/>
    </i>
    <i>
      <x v="636"/>
    </i>
    <i>
      <x v="639"/>
    </i>
    <i>
      <x v="640"/>
    </i>
    <i>
      <x v="642"/>
    </i>
    <i>
      <x v="644"/>
    </i>
    <i>
      <x v="645"/>
    </i>
    <i>
      <x v="646"/>
    </i>
    <i>
      <x v="647"/>
    </i>
    <i>
      <x v="648"/>
    </i>
    <i>
      <x v="649"/>
    </i>
    <i>
      <x v="653"/>
    </i>
    <i>
      <x v="654"/>
    </i>
    <i>
      <x v="656"/>
    </i>
    <i>
      <x v="658"/>
    </i>
    <i>
      <x v="660"/>
    </i>
    <i>
      <x v="661"/>
    </i>
    <i>
      <x v="663"/>
    </i>
    <i>
      <x v="664"/>
    </i>
    <i>
      <x v="667"/>
    </i>
    <i>
      <x v="668"/>
    </i>
    <i>
      <x v="670"/>
    </i>
    <i>
      <x v="671"/>
    </i>
    <i>
      <x v="673"/>
    </i>
    <i>
      <x v="677"/>
    </i>
    <i>
      <x v="678"/>
    </i>
    <i>
      <x v="679"/>
    </i>
    <i>
      <x v="681"/>
    </i>
    <i>
      <x v="684"/>
    </i>
    <i>
      <x v="685"/>
    </i>
    <i>
      <x v="686"/>
    </i>
    <i>
      <x v="687"/>
    </i>
    <i>
      <x v="688"/>
    </i>
    <i>
      <x v="689"/>
    </i>
    <i>
      <x v="690"/>
    </i>
    <i>
      <x v="691"/>
    </i>
    <i>
      <x v="692"/>
    </i>
    <i>
      <x v="693"/>
    </i>
    <i>
      <x v="694"/>
    </i>
    <i>
      <x v="697"/>
    </i>
    <i>
      <x v="700"/>
    </i>
    <i>
      <x v="701"/>
    </i>
    <i>
      <x v="702"/>
    </i>
    <i>
      <x v="703"/>
    </i>
    <i>
      <x v="704"/>
    </i>
    <i>
      <x v="705"/>
    </i>
    <i>
      <x v="706"/>
    </i>
    <i>
      <x v="709"/>
    </i>
    <i>
      <x v="711"/>
    </i>
    <i>
      <x v="712"/>
    </i>
    <i>
      <x v="713"/>
    </i>
    <i>
      <x v="714"/>
    </i>
    <i>
      <x v="715"/>
    </i>
    <i>
      <x v="716"/>
    </i>
    <i>
      <x v="717"/>
    </i>
    <i>
      <x v="720"/>
    </i>
    <i>
      <x v="723"/>
    </i>
    <i>
      <x v="727"/>
    </i>
    <i>
      <x v="729"/>
    </i>
    <i>
      <x v="730"/>
    </i>
    <i>
      <x v="733"/>
    </i>
    <i>
      <x v="734"/>
    </i>
    <i>
      <x v="736"/>
    </i>
    <i>
      <x v="739"/>
    </i>
    <i>
      <x v="740"/>
    </i>
    <i>
      <x v="742"/>
    </i>
    <i>
      <x v="744"/>
    </i>
    <i>
      <x v="745"/>
    </i>
    <i>
      <x v="746"/>
    </i>
    <i>
      <x v="747"/>
    </i>
    <i>
      <x v="748"/>
    </i>
    <i>
      <x v="749"/>
    </i>
    <i>
      <x v="752"/>
    </i>
    <i>
      <x v="754"/>
    </i>
    <i>
      <x v="755"/>
    </i>
    <i>
      <x v="756"/>
    </i>
    <i>
      <x v="758"/>
    </i>
    <i>
      <x v="759"/>
    </i>
    <i>
      <x v="761"/>
    </i>
    <i>
      <x v="763"/>
    </i>
    <i>
      <x v="766"/>
    </i>
    <i>
      <x v="767"/>
    </i>
    <i>
      <x v="770"/>
    </i>
    <i>
      <x v="771"/>
    </i>
    <i>
      <x v="772"/>
    </i>
    <i>
      <x v="773"/>
    </i>
    <i>
      <x v="774"/>
    </i>
    <i>
      <x v="775"/>
    </i>
    <i>
      <x v="776"/>
    </i>
    <i>
      <x v="777"/>
    </i>
    <i>
      <x v="778"/>
    </i>
    <i>
      <x v="780"/>
    </i>
    <i>
      <x v="781"/>
    </i>
    <i>
      <x v="782"/>
    </i>
    <i>
      <x v="783"/>
    </i>
    <i>
      <x v="784"/>
    </i>
    <i>
      <x v="785"/>
    </i>
    <i>
      <x v="786"/>
    </i>
    <i>
      <x v="788"/>
    </i>
    <i>
      <x v="791"/>
    </i>
    <i>
      <x v="792"/>
    </i>
    <i>
      <x v="793"/>
    </i>
    <i>
      <x v="794"/>
    </i>
    <i>
      <x v="795"/>
    </i>
    <i>
      <x v="797"/>
    </i>
    <i>
      <x v="798"/>
    </i>
    <i>
      <x v="799"/>
    </i>
    <i>
      <x v="801"/>
    </i>
    <i>
      <x v="802"/>
    </i>
    <i>
      <x v="803"/>
    </i>
    <i>
      <x v="805"/>
    </i>
    <i>
      <x v="807"/>
    </i>
    <i>
      <x v="809"/>
    </i>
    <i>
      <x v="810"/>
    </i>
    <i>
      <x v="811"/>
    </i>
    <i>
      <x v="814"/>
    </i>
    <i>
      <x v="815"/>
    </i>
    <i>
      <x v="816"/>
    </i>
    <i>
      <x v="817"/>
    </i>
    <i>
      <x v="818"/>
    </i>
    <i>
      <x v="819"/>
    </i>
    <i>
      <x v="821"/>
    </i>
    <i>
      <x v="824"/>
    </i>
    <i>
      <x v="827"/>
    </i>
    <i>
      <x v="829"/>
    </i>
    <i>
      <x v="830"/>
    </i>
    <i>
      <x v="832"/>
    </i>
    <i>
      <x v="833"/>
    </i>
    <i>
      <x v="838"/>
    </i>
    <i>
      <x v="841"/>
    </i>
    <i>
      <x v="844"/>
    </i>
    <i>
      <x v="845"/>
    </i>
    <i>
      <x v="847"/>
    </i>
    <i>
      <x v="848"/>
    </i>
    <i>
      <x v="849"/>
    </i>
    <i>
      <x v="850"/>
    </i>
    <i>
      <x v="851"/>
    </i>
    <i>
      <x v="852"/>
    </i>
    <i>
      <x v="854"/>
    </i>
    <i>
      <x v="855"/>
    </i>
    <i>
      <x v="856"/>
    </i>
    <i>
      <x v="857"/>
    </i>
    <i>
      <x v="858"/>
    </i>
    <i>
      <x v="859"/>
    </i>
    <i>
      <x v="861"/>
    </i>
    <i>
      <x v="862"/>
    </i>
    <i>
      <x v="863"/>
    </i>
    <i>
      <x v="866"/>
    </i>
    <i>
      <x v="868"/>
    </i>
    <i>
      <x v="870"/>
    </i>
    <i>
      <x v="871"/>
    </i>
    <i>
      <x v="872"/>
    </i>
    <i>
      <x v="873"/>
    </i>
    <i>
      <x v="874"/>
    </i>
    <i>
      <x v="875"/>
    </i>
    <i>
      <x v="877"/>
    </i>
    <i>
      <x v="878"/>
    </i>
    <i>
      <x v="880"/>
    </i>
    <i>
      <x v="881"/>
    </i>
    <i>
      <x v="882"/>
    </i>
    <i>
      <x v="884"/>
    </i>
    <i>
      <x v="885"/>
    </i>
    <i>
      <x v="886"/>
    </i>
    <i>
      <x v="887"/>
    </i>
    <i>
      <x v="888"/>
    </i>
    <i>
      <x v="889"/>
    </i>
    <i>
      <x v="890"/>
    </i>
    <i>
      <x v="891"/>
    </i>
    <i>
      <x v="892"/>
    </i>
    <i>
      <x v="893"/>
    </i>
    <i>
      <x v="894"/>
    </i>
    <i>
      <x v="896"/>
    </i>
    <i>
      <x v="900"/>
    </i>
    <i>
      <x v="901"/>
    </i>
    <i>
      <x v="903"/>
    </i>
    <i>
      <x v="905"/>
    </i>
    <i>
      <x v="907"/>
    </i>
    <i>
      <x v="908"/>
    </i>
    <i>
      <x v="909"/>
    </i>
    <i>
      <x v="910"/>
    </i>
    <i>
      <x v="911"/>
    </i>
    <i>
      <x v="913"/>
    </i>
    <i>
      <x v="914"/>
    </i>
    <i>
      <x v="915"/>
    </i>
    <i>
      <x v="916"/>
    </i>
    <i>
      <x v="917"/>
    </i>
    <i>
      <x v="918"/>
    </i>
    <i>
      <x v="919"/>
    </i>
    <i>
      <x v="920"/>
    </i>
    <i>
      <x v="922"/>
    </i>
    <i>
      <x v="924"/>
    </i>
    <i>
      <x v="925"/>
    </i>
    <i>
      <x v="927"/>
    </i>
    <i>
      <x v="929"/>
    </i>
    <i>
      <x v="932"/>
    </i>
    <i>
      <x v="934"/>
    </i>
    <i>
      <x v="935"/>
    </i>
    <i>
      <x v="936"/>
    </i>
    <i>
      <x v="937"/>
    </i>
    <i>
      <x v="938"/>
    </i>
    <i>
      <x v="939"/>
    </i>
    <i>
      <x v="941"/>
    </i>
    <i>
      <x v="942"/>
    </i>
    <i>
      <x v="943"/>
    </i>
    <i>
      <x v="944"/>
    </i>
    <i>
      <x v="945"/>
    </i>
    <i>
      <x v="946"/>
    </i>
    <i>
      <x v="950"/>
    </i>
    <i>
      <x v="951"/>
    </i>
    <i>
      <x v="956"/>
    </i>
    <i>
      <x v="957"/>
    </i>
    <i>
      <x v="958"/>
    </i>
    <i>
      <x v="959"/>
    </i>
    <i>
      <x v="962"/>
    </i>
    <i>
      <x v="963"/>
    </i>
    <i>
      <x v="965"/>
    </i>
    <i>
      <x v="966"/>
    </i>
    <i>
      <x v="968"/>
    </i>
    <i>
      <x v="970"/>
    </i>
    <i>
      <x v="972"/>
    </i>
    <i>
      <x v="974"/>
    </i>
    <i>
      <x v="975"/>
    </i>
    <i>
      <x v="976"/>
    </i>
    <i>
      <x v="978"/>
    </i>
    <i>
      <x v="979"/>
    </i>
    <i>
      <x v="980"/>
    </i>
    <i>
      <x v="981"/>
    </i>
    <i>
      <x v="982"/>
    </i>
    <i>
      <x v="983"/>
    </i>
    <i>
      <x v="986"/>
    </i>
    <i>
      <x v="987"/>
    </i>
    <i>
      <x v="988"/>
    </i>
    <i>
      <x v="989"/>
    </i>
    <i>
      <x v="991"/>
    </i>
    <i>
      <x v="992"/>
    </i>
    <i>
      <x v="993"/>
    </i>
    <i>
      <x v="994"/>
    </i>
    <i>
      <x v="995"/>
    </i>
    <i>
      <x v="996"/>
    </i>
    <i>
      <x v="997"/>
    </i>
    <i>
      <x v="998"/>
    </i>
    <i>
      <x v="999"/>
    </i>
    <i>
      <x v="1000"/>
    </i>
    <i>
      <x v="1001"/>
    </i>
    <i>
      <x v="1002"/>
    </i>
    <i>
      <x v="1003"/>
    </i>
    <i>
      <x v="1005"/>
    </i>
    <i>
      <x v="1006"/>
    </i>
    <i>
      <x v="1007"/>
    </i>
    <i>
      <x v="1009"/>
    </i>
    <i>
      <x v="1010"/>
    </i>
    <i>
      <x v="1011"/>
    </i>
    <i>
      <x v="1012"/>
    </i>
    <i>
      <x v="1013"/>
    </i>
    <i>
      <x v="1015"/>
    </i>
    <i>
      <x v="1016"/>
    </i>
    <i>
      <x v="1017"/>
    </i>
    <i>
      <x v="1019"/>
    </i>
    <i>
      <x v="1022"/>
    </i>
    <i>
      <x v="1023"/>
    </i>
    <i>
      <x v="1024"/>
    </i>
    <i>
      <x v="1025"/>
    </i>
    <i>
      <x v="1026"/>
    </i>
    <i>
      <x v="1027"/>
    </i>
    <i>
      <x v="1029"/>
    </i>
    <i>
      <x v="1030"/>
    </i>
    <i>
      <x v="1031"/>
    </i>
    <i>
      <x v="1033"/>
    </i>
    <i>
      <x v="1035"/>
    </i>
    <i>
      <x v="1037"/>
    </i>
    <i>
      <x v="1038"/>
    </i>
    <i>
      <x v="1039"/>
    </i>
    <i>
      <x v="1041"/>
    </i>
    <i>
      <x v="1043"/>
    </i>
    <i>
      <x v="1045"/>
    </i>
    <i>
      <x v="1046"/>
    </i>
    <i>
      <x v="1047"/>
    </i>
    <i>
      <x v="1050"/>
    </i>
    <i>
      <x v="1053"/>
    </i>
    <i>
      <x v="1054"/>
    </i>
    <i>
      <x v="1055"/>
    </i>
    <i>
      <x v="1056"/>
    </i>
    <i>
      <x v="1057"/>
    </i>
    <i>
      <x v="1059"/>
    </i>
    <i>
      <x v="1060"/>
    </i>
    <i>
      <x v="1066"/>
    </i>
    <i>
      <x v="1068"/>
    </i>
    <i>
      <x v="1069"/>
    </i>
    <i>
      <x v="1070"/>
    </i>
    <i>
      <x v="1071"/>
    </i>
    <i>
      <x v="1072"/>
    </i>
    <i>
      <x v="1073"/>
    </i>
    <i>
      <x v="1074"/>
    </i>
    <i>
      <x v="1075"/>
    </i>
    <i>
      <x v="1077"/>
    </i>
    <i>
      <x v="1079"/>
    </i>
    <i>
      <x v="1080"/>
    </i>
    <i>
      <x v="1081"/>
    </i>
    <i>
      <x v="1083"/>
    </i>
    <i>
      <x v="1084"/>
    </i>
    <i>
      <x v="1086"/>
    </i>
    <i>
      <x v="1087"/>
    </i>
    <i>
      <x v="1088"/>
    </i>
    <i>
      <x v="1089"/>
    </i>
    <i>
      <x v="1090"/>
    </i>
    <i>
      <x v="1093"/>
    </i>
    <i>
      <x v="1094"/>
    </i>
    <i>
      <x v="1096"/>
    </i>
    <i>
      <x v="1097"/>
    </i>
    <i>
      <x v="1098"/>
    </i>
    <i>
      <x v="1099"/>
    </i>
    <i>
      <x v="1103"/>
    </i>
    <i>
      <x v="1104"/>
    </i>
    <i>
      <x v="1105"/>
    </i>
    <i>
      <x v="1106"/>
    </i>
    <i>
      <x v="1110"/>
    </i>
    <i>
      <x v="1112"/>
    </i>
    <i>
      <x v="1113"/>
    </i>
    <i>
      <x v="1114"/>
    </i>
    <i>
      <x v="1115"/>
    </i>
    <i>
      <x v="1116"/>
    </i>
    <i>
      <x v="1118"/>
    </i>
    <i>
      <x v="1120"/>
    </i>
    <i>
      <x v="1122"/>
    </i>
    <i>
      <x v="1123"/>
    </i>
    <i>
      <x v="1124"/>
    </i>
    <i>
      <x v="1125"/>
    </i>
    <i>
      <x v="1126"/>
    </i>
    <i>
      <x v="1127"/>
    </i>
    <i>
      <x v="1128"/>
    </i>
    <i>
      <x v="1130"/>
    </i>
    <i>
      <x v="1131"/>
    </i>
    <i>
      <x v="1132"/>
    </i>
    <i>
      <x v="1133"/>
    </i>
    <i>
      <x v="1134"/>
    </i>
    <i>
      <x v="1136"/>
    </i>
    <i>
      <x v="1137"/>
    </i>
    <i>
      <x v="1139"/>
    </i>
    <i>
      <x v="1140"/>
    </i>
    <i>
      <x v="1141"/>
    </i>
    <i>
      <x v="1142"/>
    </i>
    <i>
      <x v="1144"/>
    </i>
    <i>
      <x v="1145"/>
    </i>
    <i>
      <x v="1152"/>
    </i>
    <i>
      <x v="1153"/>
    </i>
    <i>
      <x v="1155"/>
    </i>
    <i>
      <x v="1156"/>
    </i>
    <i>
      <x v="1157"/>
    </i>
    <i>
      <x v="1158"/>
    </i>
    <i>
      <x v="1159"/>
    </i>
    <i>
      <x v="1160"/>
    </i>
    <i>
      <x v="1161"/>
    </i>
    <i>
      <x v="1163"/>
    </i>
    <i>
      <x v="1164"/>
    </i>
    <i>
      <x v="1165"/>
    </i>
    <i>
      <x v="1167"/>
    </i>
    <i>
      <x v="1168"/>
    </i>
    <i>
      <x v="1169"/>
    </i>
    <i>
      <x v="1170"/>
    </i>
    <i>
      <x v="1172"/>
    </i>
    <i>
      <x v="1173"/>
    </i>
    <i>
      <x v="1174"/>
    </i>
    <i>
      <x v="1175"/>
    </i>
    <i>
      <x v="1178"/>
    </i>
    <i>
      <x v="1179"/>
    </i>
    <i>
      <x v="1180"/>
    </i>
    <i>
      <x v="1181"/>
    </i>
    <i>
      <x v="1182"/>
    </i>
    <i>
      <x v="1186"/>
    </i>
    <i>
      <x v="1187"/>
    </i>
    <i>
      <x v="1188"/>
    </i>
    <i>
      <x v="1189"/>
    </i>
    <i>
      <x v="1191"/>
    </i>
    <i>
      <x v="1193"/>
    </i>
    <i>
      <x v="1194"/>
    </i>
    <i>
      <x v="1196"/>
    </i>
    <i>
      <x v="1198"/>
    </i>
    <i>
      <x v="1199"/>
    </i>
    <i>
      <x v="1201"/>
    </i>
    <i>
      <x v="1203"/>
    </i>
    <i>
      <x v="1204"/>
    </i>
    <i>
      <x v="1205"/>
    </i>
    <i>
      <x v="1207"/>
    </i>
    <i>
      <x v="1208"/>
    </i>
    <i>
      <x v="1210"/>
    </i>
    <i>
      <x v="1211"/>
    </i>
    <i>
      <x v="1212"/>
    </i>
    <i>
      <x v="1213"/>
    </i>
    <i>
      <x v="1214"/>
    </i>
    <i>
      <x v="1216"/>
    </i>
    <i>
      <x v="1217"/>
    </i>
    <i>
      <x v="1219"/>
    </i>
    <i>
      <x v="1220"/>
    </i>
    <i>
      <x v="1221"/>
    </i>
    <i>
      <x v="1224"/>
    </i>
    <i>
      <x v="1225"/>
    </i>
    <i>
      <x v="1226"/>
    </i>
    <i>
      <x v="1227"/>
    </i>
    <i>
      <x v="1228"/>
    </i>
    <i>
      <x v="1229"/>
    </i>
    <i>
      <x v="1230"/>
    </i>
    <i>
      <x v="1231"/>
    </i>
    <i>
      <x v="1233"/>
    </i>
    <i>
      <x v="1235"/>
    </i>
    <i>
      <x v="1236"/>
    </i>
    <i>
      <x v="1237"/>
    </i>
    <i>
      <x v="1239"/>
    </i>
    <i>
      <x v="1240"/>
    </i>
    <i>
      <x v="1242"/>
    </i>
    <i>
      <x v="1243"/>
    </i>
    <i>
      <x v="1246"/>
    </i>
    <i>
      <x v="1247"/>
    </i>
    <i>
      <x v="1248"/>
    </i>
    <i>
      <x v="1249"/>
    </i>
    <i>
      <x v="1251"/>
    </i>
    <i>
      <x v="1252"/>
    </i>
    <i>
      <x v="1253"/>
    </i>
    <i>
      <x v="1254"/>
    </i>
    <i>
      <x v="1255"/>
    </i>
    <i>
      <x v="1257"/>
    </i>
    <i>
      <x v="1258"/>
    </i>
    <i>
      <x v="1259"/>
    </i>
    <i>
      <x v="1260"/>
    </i>
    <i>
      <x v="1261"/>
    </i>
    <i>
      <x v="1262"/>
    </i>
    <i>
      <x v="1263"/>
    </i>
    <i>
      <x v="1264"/>
    </i>
    <i>
      <x v="1265"/>
    </i>
    <i>
      <x v="1267"/>
    </i>
    <i>
      <x v="1268"/>
    </i>
    <i>
      <x v="1270"/>
    </i>
    <i>
      <x v="1275"/>
    </i>
    <i>
      <x v="1276"/>
    </i>
    <i>
      <x v="1278"/>
    </i>
    <i>
      <x v="1279"/>
    </i>
    <i>
      <x v="1281"/>
    </i>
    <i>
      <x v="1282"/>
    </i>
    <i>
      <x v="1286"/>
    </i>
    <i>
      <x v="1287"/>
    </i>
    <i>
      <x v="1288"/>
    </i>
    <i>
      <x v="1289"/>
    </i>
    <i>
      <x v="1291"/>
    </i>
    <i>
      <x v="1292"/>
    </i>
    <i>
      <x v="1294"/>
    </i>
    <i>
      <x v="1296"/>
    </i>
    <i>
      <x v="1297"/>
    </i>
    <i>
      <x v="1299"/>
    </i>
    <i>
      <x v="1301"/>
    </i>
    <i>
      <x v="1302"/>
    </i>
    <i>
      <x v="1303"/>
    </i>
    <i>
      <x v="1304"/>
    </i>
    <i>
      <x v="1307"/>
    </i>
    <i>
      <x v="1308"/>
    </i>
    <i>
      <x v="1310"/>
    </i>
    <i>
      <x v="1312"/>
    </i>
    <i>
      <x v="1313"/>
    </i>
    <i>
      <x v="1314"/>
    </i>
    <i>
      <x v="1316"/>
    </i>
    <i>
      <x v="1317"/>
    </i>
    <i>
      <x v="1318"/>
    </i>
    <i>
      <x v="1320"/>
    </i>
    <i>
      <x v="1321"/>
    </i>
    <i>
      <x v="1322"/>
    </i>
    <i>
      <x v="1323"/>
    </i>
    <i>
      <x v="1324"/>
    </i>
    <i>
      <x v="1325"/>
    </i>
    <i>
      <x v="1326"/>
    </i>
    <i>
      <x v="1330"/>
    </i>
    <i>
      <x v="1331"/>
    </i>
    <i>
      <x v="1332"/>
    </i>
    <i>
      <x v="1333"/>
    </i>
    <i>
      <x v="1334"/>
    </i>
    <i>
      <x v="1335"/>
    </i>
    <i>
      <x v="1336"/>
    </i>
    <i>
      <x v="1338"/>
    </i>
    <i>
      <x v="1339"/>
    </i>
    <i>
      <x v="1340"/>
    </i>
    <i>
      <x v="1342"/>
    </i>
    <i>
      <x v="1343"/>
    </i>
    <i>
      <x v="1347"/>
    </i>
    <i>
      <x v="1349"/>
    </i>
    <i>
      <x v="1351"/>
    </i>
    <i>
      <x v="1353"/>
    </i>
    <i>
      <x v="1354"/>
    </i>
    <i>
      <x v="1356"/>
    </i>
    <i>
      <x v="1357"/>
    </i>
    <i>
      <x v="1360"/>
    </i>
    <i>
      <x v="1362"/>
    </i>
    <i>
      <x v="1366"/>
    </i>
    <i>
      <x v="1367"/>
    </i>
    <i>
      <x v="1368"/>
    </i>
    <i>
      <x v="1370"/>
    </i>
    <i>
      <x v="1372"/>
    </i>
    <i>
      <x v="1374"/>
    </i>
    <i>
      <x v="1378"/>
    </i>
    <i>
      <x v="1379"/>
    </i>
    <i>
      <x v="1380"/>
    </i>
    <i>
      <x v="1382"/>
    </i>
    <i>
      <x v="1383"/>
    </i>
    <i>
      <x v="1384"/>
    </i>
    <i>
      <x v="1386"/>
    </i>
    <i>
      <x v="1387"/>
    </i>
    <i>
      <x v="1388"/>
    </i>
    <i>
      <x v="1389"/>
    </i>
    <i>
      <x v="1390"/>
    </i>
    <i>
      <x v="1391"/>
    </i>
    <i>
      <x v="1393"/>
    </i>
    <i>
      <x v="1394"/>
    </i>
    <i>
      <x v="1401"/>
    </i>
    <i>
      <x v="1403"/>
    </i>
    <i>
      <x v="1405"/>
    </i>
    <i>
      <x v="1406"/>
    </i>
    <i>
      <x v="1407"/>
    </i>
    <i>
      <x v="1408"/>
    </i>
    <i>
      <x v="1409"/>
    </i>
    <i>
      <x v="1411"/>
    </i>
    <i>
      <x v="1412"/>
    </i>
    <i>
      <x v="1413"/>
    </i>
    <i>
      <x v="1414"/>
    </i>
    <i>
      <x v="1415"/>
    </i>
    <i>
      <x v="1417"/>
    </i>
    <i>
      <x v="1418"/>
    </i>
    <i>
      <x v="1419"/>
    </i>
    <i>
      <x v="1421"/>
    </i>
    <i>
      <x v="1422"/>
    </i>
    <i>
      <x v="1424"/>
    </i>
    <i>
      <x v="1425"/>
    </i>
    <i>
      <x v="1427"/>
    </i>
    <i>
      <x v="1428"/>
    </i>
    <i>
      <x v="1429"/>
    </i>
    <i>
      <x v="1430"/>
    </i>
    <i>
      <x v="1432"/>
    </i>
    <i>
      <x v="1434"/>
    </i>
    <i>
      <x v="1438"/>
    </i>
    <i>
      <x v="1440"/>
    </i>
    <i>
      <x v="1442"/>
    </i>
    <i>
      <x v="1443"/>
    </i>
    <i>
      <x v="1445"/>
    </i>
    <i>
      <x v="1446"/>
    </i>
    <i>
      <x v="1447"/>
    </i>
    <i>
      <x v="1449"/>
    </i>
    <i>
      <x v="1456"/>
    </i>
    <i>
      <x v="1457"/>
    </i>
    <i>
      <x v="1458"/>
    </i>
    <i>
      <x v="1459"/>
    </i>
    <i>
      <x v="1461"/>
    </i>
    <i>
      <x v="1462"/>
    </i>
    <i>
      <x v="1466"/>
    </i>
    <i>
      <x v="1467"/>
    </i>
    <i>
      <x v="1468"/>
    </i>
    <i>
      <x v="1469"/>
    </i>
    <i>
      <x v="1470"/>
    </i>
    <i>
      <x v="1471"/>
    </i>
    <i>
      <x v="1472"/>
    </i>
    <i>
      <x v="1473"/>
    </i>
    <i>
      <x v="1474"/>
    </i>
    <i>
      <x v="1475"/>
    </i>
    <i>
      <x v="1476"/>
    </i>
    <i>
      <x v="1479"/>
    </i>
    <i>
      <x v="1480"/>
    </i>
    <i>
      <x v="1481"/>
    </i>
    <i>
      <x v="1483"/>
    </i>
    <i>
      <x v="1484"/>
    </i>
    <i>
      <x v="1485"/>
    </i>
    <i>
      <x v="1486"/>
    </i>
    <i>
      <x v="1487"/>
    </i>
    <i>
      <x v="1488"/>
    </i>
    <i>
      <x v="1489"/>
    </i>
    <i>
      <x v="1491"/>
    </i>
    <i>
      <x v="1492"/>
    </i>
    <i>
      <x v="1493"/>
    </i>
    <i>
      <x v="1494"/>
    </i>
    <i>
      <x v="1497"/>
    </i>
    <i>
      <x v="1498"/>
    </i>
    <i>
      <x v="1499"/>
    </i>
    <i>
      <x v="1500"/>
    </i>
    <i>
      <x v="1501"/>
    </i>
    <i>
      <x v="1504"/>
    </i>
    <i>
      <x v="1509"/>
    </i>
    <i>
      <x v="1510"/>
    </i>
    <i>
      <x v="1513"/>
    </i>
    <i>
      <x v="1515"/>
    </i>
    <i>
      <x v="1516"/>
    </i>
    <i>
      <x v="1517"/>
    </i>
    <i>
      <x v="1518"/>
    </i>
    <i>
      <x v="1519"/>
    </i>
    <i>
      <x v="1522"/>
    </i>
    <i>
      <x v="1523"/>
    </i>
    <i>
      <x v="1524"/>
    </i>
    <i>
      <x v="1525"/>
    </i>
    <i>
      <x v="1527"/>
    </i>
    <i>
      <x v="1529"/>
    </i>
    <i>
      <x v="1530"/>
    </i>
    <i>
      <x v="1532"/>
    </i>
    <i>
      <x v="1533"/>
    </i>
    <i>
      <x v="1534"/>
    </i>
    <i>
      <x v="1536"/>
    </i>
    <i>
      <x v="1537"/>
    </i>
    <i>
      <x v="1538"/>
    </i>
    <i>
      <x v="1540"/>
    </i>
    <i>
      <x v="1541"/>
    </i>
    <i>
      <x v="1542"/>
    </i>
    <i>
      <x v="1544"/>
    </i>
    <i>
      <x v="1545"/>
    </i>
    <i>
      <x v="1546"/>
    </i>
    <i>
      <x v="1547"/>
    </i>
    <i>
      <x v="1549"/>
    </i>
    <i>
      <x v="1550"/>
    </i>
    <i>
      <x v="1551"/>
    </i>
    <i>
      <x v="1553"/>
    </i>
    <i>
      <x v="1556"/>
    </i>
    <i>
      <x v="1558"/>
    </i>
    <i>
      <x v="1559"/>
    </i>
    <i>
      <x v="1560"/>
    </i>
    <i>
      <x v="1563"/>
    </i>
    <i>
      <x v="1564"/>
    </i>
    <i>
      <x v="1565"/>
    </i>
    <i>
      <x v="1566"/>
    </i>
    <i>
      <x v="1567"/>
    </i>
    <i>
      <x v="1569"/>
    </i>
    <i>
      <x v="1571"/>
    </i>
    <i>
      <x v="1572"/>
    </i>
    <i>
      <x v="1574"/>
    </i>
    <i>
      <x v="1575"/>
    </i>
    <i>
      <x v="1576"/>
    </i>
    <i>
      <x v="1577"/>
    </i>
    <i>
      <x v="1578"/>
    </i>
    <i>
      <x v="1579"/>
    </i>
    <i>
      <x v="1581"/>
    </i>
    <i>
      <x v="1583"/>
    </i>
    <i>
      <x v="1584"/>
    </i>
    <i>
      <x v="1585"/>
    </i>
    <i>
      <x v="1586"/>
    </i>
    <i>
      <x v="1588"/>
    </i>
    <i>
      <x v="1589"/>
    </i>
    <i>
      <x v="1590"/>
    </i>
    <i>
      <x v="1591"/>
    </i>
    <i>
      <x v="1594"/>
    </i>
    <i>
      <x v="1595"/>
    </i>
    <i>
      <x v="1596"/>
    </i>
    <i>
      <x v="1598"/>
    </i>
    <i>
      <x v="1600"/>
    </i>
    <i>
      <x v="1603"/>
    </i>
    <i>
      <x v="1604"/>
    </i>
    <i>
      <x v="1607"/>
    </i>
    <i>
      <x v="1608"/>
    </i>
    <i>
      <x v="1611"/>
    </i>
    <i>
      <x v="1612"/>
    </i>
    <i>
      <x v="1614"/>
    </i>
    <i>
      <x v="1615"/>
    </i>
    <i>
      <x v="1616"/>
    </i>
    <i>
      <x v="1620"/>
    </i>
    <i>
      <x v="1622"/>
    </i>
    <i>
      <x v="1623"/>
    </i>
    <i>
      <x v="1624"/>
    </i>
    <i>
      <x v="1625"/>
    </i>
    <i>
      <x v="1626"/>
    </i>
    <i>
      <x v="1629"/>
    </i>
    <i>
      <x v="1630"/>
    </i>
    <i>
      <x v="1632"/>
    </i>
    <i>
      <x v="1633"/>
    </i>
    <i>
      <x v="1636"/>
    </i>
    <i>
      <x v="1639"/>
    </i>
    <i>
      <x v="1641"/>
    </i>
    <i>
      <x v="1642"/>
    </i>
    <i>
      <x v="1644"/>
    </i>
    <i>
      <x v="1645"/>
    </i>
    <i>
      <x v="1646"/>
    </i>
    <i>
      <x v="1647"/>
    </i>
    <i>
      <x v="1648"/>
    </i>
    <i>
      <x v="1649"/>
    </i>
    <i>
      <x v="1653"/>
    </i>
    <i>
      <x v="1654"/>
    </i>
    <i>
      <x v="1655"/>
    </i>
    <i>
      <x v="1656"/>
    </i>
    <i>
      <x v="1657"/>
    </i>
    <i>
      <x v="1660"/>
    </i>
    <i>
      <x v="1661"/>
    </i>
    <i>
      <x v="1662"/>
    </i>
    <i>
      <x v="1663"/>
    </i>
    <i>
      <x v="1665"/>
    </i>
    <i>
      <x v="1666"/>
    </i>
    <i>
      <x v="1668"/>
    </i>
    <i>
      <x v="1672"/>
    </i>
    <i>
      <x v="1674"/>
    </i>
    <i>
      <x v="1675"/>
    </i>
    <i>
      <x v="1678"/>
    </i>
    <i>
      <x v="1679"/>
    </i>
    <i>
      <x v="1680"/>
    </i>
    <i>
      <x v="1682"/>
    </i>
    <i>
      <x v="1683"/>
    </i>
    <i>
      <x v="1685"/>
    </i>
    <i>
      <x v="1686"/>
    </i>
    <i>
      <x v="1687"/>
    </i>
    <i>
      <x v="1688"/>
    </i>
    <i>
      <x v="1689"/>
    </i>
    <i>
      <x v="1690"/>
    </i>
    <i>
      <x v="1691"/>
    </i>
    <i>
      <x v="1692"/>
    </i>
    <i>
      <x v="1693"/>
    </i>
    <i>
      <x v="1696"/>
    </i>
    <i>
      <x v="1698"/>
    </i>
    <i>
      <x v="1699"/>
    </i>
    <i>
      <x v="1702"/>
    </i>
    <i>
      <x v="1703"/>
    </i>
    <i>
      <x v="1704"/>
    </i>
    <i>
      <x v="1705"/>
    </i>
    <i>
      <x v="1709"/>
    </i>
    <i>
      <x v="1710"/>
    </i>
    <i>
      <x v="1711"/>
    </i>
    <i>
      <x v="1712"/>
    </i>
    <i>
      <x v="1713"/>
    </i>
    <i>
      <x v="1714"/>
    </i>
    <i>
      <x v="1715"/>
    </i>
    <i>
      <x v="1720"/>
    </i>
    <i>
      <x v="1721"/>
    </i>
    <i>
      <x v="1722"/>
    </i>
    <i>
      <x v="1723"/>
    </i>
    <i>
      <x v="1724"/>
    </i>
    <i>
      <x v="1726"/>
    </i>
    <i>
      <x v="1727"/>
    </i>
    <i>
      <x v="1729"/>
    </i>
    <i>
      <x v="1730"/>
    </i>
    <i>
      <x v="1734"/>
    </i>
    <i>
      <x v="1735"/>
    </i>
    <i>
      <x v="1737"/>
    </i>
    <i>
      <x v="1739"/>
    </i>
    <i>
      <x v="1741"/>
    </i>
    <i>
      <x v="1742"/>
    </i>
    <i>
      <x v="1745"/>
    </i>
    <i>
      <x v="1747"/>
    </i>
    <i>
      <x v="1749"/>
    </i>
    <i>
      <x v="1750"/>
    </i>
    <i>
      <x v="1751"/>
    </i>
    <i>
      <x v="1752"/>
    </i>
    <i>
      <x v="1754"/>
    </i>
    <i>
      <x v="1755"/>
    </i>
    <i>
      <x v="1757"/>
    </i>
    <i>
      <x v="1758"/>
    </i>
    <i>
      <x v="1759"/>
    </i>
    <i>
      <x v="1760"/>
    </i>
    <i>
      <x v="1761"/>
    </i>
    <i>
      <x v="1762"/>
    </i>
    <i>
      <x v="1763"/>
    </i>
    <i>
      <x v="1764"/>
    </i>
    <i>
      <x v="1765"/>
    </i>
    <i>
      <x v="1767"/>
    </i>
    <i>
      <x v="1768"/>
    </i>
    <i>
      <x v="1771"/>
    </i>
    <i>
      <x v="1772"/>
    </i>
    <i>
      <x v="1773"/>
    </i>
    <i>
      <x v="1775"/>
    </i>
    <i>
      <x v="1776"/>
    </i>
    <i>
      <x v="1779"/>
    </i>
    <i>
      <x v="1780"/>
    </i>
    <i>
      <x v="1782"/>
    </i>
    <i>
      <x v="1784"/>
    </i>
    <i>
      <x v="1785"/>
    </i>
    <i>
      <x v="1787"/>
    </i>
    <i>
      <x v="1788"/>
    </i>
    <i>
      <x v="1790"/>
    </i>
    <i>
      <x v="1791"/>
    </i>
    <i>
      <x v="1792"/>
    </i>
    <i>
      <x v="1793"/>
    </i>
    <i>
      <x v="1797"/>
    </i>
    <i>
      <x v="1801"/>
    </i>
    <i>
      <x v="1802"/>
    </i>
    <i>
      <x v="1804"/>
    </i>
    <i>
      <x v="1807"/>
    </i>
    <i>
      <x v="1809"/>
    </i>
    <i>
      <x v="1811"/>
    </i>
    <i>
      <x v="1813"/>
    </i>
    <i>
      <x v="1814"/>
    </i>
    <i>
      <x v="1815"/>
    </i>
    <i>
      <x v="1817"/>
    </i>
    <i>
      <x v="1821"/>
    </i>
    <i>
      <x v="1822"/>
    </i>
    <i>
      <x v="1823"/>
    </i>
    <i>
      <x v="1824"/>
    </i>
    <i>
      <x v="1825"/>
    </i>
    <i>
      <x v="1826"/>
    </i>
    <i>
      <x v="1827"/>
    </i>
    <i>
      <x v="1828"/>
    </i>
    <i>
      <x v="1829"/>
    </i>
    <i>
      <x v="1830"/>
    </i>
    <i>
      <x v="1831"/>
    </i>
    <i>
      <x v="1832"/>
    </i>
    <i>
      <x v="1834"/>
    </i>
    <i>
      <x v="1835"/>
    </i>
    <i>
      <x v="1836"/>
    </i>
    <i>
      <x v="1837"/>
    </i>
    <i>
      <x v="1839"/>
    </i>
    <i>
      <x v="1841"/>
    </i>
    <i>
      <x v="1842"/>
    </i>
    <i>
      <x v="1843"/>
    </i>
    <i>
      <x v="1846"/>
    </i>
    <i>
      <x v="1847"/>
    </i>
    <i>
      <x v="1849"/>
    </i>
    <i>
      <x v="1850"/>
    </i>
    <i>
      <x v="1851"/>
    </i>
    <i>
      <x v="1852"/>
    </i>
    <i>
      <x v="1853"/>
    </i>
    <i>
      <x v="1854"/>
    </i>
    <i>
      <x v="1859"/>
    </i>
    <i>
      <x v="1860"/>
    </i>
    <i>
      <x v="1861"/>
    </i>
    <i>
      <x v="1863"/>
    </i>
    <i>
      <x v="1864"/>
    </i>
    <i>
      <x v="1865"/>
    </i>
    <i>
      <x v="1866"/>
    </i>
    <i>
      <x v="1867"/>
    </i>
    <i>
      <x v="1868"/>
    </i>
    <i>
      <x v="1869"/>
    </i>
    <i>
      <x v="1870"/>
    </i>
    <i>
      <x v="1871"/>
    </i>
    <i>
      <x v="1872"/>
    </i>
    <i>
      <x v="1873"/>
    </i>
    <i>
      <x v="1876"/>
    </i>
    <i>
      <x v="1877"/>
    </i>
    <i>
      <x v="1878"/>
    </i>
    <i>
      <x v="1881"/>
    </i>
    <i>
      <x v="1883"/>
    </i>
    <i>
      <x v="1884"/>
    </i>
    <i>
      <x v="1886"/>
    </i>
    <i>
      <x v="1888"/>
    </i>
    <i>
      <x v="1889"/>
    </i>
    <i>
      <x v="1890"/>
    </i>
    <i>
      <x v="1893"/>
    </i>
    <i>
      <x v="1895"/>
    </i>
    <i>
      <x v="1896"/>
    </i>
    <i>
      <x v="1897"/>
    </i>
    <i>
      <x v="1900"/>
    </i>
    <i>
      <x v="1901"/>
    </i>
    <i>
      <x v="1902"/>
    </i>
    <i>
      <x v="1903"/>
    </i>
    <i>
      <x v="1904"/>
    </i>
    <i>
      <x v="1905"/>
    </i>
    <i>
      <x v="1907"/>
    </i>
    <i>
      <x v="1908"/>
    </i>
    <i>
      <x v="1910"/>
    </i>
    <i>
      <x v="1912"/>
    </i>
    <i>
      <x v="1915"/>
    </i>
    <i>
      <x v="1916"/>
    </i>
    <i>
      <x v="1920"/>
    </i>
    <i>
      <x v="1921"/>
    </i>
    <i>
      <x v="1922"/>
    </i>
    <i>
      <x v="1924"/>
    </i>
    <i>
      <x v="1925"/>
    </i>
    <i>
      <x v="1926"/>
    </i>
    <i>
      <x v="1928"/>
    </i>
    <i>
      <x v="1929"/>
    </i>
    <i>
      <x v="1931"/>
    </i>
    <i>
      <x v="1932"/>
    </i>
    <i>
      <x v="1933"/>
    </i>
    <i>
      <x v="1934"/>
    </i>
    <i>
      <x v="1936"/>
    </i>
    <i>
      <x v="1938"/>
    </i>
    <i>
      <x v="1940"/>
    </i>
    <i>
      <x v="1941"/>
    </i>
    <i>
      <x v="1943"/>
    </i>
    <i>
      <x v="1945"/>
    </i>
    <i>
      <x v="1948"/>
    </i>
    <i>
      <x v="1950"/>
    </i>
    <i>
      <x v="1952"/>
    </i>
    <i>
      <x v="1954"/>
    </i>
    <i>
      <x v="1955"/>
    </i>
    <i>
      <x v="1957"/>
    </i>
    <i>
      <x v="1958"/>
    </i>
    <i>
      <x v="1959"/>
    </i>
    <i>
      <x v="1960"/>
    </i>
    <i>
      <x v="1961"/>
    </i>
    <i>
      <x v="1962"/>
    </i>
    <i>
      <x v="1963"/>
    </i>
    <i>
      <x v="1964"/>
    </i>
    <i>
      <x v="1965"/>
    </i>
    <i>
      <x v="1967"/>
    </i>
    <i>
      <x v="1968"/>
    </i>
    <i>
      <x v="1969"/>
    </i>
    <i>
      <x v="1970"/>
    </i>
    <i>
      <x v="1972"/>
    </i>
    <i>
      <x v="1973"/>
    </i>
    <i>
      <x v="1974"/>
    </i>
    <i>
      <x v="1975"/>
    </i>
    <i>
      <x v="1976"/>
    </i>
    <i>
      <x v="1977"/>
    </i>
    <i>
      <x v="1978"/>
    </i>
    <i>
      <x v="1979"/>
    </i>
    <i>
      <x v="1980"/>
    </i>
    <i>
      <x v="1981"/>
    </i>
    <i>
      <x v="1982"/>
    </i>
    <i>
      <x v="1983"/>
    </i>
    <i>
      <x v="1984"/>
    </i>
    <i>
      <x v="1986"/>
    </i>
    <i>
      <x v="1987"/>
    </i>
    <i>
      <x v="1991"/>
    </i>
    <i>
      <x v="1992"/>
    </i>
    <i>
      <x v="1993"/>
    </i>
    <i>
      <x v="1997"/>
    </i>
    <i>
      <x v="1998"/>
    </i>
    <i>
      <x v="1999"/>
    </i>
    <i>
      <x v="2001"/>
    </i>
    <i>
      <x v="2002"/>
    </i>
    <i>
      <x v="2004"/>
    </i>
    <i>
      <x v="2005"/>
    </i>
    <i>
      <x v="2007"/>
    </i>
    <i>
      <x v="2008"/>
    </i>
    <i>
      <x v="2009"/>
    </i>
    <i>
      <x v="2010"/>
    </i>
    <i>
      <x v="2011"/>
    </i>
    <i>
      <x v="2013"/>
    </i>
    <i>
      <x v="2014"/>
    </i>
    <i>
      <x v="2015"/>
    </i>
    <i>
      <x v="2016"/>
    </i>
    <i>
      <x v="2017"/>
    </i>
    <i>
      <x v="2018"/>
    </i>
    <i>
      <x v="2022"/>
    </i>
    <i>
      <x v="2023"/>
    </i>
    <i>
      <x v="2024"/>
    </i>
    <i>
      <x v="2025"/>
    </i>
    <i>
      <x v="2026"/>
    </i>
    <i>
      <x v="2027"/>
    </i>
    <i>
      <x v="2029"/>
    </i>
    <i>
      <x v="2030"/>
    </i>
    <i>
      <x v="2031"/>
    </i>
    <i>
      <x v="2032"/>
    </i>
    <i>
      <x v="2033"/>
    </i>
    <i>
      <x v="2035"/>
    </i>
    <i>
      <x v="2038"/>
    </i>
    <i>
      <x v="2039"/>
    </i>
    <i>
      <x v="2040"/>
    </i>
    <i>
      <x v="2041"/>
    </i>
    <i>
      <x v="2042"/>
    </i>
    <i>
      <x v="2045"/>
    </i>
    <i>
      <x v="2047"/>
    </i>
    <i>
      <x v="2048"/>
    </i>
    <i>
      <x v="2050"/>
    </i>
    <i>
      <x v="2052"/>
    </i>
    <i>
      <x v="2053"/>
    </i>
    <i>
      <x v="2054"/>
    </i>
    <i>
      <x v="2057"/>
    </i>
    <i>
      <x v="2061"/>
    </i>
    <i>
      <x v="2062"/>
    </i>
    <i>
      <x v="2064"/>
    </i>
    <i>
      <x v="2066"/>
    </i>
    <i>
      <x v="2072"/>
    </i>
    <i>
      <x v="2073"/>
    </i>
    <i>
      <x v="2074"/>
    </i>
    <i>
      <x v="2075"/>
    </i>
    <i>
      <x v="2076"/>
    </i>
    <i>
      <x v="2077"/>
    </i>
    <i>
      <x v="2078"/>
    </i>
    <i>
      <x v="2079"/>
    </i>
    <i>
      <x v="2080"/>
    </i>
    <i>
      <x v="2082"/>
    </i>
    <i>
      <x v="2083"/>
    </i>
    <i>
      <x v="2084"/>
    </i>
    <i>
      <x v="2087"/>
    </i>
    <i>
      <x v="2089"/>
    </i>
    <i>
      <x v="2090"/>
    </i>
    <i>
      <x v="2092"/>
    </i>
    <i>
      <x v="2093"/>
    </i>
    <i>
      <x v="2095"/>
    </i>
    <i>
      <x v="2096"/>
    </i>
    <i>
      <x v="2097"/>
    </i>
    <i>
      <x v="2098"/>
    </i>
    <i>
      <x v="2101"/>
    </i>
    <i>
      <x v="2103"/>
    </i>
    <i>
      <x v="2104"/>
    </i>
    <i>
      <x v="2106"/>
    </i>
    <i>
      <x v="2107"/>
    </i>
    <i>
      <x v="2108"/>
    </i>
    <i>
      <x v="2110"/>
    </i>
    <i>
      <x v="2111"/>
    </i>
    <i>
      <x v="2112"/>
    </i>
    <i>
      <x v="2114"/>
    </i>
    <i>
      <x v="2117"/>
    </i>
    <i>
      <x v="2118"/>
    </i>
    <i>
      <x v="2119"/>
    </i>
    <i>
      <x v="2120"/>
    </i>
    <i>
      <x v="2121"/>
    </i>
    <i>
      <x v="2123"/>
    </i>
    <i>
      <x v="2124"/>
    </i>
    <i>
      <x v="2125"/>
    </i>
    <i>
      <x v="2127"/>
    </i>
    <i>
      <x v="2128"/>
    </i>
    <i>
      <x v="2129"/>
    </i>
    <i>
      <x v="2130"/>
    </i>
    <i>
      <x v="2131"/>
    </i>
    <i>
      <x v="2132"/>
    </i>
    <i>
      <x v="2134"/>
    </i>
    <i>
      <x v="2135"/>
    </i>
    <i>
      <x v="2138"/>
    </i>
    <i>
      <x v="2139"/>
    </i>
    <i>
      <x v="2140"/>
    </i>
    <i>
      <x v="2141"/>
    </i>
    <i>
      <x v="2142"/>
    </i>
    <i>
      <x v="2143"/>
    </i>
    <i>
      <x v="2144"/>
    </i>
    <i>
      <x v="2145"/>
    </i>
    <i>
      <x v="2146"/>
    </i>
    <i>
      <x v="2148"/>
    </i>
    <i>
      <x v="2149"/>
    </i>
    <i>
      <x v="2150"/>
    </i>
    <i>
      <x v="2151"/>
    </i>
    <i>
      <x v="2152"/>
    </i>
    <i>
      <x v="2153"/>
    </i>
    <i>
      <x v="2156"/>
    </i>
    <i>
      <x v="2160"/>
    </i>
    <i>
      <x v="2161"/>
    </i>
    <i>
      <x v="2162"/>
    </i>
    <i>
      <x v="2163"/>
    </i>
    <i>
      <x v="2164"/>
    </i>
    <i>
      <x v="2166"/>
    </i>
    <i>
      <x v="2168"/>
    </i>
    <i>
      <x v="2169"/>
    </i>
    <i>
      <x v="2170"/>
    </i>
    <i>
      <x v="2171"/>
    </i>
    <i>
      <x v="2173"/>
    </i>
    <i>
      <x v="2174"/>
    </i>
    <i>
      <x v="2175"/>
    </i>
    <i>
      <x v="2176"/>
    </i>
    <i>
      <x v="2177"/>
    </i>
    <i>
      <x v="2180"/>
    </i>
    <i>
      <x v="2181"/>
    </i>
    <i>
      <x v="2183"/>
    </i>
    <i>
      <x v="2184"/>
    </i>
    <i>
      <x v="2185"/>
    </i>
    <i>
      <x v="2186"/>
    </i>
    <i>
      <x v="2187"/>
    </i>
    <i>
      <x v="2188"/>
    </i>
    <i>
      <x v="2189"/>
    </i>
    <i>
      <x v="2193"/>
    </i>
    <i>
      <x v="2195"/>
    </i>
    <i>
      <x v="2196"/>
    </i>
    <i>
      <x v="2197"/>
    </i>
    <i>
      <x v="2198"/>
    </i>
    <i>
      <x v="2200"/>
    </i>
    <i>
      <x v="2201"/>
    </i>
    <i>
      <x v="2202"/>
    </i>
    <i>
      <x v="2205"/>
    </i>
    <i>
      <x v="2209"/>
    </i>
    <i>
      <x v="2212"/>
    </i>
    <i>
      <x v="2213"/>
    </i>
    <i>
      <x v="2214"/>
    </i>
    <i>
      <x v="2215"/>
    </i>
    <i>
      <x v="2216"/>
    </i>
    <i>
      <x v="2217"/>
    </i>
    <i>
      <x v="2218"/>
    </i>
    <i>
      <x v="2219"/>
    </i>
    <i>
      <x v="2221"/>
    </i>
    <i>
      <x v="2222"/>
    </i>
    <i>
      <x v="2223"/>
    </i>
    <i>
      <x v="2224"/>
    </i>
    <i>
      <x v="2231"/>
    </i>
    <i>
      <x v="2232"/>
    </i>
    <i>
      <x v="2233"/>
    </i>
    <i>
      <x v="2234"/>
    </i>
    <i>
      <x v="2236"/>
    </i>
    <i>
      <x v="2237"/>
    </i>
    <i>
      <x v="2238"/>
    </i>
    <i>
      <x v="2240"/>
    </i>
    <i>
      <x v="2241"/>
    </i>
    <i>
      <x v="2242"/>
    </i>
    <i>
      <x v="2243"/>
    </i>
    <i>
      <x v="2244"/>
    </i>
    <i>
      <x v="2245"/>
    </i>
    <i>
      <x v="2246"/>
    </i>
    <i>
      <x v="2247"/>
    </i>
    <i>
      <x v="2248"/>
    </i>
    <i>
      <x v="2250"/>
    </i>
    <i>
      <x v="2251"/>
    </i>
    <i>
      <x v="2252"/>
    </i>
    <i>
      <x v="2253"/>
    </i>
    <i>
      <x v="2257"/>
    </i>
    <i>
      <x v="2258"/>
    </i>
    <i>
      <x v="2259"/>
    </i>
    <i>
      <x v="2262"/>
    </i>
    <i>
      <x v="2263"/>
    </i>
    <i>
      <x v="2265"/>
    </i>
    <i>
      <x v="2266"/>
    </i>
    <i>
      <x v="2267"/>
    </i>
    <i>
      <x v="2268"/>
    </i>
    <i>
      <x v="2269"/>
    </i>
    <i>
      <x v="2270"/>
    </i>
    <i>
      <x v="2271"/>
    </i>
    <i>
      <x v="2273"/>
    </i>
    <i>
      <x v="2274"/>
    </i>
    <i>
      <x v="2275"/>
    </i>
    <i>
      <x v="2276"/>
    </i>
    <i>
      <x v="2277"/>
    </i>
    <i>
      <x v="2278"/>
    </i>
    <i>
      <x v="2279"/>
    </i>
    <i>
      <x v="2281"/>
    </i>
    <i>
      <x v="2283"/>
    </i>
    <i>
      <x v="2284"/>
    </i>
    <i>
      <x v="2285"/>
    </i>
    <i>
      <x v="2286"/>
    </i>
    <i>
      <x v="2288"/>
    </i>
    <i>
      <x v="2289"/>
    </i>
    <i>
      <x v="2290"/>
    </i>
    <i>
      <x v="2292"/>
    </i>
    <i>
      <x v="2295"/>
    </i>
    <i>
      <x v="2296"/>
    </i>
    <i>
      <x v="2298"/>
    </i>
    <i>
      <x v="2302"/>
    </i>
    <i>
      <x v="2303"/>
    </i>
    <i>
      <x v="2304"/>
    </i>
    <i>
      <x v="2305"/>
    </i>
    <i>
      <x v="2307"/>
    </i>
    <i>
      <x v="2309"/>
    </i>
    <i>
      <x v="2310"/>
    </i>
    <i>
      <x v="2312"/>
    </i>
    <i>
      <x v="2314"/>
    </i>
    <i>
      <x v="2315"/>
    </i>
    <i>
      <x v="2316"/>
    </i>
    <i>
      <x v="2317"/>
    </i>
    <i>
      <x v="2318"/>
    </i>
    <i>
      <x v="2319"/>
    </i>
    <i>
      <x v="2320"/>
    </i>
    <i>
      <x v="2321"/>
    </i>
    <i>
      <x v="2322"/>
    </i>
    <i>
      <x v="2324"/>
    </i>
    <i>
      <x v="2326"/>
    </i>
    <i>
      <x v="2330"/>
    </i>
    <i>
      <x v="2333"/>
    </i>
    <i>
      <x v="2334"/>
    </i>
    <i>
      <x v="2335"/>
    </i>
    <i>
      <x v="2336"/>
    </i>
    <i>
      <x v="2337"/>
    </i>
    <i>
      <x v="2339"/>
    </i>
    <i>
      <x v="2340"/>
    </i>
    <i>
      <x v="2342"/>
    </i>
    <i>
      <x v="2343"/>
    </i>
    <i>
      <x v="2344"/>
    </i>
    <i>
      <x v="2346"/>
    </i>
    <i>
      <x v="2347"/>
    </i>
    <i>
      <x v="2348"/>
    </i>
    <i>
      <x v="2349"/>
    </i>
    <i>
      <x v="2351"/>
    </i>
    <i>
      <x v="2356"/>
    </i>
    <i>
      <x v="2361"/>
    </i>
    <i>
      <x v="2362"/>
    </i>
    <i>
      <x v="2363"/>
    </i>
    <i>
      <x v="2364"/>
    </i>
    <i>
      <x v="2365"/>
    </i>
    <i>
      <x v="2366"/>
    </i>
    <i>
      <x v="2367"/>
    </i>
    <i>
      <x v="2368"/>
    </i>
    <i>
      <x v="2369"/>
    </i>
    <i>
      <x v="2370"/>
    </i>
    <i>
      <x v="2374"/>
    </i>
    <i>
      <x v="2377"/>
    </i>
    <i>
      <x v="2378"/>
    </i>
    <i>
      <x v="2379"/>
    </i>
    <i>
      <x v="2383"/>
    </i>
    <i>
      <x v="2384"/>
    </i>
    <i>
      <x v="2388"/>
    </i>
    <i>
      <x v="2389"/>
    </i>
    <i>
      <x v="2390"/>
    </i>
    <i>
      <x v="2392"/>
    </i>
    <i>
      <x v="2395"/>
    </i>
    <i>
      <x v="2396"/>
    </i>
    <i>
      <x v="2397"/>
    </i>
    <i>
      <x v="2398"/>
    </i>
    <i>
      <x v="2400"/>
    </i>
    <i>
      <x v="2402"/>
    </i>
    <i>
      <x v="2406"/>
    </i>
    <i>
      <x v="2407"/>
    </i>
    <i>
      <x v="2408"/>
    </i>
    <i>
      <x v="2409"/>
    </i>
    <i>
      <x v="2410"/>
    </i>
    <i>
      <x v="2412"/>
    </i>
    <i>
      <x v="2413"/>
    </i>
    <i>
      <x v="2414"/>
    </i>
    <i>
      <x v="2415"/>
    </i>
    <i>
      <x v="2417"/>
    </i>
    <i>
      <x v="2418"/>
    </i>
    <i>
      <x v="2419"/>
    </i>
    <i>
      <x v="2420"/>
    </i>
    <i>
      <x v="2421"/>
    </i>
    <i>
      <x v="2422"/>
    </i>
    <i>
      <x v="2425"/>
    </i>
    <i>
      <x v="2426"/>
    </i>
    <i>
      <x v="2428"/>
    </i>
    <i>
      <x v="2429"/>
    </i>
    <i>
      <x v="2430"/>
    </i>
    <i>
      <x v="2434"/>
    </i>
    <i>
      <x v="2436"/>
    </i>
    <i>
      <x v="2438"/>
    </i>
    <i>
      <x v="2439"/>
    </i>
    <i>
      <x v="2440"/>
    </i>
    <i>
      <x v="2441"/>
    </i>
    <i>
      <x v="2443"/>
    </i>
    <i>
      <x v="2445"/>
    </i>
    <i>
      <x v="2447"/>
    </i>
    <i>
      <x v="2448"/>
    </i>
    <i>
      <x v="2449"/>
    </i>
    <i>
      <x v="2450"/>
    </i>
    <i>
      <x v="2454"/>
    </i>
    <i>
      <x v="2455"/>
    </i>
    <i>
      <x v="2457"/>
    </i>
    <i>
      <x v="2459"/>
    </i>
    <i>
      <x v="2460"/>
    </i>
    <i>
      <x v="2461"/>
    </i>
    <i>
      <x v="2464"/>
    </i>
    <i>
      <x v="2465"/>
    </i>
    <i>
      <x v="2466"/>
    </i>
    <i>
      <x v="2467"/>
    </i>
    <i>
      <x v="2468"/>
    </i>
    <i>
      <x v="2469"/>
    </i>
    <i>
      <x v="2470"/>
    </i>
    <i>
      <x v="2471"/>
    </i>
    <i>
      <x v="2472"/>
    </i>
    <i>
      <x v="2476"/>
    </i>
    <i>
      <x v="2477"/>
    </i>
    <i>
      <x v="2478"/>
    </i>
    <i>
      <x v="2479"/>
    </i>
    <i>
      <x v="2481"/>
    </i>
    <i>
      <x v="2483"/>
    </i>
    <i>
      <x v="2484"/>
    </i>
    <i>
      <x v="2486"/>
    </i>
    <i>
      <x v="2487"/>
    </i>
    <i>
      <x v="2488"/>
    </i>
    <i>
      <x v="2489"/>
    </i>
    <i>
      <x v="2490"/>
    </i>
    <i>
      <x v="2492"/>
    </i>
    <i>
      <x v="2494"/>
    </i>
    <i>
      <x v="2495"/>
    </i>
    <i>
      <x v="2498"/>
    </i>
    <i>
      <x v="2499"/>
    </i>
    <i>
      <x v="2501"/>
    </i>
    <i>
      <x v="2503"/>
    </i>
    <i>
      <x v="2504"/>
    </i>
    <i>
      <x v="2505"/>
    </i>
    <i>
      <x v="2506"/>
    </i>
    <i>
      <x v="2507"/>
    </i>
    <i>
      <x v="2508"/>
    </i>
    <i>
      <x v="2509"/>
    </i>
    <i>
      <x v="2510"/>
    </i>
    <i>
      <x v="2511"/>
    </i>
    <i>
      <x v="2512"/>
    </i>
    <i>
      <x v="2513"/>
    </i>
    <i>
      <x v="2514"/>
    </i>
    <i>
      <x v="2517"/>
    </i>
    <i>
      <x v="2519"/>
    </i>
    <i>
      <x v="2520"/>
    </i>
    <i>
      <x v="2521"/>
    </i>
    <i>
      <x v="2522"/>
    </i>
    <i>
      <x v="2524"/>
    </i>
    <i>
      <x v="2525"/>
    </i>
    <i>
      <x v="2526"/>
    </i>
    <i>
      <x v="2527"/>
    </i>
    <i>
      <x v="2528"/>
    </i>
    <i>
      <x v="2530"/>
    </i>
    <i>
      <x v="2531"/>
    </i>
    <i>
      <x v="2532"/>
    </i>
    <i>
      <x v="2533"/>
    </i>
    <i>
      <x v="2534"/>
    </i>
    <i>
      <x v="2536"/>
    </i>
    <i>
      <x v="2538"/>
    </i>
    <i>
      <x v="2539"/>
    </i>
    <i>
      <x v="2540"/>
    </i>
    <i>
      <x v="2541"/>
    </i>
    <i>
      <x v="2542"/>
    </i>
    <i>
      <x v="2543"/>
    </i>
    <i>
      <x v="2545"/>
    </i>
    <i>
      <x v="2548"/>
    </i>
    <i>
      <x v="2549"/>
    </i>
    <i>
      <x v="2550"/>
    </i>
    <i>
      <x v="2552"/>
    </i>
    <i>
      <x v="2553"/>
    </i>
    <i>
      <x v="2554"/>
    </i>
    <i>
      <x v="2556"/>
    </i>
    <i>
      <x v="2557"/>
    </i>
    <i>
      <x v="2561"/>
    </i>
    <i>
      <x v="2564"/>
    </i>
    <i>
      <x v="2566"/>
    </i>
    <i>
      <x v="2567"/>
    </i>
    <i>
      <x v="2568"/>
    </i>
    <i>
      <x v="2569"/>
    </i>
    <i>
      <x v="2570"/>
    </i>
    <i>
      <x v="2573"/>
    </i>
    <i>
      <x v="2574"/>
    </i>
    <i>
      <x v="2576"/>
    </i>
    <i>
      <x v="2577"/>
    </i>
    <i>
      <x v="2580"/>
    </i>
    <i>
      <x v="2582"/>
    </i>
    <i>
      <x v="2583"/>
    </i>
    <i>
      <x v="2584"/>
    </i>
    <i>
      <x v="2587"/>
    </i>
    <i>
      <x v="2588"/>
    </i>
    <i>
      <x v="2589"/>
    </i>
    <i>
      <x v="2593"/>
    </i>
    <i>
      <x v="2595"/>
    </i>
    <i>
      <x v="2596"/>
    </i>
    <i>
      <x v="2597"/>
    </i>
    <i>
      <x v="2598"/>
    </i>
    <i>
      <x v="2599"/>
    </i>
    <i>
      <x v="2600"/>
    </i>
    <i>
      <x v="2601"/>
    </i>
    <i>
      <x v="2602"/>
    </i>
    <i>
      <x v="2603"/>
    </i>
    <i>
      <x v="2604"/>
    </i>
    <i>
      <x v="2605"/>
    </i>
    <i>
      <x v="2607"/>
    </i>
    <i>
      <x v="2608"/>
    </i>
    <i>
      <x v="2610"/>
    </i>
    <i>
      <x v="2613"/>
    </i>
    <i>
      <x v="2614"/>
    </i>
    <i>
      <x v="2615"/>
    </i>
    <i>
      <x v="2616"/>
    </i>
    <i>
      <x v="2617"/>
    </i>
    <i>
      <x v="2618"/>
    </i>
    <i>
      <x v="2619"/>
    </i>
    <i>
      <x v="2621"/>
    </i>
    <i>
      <x v="2622"/>
    </i>
    <i>
      <x v="2623"/>
    </i>
    <i>
      <x v="2624"/>
    </i>
    <i>
      <x v="2626"/>
    </i>
    <i>
      <x v="2627"/>
    </i>
    <i>
      <x v="2628"/>
    </i>
    <i>
      <x v="2630"/>
    </i>
    <i>
      <x v="2631"/>
    </i>
    <i>
      <x v="2632"/>
    </i>
    <i>
      <x v="2633"/>
    </i>
    <i>
      <x v="2635"/>
    </i>
    <i>
      <x v="2638"/>
    </i>
    <i>
      <x v="2642"/>
    </i>
    <i>
      <x v="2643"/>
    </i>
    <i>
      <x v="2646"/>
    </i>
    <i>
      <x v="2647"/>
    </i>
    <i>
      <x v="2648"/>
    </i>
    <i>
      <x v="2650"/>
    </i>
    <i>
      <x v="2651"/>
    </i>
    <i>
      <x v="2653"/>
    </i>
    <i>
      <x v="2654"/>
    </i>
    <i>
      <x v="2655"/>
    </i>
    <i>
      <x v="2656"/>
    </i>
    <i>
      <x v="2657"/>
    </i>
    <i>
      <x v="2660"/>
    </i>
    <i>
      <x v="2661"/>
    </i>
    <i>
      <x v="2662"/>
    </i>
    <i>
      <x v="2664"/>
    </i>
    <i>
      <x v="2665"/>
    </i>
    <i>
      <x v="2666"/>
    </i>
    <i>
      <x v="2669"/>
    </i>
    <i>
      <x v="2670"/>
    </i>
    <i>
      <x v="2672"/>
    </i>
    <i>
      <x v="2674"/>
    </i>
    <i>
      <x v="2676"/>
    </i>
    <i>
      <x v="2677"/>
    </i>
    <i>
      <x v="2679"/>
    </i>
    <i>
      <x v="2680"/>
    </i>
    <i>
      <x v="2681"/>
    </i>
    <i>
      <x v="2682"/>
    </i>
    <i>
      <x v="2683"/>
    </i>
    <i>
      <x v="2686"/>
    </i>
    <i>
      <x v="2687"/>
    </i>
    <i>
      <x v="2688"/>
    </i>
    <i>
      <x v="2689"/>
    </i>
    <i>
      <x v="2690"/>
    </i>
    <i>
      <x v="2693"/>
    </i>
    <i>
      <x v="2694"/>
    </i>
    <i>
      <x v="2696"/>
    </i>
    <i>
      <x v="2697"/>
    </i>
    <i>
      <x v="2698"/>
    </i>
    <i>
      <x v="2699"/>
    </i>
    <i>
      <x v="2700"/>
    </i>
    <i>
      <x v="2701"/>
    </i>
    <i>
      <x v="2703"/>
    </i>
    <i>
      <x v="2705"/>
    </i>
    <i>
      <x v="2710"/>
    </i>
    <i>
      <x v="2711"/>
    </i>
    <i>
      <x v="2712"/>
    </i>
    <i>
      <x v="2713"/>
    </i>
    <i>
      <x v="2715"/>
    </i>
    <i>
      <x v="2719"/>
    </i>
    <i>
      <x v="2722"/>
    </i>
    <i>
      <x v="2724"/>
    </i>
    <i>
      <x v="2725"/>
    </i>
    <i>
      <x v="2726"/>
    </i>
    <i>
      <x v="2727"/>
    </i>
    <i>
      <x v="2728"/>
    </i>
    <i>
      <x v="2729"/>
    </i>
    <i>
      <x v="2730"/>
    </i>
    <i>
      <x v="2732"/>
    </i>
    <i>
      <x v="2733"/>
    </i>
    <i>
      <x v="2735"/>
    </i>
    <i>
      <x v="2736"/>
    </i>
    <i>
      <x v="2737"/>
    </i>
    <i>
      <x v="2739"/>
    </i>
    <i>
      <x v="2740"/>
    </i>
    <i>
      <x v="2741"/>
    </i>
    <i>
      <x v="2742"/>
    </i>
    <i>
      <x v="2743"/>
    </i>
    <i>
      <x v="2747"/>
    </i>
    <i>
      <x v="2748"/>
    </i>
    <i>
      <x v="2749"/>
    </i>
    <i>
      <x v="2750"/>
    </i>
    <i>
      <x v="2752"/>
    </i>
    <i>
      <x v="2754"/>
    </i>
    <i>
      <x v="2755"/>
    </i>
    <i>
      <x v="2756"/>
    </i>
    <i>
      <x v="2757"/>
    </i>
    <i>
      <x v="2758"/>
    </i>
    <i>
      <x v="2759"/>
    </i>
    <i>
      <x v="2760"/>
    </i>
    <i>
      <x v="2761"/>
    </i>
    <i>
      <x v="2763"/>
    </i>
    <i>
      <x v="2764"/>
    </i>
    <i>
      <x v="2766"/>
    </i>
    <i>
      <x v="2768"/>
    </i>
    <i>
      <x v="2769"/>
    </i>
    <i>
      <x v="2770"/>
    </i>
    <i>
      <x v="2771"/>
    </i>
    <i>
      <x v="2773"/>
    </i>
    <i>
      <x v="2774"/>
    </i>
    <i>
      <x v="2777"/>
    </i>
    <i>
      <x v="2778"/>
    </i>
    <i>
      <x v="2779"/>
    </i>
    <i>
      <x v="2780"/>
    </i>
    <i>
      <x v="2781"/>
    </i>
    <i>
      <x v="2782"/>
    </i>
    <i>
      <x v="2783"/>
    </i>
    <i>
      <x v="2785"/>
    </i>
    <i>
      <x v="2786"/>
    </i>
    <i>
      <x v="2788"/>
    </i>
    <i>
      <x v="2789"/>
    </i>
    <i>
      <x v="2790"/>
    </i>
    <i>
      <x v="2791"/>
    </i>
    <i>
      <x v="2793"/>
    </i>
    <i>
      <x v="2797"/>
    </i>
    <i>
      <x v="2798"/>
    </i>
    <i>
      <x v="2804"/>
    </i>
    <i>
      <x v="2805"/>
    </i>
    <i>
      <x v="2806"/>
    </i>
    <i>
      <x v="2807"/>
    </i>
    <i>
      <x v="2808"/>
    </i>
    <i>
      <x v="2810"/>
    </i>
    <i>
      <x v="2811"/>
    </i>
    <i>
      <x v="2813"/>
    </i>
    <i>
      <x v="2814"/>
    </i>
    <i>
      <x v="2817"/>
    </i>
    <i>
      <x v="2818"/>
    </i>
    <i>
      <x v="2819"/>
    </i>
    <i>
      <x v="2820"/>
    </i>
    <i>
      <x v="2821"/>
    </i>
    <i>
      <x v="2822"/>
    </i>
    <i>
      <x v="2823"/>
    </i>
    <i>
      <x v="2824"/>
    </i>
    <i>
      <x v="2825"/>
    </i>
    <i>
      <x v="2827"/>
    </i>
    <i>
      <x v="2830"/>
    </i>
    <i>
      <x v="2832"/>
    </i>
    <i>
      <x v="2833"/>
    </i>
    <i>
      <x v="2834"/>
    </i>
    <i>
      <x v="2835"/>
    </i>
    <i>
      <x v="2837"/>
    </i>
    <i>
      <x v="2838"/>
    </i>
    <i>
      <x v="2839"/>
    </i>
    <i>
      <x v="2843"/>
    </i>
    <i>
      <x v="2844"/>
    </i>
    <i>
      <x v="2845"/>
    </i>
    <i>
      <x v="2847"/>
    </i>
    <i>
      <x v="2848"/>
    </i>
    <i>
      <x v="2849"/>
    </i>
    <i>
      <x v="2850"/>
    </i>
    <i>
      <x v="2851"/>
    </i>
    <i>
      <x v="2852"/>
    </i>
    <i>
      <x v="2853"/>
    </i>
    <i>
      <x v="2855"/>
    </i>
    <i>
      <x v="2856"/>
    </i>
    <i>
      <x v="2860"/>
    </i>
    <i>
      <x v="2861"/>
    </i>
    <i>
      <x v="2863"/>
    </i>
    <i>
      <x v="2864"/>
    </i>
    <i>
      <x v="2865"/>
    </i>
    <i>
      <x v="2867"/>
    </i>
    <i>
      <x v="2868"/>
    </i>
    <i>
      <x v="2870"/>
    </i>
    <i>
      <x v="2873"/>
    </i>
    <i>
      <x v="2874"/>
    </i>
    <i>
      <x v="2879"/>
    </i>
    <i>
      <x v="2880"/>
    </i>
    <i>
      <x v="2882"/>
    </i>
    <i>
      <x v="2883"/>
    </i>
    <i>
      <x v="2884"/>
    </i>
    <i>
      <x v="2887"/>
    </i>
    <i>
      <x v="2888"/>
    </i>
    <i>
      <x v="2889"/>
    </i>
    <i>
      <x v="2890"/>
    </i>
    <i>
      <x v="2891"/>
    </i>
    <i>
      <x v="2892"/>
    </i>
    <i>
      <x v="2893"/>
    </i>
    <i>
      <x v="2894"/>
    </i>
    <i>
      <x v="2895"/>
    </i>
    <i>
      <x v="2896"/>
    </i>
    <i>
      <x v="2897"/>
    </i>
    <i>
      <x v="2898"/>
    </i>
    <i>
      <x v="2899"/>
    </i>
    <i>
      <x v="2900"/>
    </i>
    <i>
      <x v="2901"/>
    </i>
    <i>
      <x v="2902"/>
    </i>
    <i>
      <x v="2903"/>
    </i>
    <i>
      <x v="2904"/>
    </i>
    <i>
      <x v="2905"/>
    </i>
    <i>
      <x v="2906"/>
    </i>
    <i>
      <x v="2907"/>
    </i>
    <i>
      <x v="2908"/>
    </i>
    <i>
      <x v="2909"/>
    </i>
    <i>
      <x v="2910"/>
    </i>
    <i>
      <x v="2911"/>
    </i>
    <i>
      <x v="2914"/>
    </i>
    <i>
      <x v="2915"/>
    </i>
    <i>
      <x v="2916"/>
    </i>
    <i>
      <x v="2917"/>
    </i>
    <i>
      <x v="2921"/>
    </i>
    <i>
      <x v="2924"/>
    </i>
    <i>
      <x v="2925"/>
    </i>
    <i>
      <x v="2926"/>
    </i>
    <i>
      <x v="2929"/>
    </i>
    <i>
      <x v="2932"/>
    </i>
    <i>
      <x v="2933"/>
    </i>
    <i>
      <x v="2934"/>
    </i>
    <i>
      <x v="2935"/>
    </i>
    <i>
      <x v="2936"/>
    </i>
    <i>
      <x v="2937"/>
    </i>
    <i>
      <x v="2938"/>
    </i>
    <i>
      <x v="2941"/>
    </i>
    <i>
      <x v="2943"/>
    </i>
    <i>
      <x v="2944"/>
    </i>
    <i>
      <x v="2946"/>
    </i>
    <i>
      <x v="2949"/>
    </i>
    <i>
      <x v="2950"/>
    </i>
    <i>
      <x v="2951"/>
    </i>
    <i>
      <x v="2952"/>
    </i>
    <i>
      <x v="2953"/>
    </i>
    <i>
      <x v="2955"/>
    </i>
    <i>
      <x v="2956"/>
    </i>
    <i>
      <x v="2957"/>
    </i>
    <i>
      <x v="2958"/>
    </i>
    <i>
      <x v="2964"/>
    </i>
    <i>
      <x v="2965"/>
    </i>
    <i>
      <x v="2966"/>
    </i>
    <i>
      <x v="2967"/>
    </i>
    <i>
      <x v="2969"/>
    </i>
    <i>
      <x v="2971"/>
    </i>
    <i>
      <x v="2974"/>
    </i>
    <i>
      <x v="2976"/>
    </i>
    <i>
      <x v="2977"/>
    </i>
    <i>
      <x v="2978"/>
    </i>
    <i>
      <x v="2980"/>
    </i>
    <i>
      <x v="2981"/>
    </i>
    <i>
      <x v="2983"/>
    </i>
    <i>
      <x v="2985"/>
    </i>
    <i>
      <x v="2986"/>
    </i>
    <i>
      <x v="2987"/>
    </i>
    <i>
      <x v="2988"/>
    </i>
    <i>
      <x v="2989"/>
    </i>
    <i>
      <x v="2990"/>
    </i>
    <i>
      <x v="2991"/>
    </i>
    <i>
      <x v="2993"/>
    </i>
    <i>
      <x v="2994"/>
    </i>
    <i>
      <x v="2995"/>
    </i>
    <i>
      <x v="2996"/>
    </i>
    <i>
      <x v="2997"/>
    </i>
    <i>
      <x v="2998"/>
    </i>
    <i>
      <x v="2999"/>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B831729-BD6C-4F3B-A590-11D44F31C63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5:B21" firstHeaderRow="1" firstDataRow="1" firstDataCol="1"/>
  <pivotFields count="14">
    <pivotField showAll="0"/>
    <pivotField numFmtId="22" showAll="0"/>
    <pivotField showAll="0"/>
    <pivotField showAll="0">
      <items count="16">
        <item x="2"/>
        <item x="12"/>
        <item x="9"/>
        <item x="7"/>
        <item x="4"/>
        <item x="1"/>
        <item x="3"/>
        <item x="13"/>
        <item x="6"/>
        <item x="10"/>
        <item x="0"/>
        <item x="14"/>
        <item x="5"/>
        <item x="11"/>
        <item x="8"/>
        <item t="default"/>
      </items>
    </pivotField>
    <pivotField axis="axisRow" showAll="0" measureFilter="1" sortType="ascending">
      <items count="21">
        <item x="6"/>
        <item x="17"/>
        <item x="8"/>
        <item x="19"/>
        <item x="1"/>
        <item x="3"/>
        <item x="4"/>
        <item x="10"/>
        <item x="14"/>
        <item x="16"/>
        <item x="12"/>
        <item x="0"/>
        <item x="18"/>
        <item x="9"/>
        <item x="11"/>
        <item x="7"/>
        <item x="13"/>
        <item x="2"/>
        <item x="5"/>
        <item x="1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 showAll="0"/>
    <pivotField showAll="0"/>
    <pivotField showAll="0">
      <items count="6">
        <item x="0"/>
        <item x="3"/>
        <item x="4"/>
        <item h="1" x="1"/>
        <item h="1" x="2"/>
        <item t="default"/>
      </items>
    </pivotField>
  </pivotFields>
  <rowFields count="1">
    <field x="4"/>
  </rowFields>
  <rowItems count="6">
    <i>
      <x v="14"/>
    </i>
    <i>
      <x v="2"/>
    </i>
    <i>
      <x v="7"/>
    </i>
    <i>
      <x/>
    </i>
    <i>
      <x v="3"/>
    </i>
    <i t="grand">
      <x/>
    </i>
  </rowItems>
  <colItems count="1">
    <i/>
  </colItems>
  <dataFields count="1">
    <dataField name="Sum of Revenue" fld="10" baseField="0" baseItem="0"/>
  </dataFields>
  <chartFormats count="2">
    <chartFormat chart="2" format="3"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43F7F65-464F-46C1-98D2-DA5031130A0F}"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2:B8" firstHeaderRow="1" firstDataRow="1" firstDataCol="1"/>
  <pivotFields count="14">
    <pivotField showAll="0"/>
    <pivotField numFmtId="22" showAll="0"/>
    <pivotField showAll="0"/>
    <pivotField axis="axisRow" showAll="0" measureFilter="1" sortType="ascending">
      <items count="16">
        <item x="2"/>
        <item x="12"/>
        <item x="9"/>
        <item x="7"/>
        <item x="4"/>
        <item x="1"/>
        <item x="3"/>
        <item x="13"/>
        <item x="6"/>
        <item x="10"/>
        <item x="0"/>
        <item x="14"/>
        <item x="5"/>
        <item x="11"/>
        <item x="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dataField="1" showAll="0"/>
    <pivotField showAll="0"/>
    <pivotField showAll="0"/>
    <pivotField showAll="0">
      <items count="6">
        <item x="0"/>
        <item x="3"/>
        <item x="4"/>
        <item h="1" x="1"/>
        <item h="1" x="2"/>
        <item t="default"/>
      </items>
    </pivotField>
  </pivotFields>
  <rowFields count="1">
    <field x="3"/>
  </rowFields>
  <rowItems count="6">
    <i>
      <x v="1"/>
    </i>
    <i>
      <x v="8"/>
    </i>
    <i>
      <x v="12"/>
    </i>
    <i>
      <x v="6"/>
    </i>
    <i>
      <x v="3"/>
    </i>
    <i t="grand">
      <x/>
    </i>
  </rowItems>
  <colItems count="1">
    <i/>
  </colItems>
  <dataFields count="1">
    <dataField name="Sum of Revenue" fld="10"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5958933-E74F-464F-AC82-EDFB0D915978}"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K2:L15" firstHeaderRow="1" firstDataRow="1" firstDataCol="1"/>
  <pivotFields count="14">
    <pivotField showAll="0"/>
    <pivotField numFmtId="22" showAll="0"/>
    <pivotField showAll="0"/>
    <pivotField showAll="0">
      <items count="16">
        <item x="2"/>
        <item x="12"/>
        <item x="9"/>
        <item x="7"/>
        <item x="4"/>
        <item x="1"/>
        <item x="3"/>
        <item x="13"/>
        <item x="6"/>
        <item x="10"/>
        <item x="0"/>
        <item x="14"/>
        <item x="5"/>
        <item x="11"/>
        <item x="8"/>
        <item t="default"/>
      </items>
    </pivotField>
    <pivotField showAll="0"/>
    <pivotField showAll="0"/>
    <pivotField showAll="0"/>
    <pivotField showAll="0"/>
    <pivotField showAll="0"/>
    <pivotField showAll="0"/>
    <pivotField dataField="1" showAll="0"/>
    <pivotField showAll="0"/>
    <pivotField axis="axisRow" showAll="0" sortType="ascending">
      <items count="13">
        <item x="2"/>
        <item x="7"/>
        <item x="1"/>
        <item x="11"/>
        <item x="5"/>
        <item x="3"/>
        <item x="8"/>
        <item x="6"/>
        <item x="9"/>
        <item x="0"/>
        <item x="10"/>
        <item x="4"/>
        <item t="default"/>
      </items>
    </pivotField>
    <pivotField showAll="0">
      <items count="6">
        <item x="0"/>
        <item x="3"/>
        <item x="4"/>
        <item h="1" x="1"/>
        <item h="1" x="2"/>
        <item t="default"/>
      </items>
    </pivotField>
  </pivotFields>
  <rowFields count="1">
    <field x="12"/>
  </rowFields>
  <rowItems count="13">
    <i>
      <x/>
    </i>
    <i>
      <x v="1"/>
    </i>
    <i>
      <x v="2"/>
    </i>
    <i>
      <x v="3"/>
    </i>
    <i>
      <x v="4"/>
    </i>
    <i>
      <x v="5"/>
    </i>
    <i>
      <x v="6"/>
    </i>
    <i>
      <x v="7"/>
    </i>
    <i>
      <x v="8"/>
    </i>
    <i>
      <x v="9"/>
    </i>
    <i>
      <x v="10"/>
    </i>
    <i>
      <x v="11"/>
    </i>
    <i t="grand">
      <x/>
    </i>
  </rowItems>
  <colItems count="1">
    <i/>
  </colItems>
  <dataFields count="1">
    <dataField name="Sum of Revenue" fld="10" baseField="0" baseItem="0"/>
  </dataFields>
  <chartFormats count="2">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DB5246F-476D-4263-988D-55B861B67924}"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H2:I9" firstHeaderRow="1" firstDataRow="1" firstDataCol="1"/>
  <pivotFields count="14">
    <pivotField dataField="1" showAll="0">
      <items count="3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t="default"/>
      </items>
    </pivotField>
    <pivotField numFmtId="22" showAll="0"/>
    <pivotField showAll="0"/>
    <pivotField showAll="0">
      <items count="16">
        <item x="2"/>
        <item x="12"/>
        <item x="9"/>
        <item x="7"/>
        <item x="4"/>
        <item x="1"/>
        <item x="3"/>
        <item x="13"/>
        <item x="6"/>
        <item x="10"/>
        <item x="0"/>
        <item x="14"/>
        <item x="5"/>
        <item x="11"/>
        <item x="8"/>
        <item t="default"/>
      </items>
    </pivotField>
    <pivotField showAll="0"/>
    <pivotField showAll="0"/>
    <pivotField showAll="0"/>
    <pivotField showAll="0"/>
    <pivotField axis="axisRow" showAll="0" sortType="descending">
      <items count="7">
        <item x="5"/>
        <item x="3"/>
        <item x="0"/>
        <item x="4"/>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6">
        <item x="0"/>
        <item x="3"/>
        <item x="4"/>
        <item h="1" x="1"/>
        <item h="1" x="2"/>
        <item t="default"/>
      </items>
    </pivotField>
  </pivotFields>
  <rowFields count="1">
    <field x="8"/>
  </rowFields>
  <rowItems count="7">
    <i>
      <x v="3"/>
    </i>
    <i>
      <x v="4"/>
    </i>
    <i>
      <x/>
    </i>
    <i>
      <x v="5"/>
    </i>
    <i>
      <x v="2"/>
    </i>
    <i>
      <x v="1"/>
    </i>
    <i t="grand">
      <x/>
    </i>
  </rowItems>
  <colItems count="1">
    <i/>
  </colItems>
  <dataFields count="1">
    <dataField name="Count of Transaction_ID" fld="0" subtotal="count" baseField="0" baseItem="0"/>
  </dataFields>
  <chartFormats count="3">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9"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5397B6C-452E-4812-B8FA-7A47DD202A67}"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E2:F13" firstHeaderRow="1" firstDataRow="1" firstDataCol="1"/>
  <pivotFields count="14">
    <pivotField showAll="0"/>
    <pivotField numFmtId="22" showAll="0"/>
    <pivotField showAll="0"/>
    <pivotField showAll="0">
      <items count="16">
        <item x="2"/>
        <item x="12"/>
        <item x="9"/>
        <item x="7"/>
        <item x="4"/>
        <item x="1"/>
        <item x="3"/>
        <item x="13"/>
        <item x="6"/>
        <item x="10"/>
        <item x="0"/>
        <item x="14"/>
        <item x="5"/>
        <item x="11"/>
        <item x="8"/>
        <item t="default"/>
      </items>
    </pivotField>
    <pivotField showAll="0"/>
    <pivotField showAll="0"/>
    <pivotField dataField="1" showAll="0"/>
    <pivotField showAll="0"/>
    <pivotField showAll="0"/>
    <pivotField showAll="0"/>
    <pivotField showAll="0"/>
    <pivotField showAll="0"/>
    <pivotField axis="axisRow" showAll="0" measureFilter="1">
      <items count="13">
        <item x="2"/>
        <item x="7"/>
        <item x="1"/>
        <item x="11"/>
        <item x="5"/>
        <item x="3"/>
        <item x="8"/>
        <item x="6"/>
        <item x="9"/>
        <item x="0"/>
        <item x="10"/>
        <item x="4"/>
        <item t="default"/>
      </items>
    </pivotField>
    <pivotField showAll="0">
      <items count="6">
        <item x="0"/>
        <item x="3"/>
        <item x="4"/>
        <item h="1" x="1"/>
        <item h="1" x="2"/>
        <item t="default"/>
      </items>
    </pivotField>
  </pivotFields>
  <rowFields count="1">
    <field x="12"/>
  </rowFields>
  <rowItems count="11">
    <i>
      <x/>
    </i>
    <i>
      <x v="1"/>
    </i>
    <i>
      <x v="4"/>
    </i>
    <i>
      <x v="5"/>
    </i>
    <i>
      <x v="6"/>
    </i>
    <i>
      <x v="7"/>
    </i>
    <i>
      <x v="8"/>
    </i>
    <i>
      <x v="9"/>
    </i>
    <i>
      <x v="10"/>
    </i>
    <i>
      <x v="11"/>
    </i>
    <i t="grand">
      <x/>
    </i>
  </rowItems>
  <colItems count="1">
    <i/>
  </colItems>
  <dataFields count="1">
    <dataField name="Sum of Quantity" fld="6" baseField="0" baseItem="0"/>
  </dataFields>
  <chartFormats count="2">
    <chartFormat chart="5" format="2"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9FEF77BE-0FC2-4C1D-9E73-E588750BF5E2}" autoFormatId="16" applyNumberFormats="0" applyBorderFormats="0" applyFontFormats="0" applyPatternFormats="0" applyAlignmentFormats="0" applyWidthHeightFormats="0">
  <queryTableRefresh nextId="24" unboundColumnsRight="4">
    <queryTableFields count="14">
      <queryTableField id="1" name="Transaction_ID" tableColumnId="1"/>
      <queryTableField id="2" name="DateTime" tableColumnId="2"/>
      <queryTableField id="3" name="Customer_Name" tableColumnId="3"/>
      <queryTableField id="4" name="City" tableColumnId="4"/>
      <queryTableField id="5" name="Product" tableColumnId="5"/>
      <queryTableField id="6" name="Unit_Price" tableColumnId="6"/>
      <queryTableField id="7" name="Quantity" tableColumnId="7"/>
      <queryTableField id="8" name="Currency" tableColumnId="8"/>
      <queryTableField id="9" name="Payment_Method" tableColumnId="9"/>
      <queryTableField id="10" name="Cashier_ID" tableColumnId="10"/>
      <queryTableField id="20" dataBound="0" tableColumnId="11"/>
      <queryTableField id="21" dataBound="0" tableColumnId="12"/>
      <queryTableField id="22" dataBound="0" tableColumnId="13"/>
      <queryTableField id="23" dataBound="0" tableColumnId="14"/>
    </queryTableFields>
    <queryTableDeletedFields count="9">
      <deletedField name="Column1"/>
      <deletedField name="_1"/>
      <deletedField name="_2"/>
      <deletedField name="_3"/>
      <deletedField name="_4"/>
      <deletedField name="_5"/>
      <deletedField name="_6"/>
      <deletedField name="_7"/>
      <deletedField name="_8"/>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579EE1BE-8D1C-4E0C-AD7E-BFAA1A4EAF9E}" sourceName="Year">
  <pivotTables>
    <pivotTable tabId="4" name="PivotTable9"/>
    <pivotTable tabId="1" name="PivotTable1"/>
    <pivotTable tabId="1" name="PivotTable2"/>
    <pivotTable tabId="1" name="PivotTable3"/>
    <pivotTable tabId="1" name="PivotTable4"/>
    <pivotTable tabId="1" name="PivotTable5"/>
    <pivotTable tabId="4" name="PivotTable1"/>
    <pivotTable tabId="4" name="PivotTable6"/>
    <pivotTable tabId="4" name="PivotTable7"/>
    <pivotTable tabId="4" name="PivotTable8"/>
  </pivotTables>
  <data>
    <tabular pivotCacheId="382575570">
      <items count="5">
        <i x="0" s="1"/>
        <i x="3" s="1"/>
        <i x="4" s="1"/>
        <i x="1"/>
        <i x="2"/>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31E681C9-AD26-4840-B627-21031D6D85DD}" sourceName="City">
  <pivotTables>
    <pivotTable tabId="4" name="PivotTable1"/>
    <pivotTable tabId="1" name="PivotTable1"/>
    <pivotTable tabId="1" name="PivotTable2"/>
    <pivotTable tabId="1" name="PivotTable3"/>
    <pivotTable tabId="1" name="PivotTable4"/>
    <pivotTable tabId="1" name="PivotTable5"/>
    <pivotTable tabId="4" name="PivotTable6"/>
    <pivotTable tabId="4" name="PivotTable7"/>
    <pivotTable tabId="4" name="PivotTable8"/>
    <pivotTable tabId="4" name="PivotTable9"/>
  </pivotTables>
  <data>
    <tabular pivotCacheId="382575570">
      <items count="15">
        <i x="2" s="1"/>
        <i x="12" s="1"/>
        <i x="9" s="1"/>
        <i x="7" s="1"/>
        <i x="4" s="1"/>
        <i x="1" s="1"/>
        <i x="3" s="1"/>
        <i x="13" s="1"/>
        <i x="6" s="1"/>
        <i x="10" s="1"/>
        <i x="0" s="1"/>
        <i x="14" s="1"/>
        <i x="5" s="1"/>
        <i x="11" s="1"/>
        <i x="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DF8F1EDA-B9DB-43DD-A070-F752F68307FB}" cache="Slicer_Year" caption="Year" style="SlicerStyleLight2" rowHeight="241300"/>
  <slicer name="City" xr10:uid="{B0DDE12D-334B-4DED-9631-A953E15E8249}" cache="Slicer_City" caption="City" style="SlicerStyleLight2"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790102B-7370-483F-BE89-6959C73EF36D}" name="Pqp_supermarket_data" displayName="Pqp_supermarket_data" ref="A1:N3001" tableType="queryTable" totalsRowShown="0">
  <tableColumns count="14">
    <tableColumn id="1" xr3:uid="{4E903712-AF22-425E-8C6C-ECCC32D52585}" uniqueName="1" name="Transaction_ID" queryTableFieldId="1" dataDxfId="11"/>
    <tableColumn id="2" xr3:uid="{6B566D84-4F32-42E4-9E14-56B1CFA7EB46}" uniqueName="2" name="DateTime" queryTableFieldId="2" dataDxfId="10"/>
    <tableColumn id="3" xr3:uid="{CD44BBCC-8294-4B74-A206-B31E4FADA997}" uniqueName="3" name="Customer_Name" queryTableFieldId="3" dataDxfId="9"/>
    <tableColumn id="4" xr3:uid="{03908334-E074-4B4E-B57B-DE7E8AC52AB4}" uniqueName="4" name="City" queryTableFieldId="4" dataDxfId="8"/>
    <tableColumn id="5" xr3:uid="{6AF5A27F-37CD-4390-828D-E1CE95EE65B7}" uniqueName="5" name="Product" queryTableFieldId="5" dataDxfId="7"/>
    <tableColumn id="6" xr3:uid="{9DA5488D-D0F2-4B23-9972-E2C0994D0FB6}" uniqueName="6" name="Unit_Price" queryTableFieldId="6"/>
    <tableColumn id="7" xr3:uid="{88C0EC77-AA58-4C2D-9479-148714940DE2}" uniqueName="7" name="Quantity" queryTableFieldId="7"/>
    <tableColumn id="8" xr3:uid="{D9875135-7762-492F-98EE-4FDFE588B9A8}" uniqueName="8" name="Currency" queryTableFieldId="8" dataDxfId="6"/>
    <tableColumn id="9" xr3:uid="{DD32321A-1800-40BA-B13C-B82E3D0A83D0}" uniqueName="9" name="Payment_Method" queryTableFieldId="9" dataDxfId="5"/>
    <tableColumn id="10" xr3:uid="{7F3A0FF3-79D5-46C6-8708-AB6AC87813F5}" uniqueName="10" name="Cashier_ID" queryTableFieldId="10" dataDxfId="4"/>
    <tableColumn id="11" xr3:uid="{729AD497-2DAB-418E-8BA8-6BF5F7DD1811}" uniqueName="11" name="Revenue" queryTableFieldId="20" dataDxfId="3">
      <calculatedColumnFormula>Pqp_supermarket_data[[#This Row],[Unit_Price]]*Pqp_supermarket_data[[#This Row],[Quantity]]</calculatedColumnFormula>
    </tableColumn>
    <tableColumn id="12" xr3:uid="{395BACA9-155B-4B3E-91FC-380F37DC8E1D}" uniqueName="12" name="Day" queryTableFieldId="21" dataDxfId="2">
      <calculatedColumnFormula>TEXT(Pqp_supermarket_data[[#This Row],[DateTime]],"ddd")</calculatedColumnFormula>
    </tableColumn>
    <tableColumn id="13" xr3:uid="{9D258167-1173-4B3A-B9DE-D706F1F98812}" uniqueName="13" name="Month" queryTableFieldId="22" dataDxfId="1">
      <calculatedColumnFormula>TEXT(Pqp_supermarket_data[[#This Row],[DateTime]],"mmm")</calculatedColumnFormula>
    </tableColumn>
    <tableColumn id="14" xr3:uid="{8FE6261F-8A6E-4A59-BDCF-6E654929EAB7}" uniqueName="14" name="Year" queryTableFieldId="23" dataDxfId="0">
      <calculatedColumnFormula>TEXT(Pqp_supermarket_data[[#This Row],[DateTime]],"yyy")</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5" Type="http://schemas.openxmlformats.org/officeDocument/2006/relationships/pivotTable" Target="../pivotTables/pivotTable10.xml"/><Relationship Id="rId4"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FFB462-CC18-47AA-9256-8262A6C132D3}">
  <dimension ref="A1:N3001"/>
  <sheetViews>
    <sheetView topLeftCell="A2" workbookViewId="0">
      <selection activeCell="D15" sqref="D15"/>
    </sheetView>
  </sheetViews>
  <sheetFormatPr defaultRowHeight="14.5" x14ac:dyDescent="0.35"/>
  <cols>
    <col min="1" max="1" width="16.453125" bestFit="1" customWidth="1"/>
    <col min="2" max="2" width="15.81640625" bestFit="1" customWidth="1"/>
    <col min="3" max="3" width="26.1796875" bestFit="1" customWidth="1"/>
    <col min="4" max="4" width="11.453125" bestFit="1" customWidth="1"/>
    <col min="5" max="5" width="13.26953125" bestFit="1" customWidth="1"/>
    <col min="6" max="6" width="12.54296875" bestFit="1" customWidth="1"/>
    <col min="7" max="7" width="11" bestFit="1" customWidth="1"/>
    <col min="8" max="8" width="11.1796875" bestFit="1" customWidth="1"/>
    <col min="9" max="9" width="19.54296875" bestFit="1" customWidth="1"/>
    <col min="10" max="10" width="12.7265625" bestFit="1" customWidth="1"/>
  </cols>
  <sheetData>
    <row r="1" spans="1:14" x14ac:dyDescent="0.35">
      <c r="A1" t="s">
        <v>0</v>
      </c>
      <c r="B1" t="s">
        <v>1</v>
      </c>
      <c r="C1" t="s">
        <v>2</v>
      </c>
      <c r="D1" t="s">
        <v>3</v>
      </c>
      <c r="E1" t="s">
        <v>4</v>
      </c>
      <c r="F1" t="s">
        <v>5</v>
      </c>
      <c r="G1" t="s">
        <v>6</v>
      </c>
      <c r="H1" t="s">
        <v>7</v>
      </c>
      <c r="I1" t="s">
        <v>8</v>
      </c>
      <c r="J1" t="s">
        <v>9</v>
      </c>
      <c r="K1" t="s">
        <v>6091</v>
      </c>
      <c r="L1" t="s">
        <v>6092</v>
      </c>
      <c r="M1" t="s">
        <v>6094</v>
      </c>
      <c r="N1" t="s">
        <v>6093</v>
      </c>
    </row>
    <row r="2" spans="1:14" x14ac:dyDescent="0.35">
      <c r="A2" t="s">
        <v>10</v>
      </c>
      <c r="B2" s="1">
        <v>44477.434061504631</v>
      </c>
      <c r="C2" t="s">
        <v>11</v>
      </c>
      <c r="D2" t="s">
        <v>12</v>
      </c>
      <c r="E2" t="s">
        <v>13</v>
      </c>
      <c r="F2">
        <v>3.1</v>
      </c>
      <c r="G2">
        <v>4</v>
      </c>
      <c r="H2" t="s">
        <v>14</v>
      </c>
      <c r="I2" t="s">
        <v>15</v>
      </c>
      <c r="J2" t="s">
        <v>16</v>
      </c>
      <c r="K2">
        <f>Pqp_supermarket_data[[#This Row],[Unit_Price]]*Pqp_supermarket_data[[#This Row],[Quantity]]</f>
        <v>12.4</v>
      </c>
      <c r="L2" t="str">
        <f>TEXT(Pqp_supermarket_data[[#This Row],[DateTime]],"ddd")</f>
        <v>Fri</v>
      </c>
      <c r="M2" t="str">
        <f>TEXT(Pqp_supermarket_data[[#This Row],[DateTime]],"mmm")</f>
        <v>Oct</v>
      </c>
      <c r="N2" t="str">
        <f>TEXT(Pqp_supermarket_data[[#This Row],[DateTime]],"yyy")</f>
        <v>2021</v>
      </c>
    </row>
    <row r="3" spans="1:14" x14ac:dyDescent="0.35">
      <c r="A3" t="s">
        <v>17</v>
      </c>
      <c r="B3" s="1">
        <v>45576.652117060185</v>
      </c>
      <c r="C3" t="s">
        <v>18</v>
      </c>
      <c r="D3" t="s">
        <v>19</v>
      </c>
      <c r="E3" t="s">
        <v>20</v>
      </c>
      <c r="F3">
        <v>1</v>
      </c>
      <c r="G3">
        <v>2</v>
      </c>
      <c r="H3" t="s">
        <v>14</v>
      </c>
      <c r="I3" t="s">
        <v>21</v>
      </c>
      <c r="J3" t="s">
        <v>22</v>
      </c>
      <c r="K3">
        <f>Pqp_supermarket_data[[#This Row],[Unit_Price]]*Pqp_supermarket_data[[#This Row],[Quantity]]</f>
        <v>2</v>
      </c>
      <c r="L3" t="str">
        <f>TEXT(Pqp_supermarket_data[[#This Row],[DateTime]],"ddd")</f>
        <v>Fri</v>
      </c>
      <c r="M3" t="str">
        <f>TEXT(Pqp_supermarket_data[[#This Row],[DateTime]],"mmm")</f>
        <v>Oct</v>
      </c>
      <c r="N3" t="str">
        <f>TEXT(Pqp_supermarket_data[[#This Row],[DateTime]],"yyy")</f>
        <v>2024</v>
      </c>
    </row>
    <row r="4" spans="1:14" x14ac:dyDescent="0.35">
      <c r="A4" t="s">
        <v>23</v>
      </c>
      <c r="B4" s="1">
        <v>45721.556283738428</v>
      </c>
      <c r="C4" t="s">
        <v>24</v>
      </c>
      <c r="D4" t="s">
        <v>25</v>
      </c>
      <c r="E4" t="s">
        <v>26</v>
      </c>
      <c r="F4">
        <v>2.5</v>
      </c>
      <c r="G4">
        <v>9</v>
      </c>
      <c r="H4" t="s">
        <v>14</v>
      </c>
      <c r="I4" t="s">
        <v>21</v>
      </c>
      <c r="J4" t="s">
        <v>27</v>
      </c>
      <c r="K4">
        <f>Pqp_supermarket_data[[#This Row],[Unit_Price]]*Pqp_supermarket_data[[#This Row],[Quantity]]</f>
        <v>22.5</v>
      </c>
      <c r="L4" t="str">
        <f>TEXT(Pqp_supermarket_data[[#This Row],[DateTime]],"ddd")</f>
        <v>Wed</v>
      </c>
      <c r="M4" t="str">
        <f>TEXT(Pqp_supermarket_data[[#This Row],[DateTime]],"mmm")</f>
        <v>Mar</v>
      </c>
      <c r="N4" t="str">
        <f>TEXT(Pqp_supermarket_data[[#This Row],[DateTime]],"yyy")</f>
        <v>2025</v>
      </c>
    </row>
    <row r="5" spans="1:14" x14ac:dyDescent="0.35">
      <c r="A5" t="s">
        <v>28</v>
      </c>
      <c r="B5" s="1">
        <v>44637.278505960647</v>
      </c>
      <c r="C5" t="s">
        <v>29</v>
      </c>
      <c r="D5" t="s">
        <v>30</v>
      </c>
      <c r="E5" t="s">
        <v>20</v>
      </c>
      <c r="F5">
        <v>1</v>
      </c>
      <c r="G5">
        <v>7</v>
      </c>
      <c r="H5" t="s">
        <v>14</v>
      </c>
      <c r="I5" t="s">
        <v>15</v>
      </c>
      <c r="J5" t="s">
        <v>31</v>
      </c>
      <c r="K5">
        <f>Pqp_supermarket_data[[#This Row],[Unit_Price]]*Pqp_supermarket_data[[#This Row],[Quantity]]</f>
        <v>7</v>
      </c>
      <c r="L5" t="str">
        <f>TEXT(Pqp_supermarket_data[[#This Row],[DateTime]],"ddd")</f>
        <v>Thu</v>
      </c>
      <c r="M5" t="str">
        <f>TEXT(Pqp_supermarket_data[[#This Row],[DateTime]],"mmm")</f>
        <v>Mar</v>
      </c>
      <c r="N5" t="str">
        <f>TEXT(Pqp_supermarket_data[[#This Row],[DateTime]],"yyy")</f>
        <v>2022</v>
      </c>
    </row>
    <row r="6" spans="1:14" x14ac:dyDescent="0.35">
      <c r="A6" t="s">
        <v>32</v>
      </c>
      <c r="B6" s="1">
        <v>44580.191005960645</v>
      </c>
      <c r="C6" t="s">
        <v>33</v>
      </c>
      <c r="D6" t="s">
        <v>34</v>
      </c>
      <c r="E6" t="s">
        <v>35</v>
      </c>
      <c r="F6">
        <v>1.2</v>
      </c>
      <c r="G6">
        <v>3</v>
      </c>
      <c r="H6" t="s">
        <v>14</v>
      </c>
      <c r="I6" t="s">
        <v>36</v>
      </c>
      <c r="J6" t="s">
        <v>22</v>
      </c>
      <c r="K6">
        <f>Pqp_supermarket_data[[#This Row],[Unit_Price]]*Pqp_supermarket_data[[#This Row],[Quantity]]</f>
        <v>3.5999999999999996</v>
      </c>
      <c r="L6" t="str">
        <f>TEXT(Pqp_supermarket_data[[#This Row],[DateTime]],"ddd")</f>
        <v>Wed</v>
      </c>
      <c r="M6" t="str">
        <f>TEXT(Pqp_supermarket_data[[#This Row],[DateTime]],"mmm")</f>
        <v>Jan</v>
      </c>
      <c r="N6" t="str">
        <f>TEXT(Pqp_supermarket_data[[#This Row],[DateTime]],"yyy")</f>
        <v>2022</v>
      </c>
    </row>
    <row r="7" spans="1:14" x14ac:dyDescent="0.35">
      <c r="A7" t="s">
        <v>37</v>
      </c>
      <c r="B7" s="1">
        <v>45090.220172627312</v>
      </c>
      <c r="C7" t="s">
        <v>38</v>
      </c>
      <c r="D7" t="s">
        <v>25</v>
      </c>
      <c r="E7" t="s">
        <v>39</v>
      </c>
      <c r="F7">
        <v>3.2</v>
      </c>
      <c r="G7">
        <v>2</v>
      </c>
      <c r="H7" t="s">
        <v>14</v>
      </c>
      <c r="I7" t="s">
        <v>40</v>
      </c>
      <c r="J7" t="s">
        <v>41</v>
      </c>
      <c r="K7">
        <f>Pqp_supermarket_data[[#This Row],[Unit_Price]]*Pqp_supermarket_data[[#This Row],[Quantity]]</f>
        <v>6.4</v>
      </c>
      <c r="L7" t="str">
        <f>TEXT(Pqp_supermarket_data[[#This Row],[DateTime]],"ddd")</f>
        <v>Tue</v>
      </c>
      <c r="M7" t="str">
        <f>TEXT(Pqp_supermarket_data[[#This Row],[DateTime]],"mmm")</f>
        <v>Jun</v>
      </c>
      <c r="N7" t="str">
        <f>TEXT(Pqp_supermarket_data[[#This Row],[DateTime]],"yyy")</f>
        <v>2023</v>
      </c>
    </row>
    <row r="8" spans="1:14" x14ac:dyDescent="0.35">
      <c r="A8" t="s">
        <v>42</v>
      </c>
      <c r="B8" s="1">
        <v>45588.063922638888</v>
      </c>
      <c r="C8" t="s">
        <v>43</v>
      </c>
      <c r="D8" t="s">
        <v>44</v>
      </c>
      <c r="E8" t="s">
        <v>45</v>
      </c>
      <c r="F8">
        <v>1</v>
      </c>
      <c r="G8">
        <v>5</v>
      </c>
      <c r="H8" t="s">
        <v>14</v>
      </c>
      <c r="I8" t="s">
        <v>40</v>
      </c>
      <c r="J8" t="s">
        <v>46</v>
      </c>
      <c r="K8">
        <f>Pqp_supermarket_data[[#This Row],[Unit_Price]]*Pqp_supermarket_data[[#This Row],[Quantity]]</f>
        <v>5</v>
      </c>
      <c r="L8" t="str">
        <f>TEXT(Pqp_supermarket_data[[#This Row],[DateTime]],"ddd")</f>
        <v>Wed</v>
      </c>
      <c r="M8" t="str">
        <f>TEXT(Pqp_supermarket_data[[#This Row],[DateTime]],"mmm")</f>
        <v>Oct</v>
      </c>
      <c r="N8" t="str">
        <f>TEXT(Pqp_supermarket_data[[#This Row],[DateTime]],"yyy")</f>
        <v>2024</v>
      </c>
    </row>
    <row r="9" spans="1:14" x14ac:dyDescent="0.35">
      <c r="A9" t="s">
        <v>47</v>
      </c>
      <c r="B9" s="1">
        <v>44845.846561527775</v>
      </c>
      <c r="C9" t="s">
        <v>48</v>
      </c>
      <c r="D9" t="s">
        <v>19</v>
      </c>
      <c r="E9" t="s">
        <v>49</v>
      </c>
      <c r="F9">
        <v>7</v>
      </c>
      <c r="G9">
        <v>2</v>
      </c>
      <c r="H9" t="s">
        <v>14</v>
      </c>
      <c r="I9" t="s">
        <v>21</v>
      </c>
      <c r="J9" t="s">
        <v>50</v>
      </c>
      <c r="K9">
        <f>Pqp_supermarket_data[[#This Row],[Unit_Price]]*Pqp_supermarket_data[[#This Row],[Quantity]]</f>
        <v>14</v>
      </c>
      <c r="L9" t="str">
        <f>TEXT(Pqp_supermarket_data[[#This Row],[DateTime]],"ddd")</f>
        <v>Tue</v>
      </c>
      <c r="M9" t="str">
        <f>TEXT(Pqp_supermarket_data[[#This Row],[DateTime]],"mmm")</f>
        <v>Oct</v>
      </c>
      <c r="N9" t="str">
        <f>TEXT(Pqp_supermarket_data[[#This Row],[DateTime]],"yyy")</f>
        <v>2022</v>
      </c>
    </row>
    <row r="10" spans="1:14" x14ac:dyDescent="0.35">
      <c r="A10" t="s">
        <v>51</v>
      </c>
      <c r="B10" s="1">
        <v>44498.729200428243</v>
      </c>
      <c r="C10" t="s">
        <v>52</v>
      </c>
      <c r="D10" t="s">
        <v>34</v>
      </c>
      <c r="E10" t="s">
        <v>53</v>
      </c>
      <c r="F10">
        <v>2.8</v>
      </c>
      <c r="G10">
        <v>10</v>
      </c>
      <c r="H10" t="s">
        <v>14</v>
      </c>
      <c r="I10" t="s">
        <v>15</v>
      </c>
      <c r="J10" t="s">
        <v>54</v>
      </c>
      <c r="K10">
        <f>Pqp_supermarket_data[[#This Row],[Unit_Price]]*Pqp_supermarket_data[[#This Row],[Quantity]]</f>
        <v>28</v>
      </c>
      <c r="L10" t="str">
        <f>TEXT(Pqp_supermarket_data[[#This Row],[DateTime]],"ddd")</f>
        <v>Fri</v>
      </c>
      <c r="M10" t="str">
        <f>TEXT(Pqp_supermarket_data[[#This Row],[DateTime]],"mmm")</f>
        <v>Oct</v>
      </c>
      <c r="N10" t="str">
        <f>TEXT(Pqp_supermarket_data[[#This Row],[DateTime]],"yyy")</f>
        <v>2021</v>
      </c>
    </row>
    <row r="11" spans="1:14" x14ac:dyDescent="0.35">
      <c r="A11" t="s">
        <v>55</v>
      </c>
      <c r="B11" s="1">
        <v>45644.488922662036</v>
      </c>
      <c r="C11" t="s">
        <v>56</v>
      </c>
      <c r="D11" t="s">
        <v>25</v>
      </c>
      <c r="E11" t="s">
        <v>57</v>
      </c>
      <c r="F11">
        <v>4.5</v>
      </c>
      <c r="G11">
        <v>2</v>
      </c>
      <c r="H11" t="s">
        <v>14</v>
      </c>
      <c r="I11" t="s">
        <v>15</v>
      </c>
      <c r="J11" t="s">
        <v>58</v>
      </c>
      <c r="K11">
        <f>Pqp_supermarket_data[[#This Row],[Unit_Price]]*Pqp_supermarket_data[[#This Row],[Quantity]]</f>
        <v>9</v>
      </c>
      <c r="L11" t="str">
        <f>TEXT(Pqp_supermarket_data[[#This Row],[DateTime]],"ddd")</f>
        <v>Wed</v>
      </c>
      <c r="M11" t="str">
        <f>TEXT(Pqp_supermarket_data[[#This Row],[DateTime]],"mmm")</f>
        <v>Dec</v>
      </c>
      <c r="N11" t="str">
        <f>TEXT(Pqp_supermarket_data[[#This Row],[DateTime]],"yyy")</f>
        <v>2024</v>
      </c>
    </row>
    <row r="12" spans="1:14" x14ac:dyDescent="0.35">
      <c r="A12" t="s">
        <v>59</v>
      </c>
      <c r="B12" s="1">
        <v>45008.206283784719</v>
      </c>
      <c r="C12" t="s">
        <v>60</v>
      </c>
      <c r="D12" t="s">
        <v>30</v>
      </c>
      <c r="E12" t="s">
        <v>53</v>
      </c>
      <c r="F12">
        <v>2.8</v>
      </c>
      <c r="G12">
        <v>3</v>
      </c>
      <c r="H12" t="s">
        <v>14</v>
      </c>
      <c r="I12" t="s">
        <v>61</v>
      </c>
      <c r="J12" t="s">
        <v>62</v>
      </c>
      <c r="K12">
        <f>Pqp_supermarket_data[[#This Row],[Unit_Price]]*Pqp_supermarket_data[[#This Row],[Quantity]]</f>
        <v>8.3999999999999986</v>
      </c>
      <c r="L12" t="str">
        <f>TEXT(Pqp_supermarket_data[[#This Row],[DateTime]],"ddd")</f>
        <v>Thu</v>
      </c>
      <c r="M12" t="str">
        <f>TEXT(Pqp_supermarket_data[[#This Row],[DateTime]],"mmm")</f>
        <v>Mar</v>
      </c>
      <c r="N12" t="str">
        <f>TEXT(Pqp_supermarket_data[[#This Row],[DateTime]],"yyy")</f>
        <v>2023</v>
      </c>
    </row>
    <row r="13" spans="1:14" x14ac:dyDescent="0.35">
      <c r="A13" t="s">
        <v>63</v>
      </c>
      <c r="B13" s="1">
        <v>45356.672950451386</v>
      </c>
      <c r="C13" t="s">
        <v>64</v>
      </c>
      <c r="D13" t="s">
        <v>12</v>
      </c>
      <c r="E13" t="s">
        <v>65</v>
      </c>
      <c r="F13">
        <v>3</v>
      </c>
      <c r="G13">
        <v>10</v>
      </c>
      <c r="H13" t="s">
        <v>14</v>
      </c>
      <c r="I13" t="s">
        <v>36</v>
      </c>
      <c r="J13" t="s">
        <v>66</v>
      </c>
      <c r="K13">
        <f>Pqp_supermarket_data[[#This Row],[Unit_Price]]*Pqp_supermarket_data[[#This Row],[Quantity]]</f>
        <v>30</v>
      </c>
      <c r="L13" t="str">
        <f>TEXT(Pqp_supermarket_data[[#This Row],[DateTime]],"ddd")</f>
        <v>Tue</v>
      </c>
      <c r="M13" t="str">
        <f>TEXT(Pqp_supermarket_data[[#This Row],[DateTime]],"mmm")</f>
        <v>Mar</v>
      </c>
      <c r="N13" t="str">
        <f>TEXT(Pqp_supermarket_data[[#This Row],[DateTime]],"yyy")</f>
        <v>2024</v>
      </c>
    </row>
    <row r="14" spans="1:14" x14ac:dyDescent="0.35">
      <c r="A14" t="s">
        <v>67</v>
      </c>
      <c r="B14" s="1">
        <v>44692.59100601852</v>
      </c>
      <c r="C14" t="s">
        <v>68</v>
      </c>
      <c r="D14" t="s">
        <v>69</v>
      </c>
      <c r="E14" t="s">
        <v>70</v>
      </c>
      <c r="F14">
        <v>5</v>
      </c>
      <c r="G14">
        <v>7</v>
      </c>
      <c r="H14" t="s">
        <v>14</v>
      </c>
      <c r="I14" t="s">
        <v>61</v>
      </c>
      <c r="J14" t="s">
        <v>71</v>
      </c>
      <c r="K14">
        <f>Pqp_supermarket_data[[#This Row],[Unit_Price]]*Pqp_supermarket_data[[#This Row],[Quantity]]</f>
        <v>35</v>
      </c>
      <c r="L14" t="str">
        <f>TEXT(Pqp_supermarket_data[[#This Row],[DateTime]],"ddd")</f>
        <v>Wed</v>
      </c>
      <c r="M14" t="str">
        <f>TEXT(Pqp_supermarket_data[[#This Row],[DateTime]],"mmm")</f>
        <v>May</v>
      </c>
      <c r="N14" t="str">
        <f>TEXT(Pqp_supermarket_data[[#This Row],[DateTime]],"yyy")</f>
        <v>2022</v>
      </c>
    </row>
    <row r="15" spans="1:14" x14ac:dyDescent="0.35">
      <c r="A15" t="s">
        <v>72</v>
      </c>
      <c r="B15" s="1">
        <v>44376.841700462966</v>
      </c>
      <c r="C15" t="s">
        <v>73</v>
      </c>
      <c r="D15" t="s">
        <v>30</v>
      </c>
      <c r="E15" t="s">
        <v>39</v>
      </c>
      <c r="F15">
        <v>3.2</v>
      </c>
      <c r="G15">
        <v>1</v>
      </c>
      <c r="H15" t="s">
        <v>14</v>
      </c>
      <c r="I15" t="s">
        <v>15</v>
      </c>
      <c r="J15" t="s">
        <v>74</v>
      </c>
      <c r="K15">
        <f>Pqp_supermarket_data[[#This Row],[Unit_Price]]*Pqp_supermarket_data[[#This Row],[Quantity]]</f>
        <v>3.2</v>
      </c>
      <c r="L15" t="str">
        <f>TEXT(Pqp_supermarket_data[[#This Row],[DateTime]],"ddd")</f>
        <v>Tue</v>
      </c>
      <c r="M15" t="str">
        <f>TEXT(Pqp_supermarket_data[[#This Row],[DateTime]],"mmm")</f>
        <v>Jun</v>
      </c>
      <c r="N15" t="str">
        <f>TEXT(Pqp_supermarket_data[[#This Row],[DateTime]],"yyy")</f>
        <v>2021</v>
      </c>
    </row>
    <row r="16" spans="1:14" x14ac:dyDescent="0.35">
      <c r="A16" t="s">
        <v>75</v>
      </c>
      <c r="B16" s="1">
        <v>45140.047950462962</v>
      </c>
      <c r="C16" t="s">
        <v>76</v>
      </c>
      <c r="D16" t="s">
        <v>77</v>
      </c>
      <c r="E16" t="s">
        <v>78</v>
      </c>
      <c r="F16">
        <v>4</v>
      </c>
      <c r="G16">
        <v>10</v>
      </c>
      <c r="H16" t="s">
        <v>14</v>
      </c>
      <c r="I16" t="s">
        <v>36</v>
      </c>
      <c r="J16" t="s">
        <v>79</v>
      </c>
      <c r="K16">
        <f>Pqp_supermarket_data[[#This Row],[Unit_Price]]*Pqp_supermarket_data[[#This Row],[Quantity]]</f>
        <v>40</v>
      </c>
      <c r="L16" t="str">
        <f>TEXT(Pqp_supermarket_data[[#This Row],[DateTime]],"ddd")</f>
        <v>Wed</v>
      </c>
      <c r="M16" t="str">
        <f>TEXT(Pqp_supermarket_data[[#This Row],[DateTime]],"mmm")</f>
        <v>Aug</v>
      </c>
      <c r="N16" t="str">
        <f>TEXT(Pqp_supermarket_data[[#This Row],[DateTime]],"yyy")</f>
        <v>2023</v>
      </c>
    </row>
    <row r="17" spans="1:14" x14ac:dyDescent="0.35">
      <c r="A17" t="s">
        <v>80</v>
      </c>
      <c r="B17" s="1">
        <v>45350.704894907409</v>
      </c>
      <c r="C17" t="s">
        <v>81</v>
      </c>
      <c r="D17" t="s">
        <v>82</v>
      </c>
      <c r="E17" t="s">
        <v>70</v>
      </c>
      <c r="F17">
        <v>5</v>
      </c>
      <c r="G17">
        <v>3</v>
      </c>
      <c r="H17" t="s">
        <v>14</v>
      </c>
      <c r="I17" t="s">
        <v>61</v>
      </c>
      <c r="J17" t="s">
        <v>16</v>
      </c>
      <c r="K17">
        <f>Pqp_supermarket_data[[#This Row],[Unit_Price]]*Pqp_supermarket_data[[#This Row],[Quantity]]</f>
        <v>15</v>
      </c>
      <c r="L17" t="str">
        <f>TEXT(Pqp_supermarket_data[[#This Row],[DateTime]],"ddd")</f>
        <v>Wed</v>
      </c>
      <c r="M17" t="str">
        <f>TEXT(Pqp_supermarket_data[[#This Row],[DateTime]],"mmm")</f>
        <v>Feb</v>
      </c>
      <c r="N17" t="str">
        <f>TEXT(Pqp_supermarket_data[[#This Row],[DateTime]],"yyy")</f>
        <v>2024</v>
      </c>
    </row>
    <row r="18" spans="1:14" x14ac:dyDescent="0.35">
      <c r="A18" t="s">
        <v>83</v>
      </c>
      <c r="B18" s="1">
        <v>45280.577117141205</v>
      </c>
      <c r="C18" t="s">
        <v>84</v>
      </c>
      <c r="D18" t="s">
        <v>85</v>
      </c>
      <c r="E18" t="s">
        <v>13</v>
      </c>
      <c r="F18">
        <v>3.1</v>
      </c>
      <c r="G18">
        <v>10</v>
      </c>
      <c r="H18" t="s">
        <v>14</v>
      </c>
      <c r="I18" t="s">
        <v>86</v>
      </c>
      <c r="J18" t="s">
        <v>87</v>
      </c>
      <c r="K18">
        <f>Pqp_supermarket_data[[#This Row],[Unit_Price]]*Pqp_supermarket_data[[#This Row],[Quantity]]</f>
        <v>31</v>
      </c>
      <c r="L18" t="str">
        <f>TEXT(Pqp_supermarket_data[[#This Row],[DateTime]],"ddd")</f>
        <v>Wed</v>
      </c>
      <c r="M18" t="str">
        <f>TEXT(Pqp_supermarket_data[[#This Row],[DateTime]],"mmm")</f>
        <v>Dec</v>
      </c>
      <c r="N18" t="str">
        <f>TEXT(Pqp_supermarket_data[[#This Row],[DateTime]],"yyy")</f>
        <v>2023</v>
      </c>
    </row>
    <row r="19" spans="1:14" x14ac:dyDescent="0.35">
      <c r="A19" t="s">
        <v>88</v>
      </c>
      <c r="B19" s="1">
        <v>44969.091700474535</v>
      </c>
      <c r="C19" t="s">
        <v>89</v>
      </c>
      <c r="D19" t="s">
        <v>69</v>
      </c>
      <c r="E19" t="s">
        <v>90</v>
      </c>
      <c r="F19">
        <v>1.8</v>
      </c>
      <c r="G19">
        <v>8</v>
      </c>
      <c r="H19" t="s">
        <v>14</v>
      </c>
      <c r="I19" t="s">
        <v>40</v>
      </c>
      <c r="J19" t="s">
        <v>91</v>
      </c>
      <c r="K19">
        <f>Pqp_supermarket_data[[#This Row],[Unit_Price]]*Pqp_supermarket_data[[#This Row],[Quantity]]</f>
        <v>14.4</v>
      </c>
      <c r="L19" t="str">
        <f>TEXT(Pqp_supermarket_data[[#This Row],[DateTime]],"ddd")</f>
        <v>Sun</v>
      </c>
      <c r="M19" t="str">
        <f>TEXT(Pqp_supermarket_data[[#This Row],[DateTime]],"mmm")</f>
        <v>Feb</v>
      </c>
      <c r="N19" t="str">
        <f>TEXT(Pqp_supermarket_data[[#This Row],[DateTime]],"yyy")</f>
        <v>2023</v>
      </c>
    </row>
    <row r="20" spans="1:14" x14ac:dyDescent="0.35">
      <c r="A20" t="s">
        <v>92</v>
      </c>
      <c r="B20" s="1">
        <v>45690.42850603009</v>
      </c>
      <c r="C20" t="s">
        <v>93</v>
      </c>
      <c r="D20" t="s">
        <v>30</v>
      </c>
      <c r="E20" t="s">
        <v>94</v>
      </c>
      <c r="F20">
        <v>0.8</v>
      </c>
      <c r="G20">
        <v>7</v>
      </c>
      <c r="H20" t="s">
        <v>14</v>
      </c>
      <c r="I20" t="s">
        <v>21</v>
      </c>
      <c r="J20" t="s">
        <v>95</v>
      </c>
      <c r="K20">
        <f>Pqp_supermarket_data[[#This Row],[Unit_Price]]*Pqp_supermarket_data[[#This Row],[Quantity]]</f>
        <v>5.6000000000000005</v>
      </c>
      <c r="L20" t="str">
        <f>TEXT(Pqp_supermarket_data[[#This Row],[DateTime]],"ddd")</f>
        <v>Sun</v>
      </c>
      <c r="M20" t="str">
        <f>TEXT(Pqp_supermarket_data[[#This Row],[DateTime]],"mmm")</f>
        <v>Feb</v>
      </c>
      <c r="N20" t="str">
        <f>TEXT(Pqp_supermarket_data[[#This Row],[DateTime]],"yyy")</f>
        <v>2025</v>
      </c>
    </row>
    <row r="21" spans="1:14" x14ac:dyDescent="0.35">
      <c r="A21" t="s">
        <v>96</v>
      </c>
      <c r="B21" s="1">
        <v>44998.033367152777</v>
      </c>
      <c r="C21" t="s">
        <v>97</v>
      </c>
      <c r="D21" t="s">
        <v>98</v>
      </c>
      <c r="E21" t="s">
        <v>90</v>
      </c>
      <c r="F21">
        <v>1.8</v>
      </c>
      <c r="G21">
        <v>5</v>
      </c>
      <c r="H21" t="s">
        <v>14</v>
      </c>
      <c r="I21" t="s">
        <v>21</v>
      </c>
      <c r="J21" t="s">
        <v>99</v>
      </c>
      <c r="K21">
        <f>Pqp_supermarket_data[[#This Row],[Unit_Price]]*Pqp_supermarket_data[[#This Row],[Quantity]]</f>
        <v>9</v>
      </c>
      <c r="L21" t="str">
        <f>TEXT(Pqp_supermarket_data[[#This Row],[DateTime]],"ddd")</f>
        <v>Mon</v>
      </c>
      <c r="M21" t="str">
        <f>TEXT(Pqp_supermarket_data[[#This Row],[DateTime]],"mmm")</f>
        <v>Mar</v>
      </c>
      <c r="N21" t="str">
        <f>TEXT(Pqp_supermarket_data[[#This Row],[DateTime]],"yyy")</f>
        <v>2023</v>
      </c>
    </row>
    <row r="22" spans="1:14" x14ac:dyDescent="0.35">
      <c r="A22" t="s">
        <v>100</v>
      </c>
      <c r="B22" s="1">
        <v>44392.596561597224</v>
      </c>
      <c r="C22" t="s">
        <v>101</v>
      </c>
      <c r="D22" t="s">
        <v>30</v>
      </c>
      <c r="E22" t="s">
        <v>20</v>
      </c>
      <c r="F22">
        <v>1</v>
      </c>
      <c r="G22">
        <v>5</v>
      </c>
      <c r="H22" t="s">
        <v>14</v>
      </c>
      <c r="I22" t="s">
        <v>36</v>
      </c>
      <c r="J22" t="s">
        <v>102</v>
      </c>
      <c r="K22">
        <f>Pqp_supermarket_data[[#This Row],[Unit_Price]]*Pqp_supermarket_data[[#This Row],[Quantity]]</f>
        <v>5</v>
      </c>
      <c r="L22" t="str">
        <f>TEXT(Pqp_supermarket_data[[#This Row],[DateTime]],"ddd")</f>
        <v>Thu</v>
      </c>
      <c r="M22" t="str">
        <f>TEXT(Pqp_supermarket_data[[#This Row],[DateTime]],"mmm")</f>
        <v>Jul</v>
      </c>
      <c r="N22" t="str">
        <f>TEXT(Pqp_supermarket_data[[#This Row],[DateTime]],"yyy")</f>
        <v>2021</v>
      </c>
    </row>
    <row r="23" spans="1:14" x14ac:dyDescent="0.35">
      <c r="A23" t="s">
        <v>103</v>
      </c>
      <c r="B23" s="1">
        <v>45558.166006041669</v>
      </c>
      <c r="C23" t="s">
        <v>104</v>
      </c>
      <c r="D23" t="s">
        <v>69</v>
      </c>
      <c r="E23" t="s">
        <v>70</v>
      </c>
      <c r="F23">
        <v>5</v>
      </c>
      <c r="G23">
        <v>1</v>
      </c>
      <c r="H23" t="s">
        <v>14</v>
      </c>
      <c r="I23" t="s">
        <v>36</v>
      </c>
      <c r="J23" t="s">
        <v>105</v>
      </c>
      <c r="K23">
        <f>Pqp_supermarket_data[[#This Row],[Unit_Price]]*Pqp_supermarket_data[[#This Row],[Quantity]]</f>
        <v>5</v>
      </c>
      <c r="L23" t="str">
        <f>TEXT(Pqp_supermarket_data[[#This Row],[DateTime]],"ddd")</f>
        <v>Mon</v>
      </c>
      <c r="M23" t="str">
        <f>TEXT(Pqp_supermarket_data[[#This Row],[DateTime]],"mmm")</f>
        <v>Sep</v>
      </c>
      <c r="N23" t="str">
        <f>TEXT(Pqp_supermarket_data[[#This Row],[DateTime]],"yyy")</f>
        <v>2024</v>
      </c>
    </row>
    <row r="24" spans="1:14" x14ac:dyDescent="0.35">
      <c r="A24" t="s">
        <v>106</v>
      </c>
      <c r="B24" s="1">
        <v>45246.859756053243</v>
      </c>
      <c r="C24" t="s">
        <v>107</v>
      </c>
      <c r="D24" t="s">
        <v>69</v>
      </c>
      <c r="E24" t="s">
        <v>90</v>
      </c>
      <c r="F24">
        <v>1.8</v>
      </c>
      <c r="G24">
        <v>2</v>
      </c>
      <c r="H24" t="s">
        <v>14</v>
      </c>
      <c r="I24" t="s">
        <v>36</v>
      </c>
      <c r="J24" t="s">
        <v>108</v>
      </c>
      <c r="K24">
        <f>Pqp_supermarket_data[[#This Row],[Unit_Price]]*Pqp_supermarket_data[[#This Row],[Quantity]]</f>
        <v>3.6</v>
      </c>
      <c r="L24" t="str">
        <f>TEXT(Pqp_supermarket_data[[#This Row],[DateTime]],"ddd")</f>
        <v>Thu</v>
      </c>
      <c r="M24" t="str">
        <f>TEXT(Pqp_supermarket_data[[#This Row],[DateTime]],"mmm")</f>
        <v>Nov</v>
      </c>
      <c r="N24" t="str">
        <f>TEXT(Pqp_supermarket_data[[#This Row],[DateTime]],"yyy")</f>
        <v>2023</v>
      </c>
    </row>
    <row r="25" spans="1:14" x14ac:dyDescent="0.35">
      <c r="A25" t="s">
        <v>109</v>
      </c>
      <c r="B25" s="1">
        <v>44477.866700497689</v>
      </c>
      <c r="C25" t="s">
        <v>110</v>
      </c>
      <c r="D25" t="s">
        <v>25</v>
      </c>
      <c r="E25" t="s">
        <v>111</v>
      </c>
      <c r="F25">
        <v>2.2000000000000002</v>
      </c>
      <c r="G25">
        <v>6</v>
      </c>
      <c r="H25" t="s">
        <v>14</v>
      </c>
      <c r="I25" t="s">
        <v>15</v>
      </c>
      <c r="J25" t="s">
        <v>112</v>
      </c>
      <c r="K25">
        <f>Pqp_supermarket_data[[#This Row],[Unit_Price]]*Pqp_supermarket_data[[#This Row],[Quantity]]</f>
        <v>13.200000000000001</v>
      </c>
      <c r="L25" t="str">
        <f>TEXT(Pqp_supermarket_data[[#This Row],[DateTime]],"ddd")</f>
        <v>Fri</v>
      </c>
      <c r="M25" t="str">
        <f>TEXT(Pqp_supermarket_data[[#This Row],[DateTime]],"mmm")</f>
        <v>Oct</v>
      </c>
      <c r="N25" t="str">
        <f>TEXT(Pqp_supermarket_data[[#This Row],[DateTime]],"yyy")</f>
        <v>2021</v>
      </c>
    </row>
    <row r="26" spans="1:14" x14ac:dyDescent="0.35">
      <c r="A26" t="s">
        <v>113</v>
      </c>
      <c r="B26" s="1">
        <v>44700.533367175929</v>
      </c>
      <c r="C26" t="s">
        <v>114</v>
      </c>
      <c r="D26" t="s">
        <v>44</v>
      </c>
      <c r="E26" t="s">
        <v>115</v>
      </c>
      <c r="F26">
        <v>1.5</v>
      </c>
      <c r="G26">
        <v>1</v>
      </c>
      <c r="H26" t="s">
        <v>14</v>
      </c>
      <c r="I26" t="s">
        <v>40</v>
      </c>
      <c r="J26" t="s">
        <v>116</v>
      </c>
      <c r="K26">
        <f>Pqp_supermarket_data[[#This Row],[Unit_Price]]*Pqp_supermarket_data[[#This Row],[Quantity]]</f>
        <v>1.5</v>
      </c>
      <c r="L26" t="str">
        <f>TEXT(Pqp_supermarket_data[[#This Row],[DateTime]],"ddd")</f>
        <v>Thu</v>
      </c>
      <c r="M26" t="str">
        <f>TEXT(Pqp_supermarket_data[[#This Row],[DateTime]],"mmm")</f>
        <v>May</v>
      </c>
      <c r="N26" t="str">
        <f>TEXT(Pqp_supermarket_data[[#This Row],[DateTime]],"yyy")</f>
        <v>2022</v>
      </c>
    </row>
    <row r="27" spans="1:14" x14ac:dyDescent="0.35">
      <c r="A27" t="s">
        <v>117</v>
      </c>
      <c r="B27" s="1">
        <v>45157.266006064812</v>
      </c>
      <c r="C27" t="s">
        <v>118</v>
      </c>
      <c r="D27" t="s">
        <v>25</v>
      </c>
      <c r="E27" t="s">
        <v>119</v>
      </c>
      <c r="F27">
        <v>4</v>
      </c>
      <c r="G27">
        <v>2</v>
      </c>
      <c r="H27" t="s">
        <v>14</v>
      </c>
      <c r="I27" t="s">
        <v>40</v>
      </c>
      <c r="J27" t="s">
        <v>46</v>
      </c>
      <c r="K27">
        <f>Pqp_supermarket_data[[#This Row],[Unit_Price]]*Pqp_supermarket_data[[#This Row],[Quantity]]</f>
        <v>8</v>
      </c>
      <c r="L27" t="str">
        <f>TEXT(Pqp_supermarket_data[[#This Row],[DateTime]],"ddd")</f>
        <v>Sat</v>
      </c>
      <c r="M27" t="str">
        <f>TEXT(Pqp_supermarket_data[[#This Row],[DateTime]],"mmm")</f>
        <v>Aug</v>
      </c>
      <c r="N27" t="str">
        <f>TEXT(Pqp_supermarket_data[[#This Row],[DateTime]],"yyy")</f>
        <v>2023</v>
      </c>
    </row>
    <row r="28" spans="1:14" x14ac:dyDescent="0.35">
      <c r="A28" t="s">
        <v>120</v>
      </c>
      <c r="B28" s="1">
        <v>44791.443089421293</v>
      </c>
      <c r="C28" t="s">
        <v>121</v>
      </c>
      <c r="D28" t="s">
        <v>85</v>
      </c>
      <c r="E28" t="s">
        <v>111</v>
      </c>
      <c r="F28">
        <v>2.2000000000000002</v>
      </c>
      <c r="G28">
        <v>3</v>
      </c>
      <c r="H28" t="s">
        <v>14</v>
      </c>
      <c r="I28" t="s">
        <v>36</v>
      </c>
      <c r="J28" t="s">
        <v>122</v>
      </c>
      <c r="K28">
        <f>Pqp_supermarket_data[[#This Row],[Unit_Price]]*Pqp_supermarket_data[[#This Row],[Quantity]]</f>
        <v>6.6000000000000005</v>
      </c>
      <c r="L28" t="str">
        <f>TEXT(Pqp_supermarket_data[[#This Row],[DateTime]],"ddd")</f>
        <v>Thu</v>
      </c>
      <c r="M28" t="str">
        <f>TEXT(Pqp_supermarket_data[[#This Row],[DateTime]],"mmm")</f>
        <v>Aug</v>
      </c>
      <c r="N28" t="str">
        <f>TEXT(Pqp_supermarket_data[[#This Row],[DateTime]],"yyy")</f>
        <v>2022</v>
      </c>
    </row>
    <row r="29" spans="1:14" x14ac:dyDescent="0.35">
      <c r="A29" t="s">
        <v>123</v>
      </c>
      <c r="B29" s="1">
        <v>44661.340311655091</v>
      </c>
      <c r="C29" t="s">
        <v>124</v>
      </c>
      <c r="D29" t="s">
        <v>85</v>
      </c>
      <c r="E29" t="s">
        <v>45</v>
      </c>
      <c r="F29">
        <v>1</v>
      </c>
      <c r="G29">
        <v>7</v>
      </c>
      <c r="H29" t="s">
        <v>14</v>
      </c>
      <c r="I29" t="s">
        <v>15</v>
      </c>
      <c r="J29" t="s">
        <v>112</v>
      </c>
      <c r="K29">
        <f>Pqp_supermarket_data[[#This Row],[Unit_Price]]*Pqp_supermarket_data[[#This Row],[Quantity]]</f>
        <v>7</v>
      </c>
      <c r="L29" t="str">
        <f>TEXT(Pqp_supermarket_data[[#This Row],[DateTime]],"ddd")</f>
        <v>Sun</v>
      </c>
      <c r="M29" t="str">
        <f>TEXT(Pqp_supermarket_data[[#This Row],[DateTime]],"mmm")</f>
        <v>Apr</v>
      </c>
      <c r="N29" t="str">
        <f>TEXT(Pqp_supermarket_data[[#This Row],[DateTime]],"yyy")</f>
        <v>2022</v>
      </c>
    </row>
    <row r="30" spans="1:14" x14ac:dyDescent="0.35">
      <c r="A30" t="s">
        <v>125</v>
      </c>
      <c r="B30" s="1">
        <v>44374.278506099537</v>
      </c>
      <c r="C30" t="s">
        <v>126</v>
      </c>
      <c r="D30" t="s">
        <v>127</v>
      </c>
      <c r="E30" t="s">
        <v>49</v>
      </c>
      <c r="F30">
        <v>7</v>
      </c>
      <c r="G30">
        <v>6</v>
      </c>
      <c r="H30" t="s">
        <v>14</v>
      </c>
      <c r="I30" t="s">
        <v>86</v>
      </c>
      <c r="J30" t="s">
        <v>128</v>
      </c>
      <c r="K30">
        <f>Pqp_supermarket_data[[#This Row],[Unit_Price]]*Pqp_supermarket_data[[#This Row],[Quantity]]</f>
        <v>42</v>
      </c>
      <c r="L30" t="str">
        <f>TEXT(Pqp_supermarket_data[[#This Row],[DateTime]],"ddd")</f>
        <v>Sun</v>
      </c>
      <c r="M30" t="str">
        <f>TEXT(Pqp_supermarket_data[[#This Row],[DateTime]],"mmm")</f>
        <v>Jun</v>
      </c>
      <c r="N30" t="str">
        <f>TEXT(Pqp_supermarket_data[[#This Row],[DateTime]],"yyy")</f>
        <v>2021</v>
      </c>
    </row>
    <row r="31" spans="1:14" x14ac:dyDescent="0.35">
      <c r="A31" t="s">
        <v>129</v>
      </c>
      <c r="B31" s="1">
        <v>44862.424339432873</v>
      </c>
      <c r="C31" t="s">
        <v>130</v>
      </c>
      <c r="D31" t="s">
        <v>25</v>
      </c>
      <c r="E31" t="s">
        <v>65</v>
      </c>
      <c r="F31">
        <v>3</v>
      </c>
      <c r="G31">
        <v>6</v>
      </c>
      <c r="H31" t="s">
        <v>14</v>
      </c>
      <c r="I31" t="s">
        <v>40</v>
      </c>
      <c r="J31" t="s">
        <v>131</v>
      </c>
      <c r="K31">
        <f>Pqp_supermarket_data[[#This Row],[Unit_Price]]*Pqp_supermarket_data[[#This Row],[Quantity]]</f>
        <v>18</v>
      </c>
      <c r="L31" t="str">
        <f>TEXT(Pqp_supermarket_data[[#This Row],[DateTime]],"ddd")</f>
        <v>Fri</v>
      </c>
      <c r="M31" t="str">
        <f>TEXT(Pqp_supermarket_data[[#This Row],[DateTime]],"mmm")</f>
        <v>Oct</v>
      </c>
      <c r="N31" t="str">
        <f>TEXT(Pqp_supermarket_data[[#This Row],[DateTime]],"yyy")</f>
        <v>2022</v>
      </c>
    </row>
    <row r="32" spans="1:14" x14ac:dyDescent="0.35">
      <c r="A32" t="s">
        <v>132</v>
      </c>
      <c r="B32" s="1">
        <v>44652.242394988425</v>
      </c>
      <c r="C32" t="s">
        <v>133</v>
      </c>
      <c r="D32" t="s">
        <v>25</v>
      </c>
      <c r="E32" t="s">
        <v>35</v>
      </c>
      <c r="F32">
        <v>1.2</v>
      </c>
      <c r="G32">
        <v>2</v>
      </c>
      <c r="H32" t="s">
        <v>14</v>
      </c>
      <c r="I32" t="s">
        <v>36</v>
      </c>
      <c r="J32" t="s">
        <v>134</v>
      </c>
      <c r="K32">
        <f>Pqp_supermarket_data[[#This Row],[Unit_Price]]*Pqp_supermarket_data[[#This Row],[Quantity]]</f>
        <v>2.4</v>
      </c>
      <c r="L32" t="str">
        <f>TEXT(Pqp_supermarket_data[[#This Row],[DateTime]],"ddd")</f>
        <v>Fri</v>
      </c>
      <c r="M32" t="str">
        <f>TEXT(Pqp_supermarket_data[[#This Row],[DateTime]],"mmm")</f>
        <v>Apr</v>
      </c>
      <c r="N32" t="str">
        <f>TEXT(Pqp_supermarket_data[[#This Row],[DateTime]],"yyy")</f>
        <v>2022</v>
      </c>
    </row>
    <row r="33" spans="1:14" x14ac:dyDescent="0.35">
      <c r="A33" t="s">
        <v>135</v>
      </c>
      <c r="B33" s="1">
        <v>45666.26531166667</v>
      </c>
      <c r="C33" t="s">
        <v>136</v>
      </c>
      <c r="D33" t="s">
        <v>19</v>
      </c>
      <c r="E33" t="s">
        <v>137</v>
      </c>
      <c r="F33">
        <v>2.5</v>
      </c>
      <c r="G33">
        <v>6</v>
      </c>
      <c r="H33" t="s">
        <v>14</v>
      </c>
      <c r="I33" t="s">
        <v>40</v>
      </c>
      <c r="J33" t="s">
        <v>138</v>
      </c>
      <c r="K33">
        <f>Pqp_supermarket_data[[#This Row],[Unit_Price]]*Pqp_supermarket_data[[#This Row],[Quantity]]</f>
        <v>15</v>
      </c>
      <c r="L33" t="str">
        <f>TEXT(Pqp_supermarket_data[[#This Row],[DateTime]],"ddd")</f>
        <v>Thu</v>
      </c>
      <c r="M33" t="str">
        <f>TEXT(Pqp_supermarket_data[[#This Row],[DateTime]],"mmm")</f>
        <v>Jan</v>
      </c>
      <c r="N33" t="str">
        <f>TEXT(Pqp_supermarket_data[[#This Row],[DateTime]],"yyy")</f>
        <v>2025</v>
      </c>
    </row>
    <row r="34" spans="1:14" x14ac:dyDescent="0.35">
      <c r="A34" t="s">
        <v>139</v>
      </c>
      <c r="B34" s="1">
        <v>45299.197256111111</v>
      </c>
      <c r="C34" t="s">
        <v>140</v>
      </c>
      <c r="D34" t="s">
        <v>98</v>
      </c>
      <c r="E34" t="s">
        <v>78</v>
      </c>
      <c r="F34">
        <v>4</v>
      </c>
      <c r="G34">
        <v>9</v>
      </c>
      <c r="H34" t="s">
        <v>14</v>
      </c>
      <c r="I34" t="s">
        <v>15</v>
      </c>
      <c r="J34" t="s">
        <v>105</v>
      </c>
      <c r="K34">
        <f>Pqp_supermarket_data[[#This Row],[Unit_Price]]*Pqp_supermarket_data[[#This Row],[Quantity]]</f>
        <v>36</v>
      </c>
      <c r="L34" t="str">
        <f>TEXT(Pqp_supermarket_data[[#This Row],[DateTime]],"ddd")</f>
        <v>Mon</v>
      </c>
      <c r="M34" t="str">
        <f>TEXT(Pqp_supermarket_data[[#This Row],[DateTime]],"mmm")</f>
        <v>Jan</v>
      </c>
      <c r="N34" t="str">
        <f>TEXT(Pqp_supermarket_data[[#This Row],[DateTime]],"yyy")</f>
        <v>2024</v>
      </c>
    </row>
    <row r="35" spans="1:14" x14ac:dyDescent="0.35">
      <c r="A35" t="s">
        <v>141</v>
      </c>
      <c r="B35" s="1">
        <v>44616.788922777778</v>
      </c>
      <c r="C35" t="s">
        <v>142</v>
      </c>
      <c r="D35" t="s">
        <v>25</v>
      </c>
      <c r="E35" t="s">
        <v>115</v>
      </c>
      <c r="F35">
        <v>1.5</v>
      </c>
      <c r="G35">
        <v>7</v>
      </c>
      <c r="H35" t="s">
        <v>14</v>
      </c>
      <c r="I35" t="s">
        <v>15</v>
      </c>
      <c r="J35" t="s">
        <v>58</v>
      </c>
      <c r="K35">
        <f>Pqp_supermarket_data[[#This Row],[Unit_Price]]*Pqp_supermarket_data[[#This Row],[Quantity]]</f>
        <v>10.5</v>
      </c>
      <c r="L35" t="str">
        <f>TEXT(Pqp_supermarket_data[[#This Row],[DateTime]],"ddd")</f>
        <v>Thu</v>
      </c>
      <c r="M35" t="str">
        <f>TEXT(Pqp_supermarket_data[[#This Row],[DateTime]],"mmm")</f>
        <v>Feb</v>
      </c>
      <c r="N35" t="str">
        <f>TEXT(Pqp_supermarket_data[[#This Row],[DateTime]],"yyy")</f>
        <v>2022</v>
      </c>
    </row>
    <row r="36" spans="1:14" x14ac:dyDescent="0.35">
      <c r="A36" t="s">
        <v>143</v>
      </c>
      <c r="B36" s="1">
        <v>45587.666006122687</v>
      </c>
      <c r="C36" t="s">
        <v>144</v>
      </c>
      <c r="D36" t="s">
        <v>44</v>
      </c>
      <c r="E36" t="s">
        <v>145</v>
      </c>
      <c r="F36">
        <v>1.7</v>
      </c>
      <c r="G36">
        <v>7</v>
      </c>
      <c r="H36" t="s">
        <v>14</v>
      </c>
      <c r="I36" t="s">
        <v>86</v>
      </c>
      <c r="J36" t="s">
        <v>46</v>
      </c>
      <c r="K36">
        <f>Pqp_supermarket_data[[#This Row],[Unit_Price]]*Pqp_supermarket_data[[#This Row],[Quantity]]</f>
        <v>11.9</v>
      </c>
      <c r="L36" t="str">
        <f>TEXT(Pqp_supermarket_data[[#This Row],[DateTime]],"ddd")</f>
        <v>Tue</v>
      </c>
      <c r="M36" t="str">
        <f>TEXT(Pqp_supermarket_data[[#This Row],[DateTime]],"mmm")</f>
        <v>Oct</v>
      </c>
      <c r="N36" t="str">
        <f>TEXT(Pqp_supermarket_data[[#This Row],[DateTime]],"yyy")</f>
        <v>2024</v>
      </c>
    </row>
    <row r="37" spans="1:14" x14ac:dyDescent="0.35">
      <c r="A37" t="s">
        <v>146</v>
      </c>
      <c r="B37" s="1">
        <v>45675.656283900462</v>
      </c>
      <c r="C37" t="s">
        <v>147</v>
      </c>
      <c r="D37" t="s">
        <v>30</v>
      </c>
      <c r="E37" t="s">
        <v>148</v>
      </c>
      <c r="F37">
        <v>5.5</v>
      </c>
      <c r="G37">
        <v>1</v>
      </c>
      <c r="H37" t="s">
        <v>14</v>
      </c>
      <c r="I37" t="s">
        <v>86</v>
      </c>
      <c r="J37" t="s">
        <v>46</v>
      </c>
      <c r="K37">
        <f>Pqp_supermarket_data[[#This Row],[Unit_Price]]*Pqp_supermarket_data[[#This Row],[Quantity]]</f>
        <v>5.5</v>
      </c>
      <c r="L37" t="str">
        <f>TEXT(Pqp_supermarket_data[[#This Row],[DateTime]],"ddd")</f>
        <v>Sat</v>
      </c>
      <c r="M37" t="str">
        <f>TEXT(Pqp_supermarket_data[[#This Row],[DateTime]],"mmm")</f>
        <v>Jan</v>
      </c>
      <c r="N37" t="str">
        <f>TEXT(Pqp_supermarket_data[[#This Row],[DateTime]],"yyy")</f>
        <v>2025</v>
      </c>
    </row>
    <row r="38" spans="1:14" x14ac:dyDescent="0.35">
      <c r="A38" t="s">
        <v>149</v>
      </c>
      <c r="B38" s="1">
        <v>45092.424339456018</v>
      </c>
      <c r="C38" t="s">
        <v>150</v>
      </c>
      <c r="D38" t="s">
        <v>25</v>
      </c>
      <c r="E38" t="s">
        <v>78</v>
      </c>
      <c r="F38">
        <v>4</v>
      </c>
      <c r="G38">
        <v>9</v>
      </c>
      <c r="H38" t="s">
        <v>14</v>
      </c>
      <c r="I38" t="s">
        <v>86</v>
      </c>
      <c r="J38" t="s">
        <v>16</v>
      </c>
      <c r="K38">
        <f>Pqp_supermarket_data[[#This Row],[Unit_Price]]*Pqp_supermarket_data[[#This Row],[Quantity]]</f>
        <v>36</v>
      </c>
      <c r="L38" t="str">
        <f>TEXT(Pqp_supermarket_data[[#This Row],[DateTime]],"ddd")</f>
        <v>Thu</v>
      </c>
      <c r="M38" t="str">
        <f>TEXT(Pqp_supermarket_data[[#This Row],[DateTime]],"mmm")</f>
        <v>Jun</v>
      </c>
      <c r="N38" t="str">
        <f>TEXT(Pqp_supermarket_data[[#This Row],[DateTime]],"yyy")</f>
        <v>2023</v>
      </c>
    </row>
    <row r="39" spans="1:14" x14ac:dyDescent="0.35">
      <c r="A39" t="s">
        <v>151</v>
      </c>
      <c r="B39" s="1">
        <v>44922.339617245372</v>
      </c>
      <c r="C39" t="s">
        <v>152</v>
      </c>
      <c r="D39" t="s">
        <v>98</v>
      </c>
      <c r="E39" t="s">
        <v>26</v>
      </c>
      <c r="F39">
        <v>2.5</v>
      </c>
      <c r="G39">
        <v>2</v>
      </c>
      <c r="H39" t="s">
        <v>14</v>
      </c>
      <c r="I39" t="s">
        <v>86</v>
      </c>
      <c r="J39" t="s">
        <v>153</v>
      </c>
      <c r="K39">
        <f>Pqp_supermarket_data[[#This Row],[Unit_Price]]*Pqp_supermarket_data[[#This Row],[Quantity]]</f>
        <v>5</v>
      </c>
      <c r="L39" t="str">
        <f>TEXT(Pqp_supermarket_data[[#This Row],[DateTime]],"ddd")</f>
        <v>Tue</v>
      </c>
      <c r="M39" t="str">
        <f>TEXT(Pqp_supermarket_data[[#This Row],[DateTime]],"mmm")</f>
        <v>Dec</v>
      </c>
      <c r="N39" t="str">
        <f>TEXT(Pqp_supermarket_data[[#This Row],[DateTime]],"yyy")</f>
        <v>2022</v>
      </c>
    </row>
    <row r="40" spans="1:14" x14ac:dyDescent="0.35">
      <c r="A40" t="s">
        <v>154</v>
      </c>
      <c r="B40" s="1">
        <v>45586.489617245374</v>
      </c>
      <c r="C40" t="s">
        <v>155</v>
      </c>
      <c r="D40" t="s">
        <v>85</v>
      </c>
      <c r="E40" t="s">
        <v>35</v>
      </c>
      <c r="F40">
        <v>1.2</v>
      </c>
      <c r="G40">
        <v>2</v>
      </c>
      <c r="H40" t="s">
        <v>14</v>
      </c>
      <c r="I40" t="s">
        <v>15</v>
      </c>
      <c r="J40" t="s">
        <v>66</v>
      </c>
      <c r="K40">
        <f>Pqp_supermarket_data[[#This Row],[Unit_Price]]*Pqp_supermarket_data[[#This Row],[Quantity]]</f>
        <v>2.4</v>
      </c>
      <c r="L40" t="str">
        <f>TEXT(Pqp_supermarket_data[[#This Row],[DateTime]],"ddd")</f>
        <v>Mon</v>
      </c>
      <c r="M40" t="str">
        <f>TEXT(Pqp_supermarket_data[[#This Row],[DateTime]],"mmm")</f>
        <v>Oct</v>
      </c>
      <c r="N40" t="str">
        <f>TEXT(Pqp_supermarket_data[[#This Row],[DateTime]],"yyy")</f>
        <v>2024</v>
      </c>
    </row>
    <row r="41" spans="1:14" x14ac:dyDescent="0.35">
      <c r="A41" t="s">
        <v>156</v>
      </c>
      <c r="B41" s="1">
        <v>44953.913922812499</v>
      </c>
      <c r="C41" t="s">
        <v>157</v>
      </c>
      <c r="D41" t="s">
        <v>25</v>
      </c>
      <c r="E41" t="s">
        <v>49</v>
      </c>
      <c r="F41">
        <v>7</v>
      </c>
      <c r="G41">
        <v>1</v>
      </c>
      <c r="H41" t="s">
        <v>14</v>
      </c>
      <c r="I41" t="s">
        <v>15</v>
      </c>
      <c r="J41" t="s">
        <v>41</v>
      </c>
      <c r="K41">
        <f>Pqp_supermarket_data[[#This Row],[Unit_Price]]*Pqp_supermarket_data[[#This Row],[Quantity]]</f>
        <v>7</v>
      </c>
      <c r="L41" t="str">
        <f>TEXT(Pqp_supermarket_data[[#This Row],[DateTime]],"ddd")</f>
        <v>Fri</v>
      </c>
      <c r="M41" t="str">
        <f>TEXT(Pqp_supermarket_data[[#This Row],[DateTime]],"mmm")</f>
        <v>Jan</v>
      </c>
      <c r="N41" t="str">
        <f>TEXT(Pqp_supermarket_data[[#This Row],[DateTime]],"yyy")</f>
        <v>2023</v>
      </c>
    </row>
    <row r="42" spans="1:14" x14ac:dyDescent="0.35">
      <c r="A42" t="s">
        <v>158</v>
      </c>
      <c r="B42" s="1">
        <v>45782.048645046299</v>
      </c>
      <c r="C42" t="s">
        <v>159</v>
      </c>
      <c r="D42" t="s">
        <v>19</v>
      </c>
      <c r="E42" t="s">
        <v>70</v>
      </c>
      <c r="F42">
        <v>5</v>
      </c>
      <c r="G42">
        <v>5</v>
      </c>
      <c r="H42" t="s">
        <v>14</v>
      </c>
      <c r="I42" t="s">
        <v>86</v>
      </c>
      <c r="J42" t="s">
        <v>160</v>
      </c>
      <c r="K42">
        <f>Pqp_supermarket_data[[#This Row],[Unit_Price]]*Pqp_supermarket_data[[#This Row],[Quantity]]</f>
        <v>25</v>
      </c>
      <c r="L42" t="str">
        <f>TEXT(Pqp_supermarket_data[[#This Row],[DateTime]],"ddd")</f>
        <v>Mon</v>
      </c>
      <c r="M42" t="str">
        <f>TEXT(Pqp_supermarket_data[[#This Row],[DateTime]],"mmm")</f>
        <v>May</v>
      </c>
      <c r="N42" t="str">
        <f>TEXT(Pqp_supermarket_data[[#This Row],[DateTime]],"yyy")</f>
        <v>2025</v>
      </c>
    </row>
    <row r="43" spans="1:14" x14ac:dyDescent="0.35">
      <c r="A43" t="s">
        <v>161</v>
      </c>
      <c r="B43" s="1">
        <v>44647.65350615741</v>
      </c>
      <c r="C43" t="s">
        <v>162</v>
      </c>
      <c r="D43" t="s">
        <v>98</v>
      </c>
      <c r="E43" t="s">
        <v>111</v>
      </c>
      <c r="F43">
        <v>2.2000000000000002</v>
      </c>
      <c r="G43">
        <v>4</v>
      </c>
      <c r="H43" t="s">
        <v>14</v>
      </c>
      <c r="I43" t="s">
        <v>61</v>
      </c>
      <c r="J43" t="s">
        <v>163</v>
      </c>
      <c r="K43">
        <f>Pqp_supermarket_data[[#This Row],[Unit_Price]]*Pqp_supermarket_data[[#This Row],[Quantity]]</f>
        <v>8.8000000000000007</v>
      </c>
      <c r="L43" t="str">
        <f>TEXT(Pqp_supermarket_data[[#This Row],[DateTime]],"ddd")</f>
        <v>Sun</v>
      </c>
      <c r="M43" t="str">
        <f>TEXT(Pqp_supermarket_data[[#This Row],[DateTime]],"mmm")</f>
        <v>Mar</v>
      </c>
      <c r="N43" t="str">
        <f>TEXT(Pqp_supermarket_data[[#This Row],[DateTime]],"yyy")</f>
        <v>2022</v>
      </c>
    </row>
    <row r="44" spans="1:14" x14ac:dyDescent="0.35">
      <c r="A44" t="s">
        <v>164</v>
      </c>
      <c r="B44" s="1">
        <v>45666.777117280093</v>
      </c>
      <c r="C44" t="s">
        <v>165</v>
      </c>
      <c r="D44" t="s">
        <v>85</v>
      </c>
      <c r="E44" t="s">
        <v>137</v>
      </c>
      <c r="F44">
        <v>2.5</v>
      </c>
      <c r="G44">
        <v>6</v>
      </c>
      <c r="H44" t="s">
        <v>14</v>
      </c>
      <c r="I44" t="s">
        <v>40</v>
      </c>
      <c r="J44" t="s">
        <v>166</v>
      </c>
      <c r="K44">
        <f>Pqp_supermarket_data[[#This Row],[Unit_Price]]*Pqp_supermarket_data[[#This Row],[Quantity]]</f>
        <v>15</v>
      </c>
      <c r="L44" t="str">
        <f>TEXT(Pqp_supermarket_data[[#This Row],[DateTime]],"ddd")</f>
        <v>Thu</v>
      </c>
      <c r="M44" t="str">
        <f>TEXT(Pqp_supermarket_data[[#This Row],[DateTime]],"mmm")</f>
        <v>Jan</v>
      </c>
      <c r="N44" t="str">
        <f>TEXT(Pqp_supermarket_data[[#This Row],[DateTime]],"yyy")</f>
        <v>2025</v>
      </c>
    </row>
    <row r="45" spans="1:14" x14ac:dyDescent="0.35">
      <c r="A45" t="s">
        <v>167</v>
      </c>
      <c r="B45" s="1">
        <v>44589.912533969909</v>
      </c>
      <c r="C45" t="s">
        <v>168</v>
      </c>
      <c r="D45" t="s">
        <v>19</v>
      </c>
      <c r="E45" t="s">
        <v>90</v>
      </c>
      <c r="F45">
        <v>1.8</v>
      </c>
      <c r="G45">
        <v>3</v>
      </c>
      <c r="H45" t="s">
        <v>14</v>
      </c>
      <c r="I45" t="s">
        <v>40</v>
      </c>
      <c r="J45" t="s">
        <v>138</v>
      </c>
      <c r="K45">
        <f>Pqp_supermarket_data[[#This Row],[Unit_Price]]*Pqp_supermarket_data[[#This Row],[Quantity]]</f>
        <v>5.4</v>
      </c>
      <c r="L45" t="str">
        <f>TEXT(Pqp_supermarket_data[[#This Row],[DateTime]],"ddd")</f>
        <v>Fri</v>
      </c>
      <c r="M45" t="str">
        <f>TEXT(Pqp_supermarket_data[[#This Row],[DateTime]],"mmm")</f>
        <v>Jan</v>
      </c>
      <c r="N45" t="str">
        <f>TEXT(Pqp_supermarket_data[[#This Row],[DateTime]],"yyy")</f>
        <v>2022</v>
      </c>
    </row>
    <row r="46" spans="1:14" x14ac:dyDescent="0.35">
      <c r="A46" t="s">
        <v>169</v>
      </c>
      <c r="B46" s="1">
        <v>45622.348645081016</v>
      </c>
      <c r="C46" t="s">
        <v>170</v>
      </c>
      <c r="D46" t="s">
        <v>171</v>
      </c>
      <c r="E46" t="s">
        <v>65</v>
      </c>
      <c r="F46">
        <v>3</v>
      </c>
      <c r="G46">
        <v>4</v>
      </c>
      <c r="H46" t="s">
        <v>14</v>
      </c>
      <c r="I46" t="s">
        <v>86</v>
      </c>
      <c r="J46" t="s">
        <v>172</v>
      </c>
      <c r="K46">
        <f>Pqp_supermarket_data[[#This Row],[Unit_Price]]*Pqp_supermarket_data[[#This Row],[Quantity]]</f>
        <v>12</v>
      </c>
      <c r="L46" t="str">
        <f>TEXT(Pqp_supermarket_data[[#This Row],[DateTime]],"ddd")</f>
        <v>Tue</v>
      </c>
      <c r="M46" t="str">
        <f>TEXT(Pqp_supermarket_data[[#This Row],[DateTime]],"mmm")</f>
        <v>Nov</v>
      </c>
      <c r="N46" t="str">
        <f>TEXT(Pqp_supermarket_data[[#This Row],[DateTime]],"yyy")</f>
        <v>2024</v>
      </c>
    </row>
    <row r="47" spans="1:14" x14ac:dyDescent="0.35">
      <c r="A47" t="s">
        <v>173</v>
      </c>
      <c r="B47" s="1">
        <v>44620.242395092595</v>
      </c>
      <c r="C47" t="s">
        <v>174</v>
      </c>
      <c r="D47" t="s">
        <v>171</v>
      </c>
      <c r="E47" t="s">
        <v>137</v>
      </c>
      <c r="F47">
        <v>2.5</v>
      </c>
      <c r="G47">
        <v>10</v>
      </c>
      <c r="H47" t="s">
        <v>14</v>
      </c>
      <c r="I47" t="s">
        <v>40</v>
      </c>
      <c r="J47" t="s">
        <v>175</v>
      </c>
      <c r="K47">
        <f>Pqp_supermarket_data[[#This Row],[Unit_Price]]*Pqp_supermarket_data[[#This Row],[Quantity]]</f>
        <v>25</v>
      </c>
      <c r="L47" t="str">
        <f>TEXT(Pqp_supermarket_data[[#This Row],[DateTime]],"ddd")</f>
        <v>Mon</v>
      </c>
      <c r="M47" t="str">
        <f>TEXT(Pqp_supermarket_data[[#This Row],[DateTime]],"mmm")</f>
        <v>Feb</v>
      </c>
      <c r="N47" t="str">
        <f>TEXT(Pqp_supermarket_data[[#This Row],[DateTime]],"yyy")</f>
        <v>2022</v>
      </c>
    </row>
    <row r="48" spans="1:14" x14ac:dyDescent="0.35">
      <c r="A48" t="s">
        <v>176</v>
      </c>
      <c r="B48" s="1">
        <v>44439.784756203706</v>
      </c>
      <c r="C48" t="s">
        <v>177</v>
      </c>
      <c r="D48" t="s">
        <v>85</v>
      </c>
      <c r="E48" t="s">
        <v>39</v>
      </c>
      <c r="F48">
        <v>3.2</v>
      </c>
      <c r="G48">
        <v>5</v>
      </c>
      <c r="H48" t="s">
        <v>14</v>
      </c>
      <c r="I48" t="s">
        <v>15</v>
      </c>
      <c r="J48" t="s">
        <v>178</v>
      </c>
      <c r="K48">
        <f>Pqp_supermarket_data[[#This Row],[Unit_Price]]*Pqp_supermarket_data[[#This Row],[Quantity]]</f>
        <v>16</v>
      </c>
      <c r="L48" t="str">
        <f>TEXT(Pqp_supermarket_data[[#This Row],[DateTime]],"ddd")</f>
        <v>Tue</v>
      </c>
      <c r="M48" t="str">
        <f>TEXT(Pqp_supermarket_data[[#This Row],[DateTime]],"mmm")</f>
        <v>Aug</v>
      </c>
      <c r="N48" t="str">
        <f>TEXT(Pqp_supermarket_data[[#This Row],[DateTime]],"yyy")</f>
        <v>2021</v>
      </c>
    </row>
    <row r="49" spans="1:14" x14ac:dyDescent="0.35">
      <c r="A49" t="s">
        <v>179</v>
      </c>
      <c r="B49" s="1">
        <v>45143.256978425925</v>
      </c>
      <c r="C49" t="s">
        <v>180</v>
      </c>
      <c r="D49" t="s">
        <v>82</v>
      </c>
      <c r="E49" t="s">
        <v>111</v>
      </c>
      <c r="F49">
        <v>2.2000000000000002</v>
      </c>
      <c r="G49">
        <v>5</v>
      </c>
      <c r="H49" t="s">
        <v>14</v>
      </c>
      <c r="I49" t="s">
        <v>86</v>
      </c>
      <c r="J49" t="s">
        <v>79</v>
      </c>
      <c r="K49">
        <f>Pqp_supermarket_data[[#This Row],[Unit_Price]]*Pqp_supermarket_data[[#This Row],[Quantity]]</f>
        <v>11</v>
      </c>
      <c r="L49" t="str">
        <f>TEXT(Pqp_supermarket_data[[#This Row],[DateTime]],"ddd")</f>
        <v>Sat</v>
      </c>
      <c r="M49" t="str">
        <f>TEXT(Pqp_supermarket_data[[#This Row],[DateTime]],"mmm")</f>
        <v>Aug</v>
      </c>
      <c r="N49" t="str">
        <f>TEXT(Pqp_supermarket_data[[#This Row],[DateTime]],"yyy")</f>
        <v>2023</v>
      </c>
    </row>
    <row r="50" spans="1:14" x14ac:dyDescent="0.35">
      <c r="A50" t="s">
        <v>181</v>
      </c>
      <c r="B50" s="1">
        <v>45638.539617326387</v>
      </c>
      <c r="C50" t="s">
        <v>182</v>
      </c>
      <c r="D50" t="s">
        <v>171</v>
      </c>
      <c r="E50" t="s">
        <v>119</v>
      </c>
      <c r="F50">
        <v>4</v>
      </c>
      <c r="G50">
        <v>2</v>
      </c>
      <c r="H50" t="s">
        <v>14</v>
      </c>
      <c r="I50" t="s">
        <v>40</v>
      </c>
      <c r="J50" t="s">
        <v>183</v>
      </c>
      <c r="K50">
        <f>Pqp_supermarket_data[[#This Row],[Unit_Price]]*Pqp_supermarket_data[[#This Row],[Quantity]]</f>
        <v>8</v>
      </c>
      <c r="L50" t="str">
        <f>TEXT(Pqp_supermarket_data[[#This Row],[DateTime]],"ddd")</f>
        <v>Thu</v>
      </c>
      <c r="M50" t="str">
        <f>TEXT(Pqp_supermarket_data[[#This Row],[DateTime]],"mmm")</f>
        <v>Dec</v>
      </c>
      <c r="N50" t="str">
        <f>TEXT(Pqp_supermarket_data[[#This Row],[DateTime]],"yyy")</f>
        <v>2024</v>
      </c>
    </row>
    <row r="51" spans="1:14" x14ac:dyDescent="0.35">
      <c r="A51" t="s">
        <v>184</v>
      </c>
      <c r="B51" s="1">
        <v>45349.881978449077</v>
      </c>
      <c r="C51" t="s">
        <v>185</v>
      </c>
      <c r="D51" t="s">
        <v>69</v>
      </c>
      <c r="E51" t="s">
        <v>53</v>
      </c>
      <c r="F51">
        <v>2.8</v>
      </c>
      <c r="G51">
        <v>2</v>
      </c>
      <c r="H51" t="s">
        <v>14</v>
      </c>
      <c r="I51" t="s">
        <v>15</v>
      </c>
      <c r="J51" t="s">
        <v>186</v>
      </c>
      <c r="K51">
        <f>Pqp_supermarket_data[[#This Row],[Unit_Price]]*Pqp_supermarket_data[[#This Row],[Quantity]]</f>
        <v>5.6</v>
      </c>
      <c r="L51" t="str">
        <f>TEXT(Pqp_supermarket_data[[#This Row],[DateTime]],"ddd")</f>
        <v>Tue</v>
      </c>
      <c r="M51" t="str">
        <f>TEXT(Pqp_supermarket_data[[#This Row],[DateTime]],"mmm")</f>
        <v>Feb</v>
      </c>
      <c r="N51" t="str">
        <f>TEXT(Pqp_supermarket_data[[#This Row],[DateTime]],"yyy")</f>
        <v>2024</v>
      </c>
    </row>
    <row r="52" spans="1:14" x14ac:dyDescent="0.35">
      <c r="A52" t="s">
        <v>187</v>
      </c>
      <c r="B52" s="1">
        <v>45203.33197846065</v>
      </c>
      <c r="C52" t="s">
        <v>188</v>
      </c>
      <c r="D52" t="s">
        <v>34</v>
      </c>
      <c r="E52" t="s">
        <v>20</v>
      </c>
      <c r="F52">
        <v>1</v>
      </c>
      <c r="G52">
        <v>5</v>
      </c>
      <c r="H52" t="s">
        <v>14</v>
      </c>
      <c r="I52" t="s">
        <v>21</v>
      </c>
      <c r="J52" t="s">
        <v>189</v>
      </c>
      <c r="K52">
        <f>Pqp_supermarket_data[[#This Row],[Unit_Price]]*Pqp_supermarket_data[[#This Row],[Quantity]]</f>
        <v>5</v>
      </c>
      <c r="L52" t="str">
        <f>TEXT(Pqp_supermarket_data[[#This Row],[DateTime]],"ddd")</f>
        <v>Wed</v>
      </c>
      <c r="M52" t="str">
        <f>TEXT(Pqp_supermarket_data[[#This Row],[DateTime]],"mmm")</f>
        <v>Oct</v>
      </c>
      <c r="N52" t="str">
        <f>TEXT(Pqp_supermarket_data[[#This Row],[DateTime]],"yyy")</f>
        <v>2023</v>
      </c>
    </row>
    <row r="53" spans="1:14" x14ac:dyDescent="0.35">
      <c r="A53" t="s">
        <v>190</v>
      </c>
      <c r="B53" s="1">
        <v>44703.530589571761</v>
      </c>
      <c r="C53" t="s">
        <v>191</v>
      </c>
      <c r="D53" t="s">
        <v>34</v>
      </c>
      <c r="E53" t="s">
        <v>20</v>
      </c>
      <c r="F53">
        <v>1</v>
      </c>
      <c r="G53">
        <v>5</v>
      </c>
      <c r="H53" t="s">
        <v>14</v>
      </c>
      <c r="I53" t="s">
        <v>36</v>
      </c>
      <c r="J53" t="s">
        <v>192</v>
      </c>
      <c r="K53">
        <f>Pqp_supermarket_data[[#This Row],[Unit_Price]]*Pqp_supermarket_data[[#This Row],[Quantity]]</f>
        <v>5</v>
      </c>
      <c r="L53" t="str">
        <f>TEXT(Pqp_supermarket_data[[#This Row],[DateTime]],"ddd")</f>
        <v>Sun</v>
      </c>
      <c r="M53" t="str">
        <f>TEXT(Pqp_supermarket_data[[#This Row],[DateTime]],"mmm")</f>
        <v>May</v>
      </c>
      <c r="N53" t="str">
        <f>TEXT(Pqp_supermarket_data[[#This Row],[DateTime]],"yyy")</f>
        <v>2022</v>
      </c>
    </row>
    <row r="54" spans="1:14" x14ac:dyDescent="0.35">
      <c r="A54" t="s">
        <v>193</v>
      </c>
      <c r="B54" s="1">
        <v>45511.221561805556</v>
      </c>
      <c r="C54" t="s">
        <v>194</v>
      </c>
      <c r="D54" t="s">
        <v>19</v>
      </c>
      <c r="E54" t="s">
        <v>148</v>
      </c>
      <c r="F54">
        <v>5.5</v>
      </c>
      <c r="G54">
        <v>9</v>
      </c>
      <c r="H54" t="s">
        <v>14</v>
      </c>
      <c r="I54" t="s">
        <v>15</v>
      </c>
      <c r="J54" t="s">
        <v>195</v>
      </c>
      <c r="K54">
        <f>Pqp_supermarket_data[[#This Row],[Unit_Price]]*Pqp_supermarket_data[[#This Row],[Quantity]]</f>
        <v>49.5</v>
      </c>
      <c r="L54" t="str">
        <f>TEXT(Pqp_supermarket_data[[#This Row],[DateTime]],"ddd")</f>
        <v>Wed</v>
      </c>
      <c r="M54" t="str">
        <f>TEXT(Pqp_supermarket_data[[#This Row],[DateTime]],"mmm")</f>
        <v>Aug</v>
      </c>
      <c r="N54" t="str">
        <f>TEXT(Pqp_supermarket_data[[#This Row],[DateTime]],"yyy")</f>
        <v>2024</v>
      </c>
    </row>
    <row r="55" spans="1:14" x14ac:dyDescent="0.35">
      <c r="A55" t="s">
        <v>196</v>
      </c>
      <c r="B55" s="1">
        <v>45208.759061840276</v>
      </c>
      <c r="C55" t="s">
        <v>197</v>
      </c>
      <c r="D55" t="s">
        <v>12</v>
      </c>
      <c r="E55" t="s">
        <v>39</v>
      </c>
      <c r="F55">
        <v>3.2</v>
      </c>
      <c r="G55">
        <v>4</v>
      </c>
      <c r="H55" t="s">
        <v>14</v>
      </c>
      <c r="I55" t="s">
        <v>36</v>
      </c>
      <c r="J55" t="s">
        <v>71</v>
      </c>
      <c r="K55">
        <f>Pqp_supermarket_data[[#This Row],[Unit_Price]]*Pqp_supermarket_data[[#This Row],[Quantity]]</f>
        <v>12.8</v>
      </c>
      <c r="L55" t="str">
        <f>TEXT(Pqp_supermarket_data[[#This Row],[DateTime]],"ddd")</f>
        <v>Mon</v>
      </c>
      <c r="M55" t="str">
        <f>TEXT(Pqp_supermarket_data[[#This Row],[DateTime]],"mmm")</f>
        <v>Oct</v>
      </c>
      <c r="N55" t="str">
        <f>TEXT(Pqp_supermarket_data[[#This Row],[DateTime]],"yyy")</f>
        <v>2023</v>
      </c>
    </row>
    <row r="56" spans="1:14" x14ac:dyDescent="0.35">
      <c r="A56" t="s">
        <v>198</v>
      </c>
      <c r="B56" s="1">
        <v>45245.871561851854</v>
      </c>
      <c r="C56" t="s">
        <v>199</v>
      </c>
      <c r="D56" t="s">
        <v>127</v>
      </c>
      <c r="E56" t="s">
        <v>137</v>
      </c>
      <c r="F56">
        <v>2.5</v>
      </c>
      <c r="G56">
        <v>2</v>
      </c>
      <c r="H56" t="s">
        <v>14</v>
      </c>
      <c r="I56" t="s">
        <v>36</v>
      </c>
      <c r="J56" t="s">
        <v>22</v>
      </c>
      <c r="K56">
        <f>Pqp_supermarket_data[[#This Row],[Unit_Price]]*Pqp_supermarket_data[[#This Row],[Quantity]]</f>
        <v>5</v>
      </c>
      <c r="L56" t="str">
        <f>TEXT(Pqp_supermarket_data[[#This Row],[DateTime]],"ddd")</f>
        <v>Wed</v>
      </c>
      <c r="M56" t="str">
        <f>TEXT(Pqp_supermarket_data[[#This Row],[DateTime]],"mmm")</f>
        <v>Nov</v>
      </c>
      <c r="N56" t="str">
        <f>TEXT(Pqp_supermarket_data[[#This Row],[DateTime]],"yyy")</f>
        <v>2023</v>
      </c>
    </row>
    <row r="57" spans="1:14" x14ac:dyDescent="0.35">
      <c r="A57" t="s">
        <v>200</v>
      </c>
      <c r="B57" s="1">
        <v>45220.51808962963</v>
      </c>
      <c r="C57" t="s">
        <v>201</v>
      </c>
      <c r="D57" t="s">
        <v>44</v>
      </c>
      <c r="E57" t="s">
        <v>111</v>
      </c>
      <c r="F57">
        <v>2.2000000000000002</v>
      </c>
      <c r="G57">
        <v>5</v>
      </c>
      <c r="H57" t="s">
        <v>14</v>
      </c>
      <c r="I57" t="s">
        <v>15</v>
      </c>
      <c r="J57" t="s">
        <v>202</v>
      </c>
      <c r="K57">
        <f>Pqp_supermarket_data[[#This Row],[Unit_Price]]*Pqp_supermarket_data[[#This Row],[Quantity]]</f>
        <v>11</v>
      </c>
      <c r="L57" t="str">
        <f>TEXT(Pqp_supermarket_data[[#This Row],[DateTime]],"ddd")</f>
        <v>Sat</v>
      </c>
      <c r="M57" t="str">
        <f>TEXT(Pqp_supermarket_data[[#This Row],[DateTime]],"mmm")</f>
        <v>Oct</v>
      </c>
      <c r="N57" t="str">
        <f>TEXT(Pqp_supermarket_data[[#This Row],[DateTime]],"yyy")</f>
        <v>2023</v>
      </c>
    </row>
    <row r="58" spans="1:14" x14ac:dyDescent="0.35">
      <c r="A58" t="s">
        <v>203</v>
      </c>
      <c r="B58" s="1">
        <v>44881.820172962965</v>
      </c>
      <c r="C58" t="s">
        <v>204</v>
      </c>
      <c r="D58" t="s">
        <v>82</v>
      </c>
      <c r="E58" t="s">
        <v>20</v>
      </c>
      <c r="F58">
        <v>1</v>
      </c>
      <c r="G58">
        <v>1</v>
      </c>
      <c r="H58" t="s">
        <v>14</v>
      </c>
      <c r="I58" t="s">
        <v>40</v>
      </c>
      <c r="J58" t="s">
        <v>205</v>
      </c>
      <c r="K58">
        <f>Pqp_supermarket_data[[#This Row],[Unit_Price]]*Pqp_supermarket_data[[#This Row],[Quantity]]</f>
        <v>1</v>
      </c>
      <c r="L58" t="str">
        <f>TEXT(Pqp_supermarket_data[[#This Row],[DateTime]],"ddd")</f>
        <v>Wed</v>
      </c>
      <c r="M58" t="str">
        <f>TEXT(Pqp_supermarket_data[[#This Row],[DateTime]],"mmm")</f>
        <v>Nov</v>
      </c>
      <c r="N58" t="str">
        <f>TEXT(Pqp_supermarket_data[[#This Row],[DateTime]],"yyy")</f>
        <v>2022</v>
      </c>
    </row>
    <row r="59" spans="1:14" x14ac:dyDescent="0.35">
      <c r="A59" t="s">
        <v>206</v>
      </c>
      <c r="B59" s="1">
        <v>44371.369478518522</v>
      </c>
      <c r="C59" t="s">
        <v>207</v>
      </c>
      <c r="D59" t="s">
        <v>208</v>
      </c>
      <c r="E59" t="s">
        <v>53</v>
      </c>
      <c r="F59">
        <v>2.8</v>
      </c>
      <c r="G59">
        <v>10</v>
      </c>
      <c r="H59" t="s">
        <v>14</v>
      </c>
      <c r="I59" t="s">
        <v>21</v>
      </c>
      <c r="J59" t="s">
        <v>209</v>
      </c>
      <c r="K59">
        <f>Pqp_supermarket_data[[#This Row],[Unit_Price]]*Pqp_supermarket_data[[#This Row],[Quantity]]</f>
        <v>28</v>
      </c>
      <c r="L59" t="str">
        <f>TEXT(Pqp_supermarket_data[[#This Row],[DateTime]],"ddd")</f>
        <v>Thu</v>
      </c>
      <c r="M59" t="str">
        <f>TEXT(Pqp_supermarket_data[[#This Row],[DateTime]],"mmm")</f>
        <v>Jun</v>
      </c>
      <c r="N59" t="str">
        <f>TEXT(Pqp_supermarket_data[[#This Row],[DateTime]],"yyy")</f>
        <v>2021</v>
      </c>
    </row>
    <row r="60" spans="1:14" x14ac:dyDescent="0.35">
      <c r="A60" t="s">
        <v>210</v>
      </c>
      <c r="B60" s="1">
        <v>44906.391700752312</v>
      </c>
      <c r="C60" t="s">
        <v>211</v>
      </c>
      <c r="D60" t="s">
        <v>127</v>
      </c>
      <c r="E60" t="s">
        <v>53</v>
      </c>
      <c r="F60">
        <v>2.8</v>
      </c>
      <c r="G60">
        <v>1</v>
      </c>
      <c r="H60" t="s">
        <v>14</v>
      </c>
      <c r="I60" t="s">
        <v>61</v>
      </c>
      <c r="J60" t="s">
        <v>212</v>
      </c>
      <c r="K60">
        <f>Pqp_supermarket_data[[#This Row],[Unit_Price]]*Pqp_supermarket_data[[#This Row],[Quantity]]</f>
        <v>2.8</v>
      </c>
      <c r="L60" t="str">
        <f>TEXT(Pqp_supermarket_data[[#This Row],[DateTime]],"ddd")</f>
        <v>Sun</v>
      </c>
      <c r="M60" t="str">
        <f>TEXT(Pqp_supermarket_data[[#This Row],[DateTime]],"mmm")</f>
        <v>Dec</v>
      </c>
      <c r="N60" t="str">
        <f>TEXT(Pqp_supermarket_data[[#This Row],[DateTime]],"yyy")</f>
        <v>2022</v>
      </c>
    </row>
    <row r="61" spans="1:14" x14ac:dyDescent="0.35">
      <c r="A61" t="s">
        <v>213</v>
      </c>
      <c r="B61" s="1">
        <v>44390.238922974539</v>
      </c>
      <c r="C61" t="s">
        <v>214</v>
      </c>
      <c r="D61" t="s">
        <v>77</v>
      </c>
      <c r="E61" t="s">
        <v>53</v>
      </c>
      <c r="F61">
        <v>2.8</v>
      </c>
      <c r="G61">
        <v>9</v>
      </c>
      <c r="H61" t="s">
        <v>14</v>
      </c>
      <c r="I61" t="s">
        <v>86</v>
      </c>
      <c r="J61" t="s">
        <v>215</v>
      </c>
      <c r="K61">
        <f>Pqp_supermarket_data[[#This Row],[Unit_Price]]*Pqp_supermarket_data[[#This Row],[Quantity]]</f>
        <v>25.2</v>
      </c>
      <c r="L61" t="str">
        <f>TEXT(Pqp_supermarket_data[[#This Row],[DateTime]],"ddd")</f>
        <v>Tue</v>
      </c>
      <c r="M61" t="str">
        <f>TEXT(Pqp_supermarket_data[[#This Row],[DateTime]],"mmm")</f>
        <v>Jul</v>
      </c>
      <c r="N61" t="str">
        <f>TEXT(Pqp_supermarket_data[[#This Row],[DateTime]],"yyy")</f>
        <v>2021</v>
      </c>
    </row>
    <row r="62" spans="1:14" x14ac:dyDescent="0.35">
      <c r="A62" t="s">
        <v>216</v>
      </c>
      <c r="B62" s="1">
        <v>45470.22989519676</v>
      </c>
      <c r="C62" t="s">
        <v>217</v>
      </c>
      <c r="D62" t="s">
        <v>69</v>
      </c>
      <c r="E62" t="s">
        <v>94</v>
      </c>
      <c r="F62">
        <v>0.8</v>
      </c>
      <c r="G62">
        <v>7</v>
      </c>
      <c r="H62" t="s">
        <v>14</v>
      </c>
      <c r="I62" t="s">
        <v>40</v>
      </c>
      <c r="J62" t="s">
        <v>218</v>
      </c>
      <c r="K62">
        <f>Pqp_supermarket_data[[#This Row],[Unit_Price]]*Pqp_supermarket_data[[#This Row],[Quantity]]</f>
        <v>5.6000000000000005</v>
      </c>
      <c r="L62" t="str">
        <f>TEXT(Pqp_supermarket_data[[#This Row],[DateTime]],"ddd")</f>
        <v>Thu</v>
      </c>
      <c r="M62" t="str">
        <f>TEXT(Pqp_supermarket_data[[#This Row],[DateTime]],"mmm")</f>
        <v>Jun</v>
      </c>
      <c r="N62" t="str">
        <f>TEXT(Pqp_supermarket_data[[#This Row],[DateTime]],"yyy")</f>
        <v>2024</v>
      </c>
    </row>
    <row r="63" spans="1:14" x14ac:dyDescent="0.35">
      <c r="A63" t="s">
        <v>219</v>
      </c>
      <c r="B63" s="1">
        <v>45105.982672986109</v>
      </c>
      <c r="C63" t="s">
        <v>220</v>
      </c>
      <c r="D63" t="s">
        <v>30</v>
      </c>
      <c r="E63" t="s">
        <v>26</v>
      </c>
      <c r="F63">
        <v>2.5</v>
      </c>
      <c r="G63">
        <v>5</v>
      </c>
      <c r="H63" t="s">
        <v>14</v>
      </c>
      <c r="I63" t="s">
        <v>15</v>
      </c>
      <c r="J63" t="s">
        <v>160</v>
      </c>
      <c r="K63">
        <f>Pqp_supermarket_data[[#This Row],[Unit_Price]]*Pqp_supermarket_data[[#This Row],[Quantity]]</f>
        <v>12.5</v>
      </c>
      <c r="L63" t="str">
        <f>TEXT(Pqp_supermarket_data[[#This Row],[DateTime]],"ddd")</f>
        <v>Wed</v>
      </c>
      <c r="M63" t="str">
        <f>TEXT(Pqp_supermarket_data[[#This Row],[DateTime]],"mmm")</f>
        <v>Jun</v>
      </c>
      <c r="N63" t="str">
        <f>TEXT(Pqp_supermarket_data[[#This Row],[DateTime]],"yyy")</f>
        <v>2023</v>
      </c>
    </row>
    <row r="64" spans="1:14" x14ac:dyDescent="0.35">
      <c r="A64" t="s">
        <v>221</v>
      </c>
      <c r="B64" s="1">
        <v>45565.021561875001</v>
      </c>
      <c r="C64" t="s">
        <v>222</v>
      </c>
      <c r="D64" t="s">
        <v>208</v>
      </c>
      <c r="E64" t="s">
        <v>115</v>
      </c>
      <c r="F64">
        <v>1.5</v>
      </c>
      <c r="G64">
        <v>4</v>
      </c>
      <c r="H64" t="s">
        <v>14</v>
      </c>
      <c r="I64" t="s">
        <v>15</v>
      </c>
      <c r="J64" t="s">
        <v>223</v>
      </c>
      <c r="K64">
        <f>Pqp_supermarket_data[[#This Row],[Unit_Price]]*Pqp_supermarket_data[[#This Row],[Quantity]]</f>
        <v>6</v>
      </c>
      <c r="L64" t="str">
        <f>TEXT(Pqp_supermarket_data[[#This Row],[DateTime]],"ddd")</f>
        <v>Mon</v>
      </c>
      <c r="M64" t="str">
        <f>TEXT(Pqp_supermarket_data[[#This Row],[DateTime]],"mmm")</f>
        <v>Sep</v>
      </c>
      <c r="N64" t="str">
        <f>TEXT(Pqp_supermarket_data[[#This Row],[DateTime]],"yyy")</f>
        <v>2024</v>
      </c>
    </row>
    <row r="65" spans="1:14" x14ac:dyDescent="0.35">
      <c r="A65" t="s">
        <v>224</v>
      </c>
      <c r="B65" s="1">
        <v>45070.148645231478</v>
      </c>
      <c r="C65" t="s">
        <v>225</v>
      </c>
      <c r="D65" t="s">
        <v>226</v>
      </c>
      <c r="E65" t="s">
        <v>26</v>
      </c>
      <c r="F65">
        <v>2.5</v>
      </c>
      <c r="G65">
        <v>4</v>
      </c>
      <c r="H65" t="s">
        <v>14</v>
      </c>
      <c r="I65" t="s">
        <v>40</v>
      </c>
      <c r="J65" t="s">
        <v>227</v>
      </c>
      <c r="K65">
        <f>Pqp_supermarket_data[[#This Row],[Unit_Price]]*Pqp_supermarket_data[[#This Row],[Quantity]]</f>
        <v>10</v>
      </c>
      <c r="L65" t="str">
        <f>TEXT(Pqp_supermarket_data[[#This Row],[DateTime]],"ddd")</f>
        <v>Wed</v>
      </c>
      <c r="M65" t="str">
        <f>TEXT(Pqp_supermarket_data[[#This Row],[DateTime]],"mmm")</f>
        <v>May</v>
      </c>
      <c r="N65" t="str">
        <f>TEXT(Pqp_supermarket_data[[#This Row],[DateTime]],"yyy")</f>
        <v>2023</v>
      </c>
    </row>
    <row r="66" spans="1:14" x14ac:dyDescent="0.35">
      <c r="A66" t="s">
        <v>228</v>
      </c>
      <c r="B66" s="1">
        <v>45391.045173009261</v>
      </c>
      <c r="C66" t="s">
        <v>229</v>
      </c>
      <c r="D66" t="s">
        <v>127</v>
      </c>
      <c r="E66" t="s">
        <v>65</v>
      </c>
      <c r="F66">
        <v>3</v>
      </c>
      <c r="G66">
        <v>5</v>
      </c>
      <c r="H66" t="s">
        <v>14</v>
      </c>
      <c r="I66" t="s">
        <v>61</v>
      </c>
      <c r="J66" t="s">
        <v>230</v>
      </c>
      <c r="K66">
        <f>Pqp_supermarket_data[[#This Row],[Unit_Price]]*Pqp_supermarket_data[[#This Row],[Quantity]]</f>
        <v>15</v>
      </c>
      <c r="L66" t="str">
        <f>TEXT(Pqp_supermarket_data[[#This Row],[DateTime]],"ddd")</f>
        <v>Tue</v>
      </c>
      <c r="M66" t="str">
        <f>TEXT(Pqp_supermarket_data[[#This Row],[DateTime]],"mmm")</f>
        <v>Apr</v>
      </c>
      <c r="N66" t="str">
        <f>TEXT(Pqp_supermarket_data[[#This Row],[DateTime]],"yyy")</f>
        <v>2024</v>
      </c>
    </row>
    <row r="67" spans="1:14" x14ac:dyDescent="0.35">
      <c r="A67" t="s">
        <v>231</v>
      </c>
      <c r="B67" s="1">
        <v>44743.029895231484</v>
      </c>
      <c r="C67" t="s">
        <v>232</v>
      </c>
      <c r="D67" t="s">
        <v>34</v>
      </c>
      <c r="E67" t="s">
        <v>20</v>
      </c>
      <c r="F67">
        <v>1</v>
      </c>
      <c r="G67">
        <v>6</v>
      </c>
      <c r="H67" t="s">
        <v>14</v>
      </c>
      <c r="I67" t="s">
        <v>40</v>
      </c>
      <c r="J67" t="s">
        <v>233</v>
      </c>
      <c r="K67">
        <f>Pqp_supermarket_data[[#This Row],[Unit_Price]]*Pqp_supermarket_data[[#This Row],[Quantity]]</f>
        <v>6</v>
      </c>
      <c r="L67" t="str">
        <f>TEXT(Pqp_supermarket_data[[#This Row],[DateTime]],"ddd")</f>
        <v>Fri</v>
      </c>
      <c r="M67" t="str">
        <f>TEXT(Pqp_supermarket_data[[#This Row],[DateTime]],"mmm")</f>
        <v>Jul</v>
      </c>
      <c r="N67" t="str">
        <f>TEXT(Pqp_supermarket_data[[#This Row],[DateTime]],"yyy")</f>
        <v>2022</v>
      </c>
    </row>
    <row r="68" spans="1:14" x14ac:dyDescent="0.35">
      <c r="A68" t="s">
        <v>234</v>
      </c>
      <c r="B68" s="1">
        <v>45252.32572857639</v>
      </c>
      <c r="C68" t="s">
        <v>235</v>
      </c>
      <c r="D68" t="s">
        <v>127</v>
      </c>
      <c r="E68" t="s">
        <v>137</v>
      </c>
      <c r="F68">
        <v>2.5</v>
      </c>
      <c r="G68">
        <v>2</v>
      </c>
      <c r="H68" t="s">
        <v>14</v>
      </c>
      <c r="I68" t="s">
        <v>21</v>
      </c>
      <c r="J68" t="s">
        <v>236</v>
      </c>
      <c r="K68">
        <f>Pqp_supermarket_data[[#This Row],[Unit_Price]]*Pqp_supermarket_data[[#This Row],[Quantity]]</f>
        <v>5</v>
      </c>
      <c r="L68" t="str">
        <f>TEXT(Pqp_supermarket_data[[#This Row],[DateTime]],"ddd")</f>
        <v>Wed</v>
      </c>
      <c r="M68" t="str">
        <f>TEXT(Pqp_supermarket_data[[#This Row],[DateTime]],"mmm")</f>
        <v>Nov</v>
      </c>
      <c r="N68" t="str">
        <f>TEXT(Pqp_supermarket_data[[#This Row],[DateTime]],"yyy")</f>
        <v>2023</v>
      </c>
    </row>
    <row r="69" spans="1:14" x14ac:dyDescent="0.35">
      <c r="A69" t="s">
        <v>237</v>
      </c>
      <c r="B69" s="1">
        <v>45078.566700798612</v>
      </c>
      <c r="C69" t="s">
        <v>238</v>
      </c>
      <c r="D69" t="s">
        <v>44</v>
      </c>
      <c r="E69" t="s">
        <v>145</v>
      </c>
      <c r="F69">
        <v>1.7</v>
      </c>
      <c r="G69">
        <v>10</v>
      </c>
      <c r="H69" t="s">
        <v>14</v>
      </c>
      <c r="I69" t="s">
        <v>21</v>
      </c>
      <c r="J69" t="s">
        <v>233</v>
      </c>
      <c r="K69">
        <f>Pqp_supermarket_data[[#This Row],[Unit_Price]]*Pqp_supermarket_data[[#This Row],[Quantity]]</f>
        <v>17</v>
      </c>
      <c r="L69" t="str">
        <f>TEXT(Pqp_supermarket_data[[#This Row],[DateTime]],"ddd")</f>
        <v>Thu</v>
      </c>
      <c r="M69" t="str">
        <f>TEXT(Pqp_supermarket_data[[#This Row],[DateTime]],"mmm")</f>
        <v>Jun</v>
      </c>
      <c r="N69" t="str">
        <f>TEXT(Pqp_supermarket_data[[#This Row],[DateTime]],"yyy")</f>
        <v>2023</v>
      </c>
    </row>
    <row r="70" spans="1:14" x14ac:dyDescent="0.35">
      <c r="A70" t="s">
        <v>239</v>
      </c>
      <c r="B70" s="1">
        <v>44997.801423020836</v>
      </c>
      <c r="C70" t="s">
        <v>240</v>
      </c>
      <c r="D70" t="s">
        <v>127</v>
      </c>
      <c r="E70" t="s">
        <v>137</v>
      </c>
      <c r="F70">
        <v>2.5</v>
      </c>
      <c r="G70">
        <v>7</v>
      </c>
      <c r="H70" t="s">
        <v>14</v>
      </c>
      <c r="I70" t="s">
        <v>40</v>
      </c>
      <c r="J70" t="s">
        <v>128</v>
      </c>
      <c r="K70">
        <f>Pqp_supermarket_data[[#This Row],[Unit_Price]]*Pqp_supermarket_data[[#This Row],[Quantity]]</f>
        <v>17.5</v>
      </c>
      <c r="L70" t="str">
        <f>TEXT(Pqp_supermarket_data[[#This Row],[DateTime]],"ddd")</f>
        <v>Sun</v>
      </c>
      <c r="M70" t="str">
        <f>TEXT(Pqp_supermarket_data[[#This Row],[DateTime]],"mmm")</f>
        <v>Mar</v>
      </c>
      <c r="N70" t="str">
        <f>TEXT(Pqp_supermarket_data[[#This Row],[DateTime]],"yyy")</f>
        <v>2023</v>
      </c>
    </row>
    <row r="71" spans="1:14" x14ac:dyDescent="0.35">
      <c r="A71" t="s">
        <v>241</v>
      </c>
      <c r="B71" s="1">
        <v>44683.65281190972</v>
      </c>
      <c r="C71" t="s">
        <v>242</v>
      </c>
      <c r="D71" t="s">
        <v>12</v>
      </c>
      <c r="E71" t="s">
        <v>78</v>
      </c>
      <c r="F71">
        <v>4</v>
      </c>
      <c r="G71">
        <v>6</v>
      </c>
      <c r="H71" t="s">
        <v>14</v>
      </c>
      <c r="I71" t="s">
        <v>86</v>
      </c>
      <c r="J71" t="s">
        <v>95</v>
      </c>
      <c r="K71">
        <f>Pqp_supermarket_data[[#This Row],[Unit_Price]]*Pqp_supermarket_data[[#This Row],[Quantity]]</f>
        <v>24</v>
      </c>
      <c r="L71" t="str">
        <f>TEXT(Pqp_supermarket_data[[#This Row],[DateTime]],"ddd")</f>
        <v>Mon</v>
      </c>
      <c r="M71" t="str">
        <f>TEXT(Pqp_supermarket_data[[#This Row],[DateTime]],"mmm")</f>
        <v>May</v>
      </c>
      <c r="N71" t="str">
        <f>TEXT(Pqp_supermarket_data[[#This Row],[DateTime]],"yyy")</f>
        <v>2022</v>
      </c>
    </row>
    <row r="72" spans="1:14" x14ac:dyDescent="0.35">
      <c r="A72" t="s">
        <v>243</v>
      </c>
      <c r="B72" s="1">
        <v>44426.116006354168</v>
      </c>
      <c r="C72" t="s">
        <v>244</v>
      </c>
      <c r="D72" t="s">
        <v>44</v>
      </c>
      <c r="E72" t="s">
        <v>148</v>
      </c>
      <c r="F72">
        <v>5.5</v>
      </c>
      <c r="G72">
        <v>5</v>
      </c>
      <c r="H72" t="s">
        <v>14</v>
      </c>
      <c r="I72" t="s">
        <v>21</v>
      </c>
      <c r="J72" t="s">
        <v>245</v>
      </c>
      <c r="K72">
        <f>Pqp_supermarket_data[[#This Row],[Unit_Price]]*Pqp_supermarket_data[[#This Row],[Quantity]]</f>
        <v>27.5</v>
      </c>
      <c r="L72" t="str">
        <f>TEXT(Pqp_supermarket_data[[#This Row],[DateTime]],"ddd")</f>
        <v>Wed</v>
      </c>
      <c r="M72" t="str">
        <f>TEXT(Pqp_supermarket_data[[#This Row],[DateTime]],"mmm")</f>
        <v>Aug</v>
      </c>
      <c r="N72" t="str">
        <f>TEXT(Pqp_supermarket_data[[#This Row],[DateTime]],"yyy")</f>
        <v>2021</v>
      </c>
    </row>
    <row r="73" spans="1:14" x14ac:dyDescent="0.35">
      <c r="A73" t="s">
        <v>246</v>
      </c>
      <c r="B73" s="1">
        <v>44421.004200810188</v>
      </c>
      <c r="C73" t="s">
        <v>247</v>
      </c>
      <c r="D73" t="s">
        <v>82</v>
      </c>
      <c r="E73" t="s">
        <v>57</v>
      </c>
      <c r="F73">
        <v>4.5</v>
      </c>
      <c r="G73">
        <v>9</v>
      </c>
      <c r="H73" t="s">
        <v>14</v>
      </c>
      <c r="I73" t="s">
        <v>15</v>
      </c>
      <c r="J73" t="s">
        <v>248</v>
      </c>
      <c r="K73">
        <f>Pqp_supermarket_data[[#This Row],[Unit_Price]]*Pqp_supermarket_data[[#This Row],[Quantity]]</f>
        <v>40.5</v>
      </c>
      <c r="L73" t="str">
        <f>TEXT(Pqp_supermarket_data[[#This Row],[DateTime]],"ddd")</f>
        <v>Fri</v>
      </c>
      <c r="M73" t="str">
        <f>TEXT(Pqp_supermarket_data[[#This Row],[DateTime]],"mmm")</f>
        <v>Aug</v>
      </c>
      <c r="N73" t="str">
        <f>TEXT(Pqp_supermarket_data[[#This Row],[DateTime]],"yyy")</f>
        <v>2021</v>
      </c>
    </row>
    <row r="74" spans="1:14" x14ac:dyDescent="0.35">
      <c r="A74" t="s">
        <v>249</v>
      </c>
      <c r="B74" s="1">
        <v>44924.668089699073</v>
      </c>
      <c r="C74" t="s">
        <v>250</v>
      </c>
      <c r="D74" t="s">
        <v>30</v>
      </c>
      <c r="E74" t="s">
        <v>94</v>
      </c>
      <c r="F74">
        <v>0.8</v>
      </c>
      <c r="G74">
        <v>10</v>
      </c>
      <c r="H74" t="s">
        <v>14</v>
      </c>
      <c r="I74" t="s">
        <v>21</v>
      </c>
      <c r="J74" t="s">
        <v>108</v>
      </c>
      <c r="K74">
        <f>Pqp_supermarket_data[[#This Row],[Unit_Price]]*Pqp_supermarket_data[[#This Row],[Quantity]]</f>
        <v>8</v>
      </c>
      <c r="L74" t="str">
        <f>TEXT(Pqp_supermarket_data[[#This Row],[DateTime]],"ddd")</f>
        <v>Thu</v>
      </c>
      <c r="M74" t="str">
        <f>TEXT(Pqp_supermarket_data[[#This Row],[DateTime]],"mmm")</f>
        <v>Dec</v>
      </c>
      <c r="N74" t="str">
        <f>TEXT(Pqp_supermarket_data[[#This Row],[DateTime]],"yyy")</f>
        <v>2022</v>
      </c>
    </row>
    <row r="75" spans="1:14" x14ac:dyDescent="0.35">
      <c r="A75" t="s">
        <v>251</v>
      </c>
      <c r="B75" s="1">
        <v>44954.814617476855</v>
      </c>
      <c r="C75" t="s">
        <v>252</v>
      </c>
      <c r="D75" t="s">
        <v>208</v>
      </c>
      <c r="E75" t="s">
        <v>57</v>
      </c>
      <c r="F75">
        <v>4.5</v>
      </c>
      <c r="G75">
        <v>5</v>
      </c>
      <c r="H75" t="s">
        <v>14</v>
      </c>
      <c r="I75" t="s">
        <v>15</v>
      </c>
      <c r="J75" t="s">
        <v>236</v>
      </c>
      <c r="K75">
        <f>Pqp_supermarket_data[[#This Row],[Unit_Price]]*Pqp_supermarket_data[[#This Row],[Quantity]]</f>
        <v>22.5</v>
      </c>
      <c r="L75" t="str">
        <f>TEXT(Pqp_supermarket_data[[#This Row],[DateTime]],"ddd")</f>
        <v>Sat</v>
      </c>
      <c r="M75" t="str">
        <f>TEXT(Pqp_supermarket_data[[#This Row],[DateTime]],"mmm")</f>
        <v>Jan</v>
      </c>
      <c r="N75" t="str">
        <f>TEXT(Pqp_supermarket_data[[#This Row],[DateTime]],"yyy")</f>
        <v>2023</v>
      </c>
    </row>
    <row r="76" spans="1:14" x14ac:dyDescent="0.35">
      <c r="A76" t="s">
        <v>253</v>
      </c>
      <c r="B76" s="1">
        <v>44598.739617488427</v>
      </c>
      <c r="C76" t="s">
        <v>254</v>
      </c>
      <c r="D76" t="s">
        <v>44</v>
      </c>
      <c r="E76" t="s">
        <v>70</v>
      </c>
      <c r="F76">
        <v>5</v>
      </c>
      <c r="G76">
        <v>8</v>
      </c>
      <c r="H76" t="s">
        <v>14</v>
      </c>
      <c r="I76" t="s">
        <v>86</v>
      </c>
      <c r="J76" t="s">
        <v>255</v>
      </c>
      <c r="K76">
        <f>Pqp_supermarket_data[[#This Row],[Unit_Price]]*Pqp_supermarket_data[[#This Row],[Quantity]]</f>
        <v>40</v>
      </c>
      <c r="L76" t="str">
        <f>TEXT(Pqp_supermarket_data[[#This Row],[DateTime]],"ddd")</f>
        <v>Sun</v>
      </c>
      <c r="M76" t="str">
        <f>TEXT(Pqp_supermarket_data[[#This Row],[DateTime]],"mmm")</f>
        <v>Feb</v>
      </c>
      <c r="N76" t="str">
        <f>TEXT(Pqp_supermarket_data[[#This Row],[DateTime]],"yyy")</f>
        <v>2022</v>
      </c>
    </row>
    <row r="77" spans="1:14" x14ac:dyDescent="0.35">
      <c r="A77" t="s">
        <v>256</v>
      </c>
      <c r="B77" s="1">
        <v>45348.872256377312</v>
      </c>
      <c r="C77" t="s">
        <v>257</v>
      </c>
      <c r="D77" t="s">
        <v>226</v>
      </c>
      <c r="E77" t="s">
        <v>94</v>
      </c>
      <c r="F77">
        <v>0.8</v>
      </c>
      <c r="G77">
        <v>2</v>
      </c>
      <c r="H77" t="s">
        <v>14</v>
      </c>
      <c r="I77" t="s">
        <v>61</v>
      </c>
      <c r="J77" t="s">
        <v>138</v>
      </c>
      <c r="K77">
        <f>Pqp_supermarket_data[[#This Row],[Unit_Price]]*Pqp_supermarket_data[[#This Row],[Quantity]]</f>
        <v>1.6</v>
      </c>
      <c r="L77" t="str">
        <f>TEXT(Pqp_supermarket_data[[#This Row],[DateTime]],"ddd")</f>
        <v>Mon</v>
      </c>
      <c r="M77" t="str">
        <f>TEXT(Pqp_supermarket_data[[#This Row],[DateTime]],"mmm")</f>
        <v>Feb</v>
      </c>
      <c r="N77" t="str">
        <f>TEXT(Pqp_supermarket_data[[#This Row],[DateTime]],"yyy")</f>
        <v>2024</v>
      </c>
    </row>
    <row r="78" spans="1:14" x14ac:dyDescent="0.35">
      <c r="A78" t="s">
        <v>258</v>
      </c>
      <c r="B78" s="1">
        <v>44426.699339710649</v>
      </c>
      <c r="C78" t="s">
        <v>259</v>
      </c>
      <c r="D78" t="s">
        <v>44</v>
      </c>
      <c r="E78" t="s">
        <v>65</v>
      </c>
      <c r="F78">
        <v>3</v>
      </c>
      <c r="G78">
        <v>4</v>
      </c>
      <c r="H78" t="s">
        <v>14</v>
      </c>
      <c r="I78" t="s">
        <v>36</v>
      </c>
      <c r="J78" t="s">
        <v>245</v>
      </c>
      <c r="K78">
        <f>Pqp_supermarket_data[[#This Row],[Unit_Price]]*Pqp_supermarket_data[[#This Row],[Quantity]]</f>
        <v>12</v>
      </c>
      <c r="L78" t="str">
        <f>TEXT(Pqp_supermarket_data[[#This Row],[DateTime]],"ddd")</f>
        <v>Wed</v>
      </c>
      <c r="M78" t="str">
        <f>TEXT(Pqp_supermarket_data[[#This Row],[DateTime]],"mmm")</f>
        <v>Aug</v>
      </c>
      <c r="N78" t="str">
        <f>TEXT(Pqp_supermarket_data[[#This Row],[DateTime]],"yyy")</f>
        <v>2021</v>
      </c>
    </row>
    <row r="79" spans="1:14" x14ac:dyDescent="0.35">
      <c r="A79" t="s">
        <v>260</v>
      </c>
      <c r="B79" s="1">
        <v>45326.303506377313</v>
      </c>
      <c r="C79" t="s">
        <v>261</v>
      </c>
      <c r="D79" t="s">
        <v>208</v>
      </c>
      <c r="E79" t="s">
        <v>137</v>
      </c>
      <c r="F79">
        <v>2.5</v>
      </c>
      <c r="G79">
        <v>4</v>
      </c>
      <c r="H79" t="s">
        <v>14</v>
      </c>
      <c r="I79" t="s">
        <v>86</v>
      </c>
      <c r="J79" t="s">
        <v>262</v>
      </c>
      <c r="K79">
        <f>Pqp_supermarket_data[[#This Row],[Unit_Price]]*Pqp_supermarket_data[[#This Row],[Quantity]]</f>
        <v>10</v>
      </c>
      <c r="L79" t="str">
        <f>TEXT(Pqp_supermarket_data[[#This Row],[DateTime]],"ddd")</f>
        <v>Sun</v>
      </c>
      <c r="M79" t="str">
        <f>TEXT(Pqp_supermarket_data[[#This Row],[DateTime]],"mmm")</f>
        <v>Feb</v>
      </c>
      <c r="N79" t="str">
        <f>TEXT(Pqp_supermarket_data[[#This Row],[DateTime]],"yyy")</f>
        <v>2024</v>
      </c>
    </row>
    <row r="80" spans="1:14" x14ac:dyDescent="0.35">
      <c r="A80" t="s">
        <v>263</v>
      </c>
      <c r="B80" s="1">
        <v>45636.958367488427</v>
      </c>
      <c r="C80" t="s">
        <v>264</v>
      </c>
      <c r="D80" t="s">
        <v>19</v>
      </c>
      <c r="E80" t="s">
        <v>119</v>
      </c>
      <c r="F80">
        <v>4</v>
      </c>
      <c r="G80">
        <v>4</v>
      </c>
      <c r="H80" t="s">
        <v>14</v>
      </c>
      <c r="I80" t="s">
        <v>36</v>
      </c>
      <c r="J80" t="s">
        <v>160</v>
      </c>
      <c r="K80">
        <f>Pqp_supermarket_data[[#This Row],[Unit_Price]]*Pqp_supermarket_data[[#This Row],[Quantity]]</f>
        <v>16</v>
      </c>
      <c r="L80" t="str">
        <f>TEXT(Pqp_supermarket_data[[#This Row],[DateTime]],"ddd")</f>
        <v>Tue</v>
      </c>
      <c r="M80" t="str">
        <f>TEXT(Pqp_supermarket_data[[#This Row],[DateTime]],"mmm")</f>
        <v>Dec</v>
      </c>
      <c r="N80" t="str">
        <f>TEXT(Pqp_supermarket_data[[#This Row],[DateTime]],"yyy")</f>
        <v>2024</v>
      </c>
    </row>
    <row r="81" spans="1:14" x14ac:dyDescent="0.35">
      <c r="A81" t="s">
        <v>265</v>
      </c>
      <c r="B81" s="1">
        <v>44999.917395277778</v>
      </c>
      <c r="C81" t="s">
        <v>266</v>
      </c>
      <c r="D81" t="s">
        <v>25</v>
      </c>
      <c r="E81" t="s">
        <v>111</v>
      </c>
      <c r="F81">
        <v>2.2000000000000002</v>
      </c>
      <c r="G81">
        <v>1</v>
      </c>
      <c r="H81" t="s">
        <v>14</v>
      </c>
      <c r="I81" t="s">
        <v>40</v>
      </c>
      <c r="J81" t="s">
        <v>267</v>
      </c>
      <c r="K81">
        <f>Pqp_supermarket_data[[#This Row],[Unit_Price]]*Pqp_supermarket_data[[#This Row],[Quantity]]</f>
        <v>2.2000000000000002</v>
      </c>
      <c r="L81" t="str">
        <f>TEXT(Pqp_supermarket_data[[#This Row],[DateTime]],"ddd")</f>
        <v>Tue</v>
      </c>
      <c r="M81" t="str">
        <f>TEXT(Pqp_supermarket_data[[#This Row],[DateTime]],"mmm")</f>
        <v>Mar</v>
      </c>
      <c r="N81" t="str">
        <f>TEXT(Pqp_supermarket_data[[#This Row],[DateTime]],"yyy")</f>
        <v>2023</v>
      </c>
    </row>
    <row r="82" spans="1:14" x14ac:dyDescent="0.35">
      <c r="A82" t="s">
        <v>268</v>
      </c>
      <c r="B82" s="1">
        <v>44916.260450833332</v>
      </c>
      <c r="C82" t="s">
        <v>269</v>
      </c>
      <c r="D82" t="s">
        <v>226</v>
      </c>
      <c r="E82" t="s">
        <v>90</v>
      </c>
      <c r="F82">
        <v>1.8</v>
      </c>
      <c r="G82">
        <v>8</v>
      </c>
      <c r="H82" t="s">
        <v>14</v>
      </c>
      <c r="I82" t="s">
        <v>40</v>
      </c>
      <c r="J82" t="s">
        <v>270</v>
      </c>
      <c r="K82">
        <f>Pqp_supermarket_data[[#This Row],[Unit_Price]]*Pqp_supermarket_data[[#This Row],[Quantity]]</f>
        <v>14.4</v>
      </c>
      <c r="L82" t="str">
        <f>TEXT(Pqp_supermarket_data[[#This Row],[DateTime]],"ddd")</f>
        <v>Wed</v>
      </c>
      <c r="M82" t="str">
        <f>TEXT(Pqp_supermarket_data[[#This Row],[DateTime]],"mmm")</f>
        <v>Dec</v>
      </c>
      <c r="N82" t="str">
        <f>TEXT(Pqp_supermarket_data[[#This Row],[DateTime]],"yyy")</f>
        <v>2022</v>
      </c>
    </row>
    <row r="83" spans="1:14" x14ac:dyDescent="0.35">
      <c r="A83" t="s">
        <v>271</v>
      </c>
      <c r="B83" s="1">
        <v>45276.414617511575</v>
      </c>
      <c r="C83" t="s">
        <v>272</v>
      </c>
      <c r="D83" t="s">
        <v>69</v>
      </c>
      <c r="E83" t="s">
        <v>70</v>
      </c>
      <c r="F83">
        <v>5</v>
      </c>
      <c r="G83">
        <v>9</v>
      </c>
      <c r="H83" t="s">
        <v>14</v>
      </c>
      <c r="I83" t="s">
        <v>21</v>
      </c>
      <c r="J83" t="s">
        <v>273</v>
      </c>
      <c r="K83">
        <f>Pqp_supermarket_data[[#This Row],[Unit_Price]]*Pqp_supermarket_data[[#This Row],[Quantity]]</f>
        <v>45</v>
      </c>
      <c r="L83" t="str">
        <f>TEXT(Pqp_supermarket_data[[#This Row],[DateTime]],"ddd")</f>
        <v>Sat</v>
      </c>
      <c r="M83" t="str">
        <f>TEXT(Pqp_supermarket_data[[#This Row],[DateTime]],"mmm")</f>
        <v>Dec</v>
      </c>
      <c r="N83" t="str">
        <f>TEXT(Pqp_supermarket_data[[#This Row],[DateTime]],"yyy")</f>
        <v>2023</v>
      </c>
    </row>
    <row r="84" spans="1:14" x14ac:dyDescent="0.35">
      <c r="A84" t="s">
        <v>274</v>
      </c>
      <c r="B84" s="1">
        <v>45136.949339733794</v>
      </c>
      <c r="C84" t="s">
        <v>275</v>
      </c>
      <c r="D84" t="s">
        <v>34</v>
      </c>
      <c r="E84" t="s">
        <v>90</v>
      </c>
      <c r="F84">
        <v>1.8</v>
      </c>
      <c r="G84">
        <v>7</v>
      </c>
      <c r="H84" t="s">
        <v>14</v>
      </c>
      <c r="I84" t="s">
        <v>21</v>
      </c>
      <c r="J84" t="s">
        <v>31</v>
      </c>
      <c r="K84">
        <f>Pqp_supermarket_data[[#This Row],[Unit_Price]]*Pqp_supermarket_data[[#This Row],[Quantity]]</f>
        <v>12.6</v>
      </c>
      <c r="L84" t="str">
        <f>TEXT(Pqp_supermarket_data[[#This Row],[DateTime]],"ddd")</f>
        <v>Sat</v>
      </c>
      <c r="M84" t="str">
        <f>TEXT(Pqp_supermarket_data[[#This Row],[DateTime]],"mmm")</f>
        <v>Jul</v>
      </c>
      <c r="N84" t="str">
        <f>TEXT(Pqp_supermarket_data[[#This Row],[DateTime]],"yyy")</f>
        <v>2023</v>
      </c>
    </row>
    <row r="85" spans="1:14" x14ac:dyDescent="0.35">
      <c r="A85" t="s">
        <v>276</v>
      </c>
      <c r="B85" s="1">
        <v>45460.563228622683</v>
      </c>
      <c r="C85" t="s">
        <v>277</v>
      </c>
      <c r="D85" t="s">
        <v>98</v>
      </c>
      <c r="E85" t="s">
        <v>70</v>
      </c>
      <c r="F85">
        <v>5</v>
      </c>
      <c r="G85">
        <v>5</v>
      </c>
      <c r="H85" t="s">
        <v>14</v>
      </c>
      <c r="I85" t="s">
        <v>15</v>
      </c>
      <c r="J85" t="s">
        <v>71</v>
      </c>
      <c r="K85">
        <f>Pqp_supermarket_data[[#This Row],[Unit_Price]]*Pqp_supermarket_data[[#This Row],[Quantity]]</f>
        <v>25</v>
      </c>
      <c r="L85" t="str">
        <f>TEXT(Pqp_supermarket_data[[#This Row],[DateTime]],"ddd")</f>
        <v>Mon</v>
      </c>
      <c r="M85" t="str">
        <f>TEXT(Pqp_supermarket_data[[#This Row],[DateTime]],"mmm")</f>
        <v>Jun</v>
      </c>
      <c r="N85" t="str">
        <f>TEXT(Pqp_supermarket_data[[#This Row],[DateTime]],"yyy")</f>
        <v>2024</v>
      </c>
    </row>
    <row r="86" spans="1:14" x14ac:dyDescent="0.35">
      <c r="A86" t="s">
        <v>278</v>
      </c>
      <c r="B86" s="1">
        <v>45218.871561956017</v>
      </c>
      <c r="C86" t="s">
        <v>279</v>
      </c>
      <c r="D86" t="s">
        <v>30</v>
      </c>
      <c r="E86" t="s">
        <v>26</v>
      </c>
      <c r="F86">
        <v>2.5</v>
      </c>
      <c r="G86">
        <v>5</v>
      </c>
      <c r="H86" t="s">
        <v>14</v>
      </c>
      <c r="I86" t="s">
        <v>86</v>
      </c>
      <c r="J86" t="s">
        <v>205</v>
      </c>
      <c r="K86">
        <f>Pqp_supermarket_data[[#This Row],[Unit_Price]]*Pqp_supermarket_data[[#This Row],[Quantity]]</f>
        <v>12.5</v>
      </c>
      <c r="L86" t="str">
        <f>TEXT(Pqp_supermarket_data[[#This Row],[DateTime]],"ddd")</f>
        <v>Thu</v>
      </c>
      <c r="M86" t="str">
        <f>TEXT(Pqp_supermarket_data[[#This Row],[DateTime]],"mmm")</f>
        <v>Oct</v>
      </c>
      <c r="N86" t="str">
        <f>TEXT(Pqp_supermarket_data[[#This Row],[DateTime]],"yyy")</f>
        <v>2023</v>
      </c>
    </row>
    <row r="87" spans="1:14" x14ac:dyDescent="0.35">
      <c r="A87" t="s">
        <v>280</v>
      </c>
      <c r="B87" s="1">
        <v>45201.256284189818</v>
      </c>
      <c r="C87" t="s">
        <v>281</v>
      </c>
      <c r="D87" t="s">
        <v>44</v>
      </c>
      <c r="E87" t="s">
        <v>39</v>
      </c>
      <c r="F87">
        <v>3.2</v>
      </c>
      <c r="G87">
        <v>9</v>
      </c>
      <c r="H87" t="s">
        <v>14</v>
      </c>
      <c r="I87" t="s">
        <v>40</v>
      </c>
      <c r="J87" t="s">
        <v>16</v>
      </c>
      <c r="K87">
        <f>Pqp_supermarket_data[[#This Row],[Unit_Price]]*Pqp_supermarket_data[[#This Row],[Quantity]]</f>
        <v>28.8</v>
      </c>
      <c r="L87" t="str">
        <f>TEXT(Pqp_supermarket_data[[#This Row],[DateTime]],"ddd")</f>
        <v>Mon</v>
      </c>
      <c r="M87" t="str">
        <f>TEXT(Pqp_supermarket_data[[#This Row],[DateTime]],"mmm")</f>
        <v>Oct</v>
      </c>
      <c r="N87" t="str">
        <f>TEXT(Pqp_supermarket_data[[#This Row],[DateTime]],"yyy")</f>
        <v>2023</v>
      </c>
    </row>
    <row r="88" spans="1:14" x14ac:dyDescent="0.35">
      <c r="A88" t="s">
        <v>282</v>
      </c>
      <c r="B88" s="1">
        <v>45478.251423078706</v>
      </c>
      <c r="C88" t="s">
        <v>283</v>
      </c>
      <c r="D88" t="s">
        <v>12</v>
      </c>
      <c r="E88" t="s">
        <v>111</v>
      </c>
      <c r="F88">
        <v>2.2000000000000002</v>
      </c>
      <c r="G88">
        <v>4</v>
      </c>
      <c r="H88" t="s">
        <v>14</v>
      </c>
      <c r="I88" t="s">
        <v>40</v>
      </c>
      <c r="J88" t="s">
        <v>175</v>
      </c>
      <c r="K88">
        <f>Pqp_supermarket_data[[#This Row],[Unit_Price]]*Pqp_supermarket_data[[#This Row],[Quantity]]</f>
        <v>8.8000000000000007</v>
      </c>
      <c r="L88" t="str">
        <f>TEXT(Pqp_supermarket_data[[#This Row],[DateTime]],"ddd")</f>
        <v>Fri</v>
      </c>
      <c r="M88" t="str">
        <f>TEXT(Pqp_supermarket_data[[#This Row],[DateTime]],"mmm")</f>
        <v>Jul</v>
      </c>
      <c r="N88" t="str">
        <f>TEXT(Pqp_supermarket_data[[#This Row],[DateTime]],"yyy")</f>
        <v>2024</v>
      </c>
    </row>
    <row r="89" spans="1:14" x14ac:dyDescent="0.35">
      <c r="A89" t="s">
        <v>284</v>
      </c>
      <c r="B89" s="1">
        <v>44952.11947863426</v>
      </c>
      <c r="C89" t="s">
        <v>285</v>
      </c>
      <c r="D89" t="s">
        <v>98</v>
      </c>
      <c r="E89" t="s">
        <v>145</v>
      </c>
      <c r="F89">
        <v>1.7</v>
      </c>
      <c r="G89">
        <v>1</v>
      </c>
      <c r="H89" t="s">
        <v>14</v>
      </c>
      <c r="I89" t="s">
        <v>15</v>
      </c>
      <c r="J89" t="s">
        <v>175</v>
      </c>
      <c r="K89">
        <f>Pqp_supermarket_data[[#This Row],[Unit_Price]]*Pqp_supermarket_data[[#This Row],[Quantity]]</f>
        <v>1.7</v>
      </c>
      <c r="L89" t="str">
        <f>TEXT(Pqp_supermarket_data[[#This Row],[DateTime]],"ddd")</f>
        <v>Thu</v>
      </c>
      <c r="M89" t="str">
        <f>TEXT(Pqp_supermarket_data[[#This Row],[DateTime]],"mmm")</f>
        <v>Jan</v>
      </c>
      <c r="N89" t="str">
        <f>TEXT(Pqp_supermarket_data[[#This Row],[DateTime]],"yyy")</f>
        <v>2023</v>
      </c>
    </row>
    <row r="90" spans="1:14" x14ac:dyDescent="0.35">
      <c r="A90" t="s">
        <v>286</v>
      </c>
      <c r="B90" s="1">
        <v>44988.779200856479</v>
      </c>
      <c r="C90" t="s">
        <v>287</v>
      </c>
      <c r="D90" t="s">
        <v>208</v>
      </c>
      <c r="E90" t="s">
        <v>119</v>
      </c>
      <c r="F90">
        <v>4</v>
      </c>
      <c r="G90">
        <v>7</v>
      </c>
      <c r="H90" t="s">
        <v>14</v>
      </c>
      <c r="I90" t="s">
        <v>86</v>
      </c>
      <c r="J90" t="s">
        <v>288</v>
      </c>
      <c r="K90">
        <f>Pqp_supermarket_data[[#This Row],[Unit_Price]]*Pqp_supermarket_data[[#This Row],[Quantity]]</f>
        <v>28</v>
      </c>
      <c r="L90" t="str">
        <f>TEXT(Pqp_supermarket_data[[#This Row],[DateTime]],"ddd")</f>
        <v>Fri</v>
      </c>
      <c r="M90" t="str">
        <f>TEXT(Pqp_supermarket_data[[#This Row],[DateTime]],"mmm")</f>
        <v>Mar</v>
      </c>
      <c r="N90" t="str">
        <f>TEXT(Pqp_supermarket_data[[#This Row],[DateTime]],"yyy")</f>
        <v>2023</v>
      </c>
    </row>
    <row r="91" spans="1:14" x14ac:dyDescent="0.35">
      <c r="A91" t="s">
        <v>289</v>
      </c>
      <c r="B91" s="1">
        <v>45066.151423090276</v>
      </c>
      <c r="C91" t="s">
        <v>290</v>
      </c>
      <c r="D91" t="s">
        <v>82</v>
      </c>
      <c r="E91" t="s">
        <v>145</v>
      </c>
      <c r="F91">
        <v>1.7</v>
      </c>
      <c r="G91">
        <v>9</v>
      </c>
      <c r="H91" t="s">
        <v>14</v>
      </c>
      <c r="I91" t="s">
        <v>36</v>
      </c>
      <c r="J91" t="s">
        <v>202</v>
      </c>
      <c r="K91">
        <f>Pqp_supermarket_data[[#This Row],[Unit_Price]]*Pqp_supermarket_data[[#This Row],[Quantity]]</f>
        <v>15.299999999999999</v>
      </c>
      <c r="L91" t="str">
        <f>TEXT(Pqp_supermarket_data[[#This Row],[DateTime]],"ddd")</f>
        <v>Sat</v>
      </c>
      <c r="M91" t="str">
        <f>TEXT(Pqp_supermarket_data[[#This Row],[DateTime]],"mmm")</f>
        <v>May</v>
      </c>
      <c r="N91" t="str">
        <f>TEXT(Pqp_supermarket_data[[#This Row],[DateTime]],"yyy")</f>
        <v>2023</v>
      </c>
    </row>
    <row r="92" spans="1:14" x14ac:dyDescent="0.35">
      <c r="A92" t="s">
        <v>291</v>
      </c>
      <c r="B92" s="1">
        <v>44667.728506423613</v>
      </c>
      <c r="C92" t="s">
        <v>292</v>
      </c>
      <c r="D92" t="s">
        <v>25</v>
      </c>
      <c r="E92" t="s">
        <v>115</v>
      </c>
      <c r="F92">
        <v>1.5</v>
      </c>
      <c r="G92">
        <v>4</v>
      </c>
      <c r="H92" t="s">
        <v>14</v>
      </c>
      <c r="I92" t="s">
        <v>61</v>
      </c>
      <c r="J92" t="s">
        <v>236</v>
      </c>
      <c r="K92">
        <f>Pqp_supermarket_data[[#This Row],[Unit_Price]]*Pqp_supermarket_data[[#This Row],[Quantity]]</f>
        <v>6</v>
      </c>
      <c r="L92" t="str">
        <f>TEXT(Pqp_supermarket_data[[#This Row],[DateTime]],"ddd")</f>
        <v>Sat</v>
      </c>
      <c r="M92" t="str">
        <f>TEXT(Pqp_supermarket_data[[#This Row],[DateTime]],"mmm")</f>
        <v>Apr</v>
      </c>
      <c r="N92" t="str">
        <f>TEXT(Pqp_supermarket_data[[#This Row],[DateTime]],"yyy")</f>
        <v>2022</v>
      </c>
    </row>
    <row r="93" spans="1:14" x14ac:dyDescent="0.35">
      <c r="A93" t="s">
        <v>293</v>
      </c>
      <c r="B93" s="1">
        <v>44792.543089756946</v>
      </c>
      <c r="C93" t="s">
        <v>294</v>
      </c>
      <c r="D93" t="s">
        <v>44</v>
      </c>
      <c r="E93" t="s">
        <v>49</v>
      </c>
      <c r="F93">
        <v>7</v>
      </c>
      <c r="G93">
        <v>3</v>
      </c>
      <c r="H93" t="s">
        <v>14</v>
      </c>
      <c r="I93" t="s">
        <v>86</v>
      </c>
      <c r="J93" t="s">
        <v>295</v>
      </c>
      <c r="K93">
        <f>Pqp_supermarket_data[[#This Row],[Unit_Price]]*Pqp_supermarket_data[[#This Row],[Quantity]]</f>
        <v>21</v>
      </c>
      <c r="L93" t="str">
        <f>TEXT(Pqp_supermarket_data[[#This Row],[DateTime]],"ddd")</f>
        <v>Fri</v>
      </c>
      <c r="M93" t="str">
        <f>TEXT(Pqp_supermarket_data[[#This Row],[DateTime]],"mmm")</f>
        <v>Aug</v>
      </c>
      <c r="N93" t="str">
        <f>TEXT(Pqp_supermarket_data[[#This Row],[DateTime]],"yyy")</f>
        <v>2022</v>
      </c>
    </row>
    <row r="94" spans="1:14" x14ac:dyDescent="0.35">
      <c r="A94" t="s">
        <v>296</v>
      </c>
      <c r="B94" s="1">
        <v>44511.850728657409</v>
      </c>
      <c r="C94" t="s">
        <v>297</v>
      </c>
      <c r="D94" t="s">
        <v>19</v>
      </c>
      <c r="E94" t="s">
        <v>49</v>
      </c>
      <c r="F94">
        <v>7</v>
      </c>
      <c r="G94">
        <v>10</v>
      </c>
      <c r="H94" t="s">
        <v>14</v>
      </c>
      <c r="I94" t="s">
        <v>21</v>
      </c>
      <c r="J94" t="s">
        <v>227</v>
      </c>
      <c r="K94">
        <f>Pqp_supermarket_data[[#This Row],[Unit_Price]]*Pqp_supermarket_data[[#This Row],[Quantity]]</f>
        <v>70</v>
      </c>
      <c r="L94" t="str">
        <f>TEXT(Pqp_supermarket_data[[#This Row],[DateTime]],"ddd")</f>
        <v>Thu</v>
      </c>
      <c r="M94" t="str">
        <f>TEXT(Pqp_supermarket_data[[#This Row],[DateTime]],"mmm")</f>
        <v>Nov</v>
      </c>
      <c r="N94" t="str">
        <f>TEXT(Pqp_supermarket_data[[#This Row],[DateTime]],"yyy")</f>
        <v>2021</v>
      </c>
    </row>
    <row r="95" spans="1:14" x14ac:dyDescent="0.35">
      <c r="A95" t="s">
        <v>298</v>
      </c>
      <c r="B95" s="1">
        <v>45731.447950879628</v>
      </c>
      <c r="C95" t="s">
        <v>299</v>
      </c>
      <c r="D95" t="s">
        <v>82</v>
      </c>
      <c r="E95" t="s">
        <v>111</v>
      </c>
      <c r="F95">
        <v>2.2000000000000002</v>
      </c>
      <c r="G95">
        <v>8</v>
      </c>
      <c r="H95" t="s">
        <v>14</v>
      </c>
      <c r="I95" t="s">
        <v>15</v>
      </c>
      <c r="J95" t="s">
        <v>166</v>
      </c>
      <c r="K95">
        <f>Pqp_supermarket_data[[#This Row],[Unit_Price]]*Pqp_supermarket_data[[#This Row],[Quantity]]</f>
        <v>17.600000000000001</v>
      </c>
      <c r="L95" t="str">
        <f>TEXT(Pqp_supermarket_data[[#This Row],[DateTime]],"ddd")</f>
        <v>Sat</v>
      </c>
      <c r="M95" t="str">
        <f>TEXT(Pqp_supermarket_data[[#This Row],[DateTime]],"mmm")</f>
        <v>Mar</v>
      </c>
      <c r="N95" t="str">
        <f>TEXT(Pqp_supermarket_data[[#This Row],[DateTime]],"yyy")</f>
        <v>2025</v>
      </c>
    </row>
    <row r="96" spans="1:14" x14ac:dyDescent="0.35">
      <c r="A96" t="s">
        <v>300</v>
      </c>
      <c r="B96" s="1">
        <v>45254.045867546294</v>
      </c>
      <c r="C96" t="s">
        <v>301</v>
      </c>
      <c r="D96" t="s">
        <v>25</v>
      </c>
      <c r="E96" t="s">
        <v>70</v>
      </c>
      <c r="F96">
        <v>5</v>
      </c>
      <c r="G96">
        <v>6</v>
      </c>
      <c r="H96" t="s">
        <v>14</v>
      </c>
      <c r="I96" t="s">
        <v>61</v>
      </c>
      <c r="J96" t="s">
        <v>302</v>
      </c>
      <c r="K96">
        <f>Pqp_supermarket_data[[#This Row],[Unit_Price]]*Pqp_supermarket_data[[#This Row],[Quantity]]</f>
        <v>30</v>
      </c>
      <c r="L96" t="str">
        <f>TEXT(Pqp_supermarket_data[[#This Row],[DateTime]],"ddd")</f>
        <v>Fri</v>
      </c>
      <c r="M96" t="str">
        <f>TEXT(Pqp_supermarket_data[[#This Row],[DateTime]],"mmm")</f>
        <v>Nov</v>
      </c>
      <c r="N96" t="str">
        <f>TEXT(Pqp_supermarket_data[[#This Row],[DateTime]],"yyy")</f>
        <v>2023</v>
      </c>
    </row>
    <row r="97" spans="1:14" x14ac:dyDescent="0.35">
      <c r="A97" t="s">
        <v>303</v>
      </c>
      <c r="B97" s="1">
        <v>45010.193089780092</v>
      </c>
      <c r="C97" t="s">
        <v>304</v>
      </c>
      <c r="D97" t="s">
        <v>34</v>
      </c>
      <c r="E97" t="s">
        <v>145</v>
      </c>
      <c r="F97">
        <v>1.7</v>
      </c>
      <c r="G97">
        <v>5</v>
      </c>
      <c r="H97" t="s">
        <v>14</v>
      </c>
      <c r="I97" t="s">
        <v>40</v>
      </c>
      <c r="J97" t="s">
        <v>122</v>
      </c>
      <c r="K97">
        <f>Pqp_supermarket_data[[#This Row],[Unit_Price]]*Pqp_supermarket_data[[#This Row],[Quantity]]</f>
        <v>8.5</v>
      </c>
      <c r="L97" t="str">
        <f>TEXT(Pqp_supermarket_data[[#This Row],[DateTime]],"ddd")</f>
        <v>Sat</v>
      </c>
      <c r="M97" t="str">
        <f>TEXT(Pqp_supermarket_data[[#This Row],[DateTime]],"mmm")</f>
        <v>Mar</v>
      </c>
      <c r="N97" t="str">
        <f>TEXT(Pqp_supermarket_data[[#This Row],[DateTime]],"yyy")</f>
        <v>2023</v>
      </c>
    </row>
    <row r="98" spans="1:14" x14ac:dyDescent="0.35">
      <c r="A98" t="s">
        <v>305</v>
      </c>
      <c r="B98" s="1">
        <v>45746.577812002317</v>
      </c>
      <c r="C98" t="s">
        <v>306</v>
      </c>
      <c r="D98" t="s">
        <v>208</v>
      </c>
      <c r="E98" t="s">
        <v>53</v>
      </c>
      <c r="F98">
        <v>2.8</v>
      </c>
      <c r="G98">
        <v>4</v>
      </c>
      <c r="H98" t="s">
        <v>14</v>
      </c>
      <c r="I98" t="s">
        <v>36</v>
      </c>
      <c r="J98" t="s">
        <v>95</v>
      </c>
      <c r="K98">
        <f>Pqp_supermarket_data[[#This Row],[Unit_Price]]*Pqp_supermarket_data[[#This Row],[Quantity]]</f>
        <v>11.2</v>
      </c>
      <c r="L98" t="str">
        <f>TEXT(Pqp_supermarket_data[[#This Row],[DateTime]],"ddd")</f>
        <v>Sun</v>
      </c>
      <c r="M98" t="str">
        <f>TEXT(Pqp_supermarket_data[[#This Row],[DateTime]],"mmm")</f>
        <v>Mar</v>
      </c>
      <c r="N98" t="str">
        <f>TEXT(Pqp_supermarket_data[[#This Row],[DateTime]],"yyy")</f>
        <v>2025</v>
      </c>
    </row>
    <row r="99" spans="1:14" x14ac:dyDescent="0.35">
      <c r="A99" t="s">
        <v>307</v>
      </c>
      <c r="B99" s="1">
        <v>44452.484756469908</v>
      </c>
      <c r="C99" t="s">
        <v>308</v>
      </c>
      <c r="D99" t="s">
        <v>208</v>
      </c>
      <c r="E99" t="s">
        <v>26</v>
      </c>
      <c r="F99">
        <v>2.5</v>
      </c>
      <c r="G99">
        <v>4</v>
      </c>
      <c r="H99" t="s">
        <v>14</v>
      </c>
      <c r="I99" t="s">
        <v>40</v>
      </c>
      <c r="J99" t="s">
        <v>215</v>
      </c>
      <c r="K99">
        <f>Pqp_supermarket_data[[#This Row],[Unit_Price]]*Pqp_supermarket_data[[#This Row],[Quantity]]</f>
        <v>10</v>
      </c>
      <c r="L99" t="str">
        <f>TEXT(Pqp_supermarket_data[[#This Row],[DateTime]],"ddd")</f>
        <v>Mon</v>
      </c>
      <c r="M99" t="str">
        <f>TEXT(Pqp_supermarket_data[[#This Row],[DateTime]],"mmm")</f>
        <v>Sep</v>
      </c>
      <c r="N99" t="str">
        <f>TEXT(Pqp_supermarket_data[[#This Row],[DateTime]],"yyy")</f>
        <v>2021</v>
      </c>
    </row>
    <row r="100" spans="1:14" x14ac:dyDescent="0.35">
      <c r="A100" t="s">
        <v>309</v>
      </c>
      <c r="B100" s="1">
        <v>45474.262534259258</v>
      </c>
      <c r="C100" t="s">
        <v>310</v>
      </c>
      <c r="D100" t="s">
        <v>98</v>
      </c>
      <c r="E100" t="s">
        <v>148</v>
      </c>
      <c r="F100">
        <v>5.5</v>
      </c>
      <c r="G100">
        <v>10</v>
      </c>
      <c r="H100" t="s">
        <v>14</v>
      </c>
      <c r="I100" t="s">
        <v>15</v>
      </c>
      <c r="J100" t="s">
        <v>311</v>
      </c>
      <c r="K100">
        <f>Pqp_supermarket_data[[#This Row],[Unit_Price]]*Pqp_supermarket_data[[#This Row],[Quantity]]</f>
        <v>55</v>
      </c>
      <c r="L100" t="str">
        <f>TEXT(Pqp_supermarket_data[[#This Row],[DateTime]],"ddd")</f>
        <v>Mon</v>
      </c>
      <c r="M100" t="str">
        <f>TEXT(Pqp_supermarket_data[[#This Row],[DateTime]],"mmm")</f>
        <v>Jul</v>
      </c>
      <c r="N100" t="str">
        <f>TEXT(Pqp_supermarket_data[[#This Row],[DateTime]],"yyy")</f>
        <v>2024</v>
      </c>
    </row>
    <row r="101" spans="1:14" x14ac:dyDescent="0.35">
      <c r="A101" t="s">
        <v>312</v>
      </c>
      <c r="B101" s="1">
        <v>44354.192395370374</v>
      </c>
      <c r="C101" t="s">
        <v>313</v>
      </c>
      <c r="D101" t="s">
        <v>44</v>
      </c>
      <c r="E101" t="s">
        <v>94</v>
      </c>
      <c r="F101">
        <v>0.8</v>
      </c>
      <c r="G101">
        <v>10</v>
      </c>
      <c r="H101" t="s">
        <v>14</v>
      </c>
      <c r="I101" t="s">
        <v>21</v>
      </c>
      <c r="J101" t="s">
        <v>314</v>
      </c>
      <c r="K101">
        <f>Pqp_supermarket_data[[#This Row],[Unit_Price]]*Pqp_supermarket_data[[#This Row],[Quantity]]</f>
        <v>8</v>
      </c>
      <c r="L101" t="str">
        <f>TEXT(Pqp_supermarket_data[[#This Row],[DateTime]],"ddd")</f>
        <v>Mon</v>
      </c>
      <c r="M101" t="str">
        <f>TEXT(Pqp_supermarket_data[[#This Row],[DateTime]],"mmm")</f>
        <v>Jun</v>
      </c>
      <c r="N101" t="str">
        <f>TEXT(Pqp_supermarket_data[[#This Row],[DateTime]],"yyy")</f>
        <v>2021</v>
      </c>
    </row>
    <row r="102" spans="1:14" x14ac:dyDescent="0.35">
      <c r="A102" t="s">
        <v>315</v>
      </c>
      <c r="B102" s="1">
        <v>45552.338228715278</v>
      </c>
      <c r="C102" t="s">
        <v>316</v>
      </c>
      <c r="D102" t="s">
        <v>77</v>
      </c>
      <c r="E102" t="s">
        <v>119</v>
      </c>
      <c r="F102">
        <v>4</v>
      </c>
      <c r="G102">
        <v>1</v>
      </c>
      <c r="H102" t="s">
        <v>14</v>
      </c>
      <c r="I102" t="s">
        <v>61</v>
      </c>
      <c r="J102" t="s">
        <v>317</v>
      </c>
      <c r="K102">
        <f>Pqp_supermarket_data[[#This Row],[Unit_Price]]*Pqp_supermarket_data[[#This Row],[Quantity]]</f>
        <v>4</v>
      </c>
      <c r="L102" t="str">
        <f>TEXT(Pqp_supermarket_data[[#This Row],[DateTime]],"ddd")</f>
        <v>Tue</v>
      </c>
      <c r="M102" t="str">
        <f>TEXT(Pqp_supermarket_data[[#This Row],[DateTime]],"mmm")</f>
        <v>Sep</v>
      </c>
      <c r="N102" t="str">
        <f>TEXT(Pqp_supermarket_data[[#This Row],[DateTime]],"yyy")</f>
        <v>2024</v>
      </c>
    </row>
    <row r="103" spans="1:14" x14ac:dyDescent="0.35">
      <c r="A103" t="s">
        <v>318</v>
      </c>
      <c r="B103" s="1">
        <v>44399.042395381941</v>
      </c>
      <c r="C103" t="s">
        <v>319</v>
      </c>
      <c r="D103" t="s">
        <v>12</v>
      </c>
      <c r="E103" t="s">
        <v>78</v>
      </c>
      <c r="F103">
        <v>4</v>
      </c>
      <c r="G103">
        <v>2</v>
      </c>
      <c r="H103" t="s">
        <v>14</v>
      </c>
      <c r="I103" t="s">
        <v>21</v>
      </c>
      <c r="J103" t="s">
        <v>320</v>
      </c>
      <c r="K103">
        <f>Pqp_supermarket_data[[#This Row],[Unit_Price]]*Pqp_supermarket_data[[#This Row],[Quantity]]</f>
        <v>8</v>
      </c>
      <c r="L103" t="str">
        <f>TEXT(Pqp_supermarket_data[[#This Row],[DateTime]],"ddd")</f>
        <v>Thu</v>
      </c>
      <c r="M103" t="str">
        <f>TEXT(Pqp_supermarket_data[[#This Row],[DateTime]],"mmm")</f>
        <v>Jul</v>
      </c>
      <c r="N103" t="str">
        <f>TEXT(Pqp_supermarket_data[[#This Row],[DateTime]],"yyy")</f>
        <v>2021</v>
      </c>
    </row>
    <row r="104" spans="1:14" x14ac:dyDescent="0.35">
      <c r="A104" t="s">
        <v>321</v>
      </c>
      <c r="B104" s="1">
        <v>44502.26392315972</v>
      </c>
      <c r="C104" t="s">
        <v>322</v>
      </c>
      <c r="D104" t="s">
        <v>12</v>
      </c>
      <c r="E104" t="s">
        <v>57</v>
      </c>
      <c r="F104">
        <v>4.5</v>
      </c>
      <c r="G104">
        <v>10</v>
      </c>
      <c r="H104" t="s">
        <v>14</v>
      </c>
      <c r="I104" t="s">
        <v>40</v>
      </c>
      <c r="J104" t="s">
        <v>323</v>
      </c>
      <c r="K104">
        <f>Pqp_supermarket_data[[#This Row],[Unit_Price]]*Pqp_supermarket_data[[#This Row],[Quantity]]</f>
        <v>45</v>
      </c>
      <c r="L104" t="str">
        <f>TEXT(Pqp_supermarket_data[[#This Row],[DateTime]],"ddd")</f>
        <v>Tue</v>
      </c>
      <c r="M104" t="str">
        <f>TEXT(Pqp_supermarket_data[[#This Row],[DateTime]],"mmm")</f>
        <v>Nov</v>
      </c>
      <c r="N104" t="str">
        <f>TEXT(Pqp_supermarket_data[[#This Row],[DateTime]],"yyy")</f>
        <v>2021</v>
      </c>
    </row>
    <row r="105" spans="1:14" x14ac:dyDescent="0.35">
      <c r="A105" t="s">
        <v>324</v>
      </c>
      <c r="B105" s="1">
        <v>45702.077812060183</v>
      </c>
      <c r="C105" t="s">
        <v>325</v>
      </c>
      <c r="D105" t="s">
        <v>82</v>
      </c>
      <c r="E105" t="s">
        <v>53</v>
      </c>
      <c r="F105">
        <v>2.8</v>
      </c>
      <c r="G105">
        <v>2</v>
      </c>
      <c r="H105" t="s">
        <v>14</v>
      </c>
      <c r="I105" t="s">
        <v>21</v>
      </c>
      <c r="J105" t="s">
        <v>230</v>
      </c>
      <c r="K105">
        <f>Pqp_supermarket_data[[#This Row],[Unit_Price]]*Pqp_supermarket_data[[#This Row],[Quantity]]</f>
        <v>5.6</v>
      </c>
      <c r="L105" t="str">
        <f>TEXT(Pqp_supermarket_data[[#This Row],[DateTime]],"ddd")</f>
        <v>Fri</v>
      </c>
      <c r="M105" t="str">
        <f>TEXT(Pqp_supermarket_data[[#This Row],[DateTime]],"mmm")</f>
        <v>Feb</v>
      </c>
      <c r="N105" t="str">
        <f>TEXT(Pqp_supermarket_data[[#This Row],[DateTime]],"yyy")</f>
        <v>2025</v>
      </c>
    </row>
    <row r="106" spans="1:14" x14ac:dyDescent="0.35">
      <c r="A106" t="s">
        <v>326</v>
      </c>
      <c r="B106" s="1">
        <v>45088.522256516204</v>
      </c>
      <c r="C106" t="s">
        <v>327</v>
      </c>
      <c r="D106" t="s">
        <v>82</v>
      </c>
      <c r="E106" t="s">
        <v>115</v>
      </c>
      <c r="F106">
        <v>1.5</v>
      </c>
      <c r="G106">
        <v>2</v>
      </c>
      <c r="H106" t="s">
        <v>14</v>
      </c>
      <c r="I106" t="s">
        <v>86</v>
      </c>
      <c r="J106" t="s">
        <v>116</v>
      </c>
      <c r="K106">
        <f>Pqp_supermarket_data[[#This Row],[Unit_Price]]*Pqp_supermarket_data[[#This Row],[Quantity]]</f>
        <v>3</v>
      </c>
      <c r="L106" t="str">
        <f>TEXT(Pqp_supermarket_data[[#This Row],[DateTime]],"ddd")</f>
        <v>Sun</v>
      </c>
      <c r="M106" t="str">
        <f>TEXT(Pqp_supermarket_data[[#This Row],[DateTime]],"mmm")</f>
        <v>Jun</v>
      </c>
      <c r="N106" t="str">
        <f>TEXT(Pqp_supermarket_data[[#This Row],[DateTime]],"yyy")</f>
        <v>2023</v>
      </c>
    </row>
    <row r="107" spans="1:14" x14ac:dyDescent="0.35">
      <c r="A107" t="s">
        <v>328</v>
      </c>
      <c r="B107" s="1">
        <v>44484.945173182874</v>
      </c>
      <c r="C107" t="s">
        <v>329</v>
      </c>
      <c r="D107" t="s">
        <v>69</v>
      </c>
      <c r="E107" t="s">
        <v>145</v>
      </c>
      <c r="F107">
        <v>1.7</v>
      </c>
      <c r="G107">
        <v>3</v>
      </c>
      <c r="H107" t="s">
        <v>14</v>
      </c>
      <c r="I107" t="s">
        <v>36</v>
      </c>
      <c r="J107" t="s">
        <v>128</v>
      </c>
      <c r="K107">
        <f>Pqp_supermarket_data[[#This Row],[Unit_Price]]*Pqp_supermarket_data[[#This Row],[Quantity]]</f>
        <v>5.0999999999999996</v>
      </c>
      <c r="L107" t="str">
        <f>TEXT(Pqp_supermarket_data[[#This Row],[DateTime]],"ddd")</f>
        <v>Fri</v>
      </c>
      <c r="M107" t="str">
        <f>TEXT(Pqp_supermarket_data[[#This Row],[DateTime]],"mmm")</f>
        <v>Oct</v>
      </c>
      <c r="N107" t="str">
        <f>TEXT(Pqp_supermarket_data[[#This Row],[DateTime]],"yyy")</f>
        <v>2021</v>
      </c>
    </row>
    <row r="108" spans="1:14" x14ac:dyDescent="0.35">
      <c r="A108" t="s">
        <v>330</v>
      </c>
      <c r="B108" s="1">
        <v>44454.199339861108</v>
      </c>
      <c r="C108" t="s">
        <v>331</v>
      </c>
      <c r="D108" t="s">
        <v>226</v>
      </c>
      <c r="E108" t="s">
        <v>20</v>
      </c>
      <c r="F108">
        <v>1</v>
      </c>
      <c r="G108">
        <v>8</v>
      </c>
      <c r="H108" t="s">
        <v>14</v>
      </c>
      <c r="I108" t="s">
        <v>86</v>
      </c>
      <c r="J108" t="s">
        <v>236</v>
      </c>
      <c r="K108">
        <f>Pqp_supermarket_data[[#This Row],[Unit_Price]]*Pqp_supermarket_data[[#This Row],[Quantity]]</f>
        <v>8</v>
      </c>
      <c r="L108" t="str">
        <f>TEXT(Pqp_supermarket_data[[#This Row],[DateTime]],"ddd")</f>
        <v>Wed</v>
      </c>
      <c r="M108" t="str">
        <f>TEXT(Pqp_supermarket_data[[#This Row],[DateTime]],"mmm")</f>
        <v>Sep</v>
      </c>
      <c r="N108" t="str">
        <f>TEXT(Pqp_supermarket_data[[#This Row],[DateTime]],"yyy")</f>
        <v>2021</v>
      </c>
    </row>
    <row r="109" spans="1:14" x14ac:dyDescent="0.35">
      <c r="A109" t="s">
        <v>332</v>
      </c>
      <c r="B109" s="1">
        <v>44573.212534305552</v>
      </c>
      <c r="C109" t="s">
        <v>333</v>
      </c>
      <c r="D109" t="s">
        <v>34</v>
      </c>
      <c r="E109" t="s">
        <v>26</v>
      </c>
      <c r="F109">
        <v>2.5</v>
      </c>
      <c r="G109">
        <v>2</v>
      </c>
      <c r="H109" t="s">
        <v>14</v>
      </c>
      <c r="I109" t="s">
        <v>61</v>
      </c>
      <c r="J109" t="s">
        <v>31</v>
      </c>
      <c r="K109">
        <f>Pqp_supermarket_data[[#This Row],[Unit_Price]]*Pqp_supermarket_data[[#This Row],[Quantity]]</f>
        <v>5</v>
      </c>
      <c r="L109" t="str">
        <f>TEXT(Pqp_supermarket_data[[#This Row],[DateTime]],"ddd")</f>
        <v>Wed</v>
      </c>
      <c r="M109" t="str">
        <f>TEXT(Pqp_supermarket_data[[#This Row],[DateTime]],"mmm")</f>
        <v>Jan</v>
      </c>
      <c r="N109" t="str">
        <f>TEXT(Pqp_supermarket_data[[#This Row],[DateTime]],"yyy")</f>
        <v>2022</v>
      </c>
    </row>
    <row r="110" spans="1:14" x14ac:dyDescent="0.35">
      <c r="A110" t="s">
        <v>334</v>
      </c>
      <c r="B110" s="1">
        <v>45286.951423194441</v>
      </c>
      <c r="C110" t="s">
        <v>335</v>
      </c>
      <c r="D110" t="s">
        <v>171</v>
      </c>
      <c r="E110" t="s">
        <v>49</v>
      </c>
      <c r="F110">
        <v>7</v>
      </c>
      <c r="G110">
        <v>6</v>
      </c>
      <c r="H110" t="s">
        <v>14</v>
      </c>
      <c r="I110" t="s">
        <v>40</v>
      </c>
      <c r="J110" t="s">
        <v>336</v>
      </c>
      <c r="K110">
        <f>Pqp_supermarket_data[[#This Row],[Unit_Price]]*Pqp_supermarket_data[[#This Row],[Quantity]]</f>
        <v>42</v>
      </c>
      <c r="L110" t="str">
        <f>TEXT(Pqp_supermarket_data[[#This Row],[DateTime]],"ddd")</f>
        <v>Tue</v>
      </c>
      <c r="M110" t="str">
        <f>TEXT(Pqp_supermarket_data[[#This Row],[DateTime]],"mmm")</f>
        <v>Dec</v>
      </c>
      <c r="N110" t="str">
        <f>TEXT(Pqp_supermarket_data[[#This Row],[DateTime]],"yyy")</f>
        <v>2023</v>
      </c>
    </row>
    <row r="111" spans="1:14" x14ac:dyDescent="0.35">
      <c r="A111" t="s">
        <v>337</v>
      </c>
      <c r="B111" s="1">
        <v>45121.329895416668</v>
      </c>
      <c r="C111" t="s">
        <v>338</v>
      </c>
      <c r="D111" t="s">
        <v>25</v>
      </c>
      <c r="E111" t="s">
        <v>53</v>
      </c>
      <c r="F111">
        <v>2.8</v>
      </c>
      <c r="G111">
        <v>5</v>
      </c>
      <c r="H111" t="s">
        <v>14</v>
      </c>
      <c r="I111" t="s">
        <v>61</v>
      </c>
      <c r="J111" t="s">
        <v>339</v>
      </c>
      <c r="K111">
        <f>Pqp_supermarket_data[[#This Row],[Unit_Price]]*Pqp_supermarket_data[[#This Row],[Quantity]]</f>
        <v>14</v>
      </c>
      <c r="L111" t="str">
        <f>TEXT(Pqp_supermarket_data[[#This Row],[DateTime]],"ddd")</f>
        <v>Fri</v>
      </c>
      <c r="M111" t="str">
        <f>TEXT(Pqp_supermarket_data[[#This Row],[DateTime]],"mmm")</f>
        <v>Jul</v>
      </c>
      <c r="N111" t="str">
        <f>TEXT(Pqp_supermarket_data[[#This Row],[DateTime]],"yyy")</f>
        <v>2023</v>
      </c>
    </row>
    <row r="112" spans="1:14" x14ac:dyDescent="0.35">
      <c r="A112" t="s">
        <v>340</v>
      </c>
      <c r="B112" s="1">
        <v>44565.604200983798</v>
      </c>
      <c r="C112" t="s">
        <v>341</v>
      </c>
      <c r="D112" t="s">
        <v>127</v>
      </c>
      <c r="E112" t="s">
        <v>20</v>
      </c>
      <c r="F112">
        <v>1</v>
      </c>
      <c r="G112">
        <v>1</v>
      </c>
      <c r="H112" t="s">
        <v>14</v>
      </c>
      <c r="I112" t="s">
        <v>21</v>
      </c>
      <c r="J112" t="s">
        <v>248</v>
      </c>
      <c r="K112">
        <f>Pqp_supermarket_data[[#This Row],[Unit_Price]]*Pqp_supermarket_data[[#This Row],[Quantity]]</f>
        <v>1</v>
      </c>
      <c r="L112" t="str">
        <f>TEXT(Pqp_supermarket_data[[#This Row],[DateTime]],"ddd")</f>
        <v>Tue</v>
      </c>
      <c r="M112" t="str">
        <f>TEXT(Pqp_supermarket_data[[#This Row],[DateTime]],"mmm")</f>
        <v>Jan</v>
      </c>
      <c r="N112" t="str">
        <f>TEXT(Pqp_supermarket_data[[#This Row],[DateTime]],"yyy")</f>
        <v>2022</v>
      </c>
    </row>
    <row r="113" spans="1:14" x14ac:dyDescent="0.35">
      <c r="A113" t="s">
        <v>342</v>
      </c>
      <c r="B113" s="1">
        <v>45611.236145439812</v>
      </c>
      <c r="C113" t="s">
        <v>343</v>
      </c>
      <c r="D113" t="s">
        <v>82</v>
      </c>
      <c r="E113" t="s">
        <v>115</v>
      </c>
      <c r="F113">
        <v>1.5</v>
      </c>
      <c r="G113">
        <v>9</v>
      </c>
      <c r="H113" t="s">
        <v>14</v>
      </c>
      <c r="I113" t="s">
        <v>15</v>
      </c>
      <c r="J113" t="s">
        <v>320</v>
      </c>
      <c r="K113">
        <f>Pqp_supermarket_data[[#This Row],[Unit_Price]]*Pqp_supermarket_data[[#This Row],[Quantity]]</f>
        <v>13.5</v>
      </c>
      <c r="L113" t="str">
        <f>TEXT(Pqp_supermarket_data[[#This Row],[DateTime]],"ddd")</f>
        <v>Fri</v>
      </c>
      <c r="M113" t="str">
        <f>TEXT(Pqp_supermarket_data[[#This Row],[DateTime]],"mmm")</f>
        <v>Nov</v>
      </c>
      <c r="N113" t="str">
        <f>TEXT(Pqp_supermarket_data[[#This Row],[DateTime]],"yyy")</f>
        <v>2024</v>
      </c>
    </row>
    <row r="114" spans="1:14" x14ac:dyDescent="0.35">
      <c r="A114" t="s">
        <v>344</v>
      </c>
      <c r="B114" s="1">
        <v>44810.695173217595</v>
      </c>
      <c r="C114" t="s">
        <v>345</v>
      </c>
      <c r="D114" t="s">
        <v>98</v>
      </c>
      <c r="E114" t="s">
        <v>70</v>
      </c>
      <c r="F114">
        <v>5</v>
      </c>
      <c r="G114">
        <v>1</v>
      </c>
      <c r="H114" t="s">
        <v>14</v>
      </c>
      <c r="I114" t="s">
        <v>40</v>
      </c>
      <c r="J114" t="s">
        <v>50</v>
      </c>
      <c r="K114">
        <f>Pqp_supermarket_data[[#This Row],[Unit_Price]]*Pqp_supermarket_data[[#This Row],[Quantity]]</f>
        <v>5</v>
      </c>
      <c r="L114" t="str">
        <f>TEXT(Pqp_supermarket_data[[#This Row],[DateTime]],"ddd")</f>
        <v>Tue</v>
      </c>
      <c r="M114" t="str">
        <f>TEXT(Pqp_supermarket_data[[#This Row],[DateTime]],"mmm")</f>
        <v>Sep</v>
      </c>
      <c r="N114" t="str">
        <f>TEXT(Pqp_supermarket_data[[#This Row],[DateTime]],"yyy")</f>
        <v>2022</v>
      </c>
    </row>
    <row r="115" spans="1:14" x14ac:dyDescent="0.35">
      <c r="A115" t="s">
        <v>346</v>
      </c>
      <c r="B115" s="1">
        <v>45333.029201006946</v>
      </c>
      <c r="C115" t="s">
        <v>347</v>
      </c>
      <c r="D115" t="s">
        <v>25</v>
      </c>
      <c r="E115" t="s">
        <v>57</v>
      </c>
      <c r="F115">
        <v>4.5</v>
      </c>
      <c r="G115">
        <v>10</v>
      </c>
      <c r="H115" t="s">
        <v>14</v>
      </c>
      <c r="I115" t="s">
        <v>61</v>
      </c>
      <c r="J115" t="s">
        <v>122</v>
      </c>
      <c r="K115">
        <f>Pqp_supermarket_data[[#This Row],[Unit_Price]]*Pqp_supermarket_data[[#This Row],[Quantity]]</f>
        <v>45</v>
      </c>
      <c r="L115" t="str">
        <f>TEXT(Pqp_supermarket_data[[#This Row],[DateTime]],"ddd")</f>
        <v>Sun</v>
      </c>
      <c r="M115" t="str">
        <f>TEXT(Pqp_supermarket_data[[#This Row],[DateTime]],"mmm")</f>
        <v>Feb</v>
      </c>
      <c r="N115" t="str">
        <f>TEXT(Pqp_supermarket_data[[#This Row],[DateTime]],"yyy")</f>
        <v>2024</v>
      </c>
    </row>
    <row r="116" spans="1:14" x14ac:dyDescent="0.35">
      <c r="A116" t="s">
        <v>348</v>
      </c>
      <c r="B116" s="1">
        <v>44652.877812118059</v>
      </c>
      <c r="C116" t="s">
        <v>349</v>
      </c>
      <c r="D116" t="s">
        <v>82</v>
      </c>
      <c r="E116" t="s">
        <v>20</v>
      </c>
      <c r="F116">
        <v>1</v>
      </c>
      <c r="G116">
        <v>6</v>
      </c>
      <c r="H116" t="s">
        <v>14</v>
      </c>
      <c r="I116" t="s">
        <v>61</v>
      </c>
      <c r="J116" t="s">
        <v>160</v>
      </c>
      <c r="K116">
        <f>Pqp_supermarket_data[[#This Row],[Unit_Price]]*Pqp_supermarket_data[[#This Row],[Quantity]]</f>
        <v>6</v>
      </c>
      <c r="L116" t="str">
        <f>TEXT(Pqp_supermarket_data[[#This Row],[DateTime]],"ddd")</f>
        <v>Fri</v>
      </c>
      <c r="M116" t="str">
        <f>TEXT(Pqp_supermarket_data[[#This Row],[DateTime]],"mmm")</f>
        <v>Apr</v>
      </c>
      <c r="N116" t="str">
        <f>TEXT(Pqp_supermarket_data[[#This Row],[DateTime]],"yyy")</f>
        <v>2022</v>
      </c>
    </row>
    <row r="117" spans="1:14" x14ac:dyDescent="0.35">
      <c r="A117" t="s">
        <v>350</v>
      </c>
      <c r="B117" s="1">
        <v>44857.21322878472</v>
      </c>
      <c r="C117" t="s">
        <v>351</v>
      </c>
      <c r="D117" t="s">
        <v>127</v>
      </c>
      <c r="E117" t="s">
        <v>26</v>
      </c>
      <c r="F117">
        <v>2.5</v>
      </c>
      <c r="G117">
        <v>2</v>
      </c>
      <c r="H117" t="s">
        <v>14</v>
      </c>
      <c r="I117" t="s">
        <v>36</v>
      </c>
      <c r="J117" t="s">
        <v>248</v>
      </c>
      <c r="K117">
        <f>Pqp_supermarket_data[[#This Row],[Unit_Price]]*Pqp_supermarket_data[[#This Row],[Quantity]]</f>
        <v>5</v>
      </c>
      <c r="L117" t="str">
        <f>TEXT(Pqp_supermarket_data[[#This Row],[DateTime]],"ddd")</f>
        <v>Sun</v>
      </c>
      <c r="M117" t="str">
        <f>TEXT(Pqp_supermarket_data[[#This Row],[DateTime]],"mmm")</f>
        <v>Oct</v>
      </c>
      <c r="N117" t="str">
        <f>TEXT(Pqp_supermarket_data[[#This Row],[DateTime]],"yyy")</f>
        <v>2022</v>
      </c>
    </row>
    <row r="118" spans="1:14" x14ac:dyDescent="0.35">
      <c r="A118" t="s">
        <v>352</v>
      </c>
      <c r="B118" s="1">
        <v>45140.402117685182</v>
      </c>
      <c r="C118" t="s">
        <v>353</v>
      </c>
      <c r="D118" t="s">
        <v>85</v>
      </c>
      <c r="E118" t="s">
        <v>94</v>
      </c>
      <c r="F118">
        <v>0.8</v>
      </c>
      <c r="G118">
        <v>4</v>
      </c>
      <c r="H118" t="s">
        <v>14</v>
      </c>
      <c r="I118" t="s">
        <v>15</v>
      </c>
      <c r="J118" t="s">
        <v>202</v>
      </c>
      <c r="K118">
        <f>Pqp_supermarket_data[[#This Row],[Unit_Price]]*Pqp_supermarket_data[[#This Row],[Quantity]]</f>
        <v>3.2</v>
      </c>
      <c r="L118" t="str">
        <f>TEXT(Pqp_supermarket_data[[#This Row],[DateTime]],"ddd")</f>
        <v>Wed</v>
      </c>
      <c r="M118" t="str">
        <f>TEXT(Pqp_supermarket_data[[#This Row],[DateTime]],"mmm")</f>
        <v>Aug</v>
      </c>
      <c r="N118" t="str">
        <f>TEXT(Pqp_supermarket_data[[#This Row],[DateTime]],"yyy")</f>
        <v>2023</v>
      </c>
    </row>
    <row r="119" spans="1:14" x14ac:dyDescent="0.35">
      <c r="A119" t="s">
        <v>354</v>
      </c>
      <c r="B119" s="1">
        <v>44795.194478796293</v>
      </c>
      <c r="C119" t="s">
        <v>355</v>
      </c>
      <c r="D119" t="s">
        <v>171</v>
      </c>
      <c r="E119" t="s">
        <v>90</v>
      </c>
      <c r="F119">
        <v>1.8</v>
      </c>
      <c r="G119">
        <v>10</v>
      </c>
      <c r="H119" t="s">
        <v>14</v>
      </c>
      <c r="I119" t="s">
        <v>61</v>
      </c>
      <c r="J119" t="s">
        <v>58</v>
      </c>
      <c r="K119">
        <f>Pqp_supermarket_data[[#This Row],[Unit_Price]]*Pqp_supermarket_data[[#This Row],[Quantity]]</f>
        <v>18</v>
      </c>
      <c r="L119" t="str">
        <f>TEXT(Pqp_supermarket_data[[#This Row],[DateTime]],"ddd")</f>
        <v>Mon</v>
      </c>
      <c r="M119" t="str">
        <f>TEXT(Pqp_supermarket_data[[#This Row],[DateTime]],"mmm")</f>
        <v>Aug</v>
      </c>
      <c r="N119" t="str">
        <f>TEXT(Pqp_supermarket_data[[#This Row],[DateTime]],"yyy")</f>
        <v>2022</v>
      </c>
    </row>
    <row r="120" spans="1:14" x14ac:dyDescent="0.35">
      <c r="A120" t="s">
        <v>356</v>
      </c>
      <c r="B120" s="1">
        <v>45389.175034351851</v>
      </c>
      <c r="C120" t="s">
        <v>357</v>
      </c>
      <c r="D120" t="s">
        <v>44</v>
      </c>
      <c r="E120" t="s">
        <v>94</v>
      </c>
      <c r="F120">
        <v>0.8</v>
      </c>
      <c r="G120">
        <v>5</v>
      </c>
      <c r="H120" t="s">
        <v>14</v>
      </c>
      <c r="I120" t="s">
        <v>40</v>
      </c>
      <c r="J120" t="s">
        <v>54</v>
      </c>
      <c r="K120">
        <f>Pqp_supermarket_data[[#This Row],[Unit_Price]]*Pqp_supermarket_data[[#This Row],[Quantity]]</f>
        <v>4</v>
      </c>
      <c r="L120" t="str">
        <f>TEXT(Pqp_supermarket_data[[#This Row],[DateTime]],"ddd")</f>
        <v>Sun</v>
      </c>
      <c r="M120" t="str">
        <f>TEXT(Pqp_supermarket_data[[#This Row],[DateTime]],"mmm")</f>
        <v>Apr</v>
      </c>
      <c r="N120" t="str">
        <f>TEXT(Pqp_supermarket_data[[#This Row],[DateTime]],"yyy")</f>
        <v>2024</v>
      </c>
    </row>
    <row r="121" spans="1:14" x14ac:dyDescent="0.35">
      <c r="A121" t="s">
        <v>358</v>
      </c>
      <c r="B121" s="1">
        <v>44693.381284351854</v>
      </c>
      <c r="C121" t="s">
        <v>359</v>
      </c>
      <c r="D121" t="s">
        <v>208</v>
      </c>
      <c r="E121" t="s">
        <v>137</v>
      </c>
      <c r="F121">
        <v>2.5</v>
      </c>
      <c r="G121">
        <v>9</v>
      </c>
      <c r="H121" t="s">
        <v>14</v>
      </c>
      <c r="I121" t="s">
        <v>61</v>
      </c>
      <c r="J121" t="s">
        <v>160</v>
      </c>
      <c r="K121">
        <f>Pqp_supermarket_data[[#This Row],[Unit_Price]]*Pqp_supermarket_data[[#This Row],[Quantity]]</f>
        <v>22.5</v>
      </c>
      <c r="L121" t="str">
        <f>TEXT(Pqp_supermarket_data[[#This Row],[DateTime]],"ddd")</f>
        <v>Thu</v>
      </c>
      <c r="M121" t="str">
        <f>TEXT(Pqp_supermarket_data[[#This Row],[DateTime]],"mmm")</f>
        <v>May</v>
      </c>
      <c r="N121" t="str">
        <f>TEXT(Pqp_supermarket_data[[#This Row],[DateTime]],"yyy")</f>
        <v>2022</v>
      </c>
    </row>
    <row r="122" spans="1:14" x14ac:dyDescent="0.35">
      <c r="A122" t="s">
        <v>360</v>
      </c>
      <c r="B122" s="1">
        <v>45527.68822880787</v>
      </c>
      <c r="C122" t="s">
        <v>361</v>
      </c>
      <c r="D122" t="s">
        <v>226</v>
      </c>
      <c r="E122" t="s">
        <v>115</v>
      </c>
      <c r="F122">
        <v>1.5</v>
      </c>
      <c r="G122">
        <v>2</v>
      </c>
      <c r="H122" t="s">
        <v>14</v>
      </c>
      <c r="I122" t="s">
        <v>40</v>
      </c>
      <c r="J122" t="s">
        <v>317</v>
      </c>
      <c r="K122">
        <f>Pqp_supermarket_data[[#This Row],[Unit_Price]]*Pqp_supermarket_data[[#This Row],[Quantity]]</f>
        <v>3</v>
      </c>
      <c r="L122" t="str">
        <f>TEXT(Pqp_supermarket_data[[#This Row],[DateTime]],"ddd")</f>
        <v>Fri</v>
      </c>
      <c r="M122" t="str">
        <f>TEXT(Pqp_supermarket_data[[#This Row],[DateTime]],"mmm")</f>
        <v>Aug</v>
      </c>
      <c r="N122" t="str">
        <f>TEXT(Pqp_supermarket_data[[#This Row],[DateTime]],"yyy")</f>
        <v>2024</v>
      </c>
    </row>
    <row r="123" spans="1:14" x14ac:dyDescent="0.35">
      <c r="A123" t="s">
        <v>362</v>
      </c>
      <c r="B123" s="1">
        <v>45203.913923252316</v>
      </c>
      <c r="C123" t="s">
        <v>363</v>
      </c>
      <c r="D123" t="s">
        <v>98</v>
      </c>
      <c r="E123" t="s">
        <v>39</v>
      </c>
      <c r="F123">
        <v>3.2</v>
      </c>
      <c r="G123">
        <v>3</v>
      </c>
      <c r="H123" t="s">
        <v>14</v>
      </c>
      <c r="I123" t="s">
        <v>40</v>
      </c>
      <c r="J123" t="s">
        <v>364</v>
      </c>
      <c r="K123">
        <f>Pqp_supermarket_data[[#This Row],[Unit_Price]]*Pqp_supermarket_data[[#This Row],[Quantity]]</f>
        <v>9.6000000000000014</v>
      </c>
      <c r="L123" t="str">
        <f>TEXT(Pqp_supermarket_data[[#This Row],[DateTime]],"ddd")</f>
        <v>Wed</v>
      </c>
      <c r="M123" t="str">
        <f>TEXT(Pqp_supermarket_data[[#This Row],[DateTime]],"mmm")</f>
        <v>Oct</v>
      </c>
      <c r="N123" t="str">
        <f>TEXT(Pqp_supermarket_data[[#This Row],[DateTime]],"yyy")</f>
        <v>2023</v>
      </c>
    </row>
    <row r="124" spans="1:14" x14ac:dyDescent="0.35">
      <c r="A124" t="s">
        <v>365</v>
      </c>
      <c r="B124" s="1">
        <v>44808.398645474539</v>
      </c>
      <c r="C124" t="s">
        <v>366</v>
      </c>
      <c r="D124" t="s">
        <v>77</v>
      </c>
      <c r="E124" t="s">
        <v>49</v>
      </c>
      <c r="F124">
        <v>7</v>
      </c>
      <c r="G124">
        <v>8</v>
      </c>
      <c r="H124" t="s">
        <v>14</v>
      </c>
      <c r="I124" t="s">
        <v>40</v>
      </c>
      <c r="J124" t="s">
        <v>317</v>
      </c>
      <c r="K124">
        <f>Pqp_supermarket_data[[#This Row],[Unit_Price]]*Pqp_supermarket_data[[#This Row],[Quantity]]</f>
        <v>56</v>
      </c>
      <c r="L124" t="str">
        <f>TEXT(Pqp_supermarket_data[[#This Row],[DateTime]],"ddd")</f>
        <v>Sun</v>
      </c>
      <c r="M124" t="str">
        <f>TEXT(Pqp_supermarket_data[[#This Row],[DateTime]],"mmm")</f>
        <v>Sep</v>
      </c>
      <c r="N124" t="str">
        <f>TEXT(Pqp_supermarket_data[[#This Row],[DateTime]],"yyy")</f>
        <v>2022</v>
      </c>
    </row>
    <row r="125" spans="1:14" x14ac:dyDescent="0.35">
      <c r="A125" t="s">
        <v>367</v>
      </c>
      <c r="B125" s="1">
        <v>44496.682673252311</v>
      </c>
      <c r="C125" t="s">
        <v>368</v>
      </c>
      <c r="D125" t="s">
        <v>69</v>
      </c>
      <c r="E125" t="s">
        <v>111</v>
      </c>
      <c r="F125">
        <v>2.2000000000000002</v>
      </c>
      <c r="G125">
        <v>10</v>
      </c>
      <c r="H125" t="s">
        <v>14</v>
      </c>
      <c r="I125" t="s">
        <v>61</v>
      </c>
      <c r="J125" t="s">
        <v>369</v>
      </c>
      <c r="K125">
        <f>Pqp_supermarket_data[[#This Row],[Unit_Price]]*Pqp_supermarket_data[[#This Row],[Quantity]]</f>
        <v>22</v>
      </c>
      <c r="L125" t="str">
        <f>TEXT(Pqp_supermarket_data[[#This Row],[DateTime]],"ddd")</f>
        <v>Wed</v>
      </c>
      <c r="M125" t="str">
        <f>TEXT(Pqp_supermarket_data[[#This Row],[DateTime]],"mmm")</f>
        <v>Oct</v>
      </c>
      <c r="N125" t="str">
        <f>TEXT(Pqp_supermarket_data[[#This Row],[DateTime]],"yyy")</f>
        <v>2021</v>
      </c>
    </row>
    <row r="126" spans="1:14" x14ac:dyDescent="0.35">
      <c r="A126" t="s">
        <v>370</v>
      </c>
      <c r="B126" s="1">
        <v>45278.410451041666</v>
      </c>
      <c r="C126" t="s">
        <v>371</v>
      </c>
      <c r="D126" t="s">
        <v>226</v>
      </c>
      <c r="E126" t="s">
        <v>145</v>
      </c>
      <c r="F126">
        <v>1.7</v>
      </c>
      <c r="G126">
        <v>10</v>
      </c>
      <c r="H126" t="s">
        <v>14</v>
      </c>
      <c r="I126" t="s">
        <v>21</v>
      </c>
      <c r="J126" t="s">
        <v>215</v>
      </c>
      <c r="K126">
        <f>Pqp_supermarket_data[[#This Row],[Unit_Price]]*Pqp_supermarket_data[[#This Row],[Quantity]]</f>
        <v>17</v>
      </c>
      <c r="L126" t="str">
        <f>TEXT(Pqp_supermarket_data[[#This Row],[DateTime]],"ddd")</f>
        <v>Mon</v>
      </c>
      <c r="M126" t="str">
        <f>TEXT(Pqp_supermarket_data[[#This Row],[DateTime]],"mmm")</f>
        <v>Dec</v>
      </c>
      <c r="N126" t="str">
        <f>TEXT(Pqp_supermarket_data[[#This Row],[DateTime]],"yyy")</f>
        <v>2023</v>
      </c>
    </row>
    <row r="127" spans="1:14" x14ac:dyDescent="0.35">
      <c r="A127" t="s">
        <v>372</v>
      </c>
      <c r="B127" s="1">
        <v>45323.876423263886</v>
      </c>
      <c r="C127" t="s">
        <v>373</v>
      </c>
      <c r="D127" t="s">
        <v>98</v>
      </c>
      <c r="E127" t="s">
        <v>70</v>
      </c>
      <c r="F127">
        <v>5</v>
      </c>
      <c r="G127">
        <v>5</v>
      </c>
      <c r="H127" t="s">
        <v>14</v>
      </c>
      <c r="I127" t="s">
        <v>21</v>
      </c>
      <c r="J127" t="s">
        <v>22</v>
      </c>
      <c r="K127">
        <f>Pqp_supermarket_data[[#This Row],[Unit_Price]]*Pqp_supermarket_data[[#This Row],[Quantity]]</f>
        <v>25</v>
      </c>
      <c r="L127" t="str">
        <f>TEXT(Pqp_supermarket_data[[#This Row],[DateTime]],"ddd")</f>
        <v>Thu</v>
      </c>
      <c r="M127" t="str">
        <f>TEXT(Pqp_supermarket_data[[#This Row],[DateTime]],"mmm")</f>
        <v>Feb</v>
      </c>
      <c r="N127" t="str">
        <f>TEXT(Pqp_supermarket_data[[#This Row],[DateTime]],"yyy")</f>
        <v>2024</v>
      </c>
    </row>
    <row r="128" spans="1:14" x14ac:dyDescent="0.35">
      <c r="A128" t="s">
        <v>374</v>
      </c>
      <c r="B128" s="1">
        <v>45160.782673263886</v>
      </c>
      <c r="C128" t="s">
        <v>375</v>
      </c>
      <c r="D128" t="s">
        <v>208</v>
      </c>
      <c r="E128" t="s">
        <v>45</v>
      </c>
      <c r="F128">
        <v>1</v>
      </c>
      <c r="G128">
        <v>2</v>
      </c>
      <c r="H128" t="s">
        <v>14</v>
      </c>
      <c r="I128" t="s">
        <v>15</v>
      </c>
      <c r="J128" t="s">
        <v>134</v>
      </c>
      <c r="K128">
        <f>Pqp_supermarket_data[[#This Row],[Unit_Price]]*Pqp_supermarket_data[[#This Row],[Quantity]]</f>
        <v>2</v>
      </c>
      <c r="L128" t="str">
        <f>TEXT(Pqp_supermarket_data[[#This Row],[DateTime]],"ddd")</f>
        <v>Tue</v>
      </c>
      <c r="M128" t="str">
        <f>TEXT(Pqp_supermarket_data[[#This Row],[DateTime]],"mmm")</f>
        <v>Aug</v>
      </c>
      <c r="N128" t="str">
        <f>TEXT(Pqp_supermarket_data[[#This Row],[DateTime]],"yyy")</f>
        <v>2023</v>
      </c>
    </row>
    <row r="129" spans="1:14" x14ac:dyDescent="0.35">
      <c r="A129" t="s">
        <v>376</v>
      </c>
      <c r="B129" s="1">
        <v>45354.197256608793</v>
      </c>
      <c r="C129" t="s">
        <v>377</v>
      </c>
      <c r="D129" t="s">
        <v>77</v>
      </c>
      <c r="E129" t="s">
        <v>94</v>
      </c>
      <c r="F129">
        <v>0.8</v>
      </c>
      <c r="G129">
        <v>4</v>
      </c>
      <c r="H129" t="s">
        <v>14</v>
      </c>
      <c r="I129" t="s">
        <v>15</v>
      </c>
      <c r="J129" t="s">
        <v>153</v>
      </c>
      <c r="K129">
        <f>Pqp_supermarket_data[[#This Row],[Unit_Price]]*Pqp_supermarket_data[[#This Row],[Quantity]]</f>
        <v>3.2</v>
      </c>
      <c r="L129" t="str">
        <f>TEXT(Pqp_supermarket_data[[#This Row],[DateTime]],"ddd")</f>
        <v>Sun</v>
      </c>
      <c r="M129" t="str">
        <f>TEXT(Pqp_supermarket_data[[#This Row],[DateTime]],"mmm")</f>
        <v>Mar</v>
      </c>
      <c r="N129" t="str">
        <f>TEXT(Pqp_supermarket_data[[#This Row],[DateTime]],"yyy")</f>
        <v>2024</v>
      </c>
    </row>
    <row r="130" spans="1:14" x14ac:dyDescent="0.35">
      <c r="A130" t="s">
        <v>378</v>
      </c>
      <c r="B130" s="1">
        <v>45633.351423275461</v>
      </c>
      <c r="C130" t="s">
        <v>379</v>
      </c>
      <c r="D130" t="s">
        <v>82</v>
      </c>
      <c r="E130" t="s">
        <v>70</v>
      </c>
      <c r="F130">
        <v>5</v>
      </c>
      <c r="G130">
        <v>10</v>
      </c>
      <c r="H130" t="s">
        <v>14</v>
      </c>
      <c r="I130" t="s">
        <v>86</v>
      </c>
      <c r="J130" t="s">
        <v>50</v>
      </c>
      <c r="K130">
        <f>Pqp_supermarket_data[[#This Row],[Unit_Price]]*Pqp_supermarket_data[[#This Row],[Quantity]]</f>
        <v>50</v>
      </c>
      <c r="L130" t="str">
        <f>TEXT(Pqp_supermarket_data[[#This Row],[DateTime]],"ddd")</f>
        <v>Sat</v>
      </c>
      <c r="M130" t="str">
        <f>TEXT(Pqp_supermarket_data[[#This Row],[DateTime]],"mmm")</f>
        <v>Dec</v>
      </c>
      <c r="N130" t="str">
        <f>TEXT(Pqp_supermarket_data[[#This Row],[DateTime]],"yyy")</f>
        <v>2024</v>
      </c>
    </row>
    <row r="131" spans="1:14" x14ac:dyDescent="0.35">
      <c r="A131" t="s">
        <v>380</v>
      </c>
      <c r="B131" s="1">
        <v>45720.255589942128</v>
      </c>
      <c r="C131" t="s">
        <v>381</v>
      </c>
      <c r="D131" t="s">
        <v>12</v>
      </c>
      <c r="E131" t="s">
        <v>57</v>
      </c>
      <c r="F131">
        <v>4.5</v>
      </c>
      <c r="G131">
        <v>8</v>
      </c>
      <c r="H131" t="s">
        <v>14</v>
      </c>
      <c r="I131" t="s">
        <v>40</v>
      </c>
      <c r="J131" t="s">
        <v>382</v>
      </c>
      <c r="K131">
        <f>Pqp_supermarket_data[[#This Row],[Unit_Price]]*Pqp_supermarket_data[[#This Row],[Quantity]]</f>
        <v>36</v>
      </c>
      <c r="L131" t="str">
        <f>TEXT(Pqp_supermarket_data[[#This Row],[DateTime]],"ddd")</f>
        <v>Tue</v>
      </c>
      <c r="M131" t="str">
        <f>TEXT(Pqp_supermarket_data[[#This Row],[DateTime]],"mmm")</f>
        <v>Mar</v>
      </c>
      <c r="N131" t="str">
        <f>TEXT(Pqp_supermarket_data[[#This Row],[DateTime]],"yyy")</f>
        <v>2025</v>
      </c>
    </row>
    <row r="132" spans="1:14" x14ac:dyDescent="0.35">
      <c r="A132" t="s">
        <v>383</v>
      </c>
      <c r="B132" s="1">
        <v>45308.191701064818</v>
      </c>
      <c r="C132" t="s">
        <v>384</v>
      </c>
      <c r="D132" t="s">
        <v>226</v>
      </c>
      <c r="E132" t="s">
        <v>119</v>
      </c>
      <c r="F132">
        <v>4</v>
      </c>
      <c r="G132">
        <v>4</v>
      </c>
      <c r="H132" t="s">
        <v>14</v>
      </c>
      <c r="I132" t="s">
        <v>86</v>
      </c>
      <c r="J132" t="s">
        <v>233</v>
      </c>
      <c r="K132">
        <f>Pqp_supermarket_data[[#This Row],[Unit_Price]]*Pqp_supermarket_data[[#This Row],[Quantity]]</f>
        <v>16</v>
      </c>
      <c r="L132" t="str">
        <f>TEXT(Pqp_supermarket_data[[#This Row],[DateTime]],"ddd")</f>
        <v>Wed</v>
      </c>
      <c r="M132" t="str">
        <f>TEXT(Pqp_supermarket_data[[#This Row],[DateTime]],"mmm")</f>
        <v>Jan</v>
      </c>
      <c r="N132" t="str">
        <f>TEXT(Pqp_supermarket_data[[#This Row],[DateTime]],"yyy")</f>
        <v>2024</v>
      </c>
    </row>
    <row r="133" spans="1:14" x14ac:dyDescent="0.35">
      <c r="A133" t="s">
        <v>385</v>
      </c>
      <c r="B133" s="1">
        <v>44671.239617789353</v>
      </c>
      <c r="C133" t="s">
        <v>386</v>
      </c>
      <c r="D133" t="s">
        <v>69</v>
      </c>
      <c r="E133" t="s">
        <v>13</v>
      </c>
      <c r="F133">
        <v>3.1</v>
      </c>
      <c r="G133">
        <v>3</v>
      </c>
      <c r="H133" t="s">
        <v>14</v>
      </c>
      <c r="I133" t="s">
        <v>40</v>
      </c>
      <c r="J133" t="s">
        <v>387</v>
      </c>
      <c r="K133">
        <f>Pqp_supermarket_data[[#This Row],[Unit_Price]]*Pqp_supermarket_data[[#This Row],[Quantity]]</f>
        <v>9.3000000000000007</v>
      </c>
      <c r="L133" t="str">
        <f>TEXT(Pqp_supermarket_data[[#This Row],[DateTime]],"ddd")</f>
        <v>Wed</v>
      </c>
      <c r="M133" t="str">
        <f>TEXT(Pqp_supermarket_data[[#This Row],[DateTime]],"mmm")</f>
        <v>Apr</v>
      </c>
      <c r="N133" t="str">
        <f>TEXT(Pqp_supermarket_data[[#This Row],[DateTime]],"yyy")</f>
        <v>2022</v>
      </c>
    </row>
    <row r="134" spans="1:14" x14ac:dyDescent="0.35">
      <c r="A134" t="s">
        <v>388</v>
      </c>
      <c r="B134" s="1">
        <v>45447.15836778935</v>
      </c>
      <c r="C134" t="s">
        <v>389</v>
      </c>
      <c r="D134" t="s">
        <v>12</v>
      </c>
      <c r="E134" t="s">
        <v>119</v>
      </c>
      <c r="F134">
        <v>4</v>
      </c>
      <c r="G134">
        <v>5</v>
      </c>
      <c r="H134" t="s">
        <v>14</v>
      </c>
      <c r="I134" t="s">
        <v>86</v>
      </c>
      <c r="J134" t="s">
        <v>172</v>
      </c>
      <c r="K134">
        <f>Pqp_supermarket_data[[#This Row],[Unit_Price]]*Pqp_supermarket_data[[#This Row],[Quantity]]</f>
        <v>20</v>
      </c>
      <c r="L134" t="str">
        <f>TEXT(Pqp_supermarket_data[[#This Row],[DateTime]],"ddd")</f>
        <v>Tue</v>
      </c>
      <c r="M134" t="str">
        <f>TEXT(Pqp_supermarket_data[[#This Row],[DateTime]],"mmm")</f>
        <v>Jun</v>
      </c>
      <c r="N134" t="str">
        <f>TEXT(Pqp_supermarket_data[[#This Row],[DateTime]],"yyy")</f>
        <v>2024</v>
      </c>
    </row>
    <row r="135" spans="1:14" x14ac:dyDescent="0.35">
      <c r="A135" t="s">
        <v>390</v>
      </c>
      <c r="B135" s="1">
        <v>44826.629895578706</v>
      </c>
      <c r="C135" t="s">
        <v>391</v>
      </c>
      <c r="D135" t="s">
        <v>12</v>
      </c>
      <c r="E135" t="s">
        <v>49</v>
      </c>
      <c r="F135">
        <v>7</v>
      </c>
      <c r="G135">
        <v>5</v>
      </c>
      <c r="H135" t="s">
        <v>14</v>
      </c>
      <c r="I135" t="s">
        <v>21</v>
      </c>
      <c r="J135" t="s">
        <v>112</v>
      </c>
      <c r="K135">
        <f>Pqp_supermarket_data[[#This Row],[Unit_Price]]*Pqp_supermarket_data[[#This Row],[Quantity]]</f>
        <v>35</v>
      </c>
      <c r="L135" t="str">
        <f>TEXT(Pqp_supermarket_data[[#This Row],[DateTime]],"ddd")</f>
        <v>Thu</v>
      </c>
      <c r="M135" t="str">
        <f>TEXT(Pqp_supermarket_data[[#This Row],[DateTime]],"mmm")</f>
        <v>Sep</v>
      </c>
      <c r="N135" t="str">
        <f>TEXT(Pqp_supermarket_data[[#This Row],[DateTime]],"yyy")</f>
        <v>2022</v>
      </c>
    </row>
    <row r="136" spans="1:14" x14ac:dyDescent="0.35">
      <c r="A136" t="s">
        <v>392</v>
      </c>
      <c r="B136" s="1">
        <v>44774.972951192132</v>
      </c>
      <c r="C136" t="s">
        <v>393</v>
      </c>
      <c r="D136" t="s">
        <v>171</v>
      </c>
      <c r="E136" t="s">
        <v>137</v>
      </c>
      <c r="F136">
        <v>2.5</v>
      </c>
      <c r="G136">
        <v>7</v>
      </c>
      <c r="H136" t="s">
        <v>14</v>
      </c>
      <c r="I136" t="s">
        <v>36</v>
      </c>
      <c r="J136" t="s">
        <v>394</v>
      </c>
      <c r="K136">
        <f>Pqp_supermarket_data[[#This Row],[Unit_Price]]*Pqp_supermarket_data[[#This Row],[Quantity]]</f>
        <v>17.5</v>
      </c>
      <c r="L136" t="str">
        <f>TEXT(Pqp_supermarket_data[[#This Row],[DateTime]],"ddd")</f>
        <v>Mon</v>
      </c>
      <c r="M136" t="str">
        <f>TEXT(Pqp_supermarket_data[[#This Row],[DateTime]],"mmm")</f>
        <v>Aug</v>
      </c>
      <c r="N136" t="str">
        <f>TEXT(Pqp_supermarket_data[[#This Row],[DateTime]],"yyy")</f>
        <v>2022</v>
      </c>
    </row>
    <row r="137" spans="1:14" x14ac:dyDescent="0.35">
      <c r="A137" t="s">
        <v>395</v>
      </c>
      <c r="B137" s="1">
        <v>44550.225728969905</v>
      </c>
      <c r="C137" t="s">
        <v>396</v>
      </c>
      <c r="D137" t="s">
        <v>77</v>
      </c>
      <c r="E137" t="s">
        <v>26</v>
      </c>
      <c r="F137">
        <v>2.5</v>
      </c>
      <c r="G137">
        <v>10</v>
      </c>
      <c r="H137" t="s">
        <v>14</v>
      </c>
      <c r="I137" t="s">
        <v>21</v>
      </c>
      <c r="J137" t="s">
        <v>397</v>
      </c>
      <c r="K137">
        <f>Pqp_supermarket_data[[#This Row],[Unit_Price]]*Pqp_supermarket_data[[#This Row],[Quantity]]</f>
        <v>25</v>
      </c>
      <c r="L137" t="str">
        <f>TEXT(Pqp_supermarket_data[[#This Row],[DateTime]],"ddd")</f>
        <v>Mon</v>
      </c>
      <c r="M137" t="str">
        <f>TEXT(Pqp_supermarket_data[[#This Row],[DateTime]],"mmm")</f>
        <v>Dec</v>
      </c>
      <c r="N137" t="str">
        <f>TEXT(Pqp_supermarket_data[[#This Row],[DateTime]],"yyy")</f>
        <v>2021</v>
      </c>
    </row>
    <row r="138" spans="1:14" x14ac:dyDescent="0.35">
      <c r="A138" t="s">
        <v>398</v>
      </c>
      <c r="B138" s="1">
        <v>44410.201423425926</v>
      </c>
      <c r="C138" t="s">
        <v>399</v>
      </c>
      <c r="D138" t="s">
        <v>208</v>
      </c>
      <c r="E138" t="s">
        <v>94</v>
      </c>
      <c r="F138">
        <v>0.8</v>
      </c>
      <c r="G138">
        <v>8</v>
      </c>
      <c r="H138" t="s">
        <v>14</v>
      </c>
      <c r="I138" t="s">
        <v>21</v>
      </c>
      <c r="J138" t="s">
        <v>189</v>
      </c>
      <c r="K138">
        <f>Pqp_supermarket_data[[#This Row],[Unit_Price]]*Pqp_supermarket_data[[#This Row],[Quantity]]</f>
        <v>6.4</v>
      </c>
      <c r="L138" t="str">
        <f>TEXT(Pqp_supermarket_data[[#This Row],[DateTime]],"ddd")</f>
        <v>Mon</v>
      </c>
      <c r="M138" t="str">
        <f>TEXT(Pqp_supermarket_data[[#This Row],[DateTime]],"mmm")</f>
        <v>Aug</v>
      </c>
      <c r="N138" t="str">
        <f>TEXT(Pqp_supermarket_data[[#This Row],[DateTime]],"yyy")</f>
        <v>2021</v>
      </c>
    </row>
    <row r="139" spans="1:14" x14ac:dyDescent="0.35">
      <c r="A139" t="s">
        <v>400</v>
      </c>
      <c r="B139" s="1">
        <v>44881.218784537035</v>
      </c>
      <c r="C139" t="s">
        <v>401</v>
      </c>
      <c r="D139" t="s">
        <v>171</v>
      </c>
      <c r="E139" t="s">
        <v>145</v>
      </c>
      <c r="F139">
        <v>1.7</v>
      </c>
      <c r="G139">
        <v>8</v>
      </c>
      <c r="H139" t="s">
        <v>14</v>
      </c>
      <c r="I139" t="s">
        <v>40</v>
      </c>
      <c r="J139" t="s">
        <v>122</v>
      </c>
      <c r="K139">
        <f>Pqp_supermarket_data[[#This Row],[Unit_Price]]*Pqp_supermarket_data[[#This Row],[Quantity]]</f>
        <v>13.6</v>
      </c>
      <c r="L139" t="str">
        <f>TEXT(Pqp_supermarket_data[[#This Row],[DateTime]],"ddd")</f>
        <v>Wed</v>
      </c>
      <c r="M139" t="str">
        <f>TEXT(Pqp_supermarket_data[[#This Row],[DateTime]],"mmm")</f>
        <v>Nov</v>
      </c>
      <c r="N139" t="str">
        <f>TEXT(Pqp_supermarket_data[[#This Row],[DateTime]],"yyy")</f>
        <v>2022</v>
      </c>
    </row>
    <row r="140" spans="1:14" x14ac:dyDescent="0.35">
      <c r="A140" t="s">
        <v>402</v>
      </c>
      <c r="B140" s="1">
        <v>45074.003506759262</v>
      </c>
      <c r="C140" t="s">
        <v>403</v>
      </c>
      <c r="D140" t="s">
        <v>44</v>
      </c>
      <c r="E140" t="s">
        <v>148</v>
      </c>
      <c r="F140">
        <v>5.5</v>
      </c>
      <c r="G140">
        <v>3</v>
      </c>
      <c r="H140" t="s">
        <v>14</v>
      </c>
      <c r="I140" t="s">
        <v>61</v>
      </c>
      <c r="J140" t="s">
        <v>404</v>
      </c>
      <c r="K140">
        <f>Pqp_supermarket_data[[#This Row],[Unit_Price]]*Pqp_supermarket_data[[#This Row],[Quantity]]</f>
        <v>16.5</v>
      </c>
      <c r="L140" t="str">
        <f>TEXT(Pqp_supermarket_data[[#This Row],[DateTime]],"ddd")</f>
        <v>Sun</v>
      </c>
      <c r="M140" t="str">
        <f>TEXT(Pqp_supermarket_data[[#This Row],[DateTime]],"mmm")</f>
        <v>May</v>
      </c>
      <c r="N140" t="str">
        <f>TEXT(Pqp_supermarket_data[[#This Row],[DateTime]],"yyy")</f>
        <v>2023</v>
      </c>
    </row>
    <row r="141" spans="1:14" x14ac:dyDescent="0.35">
      <c r="A141" t="s">
        <v>405</v>
      </c>
      <c r="B141" s="1">
        <v>44365.922256782411</v>
      </c>
      <c r="C141" t="s">
        <v>406</v>
      </c>
      <c r="D141" t="s">
        <v>30</v>
      </c>
      <c r="E141" t="s">
        <v>49</v>
      </c>
      <c r="F141">
        <v>7</v>
      </c>
      <c r="G141">
        <v>9</v>
      </c>
      <c r="H141" t="s">
        <v>14</v>
      </c>
      <c r="I141" t="s">
        <v>40</v>
      </c>
      <c r="J141" t="s">
        <v>223</v>
      </c>
      <c r="K141">
        <f>Pqp_supermarket_data[[#This Row],[Unit_Price]]*Pqp_supermarket_data[[#This Row],[Quantity]]</f>
        <v>63</v>
      </c>
      <c r="L141" t="str">
        <f>TEXT(Pqp_supermarket_data[[#This Row],[DateTime]],"ddd")</f>
        <v>Fri</v>
      </c>
      <c r="M141" t="str">
        <f>TEXT(Pqp_supermarket_data[[#This Row],[DateTime]],"mmm")</f>
        <v>Jun</v>
      </c>
      <c r="N141" t="str">
        <f>TEXT(Pqp_supermarket_data[[#This Row],[DateTime]],"yyy")</f>
        <v>2021</v>
      </c>
    </row>
    <row r="142" spans="1:14" x14ac:dyDescent="0.35">
      <c r="A142" t="s">
        <v>407</v>
      </c>
      <c r="B142" s="1">
        <v>45606.131979016202</v>
      </c>
      <c r="C142" t="s">
        <v>408</v>
      </c>
      <c r="D142" t="s">
        <v>44</v>
      </c>
      <c r="E142" t="s">
        <v>148</v>
      </c>
      <c r="F142">
        <v>5.5</v>
      </c>
      <c r="G142">
        <v>7</v>
      </c>
      <c r="H142" t="s">
        <v>14</v>
      </c>
      <c r="I142" t="s">
        <v>21</v>
      </c>
      <c r="J142" t="s">
        <v>288</v>
      </c>
      <c r="K142">
        <f>Pqp_supermarket_data[[#This Row],[Unit_Price]]*Pqp_supermarket_data[[#This Row],[Quantity]]</f>
        <v>38.5</v>
      </c>
      <c r="L142" t="str">
        <f>TEXT(Pqp_supermarket_data[[#This Row],[DateTime]],"ddd")</f>
        <v>Sun</v>
      </c>
      <c r="M142" t="str">
        <f>TEXT(Pqp_supermarket_data[[#This Row],[DateTime]],"mmm")</f>
        <v>Nov</v>
      </c>
      <c r="N142" t="str">
        <f>TEXT(Pqp_supermarket_data[[#This Row],[DateTime]],"yyy")</f>
        <v>2024</v>
      </c>
    </row>
    <row r="143" spans="1:14" x14ac:dyDescent="0.35">
      <c r="A143" t="s">
        <v>409</v>
      </c>
      <c r="B143" s="1">
        <v>44439.831284571759</v>
      </c>
      <c r="C143" t="s">
        <v>410</v>
      </c>
      <c r="D143" t="s">
        <v>82</v>
      </c>
      <c r="E143" t="s">
        <v>137</v>
      </c>
      <c r="F143">
        <v>2.5</v>
      </c>
      <c r="G143">
        <v>4</v>
      </c>
      <c r="H143" t="s">
        <v>14</v>
      </c>
      <c r="I143" t="s">
        <v>21</v>
      </c>
      <c r="J143" t="s">
        <v>116</v>
      </c>
      <c r="K143">
        <f>Pqp_supermarket_data[[#This Row],[Unit_Price]]*Pqp_supermarket_data[[#This Row],[Quantity]]</f>
        <v>10</v>
      </c>
      <c r="L143" t="str">
        <f>TEXT(Pqp_supermarket_data[[#This Row],[DateTime]],"ddd")</f>
        <v>Tue</v>
      </c>
      <c r="M143" t="str">
        <f>TEXT(Pqp_supermarket_data[[#This Row],[DateTime]],"mmm")</f>
        <v>Aug</v>
      </c>
      <c r="N143" t="str">
        <f>TEXT(Pqp_supermarket_data[[#This Row],[DateTime]],"yyy")</f>
        <v>2021</v>
      </c>
    </row>
    <row r="144" spans="1:14" x14ac:dyDescent="0.35">
      <c r="A144" t="s">
        <v>411</v>
      </c>
      <c r="B144" s="1">
        <v>44510.906979027779</v>
      </c>
      <c r="C144" t="s">
        <v>412</v>
      </c>
      <c r="D144" t="s">
        <v>98</v>
      </c>
      <c r="E144" t="s">
        <v>137</v>
      </c>
      <c r="F144">
        <v>2.5</v>
      </c>
      <c r="G144">
        <v>4</v>
      </c>
      <c r="H144" t="s">
        <v>14</v>
      </c>
      <c r="I144" t="s">
        <v>61</v>
      </c>
      <c r="J144" t="s">
        <v>153</v>
      </c>
      <c r="K144">
        <f>Pqp_supermarket_data[[#This Row],[Unit_Price]]*Pqp_supermarket_data[[#This Row],[Quantity]]</f>
        <v>10</v>
      </c>
      <c r="L144" t="str">
        <f>TEXT(Pqp_supermarket_data[[#This Row],[DateTime]],"ddd")</f>
        <v>Wed</v>
      </c>
      <c r="M144" t="str">
        <f>TEXT(Pqp_supermarket_data[[#This Row],[DateTime]],"mmm")</f>
        <v>Nov</v>
      </c>
      <c r="N144" t="str">
        <f>TEXT(Pqp_supermarket_data[[#This Row],[DateTime]],"yyy")</f>
        <v>2021</v>
      </c>
    </row>
    <row r="145" spans="1:14" x14ac:dyDescent="0.35">
      <c r="A145" t="s">
        <v>413</v>
      </c>
      <c r="B145" s="1">
        <v>45518.16531236111</v>
      </c>
      <c r="C145" t="s">
        <v>414</v>
      </c>
      <c r="D145" t="s">
        <v>19</v>
      </c>
      <c r="E145" t="s">
        <v>115</v>
      </c>
      <c r="F145">
        <v>1.5</v>
      </c>
      <c r="G145">
        <v>2</v>
      </c>
      <c r="H145" t="s">
        <v>14</v>
      </c>
      <c r="I145" t="s">
        <v>40</v>
      </c>
      <c r="J145" t="s">
        <v>134</v>
      </c>
      <c r="K145">
        <f>Pqp_supermarket_data[[#This Row],[Unit_Price]]*Pqp_supermarket_data[[#This Row],[Quantity]]</f>
        <v>3</v>
      </c>
      <c r="L145" t="str">
        <f>TEXT(Pqp_supermarket_data[[#This Row],[DateTime]],"ddd")</f>
        <v>Wed</v>
      </c>
      <c r="M145" t="str">
        <f>TEXT(Pqp_supermarket_data[[#This Row],[DateTime]],"mmm")</f>
        <v>Aug</v>
      </c>
      <c r="N145" t="str">
        <f>TEXT(Pqp_supermarket_data[[#This Row],[DateTime]],"yyy")</f>
        <v>2024</v>
      </c>
    </row>
    <row r="146" spans="1:14" x14ac:dyDescent="0.35">
      <c r="A146" t="s">
        <v>415</v>
      </c>
      <c r="B146" s="1">
        <v>44540.236840138889</v>
      </c>
      <c r="C146" t="s">
        <v>416</v>
      </c>
      <c r="D146" t="s">
        <v>69</v>
      </c>
      <c r="E146" t="s">
        <v>57</v>
      </c>
      <c r="F146">
        <v>4.5</v>
      </c>
      <c r="G146">
        <v>9</v>
      </c>
      <c r="H146" t="s">
        <v>14</v>
      </c>
      <c r="I146" t="s">
        <v>40</v>
      </c>
      <c r="J146" t="s">
        <v>153</v>
      </c>
      <c r="K146">
        <f>Pqp_supermarket_data[[#This Row],[Unit_Price]]*Pqp_supermarket_data[[#This Row],[Quantity]]</f>
        <v>40.5</v>
      </c>
      <c r="L146" t="str">
        <f>TEXT(Pqp_supermarket_data[[#This Row],[DateTime]],"ddd")</f>
        <v>Fri</v>
      </c>
      <c r="M146" t="str">
        <f>TEXT(Pqp_supermarket_data[[#This Row],[DateTime]],"mmm")</f>
        <v>Dec</v>
      </c>
      <c r="N146" t="str">
        <f>TEXT(Pqp_supermarket_data[[#This Row],[DateTime]],"yyy")</f>
        <v>2021</v>
      </c>
    </row>
    <row r="147" spans="1:14" x14ac:dyDescent="0.35">
      <c r="A147" t="s">
        <v>417</v>
      </c>
      <c r="B147" s="1">
        <v>44951.466701261576</v>
      </c>
      <c r="C147" t="s">
        <v>418</v>
      </c>
      <c r="D147" t="s">
        <v>34</v>
      </c>
      <c r="E147" t="s">
        <v>148</v>
      </c>
      <c r="F147">
        <v>5.5</v>
      </c>
      <c r="G147">
        <v>8</v>
      </c>
      <c r="H147" t="s">
        <v>14</v>
      </c>
      <c r="I147" t="s">
        <v>40</v>
      </c>
      <c r="J147" t="s">
        <v>230</v>
      </c>
      <c r="K147">
        <f>Pqp_supermarket_data[[#This Row],[Unit_Price]]*Pqp_supermarket_data[[#This Row],[Quantity]]</f>
        <v>44</v>
      </c>
      <c r="L147" t="str">
        <f>TEXT(Pqp_supermarket_data[[#This Row],[DateTime]],"ddd")</f>
        <v>Wed</v>
      </c>
      <c r="M147" t="str">
        <f>TEXT(Pqp_supermarket_data[[#This Row],[DateTime]],"mmm")</f>
        <v>Jan</v>
      </c>
      <c r="N147" t="str">
        <f>TEXT(Pqp_supermarket_data[[#This Row],[DateTime]],"yyy")</f>
        <v>2023</v>
      </c>
    </row>
    <row r="148" spans="1:14" x14ac:dyDescent="0.35">
      <c r="A148" t="s">
        <v>419</v>
      </c>
      <c r="B148" s="1">
        <v>45470.893784594904</v>
      </c>
      <c r="C148" t="s">
        <v>420</v>
      </c>
      <c r="D148" t="s">
        <v>12</v>
      </c>
      <c r="E148" t="s">
        <v>57</v>
      </c>
      <c r="F148">
        <v>4.5</v>
      </c>
      <c r="G148">
        <v>9</v>
      </c>
      <c r="H148" t="s">
        <v>14</v>
      </c>
      <c r="I148" t="s">
        <v>36</v>
      </c>
      <c r="J148" t="s">
        <v>195</v>
      </c>
      <c r="K148">
        <f>Pqp_supermarket_data[[#This Row],[Unit_Price]]*Pqp_supermarket_data[[#This Row],[Quantity]]</f>
        <v>40.5</v>
      </c>
      <c r="L148" t="str">
        <f>TEXT(Pqp_supermarket_data[[#This Row],[DateTime]],"ddd")</f>
        <v>Thu</v>
      </c>
      <c r="M148" t="str">
        <f>TEXT(Pqp_supermarket_data[[#This Row],[DateTime]],"mmm")</f>
        <v>Jun</v>
      </c>
      <c r="N148" t="str">
        <f>TEXT(Pqp_supermarket_data[[#This Row],[DateTime]],"yyy")</f>
        <v>2024</v>
      </c>
    </row>
    <row r="149" spans="1:14" x14ac:dyDescent="0.35">
      <c r="A149" t="s">
        <v>421</v>
      </c>
      <c r="B149" s="1">
        <v>44935.913923483793</v>
      </c>
      <c r="C149" t="s">
        <v>422</v>
      </c>
      <c r="D149" t="s">
        <v>25</v>
      </c>
      <c r="E149" t="s">
        <v>70</v>
      </c>
      <c r="F149">
        <v>5</v>
      </c>
      <c r="G149">
        <v>9</v>
      </c>
      <c r="H149" t="s">
        <v>14</v>
      </c>
      <c r="I149" t="s">
        <v>15</v>
      </c>
      <c r="J149" t="s">
        <v>423</v>
      </c>
      <c r="K149">
        <f>Pqp_supermarket_data[[#This Row],[Unit_Price]]*Pqp_supermarket_data[[#This Row],[Quantity]]</f>
        <v>45</v>
      </c>
      <c r="L149" t="str">
        <f>TEXT(Pqp_supermarket_data[[#This Row],[DateTime]],"ddd")</f>
        <v>Mon</v>
      </c>
      <c r="M149" t="str">
        <f>TEXT(Pqp_supermarket_data[[#This Row],[DateTime]],"mmm")</f>
        <v>Jan</v>
      </c>
      <c r="N149" t="str">
        <f>TEXT(Pqp_supermarket_data[[#This Row],[DateTime]],"yyy")</f>
        <v>2023</v>
      </c>
    </row>
    <row r="150" spans="1:14" x14ac:dyDescent="0.35">
      <c r="A150" t="s">
        <v>424</v>
      </c>
      <c r="B150" s="1">
        <v>45395.745867939811</v>
      </c>
      <c r="C150" t="s">
        <v>425</v>
      </c>
      <c r="D150" t="s">
        <v>12</v>
      </c>
      <c r="E150" t="s">
        <v>111</v>
      </c>
      <c r="F150">
        <v>2.2000000000000002</v>
      </c>
      <c r="G150">
        <v>2</v>
      </c>
      <c r="H150" t="s">
        <v>14</v>
      </c>
      <c r="I150" t="s">
        <v>61</v>
      </c>
      <c r="J150" t="s">
        <v>426</v>
      </c>
      <c r="K150">
        <f>Pqp_supermarket_data[[#This Row],[Unit_Price]]*Pqp_supermarket_data[[#This Row],[Quantity]]</f>
        <v>4.4000000000000004</v>
      </c>
      <c r="L150" t="str">
        <f>TEXT(Pqp_supermarket_data[[#This Row],[DateTime]],"ddd")</f>
        <v>Sat</v>
      </c>
      <c r="M150" t="str">
        <f>TEXT(Pqp_supermarket_data[[#This Row],[DateTime]],"mmm")</f>
        <v>Apr</v>
      </c>
      <c r="N150" t="str">
        <f>TEXT(Pqp_supermarket_data[[#This Row],[DateTime]],"yyy")</f>
        <v>2024</v>
      </c>
    </row>
    <row r="151" spans="1:14" x14ac:dyDescent="0.35">
      <c r="A151" t="s">
        <v>427</v>
      </c>
      <c r="B151" s="1">
        <v>44937.102118009258</v>
      </c>
      <c r="C151" t="s">
        <v>428</v>
      </c>
      <c r="D151" t="s">
        <v>226</v>
      </c>
      <c r="E151" t="s">
        <v>90</v>
      </c>
      <c r="F151">
        <v>1.8</v>
      </c>
      <c r="G151">
        <v>5</v>
      </c>
      <c r="H151" t="s">
        <v>14</v>
      </c>
      <c r="I151" t="s">
        <v>40</v>
      </c>
      <c r="J151" t="s">
        <v>429</v>
      </c>
      <c r="K151">
        <f>Pqp_supermarket_data[[#This Row],[Unit_Price]]*Pqp_supermarket_data[[#This Row],[Quantity]]</f>
        <v>9</v>
      </c>
      <c r="L151" t="str">
        <f>TEXT(Pqp_supermarket_data[[#This Row],[DateTime]],"ddd")</f>
        <v>Wed</v>
      </c>
      <c r="M151" t="str">
        <f>TEXT(Pqp_supermarket_data[[#This Row],[DateTime]],"mmm")</f>
        <v>Jan</v>
      </c>
      <c r="N151" t="str">
        <f>TEXT(Pqp_supermarket_data[[#This Row],[DateTime]],"yyy")</f>
        <v>2023</v>
      </c>
    </row>
    <row r="152" spans="1:14" x14ac:dyDescent="0.35">
      <c r="A152" t="s">
        <v>430</v>
      </c>
      <c r="B152" s="1">
        <v>45174.784062453706</v>
      </c>
      <c r="C152" t="s">
        <v>431</v>
      </c>
      <c r="D152" t="s">
        <v>30</v>
      </c>
      <c r="E152" t="s">
        <v>115</v>
      </c>
      <c r="F152">
        <v>1.5</v>
      </c>
      <c r="G152">
        <v>3</v>
      </c>
      <c r="H152" t="s">
        <v>14</v>
      </c>
      <c r="I152" t="s">
        <v>86</v>
      </c>
      <c r="J152" t="s">
        <v>183</v>
      </c>
      <c r="K152">
        <f>Pqp_supermarket_data[[#This Row],[Unit_Price]]*Pqp_supermarket_data[[#This Row],[Quantity]]</f>
        <v>4.5</v>
      </c>
      <c r="L152" t="str">
        <f>TEXT(Pqp_supermarket_data[[#This Row],[DateTime]],"ddd")</f>
        <v>Tue</v>
      </c>
      <c r="M152" t="str">
        <f>TEXT(Pqp_supermarket_data[[#This Row],[DateTime]],"mmm")</f>
        <v>Sep</v>
      </c>
      <c r="N152" t="str">
        <f>TEXT(Pqp_supermarket_data[[#This Row],[DateTime]],"yyy")</f>
        <v>2023</v>
      </c>
    </row>
    <row r="153" spans="1:14" x14ac:dyDescent="0.35">
      <c r="A153" t="s">
        <v>432</v>
      </c>
      <c r="B153" s="1">
        <v>44795.086840243057</v>
      </c>
      <c r="C153" t="s">
        <v>433</v>
      </c>
      <c r="D153" t="s">
        <v>85</v>
      </c>
      <c r="E153" t="s">
        <v>20</v>
      </c>
      <c r="F153">
        <v>1</v>
      </c>
      <c r="G153">
        <v>7</v>
      </c>
      <c r="H153" t="s">
        <v>14</v>
      </c>
      <c r="I153" t="s">
        <v>86</v>
      </c>
      <c r="J153" t="s">
        <v>394</v>
      </c>
      <c r="K153">
        <f>Pqp_supermarket_data[[#This Row],[Unit_Price]]*Pqp_supermarket_data[[#This Row],[Quantity]]</f>
        <v>7</v>
      </c>
      <c r="L153" t="str">
        <f>TEXT(Pqp_supermarket_data[[#This Row],[DateTime]],"ddd")</f>
        <v>Mon</v>
      </c>
      <c r="M153" t="str">
        <f>TEXT(Pqp_supermarket_data[[#This Row],[DateTime]],"mmm")</f>
        <v>Aug</v>
      </c>
      <c r="N153" t="str">
        <f>TEXT(Pqp_supermarket_data[[#This Row],[DateTime]],"yyy")</f>
        <v>2022</v>
      </c>
    </row>
    <row r="154" spans="1:14" x14ac:dyDescent="0.35">
      <c r="A154" t="s">
        <v>434</v>
      </c>
      <c r="B154" s="1">
        <v>45399.632673599539</v>
      </c>
      <c r="C154" t="s">
        <v>435</v>
      </c>
      <c r="D154" t="s">
        <v>171</v>
      </c>
      <c r="E154" t="s">
        <v>49</v>
      </c>
      <c r="F154">
        <v>7</v>
      </c>
      <c r="G154">
        <v>4</v>
      </c>
      <c r="H154" t="s">
        <v>14</v>
      </c>
      <c r="I154" t="s">
        <v>86</v>
      </c>
      <c r="J154" t="s">
        <v>436</v>
      </c>
      <c r="K154">
        <f>Pqp_supermarket_data[[#This Row],[Unit_Price]]*Pqp_supermarket_data[[#This Row],[Quantity]]</f>
        <v>28</v>
      </c>
      <c r="L154" t="str">
        <f>TEXT(Pqp_supermarket_data[[#This Row],[DateTime]],"ddd")</f>
        <v>Wed</v>
      </c>
      <c r="M154" t="str">
        <f>TEXT(Pqp_supermarket_data[[#This Row],[DateTime]],"mmm")</f>
        <v>Apr</v>
      </c>
      <c r="N154" t="str">
        <f>TEXT(Pqp_supermarket_data[[#This Row],[DateTime]],"yyy")</f>
        <v>2024</v>
      </c>
    </row>
    <row r="155" spans="1:14" x14ac:dyDescent="0.35">
      <c r="A155" t="s">
        <v>437</v>
      </c>
      <c r="B155" s="1">
        <v>45134.580590277779</v>
      </c>
      <c r="C155" t="s">
        <v>438</v>
      </c>
      <c r="D155" t="s">
        <v>12</v>
      </c>
      <c r="E155" t="s">
        <v>49</v>
      </c>
      <c r="F155">
        <v>7</v>
      </c>
      <c r="G155">
        <v>7</v>
      </c>
      <c r="H155" t="s">
        <v>14</v>
      </c>
      <c r="I155" t="s">
        <v>36</v>
      </c>
      <c r="J155" t="s">
        <v>189</v>
      </c>
      <c r="K155">
        <f>Pqp_supermarket_data[[#This Row],[Unit_Price]]*Pqp_supermarket_data[[#This Row],[Quantity]]</f>
        <v>49</v>
      </c>
      <c r="L155" t="str">
        <f>TEXT(Pqp_supermarket_data[[#This Row],[DateTime]],"ddd")</f>
        <v>Thu</v>
      </c>
      <c r="M155" t="str">
        <f>TEXT(Pqp_supermarket_data[[#This Row],[DateTime]],"mmm")</f>
        <v>Jul</v>
      </c>
      <c r="N155" t="str">
        <f>TEXT(Pqp_supermarket_data[[#This Row],[DateTime]],"yyy")</f>
        <v>2023</v>
      </c>
    </row>
    <row r="156" spans="1:14" x14ac:dyDescent="0.35">
      <c r="A156" t="s">
        <v>439</v>
      </c>
      <c r="B156" s="1">
        <v>45474.933368067126</v>
      </c>
      <c r="C156" t="s">
        <v>440</v>
      </c>
      <c r="D156" t="s">
        <v>69</v>
      </c>
      <c r="E156" t="s">
        <v>90</v>
      </c>
      <c r="F156">
        <v>1.8</v>
      </c>
      <c r="G156">
        <v>10</v>
      </c>
      <c r="H156" t="s">
        <v>14</v>
      </c>
      <c r="I156" t="s">
        <v>61</v>
      </c>
      <c r="J156" t="s">
        <v>58</v>
      </c>
      <c r="K156">
        <f>Pqp_supermarket_data[[#This Row],[Unit_Price]]*Pqp_supermarket_data[[#This Row],[Quantity]]</f>
        <v>18</v>
      </c>
      <c r="L156" t="str">
        <f>TEXT(Pqp_supermarket_data[[#This Row],[DateTime]],"ddd")</f>
        <v>Mon</v>
      </c>
      <c r="M156" t="str">
        <f>TEXT(Pqp_supermarket_data[[#This Row],[DateTime]],"mmm")</f>
        <v>Jul</v>
      </c>
      <c r="N156" t="str">
        <f>TEXT(Pqp_supermarket_data[[#This Row],[DateTime]],"yyy")</f>
        <v>2024</v>
      </c>
    </row>
    <row r="157" spans="1:14" x14ac:dyDescent="0.35">
      <c r="A157" t="s">
        <v>441</v>
      </c>
      <c r="B157" s="1">
        <v>44885.411840289351</v>
      </c>
      <c r="C157" t="s">
        <v>442</v>
      </c>
      <c r="D157" t="s">
        <v>19</v>
      </c>
      <c r="E157" t="s">
        <v>70</v>
      </c>
      <c r="F157">
        <v>5</v>
      </c>
      <c r="G157">
        <v>1</v>
      </c>
      <c r="H157" t="s">
        <v>14</v>
      </c>
      <c r="I157" t="s">
        <v>36</v>
      </c>
      <c r="J157" t="s">
        <v>209</v>
      </c>
      <c r="K157">
        <f>Pqp_supermarket_data[[#This Row],[Unit_Price]]*Pqp_supermarket_data[[#This Row],[Quantity]]</f>
        <v>5</v>
      </c>
      <c r="L157" t="str">
        <f>TEXT(Pqp_supermarket_data[[#This Row],[DateTime]],"ddd")</f>
        <v>Sun</v>
      </c>
      <c r="M157" t="str">
        <f>TEXT(Pqp_supermarket_data[[#This Row],[DateTime]],"mmm")</f>
        <v>Nov</v>
      </c>
      <c r="N157" t="str">
        <f>TEXT(Pqp_supermarket_data[[#This Row],[DateTime]],"yyy")</f>
        <v>2022</v>
      </c>
    </row>
    <row r="158" spans="1:14" x14ac:dyDescent="0.35">
      <c r="A158" t="s">
        <v>443</v>
      </c>
      <c r="B158" s="1">
        <v>44946.720173634261</v>
      </c>
      <c r="C158" t="s">
        <v>444</v>
      </c>
      <c r="D158" t="s">
        <v>77</v>
      </c>
      <c r="E158" t="s">
        <v>115</v>
      </c>
      <c r="F158">
        <v>1.5</v>
      </c>
      <c r="G158">
        <v>5</v>
      </c>
      <c r="H158" t="s">
        <v>14</v>
      </c>
      <c r="I158" t="s">
        <v>61</v>
      </c>
      <c r="J158" t="s">
        <v>215</v>
      </c>
      <c r="K158">
        <f>Pqp_supermarket_data[[#This Row],[Unit_Price]]*Pqp_supermarket_data[[#This Row],[Quantity]]</f>
        <v>7.5</v>
      </c>
      <c r="L158" t="str">
        <f>TEXT(Pqp_supermarket_data[[#This Row],[DateTime]],"ddd")</f>
        <v>Fri</v>
      </c>
      <c r="M158" t="str">
        <f>TEXT(Pqp_supermarket_data[[#This Row],[DateTime]],"mmm")</f>
        <v>Jan</v>
      </c>
      <c r="N158" t="str">
        <f>TEXT(Pqp_supermarket_data[[#This Row],[DateTime]],"yyy")</f>
        <v>2023</v>
      </c>
    </row>
    <row r="159" spans="1:14" x14ac:dyDescent="0.35">
      <c r="A159" t="s">
        <v>445</v>
      </c>
      <c r="B159" s="1">
        <v>44368.031284745368</v>
      </c>
      <c r="C159" t="s">
        <v>446</v>
      </c>
      <c r="D159" t="s">
        <v>77</v>
      </c>
      <c r="E159" t="s">
        <v>39</v>
      </c>
      <c r="F159">
        <v>3.2</v>
      </c>
      <c r="G159">
        <v>9</v>
      </c>
      <c r="H159" t="s">
        <v>14</v>
      </c>
      <c r="I159" t="s">
        <v>86</v>
      </c>
      <c r="J159" t="s">
        <v>79</v>
      </c>
      <c r="K159">
        <f>Pqp_supermarket_data[[#This Row],[Unit_Price]]*Pqp_supermarket_data[[#This Row],[Quantity]]</f>
        <v>28.8</v>
      </c>
      <c r="L159" t="str">
        <f>TEXT(Pqp_supermarket_data[[#This Row],[DateTime]],"ddd")</f>
        <v>Mon</v>
      </c>
      <c r="M159" t="str">
        <f>TEXT(Pqp_supermarket_data[[#This Row],[DateTime]],"mmm")</f>
        <v>Jun</v>
      </c>
      <c r="N159" t="str">
        <f>TEXT(Pqp_supermarket_data[[#This Row],[DateTime]],"yyy")</f>
        <v>2021</v>
      </c>
    </row>
    <row r="160" spans="1:14" x14ac:dyDescent="0.35">
      <c r="A160" t="s">
        <v>447</v>
      </c>
      <c r="B160" s="1">
        <v>44502.604201423608</v>
      </c>
      <c r="C160" t="s">
        <v>448</v>
      </c>
      <c r="D160" t="s">
        <v>226</v>
      </c>
      <c r="E160" t="s">
        <v>115</v>
      </c>
      <c r="F160">
        <v>1.5</v>
      </c>
      <c r="G160">
        <v>9</v>
      </c>
      <c r="H160" t="s">
        <v>14</v>
      </c>
      <c r="I160" t="s">
        <v>40</v>
      </c>
      <c r="J160" t="s">
        <v>215</v>
      </c>
      <c r="K160">
        <f>Pqp_supermarket_data[[#This Row],[Unit_Price]]*Pqp_supermarket_data[[#This Row],[Quantity]]</f>
        <v>13.5</v>
      </c>
      <c r="L160" t="str">
        <f>TEXT(Pqp_supermarket_data[[#This Row],[DateTime]],"ddd")</f>
        <v>Tue</v>
      </c>
      <c r="M160" t="str">
        <f>TEXT(Pqp_supermarket_data[[#This Row],[DateTime]],"mmm")</f>
        <v>Nov</v>
      </c>
      <c r="N160" t="str">
        <f>TEXT(Pqp_supermarket_data[[#This Row],[DateTime]],"yyy")</f>
        <v>2021</v>
      </c>
    </row>
    <row r="161" spans="1:14" x14ac:dyDescent="0.35">
      <c r="A161" t="s">
        <v>449</v>
      </c>
      <c r="B161" s="1">
        <v>45646.240312534719</v>
      </c>
      <c r="C161" t="s">
        <v>450</v>
      </c>
      <c r="D161" t="s">
        <v>30</v>
      </c>
      <c r="E161" t="s">
        <v>57</v>
      </c>
      <c r="F161">
        <v>4.5</v>
      </c>
      <c r="G161">
        <v>4</v>
      </c>
      <c r="H161" t="s">
        <v>14</v>
      </c>
      <c r="I161" t="s">
        <v>36</v>
      </c>
      <c r="J161" t="s">
        <v>451</v>
      </c>
      <c r="K161">
        <f>Pqp_supermarket_data[[#This Row],[Unit_Price]]*Pqp_supermarket_data[[#This Row],[Quantity]]</f>
        <v>18</v>
      </c>
      <c r="L161" t="str">
        <f>TEXT(Pqp_supermarket_data[[#This Row],[DateTime]],"ddd")</f>
        <v>Fri</v>
      </c>
      <c r="M161" t="str">
        <f>TEXT(Pqp_supermarket_data[[#This Row],[DateTime]],"mmm")</f>
        <v>Dec</v>
      </c>
      <c r="N161" t="str">
        <f>TEXT(Pqp_supermarket_data[[#This Row],[DateTime]],"yyy")</f>
        <v>2024</v>
      </c>
    </row>
    <row r="162" spans="1:14" x14ac:dyDescent="0.35">
      <c r="A162" t="s">
        <v>452</v>
      </c>
      <c r="B162" s="1">
        <v>44898.401423657408</v>
      </c>
      <c r="C162" t="s">
        <v>453</v>
      </c>
      <c r="D162" t="s">
        <v>30</v>
      </c>
      <c r="E162" t="s">
        <v>148</v>
      </c>
      <c r="F162">
        <v>5.5</v>
      </c>
      <c r="G162">
        <v>8</v>
      </c>
      <c r="H162" t="s">
        <v>14</v>
      </c>
      <c r="I162" t="s">
        <v>15</v>
      </c>
      <c r="J162" t="s">
        <v>320</v>
      </c>
      <c r="K162">
        <f>Pqp_supermarket_data[[#This Row],[Unit_Price]]*Pqp_supermarket_data[[#This Row],[Quantity]]</f>
        <v>44</v>
      </c>
      <c r="L162" t="str">
        <f>TEXT(Pqp_supermarket_data[[#This Row],[DateTime]],"ddd")</f>
        <v>Sat</v>
      </c>
      <c r="M162" t="str">
        <f>TEXT(Pqp_supermarket_data[[#This Row],[DateTime]],"mmm")</f>
        <v>Dec</v>
      </c>
      <c r="N162" t="str">
        <f>TEXT(Pqp_supermarket_data[[#This Row],[DateTime]],"yyy")</f>
        <v>2022</v>
      </c>
    </row>
    <row r="163" spans="1:14" x14ac:dyDescent="0.35">
      <c r="A163" t="s">
        <v>454</v>
      </c>
      <c r="B163" s="1">
        <v>45173.558368101854</v>
      </c>
      <c r="C163" t="s">
        <v>455</v>
      </c>
      <c r="D163" t="s">
        <v>44</v>
      </c>
      <c r="E163" t="s">
        <v>137</v>
      </c>
      <c r="F163">
        <v>2.5</v>
      </c>
      <c r="G163">
        <v>5</v>
      </c>
      <c r="H163" t="s">
        <v>14</v>
      </c>
      <c r="I163" t="s">
        <v>61</v>
      </c>
      <c r="J163" t="s">
        <v>186</v>
      </c>
      <c r="K163">
        <f>Pqp_supermarket_data[[#This Row],[Unit_Price]]*Pqp_supermarket_data[[#This Row],[Quantity]]</f>
        <v>12.5</v>
      </c>
      <c r="L163" t="str">
        <f>TEXT(Pqp_supermarket_data[[#This Row],[DateTime]],"ddd")</f>
        <v>Mon</v>
      </c>
      <c r="M163" t="str">
        <f>TEXT(Pqp_supermarket_data[[#This Row],[DateTime]],"mmm")</f>
        <v>Sep</v>
      </c>
      <c r="N163" t="str">
        <f>TEXT(Pqp_supermarket_data[[#This Row],[DateTime]],"yyy")</f>
        <v>2023</v>
      </c>
    </row>
    <row r="164" spans="1:14" x14ac:dyDescent="0.35">
      <c r="A164" t="s">
        <v>456</v>
      </c>
      <c r="B164" s="1">
        <v>44904.382673668981</v>
      </c>
      <c r="C164" t="s">
        <v>457</v>
      </c>
      <c r="D164" t="s">
        <v>85</v>
      </c>
      <c r="E164" t="s">
        <v>145</v>
      </c>
      <c r="F164">
        <v>1.7</v>
      </c>
      <c r="G164">
        <v>10</v>
      </c>
      <c r="H164" t="s">
        <v>14</v>
      </c>
      <c r="I164" t="s">
        <v>36</v>
      </c>
      <c r="J164" t="s">
        <v>458</v>
      </c>
      <c r="K164">
        <f>Pqp_supermarket_data[[#This Row],[Unit_Price]]*Pqp_supermarket_data[[#This Row],[Quantity]]</f>
        <v>17</v>
      </c>
      <c r="L164" t="str">
        <f>TEXT(Pqp_supermarket_data[[#This Row],[DateTime]],"ddd")</f>
        <v>Fri</v>
      </c>
      <c r="M164" t="str">
        <f>TEXT(Pqp_supermarket_data[[#This Row],[DateTime]],"mmm")</f>
        <v>Dec</v>
      </c>
      <c r="N164" t="str">
        <f>TEXT(Pqp_supermarket_data[[#This Row],[DateTime]],"yyy")</f>
        <v>2022</v>
      </c>
    </row>
    <row r="165" spans="1:14" x14ac:dyDescent="0.35">
      <c r="A165" t="s">
        <v>459</v>
      </c>
      <c r="B165" s="1">
        <v>45438.34795145833</v>
      </c>
      <c r="C165" t="s">
        <v>460</v>
      </c>
      <c r="D165" t="s">
        <v>171</v>
      </c>
      <c r="E165" t="s">
        <v>49</v>
      </c>
      <c r="F165">
        <v>7</v>
      </c>
      <c r="G165">
        <v>10</v>
      </c>
      <c r="H165" t="s">
        <v>14</v>
      </c>
      <c r="I165" t="s">
        <v>36</v>
      </c>
      <c r="J165" t="s">
        <v>461</v>
      </c>
      <c r="K165">
        <f>Pqp_supermarket_data[[#This Row],[Unit_Price]]*Pqp_supermarket_data[[#This Row],[Quantity]]</f>
        <v>70</v>
      </c>
      <c r="L165" t="str">
        <f>TEXT(Pqp_supermarket_data[[#This Row],[DateTime]],"ddd")</f>
        <v>Sun</v>
      </c>
      <c r="M165" t="str">
        <f>TEXT(Pqp_supermarket_data[[#This Row],[DateTime]],"mmm")</f>
        <v>May</v>
      </c>
      <c r="N165" t="str">
        <f>TEXT(Pqp_supermarket_data[[#This Row],[DateTime]],"yyy")</f>
        <v>2024</v>
      </c>
    </row>
    <row r="166" spans="1:14" x14ac:dyDescent="0.35">
      <c r="A166" t="s">
        <v>462</v>
      </c>
      <c r="B166" s="1">
        <v>44766.80350707176</v>
      </c>
      <c r="C166" t="s">
        <v>463</v>
      </c>
      <c r="D166" t="s">
        <v>25</v>
      </c>
      <c r="E166" t="s">
        <v>70</v>
      </c>
      <c r="F166">
        <v>5</v>
      </c>
      <c r="G166">
        <v>5</v>
      </c>
      <c r="H166" t="s">
        <v>14</v>
      </c>
      <c r="I166" t="s">
        <v>86</v>
      </c>
      <c r="J166" t="s">
        <v>364</v>
      </c>
      <c r="K166">
        <f>Pqp_supermarket_data[[#This Row],[Unit_Price]]*Pqp_supermarket_data[[#This Row],[Quantity]]</f>
        <v>25</v>
      </c>
      <c r="L166" t="str">
        <f>TEXT(Pqp_supermarket_data[[#This Row],[DateTime]],"ddd")</f>
        <v>Sun</v>
      </c>
      <c r="M166" t="str">
        <f>TEXT(Pqp_supermarket_data[[#This Row],[DateTime]],"mmm")</f>
        <v>Jul</v>
      </c>
      <c r="N166" t="str">
        <f>TEXT(Pqp_supermarket_data[[#This Row],[DateTime]],"yyy")</f>
        <v>2022</v>
      </c>
    </row>
    <row r="167" spans="1:14" x14ac:dyDescent="0.35">
      <c r="A167" t="s">
        <v>464</v>
      </c>
      <c r="B167" s="1">
        <v>44421.520173738427</v>
      </c>
      <c r="C167" t="s">
        <v>465</v>
      </c>
      <c r="D167" t="s">
        <v>226</v>
      </c>
      <c r="E167" t="s">
        <v>70</v>
      </c>
      <c r="F167">
        <v>5</v>
      </c>
      <c r="G167">
        <v>5</v>
      </c>
      <c r="H167" t="s">
        <v>14</v>
      </c>
      <c r="I167" t="s">
        <v>36</v>
      </c>
      <c r="J167" t="s">
        <v>112</v>
      </c>
      <c r="K167">
        <f>Pqp_supermarket_data[[#This Row],[Unit_Price]]*Pqp_supermarket_data[[#This Row],[Quantity]]</f>
        <v>25</v>
      </c>
      <c r="L167" t="str">
        <f>TEXT(Pqp_supermarket_data[[#This Row],[DateTime]],"ddd")</f>
        <v>Fri</v>
      </c>
      <c r="M167" t="str">
        <f>TEXT(Pqp_supermarket_data[[#This Row],[DateTime]],"mmm")</f>
        <v>Aug</v>
      </c>
      <c r="N167" t="str">
        <f>TEXT(Pqp_supermarket_data[[#This Row],[DateTime]],"yyy")</f>
        <v>2021</v>
      </c>
    </row>
    <row r="168" spans="1:14" x14ac:dyDescent="0.35">
      <c r="A168" t="s">
        <v>466</v>
      </c>
      <c r="B168" s="1">
        <v>45463.456979305556</v>
      </c>
      <c r="C168" t="s">
        <v>467</v>
      </c>
      <c r="D168" t="s">
        <v>44</v>
      </c>
      <c r="E168" t="s">
        <v>119</v>
      </c>
      <c r="F168">
        <v>4</v>
      </c>
      <c r="G168">
        <v>5</v>
      </c>
      <c r="H168" t="s">
        <v>14</v>
      </c>
      <c r="I168" t="s">
        <v>36</v>
      </c>
      <c r="J168" t="s">
        <v>22</v>
      </c>
      <c r="K168">
        <f>Pqp_supermarket_data[[#This Row],[Unit_Price]]*Pqp_supermarket_data[[#This Row],[Quantity]]</f>
        <v>20</v>
      </c>
      <c r="L168" t="str">
        <f>TEXT(Pqp_supermarket_data[[#This Row],[DateTime]],"ddd")</f>
        <v>Thu</v>
      </c>
      <c r="M168" t="str">
        <f>TEXT(Pqp_supermarket_data[[#This Row],[DateTime]],"mmm")</f>
        <v>Jun</v>
      </c>
      <c r="N168" t="str">
        <f>TEXT(Pqp_supermarket_data[[#This Row],[DateTime]],"yyy")</f>
        <v>2024</v>
      </c>
    </row>
    <row r="169" spans="1:14" x14ac:dyDescent="0.35">
      <c r="A169" t="s">
        <v>468</v>
      </c>
      <c r="B169" s="1">
        <v>44373.206284872686</v>
      </c>
      <c r="C169" t="s">
        <v>469</v>
      </c>
      <c r="D169" t="s">
        <v>34</v>
      </c>
      <c r="E169" t="s">
        <v>57</v>
      </c>
      <c r="F169">
        <v>4.5</v>
      </c>
      <c r="G169">
        <v>4</v>
      </c>
      <c r="H169" t="s">
        <v>14</v>
      </c>
      <c r="I169" t="s">
        <v>86</v>
      </c>
      <c r="J169" t="s">
        <v>470</v>
      </c>
      <c r="K169">
        <f>Pqp_supermarket_data[[#This Row],[Unit_Price]]*Pqp_supermarket_data[[#This Row],[Quantity]]</f>
        <v>18</v>
      </c>
      <c r="L169" t="str">
        <f>TEXT(Pqp_supermarket_data[[#This Row],[DateTime]],"ddd")</f>
        <v>Sat</v>
      </c>
      <c r="M169" t="str">
        <f>TEXT(Pqp_supermarket_data[[#This Row],[DateTime]],"mmm")</f>
        <v>Jun</v>
      </c>
      <c r="N169" t="str">
        <f>TEXT(Pqp_supermarket_data[[#This Row],[DateTime]],"yyy")</f>
        <v>2021</v>
      </c>
    </row>
    <row r="170" spans="1:14" x14ac:dyDescent="0.35">
      <c r="A170" t="s">
        <v>471</v>
      </c>
      <c r="B170" s="1">
        <v>45568.251423761576</v>
      </c>
      <c r="C170" t="s">
        <v>472</v>
      </c>
      <c r="D170" t="s">
        <v>171</v>
      </c>
      <c r="E170" t="s">
        <v>53</v>
      </c>
      <c r="F170">
        <v>2.8</v>
      </c>
      <c r="G170">
        <v>10</v>
      </c>
      <c r="H170" t="s">
        <v>14</v>
      </c>
      <c r="I170" t="s">
        <v>61</v>
      </c>
      <c r="J170" t="s">
        <v>160</v>
      </c>
      <c r="K170">
        <f>Pqp_supermarket_data[[#This Row],[Unit_Price]]*Pqp_supermarket_data[[#This Row],[Quantity]]</f>
        <v>28</v>
      </c>
      <c r="L170" t="str">
        <f>TEXT(Pqp_supermarket_data[[#This Row],[DateTime]],"ddd")</f>
        <v>Thu</v>
      </c>
      <c r="M170" t="str">
        <f>TEXT(Pqp_supermarket_data[[#This Row],[DateTime]],"mmm")</f>
        <v>Oct</v>
      </c>
      <c r="N170" t="str">
        <f>TEXT(Pqp_supermarket_data[[#This Row],[DateTime]],"yyy")</f>
        <v>2024</v>
      </c>
    </row>
    <row r="171" spans="1:14" x14ac:dyDescent="0.35">
      <c r="A171" t="s">
        <v>473</v>
      </c>
      <c r="B171" s="1">
        <v>45182.522951539351</v>
      </c>
      <c r="C171" t="s">
        <v>474</v>
      </c>
      <c r="D171" t="s">
        <v>30</v>
      </c>
      <c r="E171" t="s">
        <v>49</v>
      </c>
      <c r="F171">
        <v>7</v>
      </c>
      <c r="G171">
        <v>5</v>
      </c>
      <c r="H171" t="s">
        <v>14</v>
      </c>
      <c r="I171" t="s">
        <v>40</v>
      </c>
      <c r="J171" t="s">
        <v>323</v>
      </c>
      <c r="K171">
        <f>Pqp_supermarket_data[[#This Row],[Unit_Price]]*Pqp_supermarket_data[[#This Row],[Quantity]]</f>
        <v>35</v>
      </c>
      <c r="L171" t="str">
        <f>TEXT(Pqp_supermarket_data[[#This Row],[DateTime]],"ddd")</f>
        <v>Wed</v>
      </c>
      <c r="M171" t="str">
        <f>TEXT(Pqp_supermarket_data[[#This Row],[DateTime]],"mmm")</f>
        <v>Sep</v>
      </c>
      <c r="N171" t="str">
        <f>TEXT(Pqp_supermarket_data[[#This Row],[DateTime]],"yyy")</f>
        <v>2023</v>
      </c>
    </row>
    <row r="172" spans="1:14" x14ac:dyDescent="0.35">
      <c r="A172" t="s">
        <v>475</v>
      </c>
      <c r="B172" s="1">
        <v>44381.599340439818</v>
      </c>
      <c r="C172" t="s">
        <v>476</v>
      </c>
      <c r="D172" t="s">
        <v>19</v>
      </c>
      <c r="E172" t="s">
        <v>45</v>
      </c>
      <c r="F172">
        <v>1</v>
      </c>
      <c r="G172">
        <v>8</v>
      </c>
      <c r="H172" t="s">
        <v>14</v>
      </c>
      <c r="I172" t="s">
        <v>61</v>
      </c>
      <c r="J172" t="s">
        <v>267</v>
      </c>
      <c r="K172">
        <f>Pqp_supermarket_data[[#This Row],[Unit_Price]]*Pqp_supermarket_data[[#This Row],[Quantity]]</f>
        <v>8</v>
      </c>
      <c r="L172" t="str">
        <f>TEXT(Pqp_supermarket_data[[#This Row],[DateTime]],"ddd")</f>
        <v>Sun</v>
      </c>
      <c r="M172" t="str">
        <f>TEXT(Pqp_supermarket_data[[#This Row],[DateTime]],"mmm")</f>
        <v>Jul</v>
      </c>
      <c r="N172" t="str">
        <f>TEXT(Pqp_supermarket_data[[#This Row],[DateTime]],"yyy")</f>
        <v>2021</v>
      </c>
    </row>
    <row r="173" spans="1:14" x14ac:dyDescent="0.35">
      <c r="A173" t="s">
        <v>477</v>
      </c>
      <c r="B173" s="1">
        <v>45314.732673784725</v>
      </c>
      <c r="C173" t="s">
        <v>478</v>
      </c>
      <c r="D173" t="s">
        <v>44</v>
      </c>
      <c r="E173" t="s">
        <v>26</v>
      </c>
      <c r="F173">
        <v>2.5</v>
      </c>
      <c r="G173">
        <v>4</v>
      </c>
      <c r="H173" t="s">
        <v>14</v>
      </c>
      <c r="I173" t="s">
        <v>21</v>
      </c>
      <c r="J173" t="s">
        <v>364</v>
      </c>
      <c r="K173">
        <f>Pqp_supermarket_data[[#This Row],[Unit_Price]]*Pqp_supermarket_data[[#This Row],[Quantity]]</f>
        <v>10</v>
      </c>
      <c r="L173" t="str">
        <f>TEXT(Pqp_supermarket_data[[#This Row],[DateTime]],"ddd")</f>
        <v>Tue</v>
      </c>
      <c r="M173" t="str">
        <f>TEXT(Pqp_supermarket_data[[#This Row],[DateTime]],"mmm")</f>
        <v>Jan</v>
      </c>
      <c r="N173" t="str">
        <f>TEXT(Pqp_supermarket_data[[#This Row],[DateTime]],"yyy")</f>
        <v>2024</v>
      </c>
    </row>
    <row r="174" spans="1:14" x14ac:dyDescent="0.35">
      <c r="A174" t="s">
        <v>479</v>
      </c>
      <c r="B174" s="1">
        <v>44397.567396018516</v>
      </c>
      <c r="C174" t="s">
        <v>480</v>
      </c>
      <c r="D174" t="s">
        <v>30</v>
      </c>
      <c r="E174" t="s">
        <v>111</v>
      </c>
      <c r="F174">
        <v>2.2000000000000002</v>
      </c>
      <c r="G174">
        <v>2</v>
      </c>
      <c r="H174" t="s">
        <v>14</v>
      </c>
      <c r="I174" t="s">
        <v>36</v>
      </c>
      <c r="J174" t="s">
        <v>230</v>
      </c>
      <c r="K174">
        <f>Pqp_supermarket_data[[#This Row],[Unit_Price]]*Pqp_supermarket_data[[#This Row],[Quantity]]</f>
        <v>4.4000000000000004</v>
      </c>
      <c r="L174" t="str">
        <f>TEXT(Pqp_supermarket_data[[#This Row],[DateTime]],"ddd")</f>
        <v>Tue</v>
      </c>
      <c r="M174" t="str">
        <f>TEXT(Pqp_supermarket_data[[#This Row],[DateTime]],"mmm")</f>
        <v>Jul</v>
      </c>
      <c r="N174" t="str">
        <f>TEXT(Pqp_supermarket_data[[#This Row],[DateTime]],"yyy")</f>
        <v>2021</v>
      </c>
    </row>
    <row r="175" spans="1:14" x14ac:dyDescent="0.35">
      <c r="A175" t="s">
        <v>481</v>
      </c>
      <c r="B175" s="1">
        <v>45706.150034918981</v>
      </c>
      <c r="C175" t="s">
        <v>482</v>
      </c>
      <c r="D175" t="s">
        <v>98</v>
      </c>
      <c r="E175" t="s">
        <v>137</v>
      </c>
      <c r="F175">
        <v>2.5</v>
      </c>
      <c r="G175">
        <v>10</v>
      </c>
      <c r="H175" t="s">
        <v>14</v>
      </c>
      <c r="I175" t="s">
        <v>61</v>
      </c>
      <c r="J175" t="s">
        <v>46</v>
      </c>
      <c r="K175">
        <f>Pqp_supermarket_data[[#This Row],[Unit_Price]]*Pqp_supermarket_data[[#This Row],[Quantity]]</f>
        <v>25</v>
      </c>
      <c r="L175" t="str">
        <f>TEXT(Pqp_supermarket_data[[#This Row],[DateTime]],"ddd")</f>
        <v>Tue</v>
      </c>
      <c r="M175" t="str">
        <f>TEXT(Pqp_supermarket_data[[#This Row],[DateTime]],"mmm")</f>
        <v>Feb</v>
      </c>
      <c r="N175" t="str">
        <f>TEXT(Pqp_supermarket_data[[#This Row],[DateTime]],"yyy")</f>
        <v>2025</v>
      </c>
    </row>
    <row r="176" spans="1:14" x14ac:dyDescent="0.35">
      <c r="A176" t="s">
        <v>483</v>
      </c>
      <c r="B176" s="1">
        <v>45517.436146041669</v>
      </c>
      <c r="C176" t="s">
        <v>484</v>
      </c>
      <c r="D176" t="s">
        <v>127</v>
      </c>
      <c r="E176" t="s">
        <v>39</v>
      </c>
      <c r="F176">
        <v>3.2</v>
      </c>
      <c r="G176">
        <v>7</v>
      </c>
      <c r="H176" t="s">
        <v>14</v>
      </c>
      <c r="I176" t="s">
        <v>15</v>
      </c>
      <c r="J176" t="s">
        <v>485</v>
      </c>
      <c r="K176">
        <f>Pqp_supermarket_data[[#This Row],[Unit_Price]]*Pqp_supermarket_data[[#This Row],[Quantity]]</f>
        <v>22.400000000000002</v>
      </c>
      <c r="L176" t="str">
        <f>TEXT(Pqp_supermarket_data[[#This Row],[DateTime]],"ddd")</f>
        <v>Tue</v>
      </c>
      <c r="M176" t="str">
        <f>TEXT(Pqp_supermarket_data[[#This Row],[DateTime]],"mmm")</f>
        <v>Aug</v>
      </c>
      <c r="N176" t="str">
        <f>TEXT(Pqp_supermarket_data[[#This Row],[DateTime]],"yyy")</f>
        <v>2024</v>
      </c>
    </row>
    <row r="177" spans="1:14" x14ac:dyDescent="0.35">
      <c r="A177" t="s">
        <v>486</v>
      </c>
      <c r="B177" s="1">
        <v>45515.812534942132</v>
      </c>
      <c r="C177" t="s">
        <v>487</v>
      </c>
      <c r="D177" t="s">
        <v>44</v>
      </c>
      <c r="E177" t="s">
        <v>90</v>
      </c>
      <c r="F177">
        <v>1.8</v>
      </c>
      <c r="G177">
        <v>9</v>
      </c>
      <c r="H177" t="s">
        <v>14</v>
      </c>
      <c r="I177" t="s">
        <v>61</v>
      </c>
      <c r="J177" t="s">
        <v>66</v>
      </c>
      <c r="K177">
        <f>Pqp_supermarket_data[[#This Row],[Unit_Price]]*Pqp_supermarket_data[[#This Row],[Quantity]]</f>
        <v>16.2</v>
      </c>
      <c r="L177" t="str">
        <f>TEXT(Pqp_supermarket_data[[#This Row],[DateTime]],"ddd")</f>
        <v>Sun</v>
      </c>
      <c r="M177" t="str">
        <f>TEXT(Pqp_supermarket_data[[#This Row],[DateTime]],"mmm")</f>
        <v>Aug</v>
      </c>
      <c r="N177" t="str">
        <f>TEXT(Pqp_supermarket_data[[#This Row],[DateTime]],"yyy")</f>
        <v>2024</v>
      </c>
    </row>
    <row r="178" spans="1:14" x14ac:dyDescent="0.35">
      <c r="A178" t="s">
        <v>488</v>
      </c>
      <c r="B178" s="1">
        <v>45259.899340497686</v>
      </c>
      <c r="C178" t="s">
        <v>489</v>
      </c>
      <c r="D178" t="s">
        <v>127</v>
      </c>
      <c r="E178" t="s">
        <v>39</v>
      </c>
      <c r="F178">
        <v>3.2</v>
      </c>
      <c r="G178">
        <v>2</v>
      </c>
      <c r="H178" t="s">
        <v>14</v>
      </c>
      <c r="I178" t="s">
        <v>86</v>
      </c>
      <c r="J178" t="s">
        <v>205</v>
      </c>
      <c r="K178">
        <f>Pqp_supermarket_data[[#This Row],[Unit_Price]]*Pqp_supermarket_data[[#This Row],[Quantity]]</f>
        <v>6.4</v>
      </c>
      <c r="L178" t="str">
        <f>TEXT(Pqp_supermarket_data[[#This Row],[DateTime]],"ddd")</f>
        <v>Wed</v>
      </c>
      <c r="M178" t="str">
        <f>TEXT(Pqp_supermarket_data[[#This Row],[DateTime]],"mmm")</f>
        <v>Nov</v>
      </c>
      <c r="N178" t="str">
        <f>TEXT(Pqp_supermarket_data[[#This Row],[DateTime]],"yyy")</f>
        <v>2023</v>
      </c>
    </row>
    <row r="179" spans="1:14" x14ac:dyDescent="0.35">
      <c r="A179" t="s">
        <v>490</v>
      </c>
      <c r="B179" s="1">
        <v>45498.229896053243</v>
      </c>
      <c r="C179" t="s">
        <v>491</v>
      </c>
      <c r="D179" t="s">
        <v>30</v>
      </c>
      <c r="E179" t="s">
        <v>49</v>
      </c>
      <c r="F179">
        <v>7</v>
      </c>
      <c r="G179">
        <v>9</v>
      </c>
      <c r="H179" t="s">
        <v>14</v>
      </c>
      <c r="I179" t="s">
        <v>61</v>
      </c>
      <c r="J179" t="s">
        <v>451</v>
      </c>
      <c r="K179">
        <f>Pqp_supermarket_data[[#This Row],[Unit_Price]]*Pqp_supermarket_data[[#This Row],[Quantity]]</f>
        <v>63</v>
      </c>
      <c r="L179" t="str">
        <f>TEXT(Pqp_supermarket_data[[#This Row],[DateTime]],"ddd")</f>
        <v>Thu</v>
      </c>
      <c r="M179" t="str">
        <f>TEXT(Pqp_supermarket_data[[#This Row],[DateTime]],"mmm")</f>
        <v>Jul</v>
      </c>
      <c r="N179" t="str">
        <f>TEXT(Pqp_supermarket_data[[#This Row],[DateTime]],"yyy")</f>
        <v>2024</v>
      </c>
    </row>
    <row r="180" spans="1:14" x14ac:dyDescent="0.35">
      <c r="A180" t="s">
        <v>492</v>
      </c>
      <c r="B180" s="1">
        <v>44978.548646064817</v>
      </c>
      <c r="C180" t="s">
        <v>493</v>
      </c>
      <c r="D180" t="s">
        <v>85</v>
      </c>
      <c r="E180" t="s">
        <v>148</v>
      </c>
      <c r="F180">
        <v>5.5</v>
      </c>
      <c r="G180">
        <v>8</v>
      </c>
      <c r="H180" t="s">
        <v>14</v>
      </c>
      <c r="I180" t="s">
        <v>61</v>
      </c>
      <c r="J180" t="s">
        <v>255</v>
      </c>
      <c r="K180">
        <f>Pqp_supermarket_data[[#This Row],[Unit_Price]]*Pqp_supermarket_data[[#This Row],[Quantity]]</f>
        <v>44</v>
      </c>
      <c r="L180" t="str">
        <f>TEXT(Pqp_supermarket_data[[#This Row],[DateTime]],"ddd")</f>
        <v>Tue</v>
      </c>
      <c r="M180" t="str">
        <f>TEXT(Pqp_supermarket_data[[#This Row],[DateTime]],"mmm")</f>
        <v>Feb</v>
      </c>
      <c r="N180" t="str">
        <f>TEXT(Pqp_supermarket_data[[#This Row],[DateTime]],"yyy")</f>
        <v>2023</v>
      </c>
    </row>
    <row r="181" spans="1:14" x14ac:dyDescent="0.35">
      <c r="A181" t="s">
        <v>494</v>
      </c>
      <c r="B181" s="1">
        <v>44410.200729398151</v>
      </c>
      <c r="C181" t="s">
        <v>495</v>
      </c>
      <c r="D181" t="s">
        <v>82</v>
      </c>
      <c r="E181" t="s">
        <v>53</v>
      </c>
      <c r="F181">
        <v>2.8</v>
      </c>
      <c r="G181">
        <v>2</v>
      </c>
      <c r="H181" t="s">
        <v>14</v>
      </c>
      <c r="I181" t="s">
        <v>36</v>
      </c>
      <c r="J181" t="s">
        <v>496</v>
      </c>
      <c r="K181">
        <f>Pqp_supermarket_data[[#This Row],[Unit_Price]]*Pqp_supermarket_data[[#This Row],[Quantity]]</f>
        <v>5.6</v>
      </c>
      <c r="L181" t="str">
        <f>TEXT(Pqp_supermarket_data[[#This Row],[DateTime]],"ddd")</f>
        <v>Mon</v>
      </c>
      <c r="M181" t="str">
        <f>TEXT(Pqp_supermarket_data[[#This Row],[DateTime]],"mmm")</f>
        <v>Aug</v>
      </c>
      <c r="N181" t="str">
        <f>TEXT(Pqp_supermarket_data[[#This Row],[DateTime]],"yyy")</f>
        <v>2021</v>
      </c>
    </row>
    <row r="182" spans="1:14" x14ac:dyDescent="0.35">
      <c r="A182" t="s">
        <v>497</v>
      </c>
      <c r="B182" s="1">
        <v>44821.532673842594</v>
      </c>
      <c r="C182" t="s">
        <v>498</v>
      </c>
      <c r="D182" t="s">
        <v>19</v>
      </c>
      <c r="E182" t="s">
        <v>20</v>
      </c>
      <c r="F182">
        <v>1</v>
      </c>
      <c r="G182">
        <v>6</v>
      </c>
      <c r="H182" t="s">
        <v>14</v>
      </c>
      <c r="I182" t="s">
        <v>21</v>
      </c>
      <c r="J182" t="s">
        <v>499</v>
      </c>
      <c r="K182">
        <f>Pqp_supermarket_data[[#This Row],[Unit_Price]]*Pqp_supermarket_data[[#This Row],[Quantity]]</f>
        <v>6</v>
      </c>
      <c r="L182" t="str">
        <f>TEXT(Pqp_supermarket_data[[#This Row],[DateTime]],"ddd")</f>
        <v>Sat</v>
      </c>
      <c r="M182" t="str">
        <f>TEXT(Pqp_supermarket_data[[#This Row],[DateTime]],"mmm")</f>
        <v>Sep</v>
      </c>
      <c r="N182" t="str">
        <f>TEXT(Pqp_supermarket_data[[#This Row],[DateTime]],"yyy")</f>
        <v>2022</v>
      </c>
    </row>
    <row r="183" spans="1:14" x14ac:dyDescent="0.35">
      <c r="A183" t="s">
        <v>500</v>
      </c>
      <c r="B183" s="1">
        <v>44460.448646064811</v>
      </c>
      <c r="C183" t="s">
        <v>501</v>
      </c>
      <c r="D183" t="s">
        <v>34</v>
      </c>
      <c r="E183" t="s">
        <v>70</v>
      </c>
      <c r="F183">
        <v>5</v>
      </c>
      <c r="G183">
        <v>5</v>
      </c>
      <c r="H183" t="s">
        <v>14</v>
      </c>
      <c r="I183" t="s">
        <v>36</v>
      </c>
      <c r="J183" t="s">
        <v>404</v>
      </c>
      <c r="K183">
        <f>Pqp_supermarket_data[[#This Row],[Unit_Price]]*Pqp_supermarket_data[[#This Row],[Quantity]]</f>
        <v>25</v>
      </c>
      <c r="L183" t="str">
        <f>TEXT(Pqp_supermarket_data[[#This Row],[DateTime]],"ddd")</f>
        <v>Tue</v>
      </c>
      <c r="M183" t="str">
        <f>TEXT(Pqp_supermarket_data[[#This Row],[DateTime]],"mmm")</f>
        <v>Sep</v>
      </c>
      <c r="N183" t="str">
        <f>TEXT(Pqp_supermarket_data[[#This Row],[DateTime]],"yyy")</f>
        <v>2021</v>
      </c>
    </row>
    <row r="184" spans="1:14" x14ac:dyDescent="0.35">
      <c r="A184" t="s">
        <v>502</v>
      </c>
      <c r="B184" s="1">
        <v>45548.391701631946</v>
      </c>
      <c r="C184" t="s">
        <v>503</v>
      </c>
      <c r="D184" t="s">
        <v>208</v>
      </c>
      <c r="E184" t="s">
        <v>57</v>
      </c>
      <c r="F184">
        <v>4.5</v>
      </c>
      <c r="G184">
        <v>8</v>
      </c>
      <c r="H184" t="s">
        <v>14</v>
      </c>
      <c r="I184" t="s">
        <v>40</v>
      </c>
      <c r="J184" t="s">
        <v>58</v>
      </c>
      <c r="K184">
        <f>Pqp_supermarket_data[[#This Row],[Unit_Price]]*Pqp_supermarket_data[[#This Row],[Quantity]]</f>
        <v>36</v>
      </c>
      <c r="L184" t="str">
        <f>TEXT(Pqp_supermarket_data[[#This Row],[DateTime]],"ddd")</f>
        <v>Fri</v>
      </c>
      <c r="M184" t="str">
        <f>TEXT(Pqp_supermarket_data[[#This Row],[DateTime]],"mmm")</f>
        <v>Sep</v>
      </c>
      <c r="N184" t="str">
        <f>TEXT(Pqp_supermarket_data[[#This Row],[DateTime]],"yyy")</f>
        <v>2024</v>
      </c>
    </row>
    <row r="185" spans="1:14" x14ac:dyDescent="0.35">
      <c r="A185" t="s">
        <v>504</v>
      </c>
      <c r="B185" s="1">
        <v>45305.845868298609</v>
      </c>
      <c r="C185" t="s">
        <v>505</v>
      </c>
      <c r="D185" t="s">
        <v>82</v>
      </c>
      <c r="E185" t="s">
        <v>70</v>
      </c>
      <c r="F185">
        <v>5</v>
      </c>
      <c r="G185">
        <v>6</v>
      </c>
      <c r="H185" t="s">
        <v>14</v>
      </c>
      <c r="I185" t="s">
        <v>36</v>
      </c>
      <c r="J185" t="s">
        <v>314</v>
      </c>
      <c r="K185">
        <f>Pqp_supermarket_data[[#This Row],[Unit_Price]]*Pqp_supermarket_data[[#This Row],[Quantity]]</f>
        <v>30</v>
      </c>
      <c r="L185" t="str">
        <f>TEXT(Pqp_supermarket_data[[#This Row],[DateTime]],"ddd")</f>
        <v>Sun</v>
      </c>
      <c r="M185" t="str">
        <f>TEXT(Pqp_supermarket_data[[#This Row],[DateTime]],"mmm")</f>
        <v>Jan</v>
      </c>
      <c r="N185" t="str">
        <f>TEXT(Pqp_supermarket_data[[#This Row],[DateTime]],"yyy")</f>
        <v>2024</v>
      </c>
    </row>
    <row r="186" spans="1:14" x14ac:dyDescent="0.35">
      <c r="A186" t="s">
        <v>506</v>
      </c>
      <c r="B186" s="1">
        <v>44359.833368298612</v>
      </c>
      <c r="C186" t="s">
        <v>507</v>
      </c>
      <c r="D186" t="s">
        <v>171</v>
      </c>
      <c r="E186" t="s">
        <v>111</v>
      </c>
      <c r="F186">
        <v>2.2000000000000002</v>
      </c>
      <c r="G186">
        <v>7</v>
      </c>
      <c r="H186" t="s">
        <v>14</v>
      </c>
      <c r="I186" t="s">
        <v>36</v>
      </c>
      <c r="J186" t="s">
        <v>58</v>
      </c>
      <c r="K186">
        <f>Pqp_supermarket_data[[#This Row],[Unit_Price]]*Pqp_supermarket_data[[#This Row],[Quantity]]</f>
        <v>15.400000000000002</v>
      </c>
      <c r="L186" t="str">
        <f>TEXT(Pqp_supermarket_data[[#This Row],[DateTime]],"ddd")</f>
        <v>Sat</v>
      </c>
      <c r="M186" t="str">
        <f>TEXT(Pqp_supermarket_data[[#This Row],[DateTime]],"mmm")</f>
        <v>Jun</v>
      </c>
      <c r="N186" t="str">
        <f>TEXT(Pqp_supermarket_data[[#This Row],[DateTime]],"yyy")</f>
        <v>2021</v>
      </c>
    </row>
    <row r="187" spans="1:14" x14ac:dyDescent="0.35">
      <c r="A187" t="s">
        <v>508</v>
      </c>
      <c r="B187" s="1">
        <v>44783.750034965276</v>
      </c>
      <c r="C187" t="s">
        <v>509</v>
      </c>
      <c r="D187" t="s">
        <v>127</v>
      </c>
      <c r="E187" t="s">
        <v>137</v>
      </c>
      <c r="F187">
        <v>2.5</v>
      </c>
      <c r="G187">
        <v>6</v>
      </c>
      <c r="H187" t="s">
        <v>14</v>
      </c>
      <c r="I187" t="s">
        <v>15</v>
      </c>
      <c r="J187" t="s">
        <v>510</v>
      </c>
      <c r="K187">
        <f>Pqp_supermarket_data[[#This Row],[Unit_Price]]*Pqp_supermarket_data[[#This Row],[Quantity]]</f>
        <v>15</v>
      </c>
      <c r="L187" t="str">
        <f>TEXT(Pqp_supermarket_data[[#This Row],[DateTime]],"ddd")</f>
        <v>Wed</v>
      </c>
      <c r="M187" t="str">
        <f>TEXT(Pqp_supermarket_data[[#This Row],[DateTime]],"mmm")</f>
        <v>Aug</v>
      </c>
      <c r="N187" t="str">
        <f>TEXT(Pqp_supermarket_data[[#This Row],[DateTime]],"yyy")</f>
        <v>2022</v>
      </c>
    </row>
    <row r="188" spans="1:14" x14ac:dyDescent="0.35">
      <c r="A188" t="s">
        <v>511</v>
      </c>
      <c r="B188" s="1">
        <v>44876.23059053241</v>
      </c>
      <c r="C188" t="s">
        <v>512</v>
      </c>
      <c r="D188" t="s">
        <v>44</v>
      </c>
      <c r="E188" t="s">
        <v>148</v>
      </c>
      <c r="F188">
        <v>5.5</v>
      </c>
      <c r="G188">
        <v>6</v>
      </c>
      <c r="H188" t="s">
        <v>14</v>
      </c>
      <c r="I188" t="s">
        <v>21</v>
      </c>
      <c r="J188" t="s">
        <v>230</v>
      </c>
      <c r="K188">
        <f>Pqp_supermarket_data[[#This Row],[Unit_Price]]*Pqp_supermarket_data[[#This Row],[Quantity]]</f>
        <v>33</v>
      </c>
      <c r="L188" t="str">
        <f>TEXT(Pqp_supermarket_data[[#This Row],[DateTime]],"ddd")</f>
        <v>Fri</v>
      </c>
      <c r="M188" t="str">
        <f>TEXT(Pqp_supermarket_data[[#This Row],[DateTime]],"mmm")</f>
        <v>Nov</v>
      </c>
      <c r="N188" t="str">
        <f>TEXT(Pqp_supermarket_data[[#This Row],[DateTime]],"yyy")</f>
        <v>2022</v>
      </c>
    </row>
    <row r="189" spans="1:14" x14ac:dyDescent="0.35">
      <c r="A189" t="s">
        <v>513</v>
      </c>
      <c r="B189" s="1">
        <v>45052.500729421299</v>
      </c>
      <c r="C189" t="s">
        <v>514</v>
      </c>
      <c r="D189" t="s">
        <v>127</v>
      </c>
      <c r="E189" t="s">
        <v>78</v>
      </c>
      <c r="F189">
        <v>4</v>
      </c>
      <c r="G189">
        <v>2</v>
      </c>
      <c r="H189" t="s">
        <v>14</v>
      </c>
      <c r="I189" t="s">
        <v>86</v>
      </c>
      <c r="J189" t="s">
        <v>451</v>
      </c>
      <c r="K189">
        <f>Pqp_supermarket_data[[#This Row],[Unit_Price]]*Pqp_supermarket_data[[#This Row],[Quantity]]</f>
        <v>8</v>
      </c>
      <c r="L189" t="str">
        <f>TEXT(Pqp_supermarket_data[[#This Row],[DateTime]],"ddd")</f>
        <v>Sat</v>
      </c>
      <c r="M189" t="str">
        <f>TEXT(Pqp_supermarket_data[[#This Row],[DateTime]],"mmm")</f>
        <v>May</v>
      </c>
      <c r="N189" t="str">
        <f>TEXT(Pqp_supermarket_data[[#This Row],[DateTime]],"yyy")</f>
        <v>2023</v>
      </c>
    </row>
    <row r="190" spans="1:14" x14ac:dyDescent="0.35">
      <c r="A190" t="s">
        <v>515</v>
      </c>
      <c r="B190" s="1">
        <v>44429.281284976852</v>
      </c>
      <c r="C190" t="s">
        <v>516</v>
      </c>
      <c r="D190" t="s">
        <v>30</v>
      </c>
      <c r="E190" t="s">
        <v>45</v>
      </c>
      <c r="F190">
        <v>1</v>
      </c>
      <c r="G190">
        <v>1</v>
      </c>
      <c r="H190" t="s">
        <v>14</v>
      </c>
      <c r="I190" t="s">
        <v>40</v>
      </c>
      <c r="J190" t="s">
        <v>517</v>
      </c>
      <c r="K190">
        <f>Pqp_supermarket_data[[#This Row],[Unit_Price]]*Pqp_supermarket_data[[#This Row],[Quantity]]</f>
        <v>1</v>
      </c>
      <c r="L190" t="str">
        <f>TEXT(Pqp_supermarket_data[[#This Row],[DateTime]],"ddd")</f>
        <v>Sat</v>
      </c>
      <c r="M190" t="str">
        <f>TEXT(Pqp_supermarket_data[[#This Row],[DateTime]],"mmm")</f>
        <v>Aug</v>
      </c>
      <c r="N190" t="str">
        <f>TEXT(Pqp_supermarket_data[[#This Row],[DateTime]],"yyy")</f>
        <v>2021</v>
      </c>
    </row>
    <row r="191" spans="1:14" x14ac:dyDescent="0.35">
      <c r="A191" t="s">
        <v>518</v>
      </c>
      <c r="B191" s="1">
        <v>45288.358368310182</v>
      </c>
      <c r="C191" t="s">
        <v>519</v>
      </c>
      <c r="D191" t="s">
        <v>171</v>
      </c>
      <c r="E191" t="s">
        <v>78</v>
      </c>
      <c r="F191">
        <v>4</v>
      </c>
      <c r="G191">
        <v>2</v>
      </c>
      <c r="H191" t="s">
        <v>14</v>
      </c>
      <c r="I191" t="s">
        <v>21</v>
      </c>
      <c r="J191" t="s">
        <v>212</v>
      </c>
      <c r="K191">
        <f>Pqp_supermarket_data[[#This Row],[Unit_Price]]*Pqp_supermarket_data[[#This Row],[Quantity]]</f>
        <v>8</v>
      </c>
      <c r="L191" t="str">
        <f>TEXT(Pqp_supermarket_data[[#This Row],[DateTime]],"ddd")</f>
        <v>Thu</v>
      </c>
      <c r="M191" t="str">
        <f>TEXT(Pqp_supermarket_data[[#This Row],[DateTime]],"mmm")</f>
        <v>Dec</v>
      </c>
      <c r="N191" t="str">
        <f>TEXT(Pqp_supermarket_data[[#This Row],[DateTime]],"yyy")</f>
        <v>2023</v>
      </c>
    </row>
    <row r="192" spans="1:14" x14ac:dyDescent="0.35">
      <c r="A192" t="s">
        <v>520</v>
      </c>
      <c r="B192" s="1">
        <v>44586.273646099537</v>
      </c>
      <c r="C192" t="s">
        <v>521</v>
      </c>
      <c r="D192" t="s">
        <v>34</v>
      </c>
      <c r="E192" t="s">
        <v>26</v>
      </c>
      <c r="F192">
        <v>2.5</v>
      </c>
      <c r="G192">
        <v>6</v>
      </c>
      <c r="H192" t="s">
        <v>14</v>
      </c>
      <c r="I192" t="s">
        <v>15</v>
      </c>
      <c r="J192" t="s">
        <v>273</v>
      </c>
      <c r="K192">
        <f>Pqp_supermarket_data[[#This Row],[Unit_Price]]*Pqp_supermarket_data[[#This Row],[Quantity]]</f>
        <v>15</v>
      </c>
      <c r="L192" t="str">
        <f>TEXT(Pqp_supermarket_data[[#This Row],[DateTime]],"ddd")</f>
        <v>Tue</v>
      </c>
      <c r="M192" t="str">
        <f>TEXT(Pqp_supermarket_data[[#This Row],[DateTime]],"mmm")</f>
        <v>Jan</v>
      </c>
      <c r="N192" t="str">
        <f>TEXT(Pqp_supermarket_data[[#This Row],[DateTime]],"yyy")</f>
        <v>2022</v>
      </c>
    </row>
    <row r="193" spans="1:14" x14ac:dyDescent="0.35">
      <c r="A193" t="s">
        <v>522</v>
      </c>
      <c r="B193" s="1">
        <v>45781.188923877315</v>
      </c>
      <c r="C193" t="s">
        <v>523</v>
      </c>
      <c r="D193" t="s">
        <v>69</v>
      </c>
      <c r="E193" t="s">
        <v>111</v>
      </c>
      <c r="F193">
        <v>2.2000000000000002</v>
      </c>
      <c r="G193">
        <v>9</v>
      </c>
      <c r="H193" t="s">
        <v>14</v>
      </c>
      <c r="I193" t="s">
        <v>61</v>
      </c>
      <c r="J193" t="s">
        <v>218</v>
      </c>
      <c r="K193">
        <f>Pqp_supermarket_data[[#This Row],[Unit_Price]]*Pqp_supermarket_data[[#This Row],[Quantity]]</f>
        <v>19.8</v>
      </c>
      <c r="L193" t="str">
        <f>TEXT(Pqp_supermarket_data[[#This Row],[DateTime]],"ddd")</f>
        <v>Sun</v>
      </c>
      <c r="M193" t="str">
        <f>TEXT(Pqp_supermarket_data[[#This Row],[DateTime]],"mmm")</f>
        <v>May</v>
      </c>
      <c r="N193" t="str">
        <f>TEXT(Pqp_supermarket_data[[#This Row],[DateTime]],"yyy")</f>
        <v>2025</v>
      </c>
    </row>
    <row r="194" spans="1:14" x14ac:dyDescent="0.35">
      <c r="A194" t="s">
        <v>524</v>
      </c>
      <c r="B194" s="1">
        <v>45560.646562766204</v>
      </c>
      <c r="C194" t="s">
        <v>525</v>
      </c>
      <c r="D194" t="s">
        <v>208</v>
      </c>
      <c r="E194" t="s">
        <v>111</v>
      </c>
      <c r="F194">
        <v>2.2000000000000002</v>
      </c>
      <c r="G194">
        <v>1</v>
      </c>
      <c r="H194" t="s">
        <v>14</v>
      </c>
      <c r="I194" t="s">
        <v>61</v>
      </c>
      <c r="J194" t="s">
        <v>461</v>
      </c>
      <c r="K194">
        <f>Pqp_supermarket_data[[#This Row],[Unit_Price]]*Pqp_supermarket_data[[#This Row],[Quantity]]</f>
        <v>2.2000000000000002</v>
      </c>
      <c r="L194" t="str">
        <f>TEXT(Pqp_supermarket_data[[#This Row],[DateTime]],"ddd")</f>
        <v>Wed</v>
      </c>
      <c r="M194" t="str">
        <f>TEXT(Pqp_supermarket_data[[#This Row],[DateTime]],"mmm")</f>
        <v>Sep</v>
      </c>
      <c r="N194" t="str">
        <f>TEXT(Pqp_supermarket_data[[#This Row],[DateTime]],"yyy")</f>
        <v>2024</v>
      </c>
    </row>
    <row r="195" spans="1:14" x14ac:dyDescent="0.35">
      <c r="A195" t="s">
        <v>526</v>
      </c>
      <c r="B195" s="1">
        <v>44581.142396099538</v>
      </c>
      <c r="C195" t="s">
        <v>527</v>
      </c>
      <c r="D195" t="s">
        <v>69</v>
      </c>
      <c r="E195" t="s">
        <v>13</v>
      </c>
      <c r="F195">
        <v>3.1</v>
      </c>
      <c r="G195">
        <v>1</v>
      </c>
      <c r="H195" t="s">
        <v>14</v>
      </c>
      <c r="I195" t="s">
        <v>15</v>
      </c>
      <c r="J195" t="s">
        <v>202</v>
      </c>
      <c r="K195">
        <f>Pqp_supermarket_data[[#This Row],[Unit_Price]]*Pqp_supermarket_data[[#This Row],[Quantity]]</f>
        <v>3.1</v>
      </c>
      <c r="L195" t="str">
        <f>TEXT(Pqp_supermarket_data[[#This Row],[DateTime]],"ddd")</f>
        <v>Thu</v>
      </c>
      <c r="M195" t="str">
        <f>TEXT(Pqp_supermarket_data[[#This Row],[DateTime]],"mmm")</f>
        <v>Jan</v>
      </c>
      <c r="N195" t="str">
        <f>TEXT(Pqp_supermarket_data[[#This Row],[DateTime]],"yyy")</f>
        <v>2022</v>
      </c>
    </row>
    <row r="196" spans="1:14" x14ac:dyDescent="0.35">
      <c r="A196" t="s">
        <v>528</v>
      </c>
      <c r="B196" s="1">
        <v>44923.888229467593</v>
      </c>
      <c r="C196" t="s">
        <v>529</v>
      </c>
      <c r="D196" t="s">
        <v>12</v>
      </c>
      <c r="E196" t="s">
        <v>65</v>
      </c>
      <c r="F196">
        <v>3</v>
      </c>
      <c r="G196">
        <v>8</v>
      </c>
      <c r="H196" t="s">
        <v>14</v>
      </c>
      <c r="I196" t="s">
        <v>86</v>
      </c>
      <c r="J196" t="s">
        <v>267</v>
      </c>
      <c r="K196">
        <f>Pqp_supermarket_data[[#This Row],[Unit_Price]]*Pqp_supermarket_data[[#This Row],[Quantity]]</f>
        <v>24</v>
      </c>
      <c r="L196" t="str">
        <f>TEXT(Pqp_supermarket_data[[#This Row],[DateTime]],"ddd")</f>
        <v>Wed</v>
      </c>
      <c r="M196" t="str">
        <f>TEXT(Pqp_supermarket_data[[#This Row],[DateTime]],"mmm")</f>
        <v>Dec</v>
      </c>
      <c r="N196" t="str">
        <f>TEXT(Pqp_supermarket_data[[#This Row],[DateTime]],"yyy")</f>
        <v>2022</v>
      </c>
    </row>
    <row r="197" spans="1:14" x14ac:dyDescent="0.35">
      <c r="A197" t="s">
        <v>530</v>
      </c>
      <c r="B197" s="1">
        <v>45044.867396145833</v>
      </c>
      <c r="C197" t="s">
        <v>531</v>
      </c>
      <c r="D197" t="s">
        <v>77</v>
      </c>
      <c r="E197" t="s">
        <v>70</v>
      </c>
      <c r="F197">
        <v>5</v>
      </c>
      <c r="G197">
        <v>9</v>
      </c>
      <c r="H197" t="s">
        <v>14</v>
      </c>
      <c r="I197" t="s">
        <v>15</v>
      </c>
      <c r="J197" t="s">
        <v>262</v>
      </c>
      <c r="K197">
        <f>Pqp_supermarket_data[[#This Row],[Unit_Price]]*Pqp_supermarket_data[[#This Row],[Quantity]]</f>
        <v>45</v>
      </c>
      <c r="L197" t="str">
        <f>TEXT(Pqp_supermarket_data[[#This Row],[DateTime]],"ddd")</f>
        <v>Fri</v>
      </c>
      <c r="M197" t="str">
        <f>TEXT(Pqp_supermarket_data[[#This Row],[DateTime]],"mmm")</f>
        <v>Apr</v>
      </c>
      <c r="N197" t="str">
        <f>TEXT(Pqp_supermarket_data[[#This Row],[DateTime]],"yyy")</f>
        <v>2023</v>
      </c>
    </row>
    <row r="198" spans="1:14" x14ac:dyDescent="0.35">
      <c r="A198" t="s">
        <v>532</v>
      </c>
      <c r="B198" s="1">
        <v>45697.56670171296</v>
      </c>
      <c r="C198" t="s">
        <v>533</v>
      </c>
      <c r="D198" t="s">
        <v>19</v>
      </c>
      <c r="E198" t="s">
        <v>90</v>
      </c>
      <c r="F198">
        <v>1.8</v>
      </c>
      <c r="G198">
        <v>5</v>
      </c>
      <c r="H198" t="s">
        <v>14</v>
      </c>
      <c r="I198" t="s">
        <v>86</v>
      </c>
      <c r="J198" t="s">
        <v>230</v>
      </c>
      <c r="K198">
        <f>Pqp_supermarket_data[[#This Row],[Unit_Price]]*Pqp_supermarket_data[[#This Row],[Quantity]]</f>
        <v>9</v>
      </c>
      <c r="L198" t="str">
        <f>TEXT(Pqp_supermarket_data[[#This Row],[DateTime]],"ddd")</f>
        <v>Sun</v>
      </c>
      <c r="M198" t="str">
        <f>TEXT(Pqp_supermarket_data[[#This Row],[DateTime]],"mmm")</f>
        <v>Feb</v>
      </c>
      <c r="N198" t="str">
        <f>TEXT(Pqp_supermarket_data[[#This Row],[DateTime]],"yyy")</f>
        <v>2025</v>
      </c>
    </row>
    <row r="199" spans="1:14" x14ac:dyDescent="0.35">
      <c r="A199" t="s">
        <v>534</v>
      </c>
      <c r="B199" s="1">
        <v>45723.497257280091</v>
      </c>
      <c r="C199" t="s">
        <v>535</v>
      </c>
      <c r="D199" t="s">
        <v>34</v>
      </c>
      <c r="E199" t="s">
        <v>49</v>
      </c>
      <c r="F199">
        <v>7</v>
      </c>
      <c r="G199">
        <v>7</v>
      </c>
      <c r="H199" t="s">
        <v>14</v>
      </c>
      <c r="I199" t="s">
        <v>36</v>
      </c>
      <c r="J199" t="s">
        <v>192</v>
      </c>
      <c r="K199">
        <f>Pqp_supermarket_data[[#This Row],[Unit_Price]]*Pqp_supermarket_data[[#This Row],[Quantity]]</f>
        <v>49</v>
      </c>
      <c r="L199" t="str">
        <f>TEXT(Pqp_supermarket_data[[#This Row],[DateTime]],"ddd")</f>
        <v>Fri</v>
      </c>
      <c r="M199" t="str">
        <f>TEXT(Pqp_supermarket_data[[#This Row],[DateTime]],"mmm")</f>
        <v>Mar</v>
      </c>
      <c r="N199" t="str">
        <f>TEXT(Pqp_supermarket_data[[#This Row],[DateTime]],"yyy")</f>
        <v>2025</v>
      </c>
    </row>
    <row r="200" spans="1:14" x14ac:dyDescent="0.35">
      <c r="A200" t="s">
        <v>536</v>
      </c>
      <c r="B200" s="1">
        <v>44781.602812847224</v>
      </c>
      <c r="C200" t="s">
        <v>537</v>
      </c>
      <c r="D200" t="s">
        <v>98</v>
      </c>
      <c r="E200" t="s">
        <v>65</v>
      </c>
      <c r="F200">
        <v>3</v>
      </c>
      <c r="G200">
        <v>2</v>
      </c>
      <c r="H200" t="s">
        <v>14</v>
      </c>
      <c r="I200" t="s">
        <v>61</v>
      </c>
      <c r="J200" t="s">
        <v>538</v>
      </c>
      <c r="K200">
        <f>Pqp_supermarket_data[[#This Row],[Unit_Price]]*Pqp_supermarket_data[[#This Row],[Quantity]]</f>
        <v>6</v>
      </c>
      <c r="L200" t="str">
        <f>TEXT(Pqp_supermarket_data[[#This Row],[DateTime]],"ddd")</f>
        <v>Mon</v>
      </c>
      <c r="M200" t="str">
        <f>TEXT(Pqp_supermarket_data[[#This Row],[DateTime]],"mmm")</f>
        <v>Aug</v>
      </c>
      <c r="N200" t="str">
        <f>TEXT(Pqp_supermarket_data[[#This Row],[DateTime]],"yyy")</f>
        <v>2022</v>
      </c>
    </row>
    <row r="201" spans="1:14" x14ac:dyDescent="0.35">
      <c r="A201" t="s">
        <v>539</v>
      </c>
      <c r="B201" s="1">
        <v>45483.470868414355</v>
      </c>
      <c r="C201" t="s">
        <v>540</v>
      </c>
      <c r="D201" t="s">
        <v>127</v>
      </c>
      <c r="E201" t="s">
        <v>45</v>
      </c>
      <c r="F201">
        <v>1</v>
      </c>
      <c r="G201">
        <v>10</v>
      </c>
      <c r="H201" t="s">
        <v>14</v>
      </c>
      <c r="I201" t="s">
        <v>21</v>
      </c>
      <c r="J201" t="s">
        <v>541</v>
      </c>
      <c r="K201">
        <f>Pqp_supermarket_data[[#This Row],[Unit_Price]]*Pqp_supermarket_data[[#This Row],[Quantity]]</f>
        <v>10</v>
      </c>
      <c r="L201" t="str">
        <f>TEXT(Pqp_supermarket_data[[#This Row],[DateTime]],"ddd")</f>
        <v>Wed</v>
      </c>
      <c r="M201" t="str">
        <f>TEXT(Pqp_supermarket_data[[#This Row],[DateTime]],"mmm")</f>
        <v>Jul</v>
      </c>
      <c r="N201" t="str">
        <f>TEXT(Pqp_supermarket_data[[#This Row],[DateTime]],"yyy")</f>
        <v>2024</v>
      </c>
    </row>
    <row r="202" spans="1:14" x14ac:dyDescent="0.35">
      <c r="A202" t="s">
        <v>542</v>
      </c>
      <c r="B202" s="1">
        <v>45121.033368414355</v>
      </c>
      <c r="C202" t="s">
        <v>543</v>
      </c>
      <c r="D202" t="s">
        <v>85</v>
      </c>
      <c r="E202" t="s">
        <v>57</v>
      </c>
      <c r="F202">
        <v>4.5</v>
      </c>
      <c r="G202">
        <v>8</v>
      </c>
      <c r="H202" t="s">
        <v>14</v>
      </c>
      <c r="I202" t="s">
        <v>21</v>
      </c>
      <c r="J202" t="s">
        <v>538</v>
      </c>
      <c r="K202">
        <f>Pqp_supermarket_data[[#This Row],[Unit_Price]]*Pqp_supermarket_data[[#This Row],[Quantity]]</f>
        <v>36</v>
      </c>
      <c r="L202" t="str">
        <f>TEXT(Pqp_supermarket_data[[#This Row],[DateTime]],"ddd")</f>
        <v>Fri</v>
      </c>
      <c r="M202" t="str">
        <f>TEXT(Pqp_supermarket_data[[#This Row],[DateTime]],"mmm")</f>
        <v>Jul</v>
      </c>
      <c r="N202" t="str">
        <f>TEXT(Pqp_supermarket_data[[#This Row],[DateTime]],"yyy")</f>
        <v>2023</v>
      </c>
    </row>
    <row r="203" spans="1:14" x14ac:dyDescent="0.35">
      <c r="A203" t="s">
        <v>544</v>
      </c>
      <c r="B203" s="1">
        <v>44905.400035092593</v>
      </c>
      <c r="C203" t="s">
        <v>545</v>
      </c>
      <c r="D203" t="s">
        <v>12</v>
      </c>
      <c r="E203" t="s">
        <v>148</v>
      </c>
      <c r="F203">
        <v>5.5</v>
      </c>
      <c r="G203">
        <v>9</v>
      </c>
      <c r="H203" t="s">
        <v>14</v>
      </c>
      <c r="I203" t="s">
        <v>36</v>
      </c>
      <c r="J203" t="s">
        <v>163</v>
      </c>
      <c r="K203">
        <f>Pqp_supermarket_data[[#This Row],[Unit_Price]]*Pqp_supermarket_data[[#This Row],[Quantity]]</f>
        <v>49.5</v>
      </c>
      <c r="L203" t="str">
        <f>TEXT(Pqp_supermarket_data[[#This Row],[DateTime]],"ddd")</f>
        <v>Sat</v>
      </c>
      <c r="M203" t="str">
        <f>TEXT(Pqp_supermarket_data[[#This Row],[DateTime]],"mmm")</f>
        <v>Dec</v>
      </c>
      <c r="N203" t="str">
        <f>TEXT(Pqp_supermarket_data[[#This Row],[DateTime]],"yyy")</f>
        <v>2022</v>
      </c>
    </row>
    <row r="204" spans="1:14" x14ac:dyDescent="0.35">
      <c r="A204" t="s">
        <v>546</v>
      </c>
      <c r="B204" s="1">
        <v>44905.937535104167</v>
      </c>
      <c r="C204" t="s">
        <v>547</v>
      </c>
      <c r="D204" t="s">
        <v>25</v>
      </c>
      <c r="E204" t="s">
        <v>145</v>
      </c>
      <c r="F204">
        <v>1.7</v>
      </c>
      <c r="G204">
        <v>6</v>
      </c>
      <c r="H204" t="s">
        <v>14</v>
      </c>
      <c r="I204" t="s">
        <v>86</v>
      </c>
      <c r="J204" t="s">
        <v>548</v>
      </c>
      <c r="K204">
        <f>Pqp_supermarket_data[[#This Row],[Unit_Price]]*Pqp_supermarket_data[[#This Row],[Quantity]]</f>
        <v>10.199999999999999</v>
      </c>
      <c r="L204" t="str">
        <f>TEXT(Pqp_supermarket_data[[#This Row],[DateTime]],"ddd")</f>
        <v>Sat</v>
      </c>
      <c r="M204" t="str">
        <f>TEXT(Pqp_supermarket_data[[#This Row],[DateTime]],"mmm")</f>
        <v>Dec</v>
      </c>
      <c r="N204" t="str">
        <f>TEXT(Pqp_supermarket_data[[#This Row],[DateTime]],"yyy")</f>
        <v>2022</v>
      </c>
    </row>
    <row r="205" spans="1:14" x14ac:dyDescent="0.35">
      <c r="A205" t="s">
        <v>549</v>
      </c>
      <c r="B205" s="1">
        <v>44934.597257337962</v>
      </c>
      <c r="C205" t="s">
        <v>550</v>
      </c>
      <c r="D205" t="s">
        <v>44</v>
      </c>
      <c r="E205" t="s">
        <v>145</v>
      </c>
      <c r="F205">
        <v>1.7</v>
      </c>
      <c r="G205">
        <v>6</v>
      </c>
      <c r="H205" t="s">
        <v>14</v>
      </c>
      <c r="I205" t="s">
        <v>36</v>
      </c>
      <c r="J205" t="s">
        <v>364</v>
      </c>
      <c r="K205">
        <f>Pqp_supermarket_data[[#This Row],[Unit_Price]]*Pqp_supermarket_data[[#This Row],[Quantity]]</f>
        <v>10.199999999999999</v>
      </c>
      <c r="L205" t="str">
        <f>TEXT(Pqp_supermarket_data[[#This Row],[DateTime]],"ddd")</f>
        <v>Sun</v>
      </c>
      <c r="M205" t="str">
        <f>TEXT(Pqp_supermarket_data[[#This Row],[DateTime]],"mmm")</f>
        <v>Jan</v>
      </c>
      <c r="N205" t="str">
        <f>TEXT(Pqp_supermarket_data[[#This Row],[DateTime]],"yyy")</f>
        <v>2023</v>
      </c>
    </row>
    <row r="206" spans="1:14" x14ac:dyDescent="0.35">
      <c r="A206" t="s">
        <v>551</v>
      </c>
      <c r="B206" s="1">
        <v>45020.363229560186</v>
      </c>
      <c r="C206" t="s">
        <v>552</v>
      </c>
      <c r="D206" t="s">
        <v>19</v>
      </c>
      <c r="E206" t="s">
        <v>115</v>
      </c>
      <c r="F206">
        <v>1.5</v>
      </c>
      <c r="G206">
        <v>2</v>
      </c>
      <c r="H206" t="s">
        <v>14</v>
      </c>
      <c r="I206" t="s">
        <v>40</v>
      </c>
      <c r="J206" t="s">
        <v>369</v>
      </c>
      <c r="K206">
        <f>Pqp_supermarket_data[[#This Row],[Unit_Price]]*Pqp_supermarket_data[[#This Row],[Quantity]]</f>
        <v>3</v>
      </c>
      <c r="L206" t="str">
        <f>TEXT(Pqp_supermarket_data[[#This Row],[DateTime]],"ddd")</f>
        <v>Tue</v>
      </c>
      <c r="M206" t="str">
        <f>TEXT(Pqp_supermarket_data[[#This Row],[DateTime]],"mmm")</f>
        <v>Apr</v>
      </c>
      <c r="N206" t="str">
        <f>TEXT(Pqp_supermarket_data[[#This Row],[DateTime]],"yyy")</f>
        <v>2023</v>
      </c>
    </row>
    <row r="207" spans="1:14" x14ac:dyDescent="0.35">
      <c r="A207" t="s">
        <v>553</v>
      </c>
      <c r="B207" s="1">
        <v>45596.013924016203</v>
      </c>
      <c r="C207" t="s">
        <v>554</v>
      </c>
      <c r="D207" t="s">
        <v>12</v>
      </c>
      <c r="E207" t="s">
        <v>53</v>
      </c>
      <c r="F207">
        <v>2.8</v>
      </c>
      <c r="G207">
        <v>3</v>
      </c>
      <c r="H207" t="s">
        <v>14</v>
      </c>
      <c r="I207" t="s">
        <v>21</v>
      </c>
      <c r="J207" t="s">
        <v>387</v>
      </c>
      <c r="K207">
        <f>Pqp_supermarket_data[[#This Row],[Unit_Price]]*Pqp_supermarket_data[[#This Row],[Quantity]]</f>
        <v>8.3999999999999986</v>
      </c>
      <c r="L207" t="str">
        <f>TEXT(Pqp_supermarket_data[[#This Row],[DateTime]],"ddd")</f>
        <v>Thu</v>
      </c>
      <c r="M207" t="str">
        <f>TEXT(Pqp_supermarket_data[[#This Row],[DateTime]],"mmm")</f>
        <v>Oct</v>
      </c>
      <c r="N207" t="str">
        <f>TEXT(Pqp_supermarket_data[[#This Row],[DateTime]],"yyy")</f>
        <v>2024</v>
      </c>
    </row>
    <row r="208" spans="1:14" x14ac:dyDescent="0.35">
      <c r="A208" t="s">
        <v>555</v>
      </c>
      <c r="B208" s="1">
        <v>44584.827118460649</v>
      </c>
      <c r="C208" t="s">
        <v>556</v>
      </c>
      <c r="D208" t="s">
        <v>44</v>
      </c>
      <c r="E208" t="s">
        <v>148</v>
      </c>
      <c r="F208">
        <v>5.5</v>
      </c>
      <c r="G208">
        <v>7</v>
      </c>
      <c r="H208" t="s">
        <v>14</v>
      </c>
      <c r="I208" t="s">
        <v>61</v>
      </c>
      <c r="J208" t="s">
        <v>178</v>
      </c>
      <c r="K208">
        <f>Pqp_supermarket_data[[#This Row],[Unit_Price]]*Pqp_supermarket_data[[#This Row],[Quantity]]</f>
        <v>38.5</v>
      </c>
      <c r="L208" t="str">
        <f>TEXT(Pqp_supermarket_data[[#This Row],[DateTime]],"ddd")</f>
        <v>Sun</v>
      </c>
      <c r="M208" t="str">
        <f>TEXT(Pqp_supermarket_data[[#This Row],[DateTime]],"mmm")</f>
        <v>Jan</v>
      </c>
      <c r="N208" t="str">
        <f>TEXT(Pqp_supermarket_data[[#This Row],[DateTime]],"yyy")</f>
        <v>2022</v>
      </c>
    </row>
    <row r="209" spans="1:14" x14ac:dyDescent="0.35">
      <c r="A209" t="s">
        <v>557</v>
      </c>
      <c r="B209" s="1">
        <v>44919.599340694447</v>
      </c>
      <c r="C209" t="s">
        <v>558</v>
      </c>
      <c r="D209" t="s">
        <v>127</v>
      </c>
      <c r="E209" t="s">
        <v>45</v>
      </c>
      <c r="F209">
        <v>1</v>
      </c>
      <c r="G209">
        <v>5</v>
      </c>
      <c r="H209" t="s">
        <v>14</v>
      </c>
      <c r="I209" t="s">
        <v>61</v>
      </c>
      <c r="J209" t="s">
        <v>192</v>
      </c>
      <c r="K209">
        <f>Pqp_supermarket_data[[#This Row],[Unit_Price]]*Pqp_supermarket_data[[#This Row],[Quantity]]</f>
        <v>5</v>
      </c>
      <c r="L209" t="str">
        <f>TEXT(Pqp_supermarket_data[[#This Row],[DateTime]],"ddd")</f>
        <v>Sat</v>
      </c>
      <c r="M209" t="str">
        <f>TEXT(Pqp_supermarket_data[[#This Row],[DateTime]],"mmm")</f>
        <v>Dec</v>
      </c>
      <c r="N209" t="str">
        <f>TEXT(Pqp_supermarket_data[[#This Row],[DateTime]],"yyy")</f>
        <v>2022</v>
      </c>
    </row>
    <row r="210" spans="1:14" x14ac:dyDescent="0.35">
      <c r="A210" t="s">
        <v>559</v>
      </c>
      <c r="B210" s="1">
        <v>44602.884062939818</v>
      </c>
      <c r="C210" t="s">
        <v>560</v>
      </c>
      <c r="D210" t="s">
        <v>69</v>
      </c>
      <c r="E210" t="s">
        <v>115</v>
      </c>
      <c r="F210">
        <v>1.5</v>
      </c>
      <c r="G210">
        <v>4</v>
      </c>
      <c r="H210" t="s">
        <v>14</v>
      </c>
      <c r="I210" t="s">
        <v>40</v>
      </c>
      <c r="J210" t="s">
        <v>561</v>
      </c>
      <c r="K210">
        <f>Pqp_supermarket_data[[#This Row],[Unit_Price]]*Pqp_supermarket_data[[#This Row],[Quantity]]</f>
        <v>6</v>
      </c>
      <c r="L210" t="str">
        <f>TEXT(Pqp_supermarket_data[[#This Row],[DateTime]],"ddd")</f>
        <v>Thu</v>
      </c>
      <c r="M210" t="str">
        <f>TEXT(Pqp_supermarket_data[[#This Row],[DateTime]],"mmm")</f>
        <v>Feb</v>
      </c>
      <c r="N210" t="str">
        <f>TEXT(Pqp_supermarket_data[[#This Row],[DateTime]],"yyy")</f>
        <v>2022</v>
      </c>
    </row>
    <row r="211" spans="1:14" x14ac:dyDescent="0.35">
      <c r="A211" t="s">
        <v>562</v>
      </c>
      <c r="B211" s="1">
        <v>44647.096562939812</v>
      </c>
      <c r="C211" t="s">
        <v>563</v>
      </c>
      <c r="D211" t="s">
        <v>226</v>
      </c>
      <c r="E211" t="s">
        <v>13</v>
      </c>
      <c r="F211">
        <v>3.1</v>
      </c>
      <c r="G211">
        <v>10</v>
      </c>
      <c r="H211" t="s">
        <v>14</v>
      </c>
      <c r="I211" t="s">
        <v>15</v>
      </c>
      <c r="J211" t="s">
        <v>22</v>
      </c>
      <c r="K211">
        <f>Pqp_supermarket_data[[#This Row],[Unit_Price]]*Pqp_supermarket_data[[#This Row],[Quantity]]</f>
        <v>31</v>
      </c>
      <c r="L211" t="str">
        <f>TEXT(Pqp_supermarket_data[[#This Row],[DateTime]],"ddd")</f>
        <v>Sun</v>
      </c>
      <c r="M211" t="str">
        <f>TEXT(Pqp_supermarket_data[[#This Row],[DateTime]],"mmm")</f>
        <v>Mar</v>
      </c>
      <c r="N211" t="str">
        <f>TEXT(Pqp_supermarket_data[[#This Row],[DateTime]],"yyy")</f>
        <v>2022</v>
      </c>
    </row>
    <row r="212" spans="1:14" x14ac:dyDescent="0.35">
      <c r="A212" t="s">
        <v>564</v>
      </c>
      <c r="B212" s="1">
        <v>44637.741007395831</v>
      </c>
      <c r="C212" t="s">
        <v>565</v>
      </c>
      <c r="D212" t="s">
        <v>30</v>
      </c>
      <c r="E212" t="s">
        <v>20</v>
      </c>
      <c r="F212">
        <v>1</v>
      </c>
      <c r="G212">
        <v>1</v>
      </c>
      <c r="H212" t="s">
        <v>14</v>
      </c>
      <c r="I212" t="s">
        <v>21</v>
      </c>
      <c r="J212" t="s">
        <v>227</v>
      </c>
      <c r="K212">
        <f>Pqp_supermarket_data[[#This Row],[Unit_Price]]*Pqp_supermarket_data[[#This Row],[Quantity]]</f>
        <v>1</v>
      </c>
      <c r="L212" t="str">
        <f>TEXT(Pqp_supermarket_data[[#This Row],[DateTime]],"ddd")</f>
        <v>Thu</v>
      </c>
      <c r="M212" t="str">
        <f>TEXT(Pqp_supermarket_data[[#This Row],[DateTime]],"mmm")</f>
        <v>Mar</v>
      </c>
      <c r="N212" t="str">
        <f>TEXT(Pqp_supermarket_data[[#This Row],[DateTime]],"yyy")</f>
        <v>2022</v>
      </c>
    </row>
    <row r="213" spans="1:14" x14ac:dyDescent="0.35">
      <c r="A213" t="s">
        <v>566</v>
      </c>
      <c r="B213" s="1">
        <v>44366.22572962963</v>
      </c>
      <c r="C213" t="s">
        <v>567</v>
      </c>
      <c r="D213" t="s">
        <v>69</v>
      </c>
      <c r="E213" t="s">
        <v>13</v>
      </c>
      <c r="F213">
        <v>3.1</v>
      </c>
      <c r="G213">
        <v>5</v>
      </c>
      <c r="H213" t="s">
        <v>14</v>
      </c>
      <c r="I213" t="s">
        <v>61</v>
      </c>
      <c r="J213" t="s">
        <v>561</v>
      </c>
      <c r="K213">
        <f>Pqp_supermarket_data[[#This Row],[Unit_Price]]*Pqp_supermarket_data[[#This Row],[Quantity]]</f>
        <v>15.5</v>
      </c>
      <c r="L213" t="str">
        <f>TEXT(Pqp_supermarket_data[[#This Row],[DateTime]],"ddd")</f>
        <v>Sat</v>
      </c>
      <c r="M213" t="str">
        <f>TEXT(Pqp_supermarket_data[[#This Row],[DateTime]],"mmm")</f>
        <v>Jun</v>
      </c>
      <c r="N213" t="str">
        <f>TEXT(Pqp_supermarket_data[[#This Row],[DateTime]],"yyy")</f>
        <v>2021</v>
      </c>
    </row>
    <row r="214" spans="1:14" x14ac:dyDescent="0.35">
      <c r="A214" t="s">
        <v>568</v>
      </c>
      <c r="B214" s="1">
        <v>45774.313229629632</v>
      </c>
      <c r="C214" t="s">
        <v>569</v>
      </c>
      <c r="D214" t="s">
        <v>69</v>
      </c>
      <c r="E214" t="s">
        <v>119</v>
      </c>
      <c r="F214">
        <v>4</v>
      </c>
      <c r="G214">
        <v>7</v>
      </c>
      <c r="H214" t="s">
        <v>14</v>
      </c>
      <c r="I214" t="s">
        <v>40</v>
      </c>
      <c r="J214" t="s">
        <v>209</v>
      </c>
      <c r="K214">
        <f>Pqp_supermarket_data[[#This Row],[Unit_Price]]*Pqp_supermarket_data[[#This Row],[Quantity]]</f>
        <v>28</v>
      </c>
      <c r="L214" t="str">
        <f>TEXT(Pqp_supermarket_data[[#This Row],[DateTime]],"ddd")</f>
        <v>Sun</v>
      </c>
      <c r="M214" t="str">
        <f>TEXT(Pqp_supermarket_data[[#This Row],[DateTime]],"mmm")</f>
        <v>Apr</v>
      </c>
      <c r="N214" t="str">
        <f>TEXT(Pqp_supermarket_data[[#This Row],[DateTime]],"yyy")</f>
        <v>2025</v>
      </c>
    </row>
    <row r="215" spans="1:14" x14ac:dyDescent="0.35">
      <c r="A215" t="s">
        <v>570</v>
      </c>
      <c r="B215" s="1">
        <v>44490.556285196762</v>
      </c>
      <c r="C215" t="s">
        <v>571</v>
      </c>
      <c r="D215" t="s">
        <v>12</v>
      </c>
      <c r="E215" t="s">
        <v>90</v>
      </c>
      <c r="F215">
        <v>1.8</v>
      </c>
      <c r="G215">
        <v>4</v>
      </c>
      <c r="H215" t="s">
        <v>14</v>
      </c>
      <c r="I215" t="s">
        <v>86</v>
      </c>
      <c r="J215" t="s">
        <v>175</v>
      </c>
      <c r="K215">
        <f>Pqp_supermarket_data[[#This Row],[Unit_Price]]*Pqp_supermarket_data[[#This Row],[Quantity]]</f>
        <v>7.2</v>
      </c>
      <c r="L215" t="str">
        <f>TEXT(Pqp_supermarket_data[[#This Row],[DateTime]],"ddd")</f>
        <v>Thu</v>
      </c>
      <c r="M215" t="str">
        <f>TEXT(Pqp_supermarket_data[[#This Row],[DateTime]],"mmm")</f>
        <v>Oct</v>
      </c>
      <c r="N215" t="str">
        <f>TEXT(Pqp_supermarket_data[[#This Row],[DateTime]],"yyy")</f>
        <v>2021</v>
      </c>
    </row>
    <row r="216" spans="1:14" x14ac:dyDescent="0.35">
      <c r="A216" t="s">
        <v>572</v>
      </c>
      <c r="B216" s="1">
        <v>44857.136146319448</v>
      </c>
      <c r="C216" t="s">
        <v>573</v>
      </c>
      <c r="D216" t="s">
        <v>44</v>
      </c>
      <c r="E216" t="s">
        <v>57</v>
      </c>
      <c r="F216">
        <v>4.5</v>
      </c>
      <c r="G216">
        <v>6</v>
      </c>
      <c r="H216" t="s">
        <v>14</v>
      </c>
      <c r="I216" t="s">
        <v>21</v>
      </c>
      <c r="J216" t="s">
        <v>273</v>
      </c>
      <c r="K216">
        <f>Pqp_supermarket_data[[#This Row],[Unit_Price]]*Pqp_supermarket_data[[#This Row],[Quantity]]</f>
        <v>27</v>
      </c>
      <c r="L216" t="str">
        <f>TEXT(Pqp_supermarket_data[[#This Row],[DateTime]],"ddd")</f>
        <v>Sun</v>
      </c>
      <c r="M216" t="str">
        <f>TEXT(Pqp_supermarket_data[[#This Row],[DateTime]],"mmm")</f>
        <v>Oct</v>
      </c>
      <c r="N216" t="str">
        <f>TEXT(Pqp_supermarket_data[[#This Row],[DateTime]],"yyy")</f>
        <v>2022</v>
      </c>
    </row>
    <row r="217" spans="1:14" x14ac:dyDescent="0.35">
      <c r="A217" t="s">
        <v>574</v>
      </c>
      <c r="B217" s="1">
        <v>45613.51184078704</v>
      </c>
      <c r="C217" t="s">
        <v>575</v>
      </c>
      <c r="D217" t="s">
        <v>69</v>
      </c>
      <c r="E217" t="s">
        <v>45</v>
      </c>
      <c r="F217">
        <v>1</v>
      </c>
      <c r="G217">
        <v>1</v>
      </c>
      <c r="H217" t="s">
        <v>14</v>
      </c>
      <c r="I217" t="s">
        <v>36</v>
      </c>
      <c r="J217" t="s">
        <v>369</v>
      </c>
      <c r="K217">
        <f>Pqp_supermarket_data[[#This Row],[Unit_Price]]*Pqp_supermarket_data[[#This Row],[Quantity]]</f>
        <v>1</v>
      </c>
      <c r="L217" t="str">
        <f>TEXT(Pqp_supermarket_data[[#This Row],[DateTime]],"ddd")</f>
        <v>Sun</v>
      </c>
      <c r="M217" t="str">
        <f>TEXT(Pqp_supermarket_data[[#This Row],[DateTime]],"mmm")</f>
        <v>Nov</v>
      </c>
      <c r="N217" t="str">
        <f>TEXT(Pqp_supermarket_data[[#This Row],[DateTime]],"yyy")</f>
        <v>2024</v>
      </c>
    </row>
    <row r="218" spans="1:14" x14ac:dyDescent="0.35">
      <c r="A218" t="s">
        <v>576</v>
      </c>
      <c r="B218" s="1">
        <v>45228.947257465275</v>
      </c>
      <c r="C218" t="s">
        <v>577</v>
      </c>
      <c r="D218" t="s">
        <v>82</v>
      </c>
      <c r="E218" t="s">
        <v>115</v>
      </c>
      <c r="F218">
        <v>1.5</v>
      </c>
      <c r="G218">
        <v>10</v>
      </c>
      <c r="H218" t="s">
        <v>14</v>
      </c>
      <c r="I218" t="s">
        <v>86</v>
      </c>
      <c r="J218" t="s">
        <v>175</v>
      </c>
      <c r="K218">
        <f>Pqp_supermarket_data[[#This Row],[Unit_Price]]*Pqp_supermarket_data[[#This Row],[Quantity]]</f>
        <v>15</v>
      </c>
      <c r="L218" t="str">
        <f>TEXT(Pqp_supermarket_data[[#This Row],[DateTime]],"ddd")</f>
        <v>Sun</v>
      </c>
      <c r="M218" t="str">
        <f>TEXT(Pqp_supermarket_data[[#This Row],[DateTime]],"mmm")</f>
        <v>Oct</v>
      </c>
      <c r="N218" t="str">
        <f>TEXT(Pqp_supermarket_data[[#This Row],[DateTime]],"yyy")</f>
        <v>2023</v>
      </c>
    </row>
    <row r="219" spans="1:14" x14ac:dyDescent="0.35">
      <c r="A219" t="s">
        <v>578</v>
      </c>
      <c r="B219" s="1">
        <v>45227.276424143522</v>
      </c>
      <c r="C219" t="s">
        <v>579</v>
      </c>
      <c r="D219" t="s">
        <v>85</v>
      </c>
      <c r="E219" t="s">
        <v>148</v>
      </c>
      <c r="F219">
        <v>5.5</v>
      </c>
      <c r="G219">
        <v>6</v>
      </c>
      <c r="H219" t="s">
        <v>14</v>
      </c>
      <c r="I219" t="s">
        <v>86</v>
      </c>
      <c r="J219" t="s">
        <v>233</v>
      </c>
      <c r="K219">
        <f>Pqp_supermarket_data[[#This Row],[Unit_Price]]*Pqp_supermarket_data[[#This Row],[Quantity]]</f>
        <v>33</v>
      </c>
      <c r="L219" t="str">
        <f>TEXT(Pqp_supermarket_data[[#This Row],[DateTime]],"ddd")</f>
        <v>Sat</v>
      </c>
      <c r="M219" t="str">
        <f>TEXT(Pqp_supermarket_data[[#This Row],[DateTime]],"mmm")</f>
        <v>Oct</v>
      </c>
      <c r="N219" t="str">
        <f>TEXT(Pqp_supermarket_data[[#This Row],[DateTime]],"yyy")</f>
        <v>2023</v>
      </c>
    </row>
    <row r="220" spans="1:14" x14ac:dyDescent="0.35">
      <c r="A220" t="s">
        <v>580</v>
      </c>
      <c r="B220" s="1">
        <v>45205.654896365741</v>
      </c>
      <c r="C220" t="s">
        <v>581</v>
      </c>
      <c r="D220" t="s">
        <v>171</v>
      </c>
      <c r="E220" t="s">
        <v>115</v>
      </c>
      <c r="F220">
        <v>1.5</v>
      </c>
      <c r="G220">
        <v>9</v>
      </c>
      <c r="H220" t="s">
        <v>14</v>
      </c>
      <c r="I220" t="s">
        <v>36</v>
      </c>
      <c r="J220" t="s">
        <v>245</v>
      </c>
      <c r="K220">
        <f>Pqp_supermarket_data[[#This Row],[Unit_Price]]*Pqp_supermarket_data[[#This Row],[Quantity]]</f>
        <v>13.5</v>
      </c>
      <c r="L220" t="str">
        <f>TEXT(Pqp_supermarket_data[[#This Row],[DateTime]],"ddd")</f>
        <v>Fri</v>
      </c>
      <c r="M220" t="str">
        <f>TEXT(Pqp_supermarket_data[[#This Row],[DateTime]],"mmm")</f>
        <v>Oct</v>
      </c>
      <c r="N220" t="str">
        <f>TEXT(Pqp_supermarket_data[[#This Row],[DateTime]],"yyy")</f>
        <v>2023</v>
      </c>
    </row>
    <row r="221" spans="1:14" x14ac:dyDescent="0.35">
      <c r="A221" t="s">
        <v>582</v>
      </c>
      <c r="B221" s="1">
        <v>45693.250729710649</v>
      </c>
      <c r="C221" t="s">
        <v>583</v>
      </c>
      <c r="D221" t="s">
        <v>171</v>
      </c>
      <c r="E221" t="s">
        <v>137</v>
      </c>
      <c r="F221">
        <v>2.5</v>
      </c>
      <c r="G221">
        <v>1</v>
      </c>
      <c r="H221" t="s">
        <v>14</v>
      </c>
      <c r="I221" t="s">
        <v>15</v>
      </c>
      <c r="J221" t="s">
        <v>108</v>
      </c>
      <c r="K221">
        <f>Pqp_supermarket_data[[#This Row],[Unit_Price]]*Pqp_supermarket_data[[#This Row],[Quantity]]</f>
        <v>2.5</v>
      </c>
      <c r="L221" t="str">
        <f>TEXT(Pqp_supermarket_data[[#This Row],[DateTime]],"ddd")</f>
        <v>Wed</v>
      </c>
      <c r="M221" t="str">
        <f>TEXT(Pqp_supermarket_data[[#This Row],[DateTime]],"mmm")</f>
        <v>Feb</v>
      </c>
      <c r="N221" t="str">
        <f>TEXT(Pqp_supermarket_data[[#This Row],[DateTime]],"yyy")</f>
        <v>2025</v>
      </c>
    </row>
    <row r="222" spans="1:14" x14ac:dyDescent="0.35">
      <c r="A222" t="s">
        <v>584</v>
      </c>
      <c r="B222" s="1">
        <v>45354.359757488426</v>
      </c>
      <c r="C222" t="s">
        <v>585</v>
      </c>
      <c r="D222" t="s">
        <v>127</v>
      </c>
      <c r="E222" t="s">
        <v>57</v>
      </c>
      <c r="F222">
        <v>4.5</v>
      </c>
      <c r="G222">
        <v>6</v>
      </c>
      <c r="H222" t="s">
        <v>14</v>
      </c>
      <c r="I222" t="s">
        <v>40</v>
      </c>
      <c r="J222" t="s">
        <v>288</v>
      </c>
      <c r="K222">
        <f>Pqp_supermarket_data[[#This Row],[Unit_Price]]*Pqp_supermarket_data[[#This Row],[Quantity]]</f>
        <v>27</v>
      </c>
      <c r="L222" t="str">
        <f>TEXT(Pqp_supermarket_data[[#This Row],[DateTime]],"ddd")</f>
        <v>Sun</v>
      </c>
      <c r="M222" t="str">
        <f>TEXT(Pqp_supermarket_data[[#This Row],[DateTime]],"mmm")</f>
        <v>Mar</v>
      </c>
      <c r="N222" t="str">
        <f>TEXT(Pqp_supermarket_data[[#This Row],[DateTime]],"yyy")</f>
        <v>2024</v>
      </c>
    </row>
    <row r="223" spans="1:14" x14ac:dyDescent="0.35">
      <c r="A223" t="s">
        <v>586</v>
      </c>
      <c r="B223" s="1">
        <v>44767.582674166668</v>
      </c>
      <c r="C223" t="s">
        <v>587</v>
      </c>
      <c r="D223" t="s">
        <v>69</v>
      </c>
      <c r="E223" t="s">
        <v>111</v>
      </c>
      <c r="F223">
        <v>2.2000000000000002</v>
      </c>
      <c r="G223">
        <v>7</v>
      </c>
      <c r="H223" t="s">
        <v>14</v>
      </c>
      <c r="I223" t="s">
        <v>21</v>
      </c>
      <c r="J223" t="s">
        <v>54</v>
      </c>
      <c r="K223">
        <f>Pqp_supermarket_data[[#This Row],[Unit_Price]]*Pqp_supermarket_data[[#This Row],[Quantity]]</f>
        <v>15.400000000000002</v>
      </c>
      <c r="L223" t="str">
        <f>TEXT(Pqp_supermarket_data[[#This Row],[DateTime]],"ddd")</f>
        <v>Mon</v>
      </c>
      <c r="M223" t="str">
        <f>TEXT(Pqp_supermarket_data[[#This Row],[DateTime]],"mmm")</f>
        <v>Jul</v>
      </c>
      <c r="N223" t="str">
        <f>TEXT(Pqp_supermarket_data[[#This Row],[DateTime]],"yyy")</f>
        <v>2022</v>
      </c>
    </row>
    <row r="224" spans="1:14" x14ac:dyDescent="0.35">
      <c r="A224" t="s">
        <v>588</v>
      </c>
      <c r="B224" s="1">
        <v>45314.868785289349</v>
      </c>
      <c r="C224" t="s">
        <v>589</v>
      </c>
      <c r="D224" t="s">
        <v>34</v>
      </c>
      <c r="E224" t="s">
        <v>53</v>
      </c>
      <c r="F224">
        <v>2.8</v>
      </c>
      <c r="G224">
        <v>2</v>
      </c>
      <c r="H224" t="s">
        <v>14</v>
      </c>
      <c r="I224" t="s">
        <v>86</v>
      </c>
      <c r="J224" t="s">
        <v>202</v>
      </c>
      <c r="K224">
        <f>Pqp_supermarket_data[[#This Row],[Unit_Price]]*Pqp_supermarket_data[[#This Row],[Quantity]]</f>
        <v>5.6</v>
      </c>
      <c r="L224" t="str">
        <f>TEXT(Pqp_supermarket_data[[#This Row],[DateTime]],"ddd")</f>
        <v>Tue</v>
      </c>
      <c r="M224" t="str">
        <f>TEXT(Pqp_supermarket_data[[#This Row],[DateTime]],"mmm")</f>
        <v>Jan</v>
      </c>
      <c r="N224" t="str">
        <f>TEXT(Pqp_supermarket_data[[#This Row],[DateTime]],"yyy")</f>
        <v>2024</v>
      </c>
    </row>
    <row r="225" spans="1:14" x14ac:dyDescent="0.35">
      <c r="A225" t="s">
        <v>590</v>
      </c>
      <c r="B225" s="1">
        <v>45700.017396400464</v>
      </c>
      <c r="C225" t="s">
        <v>591</v>
      </c>
      <c r="D225" t="s">
        <v>98</v>
      </c>
      <c r="E225" t="s">
        <v>65</v>
      </c>
      <c r="F225">
        <v>3</v>
      </c>
      <c r="G225">
        <v>6</v>
      </c>
      <c r="H225" t="s">
        <v>14</v>
      </c>
      <c r="I225" t="s">
        <v>21</v>
      </c>
      <c r="J225" t="s">
        <v>22</v>
      </c>
      <c r="K225">
        <f>Pqp_supermarket_data[[#This Row],[Unit_Price]]*Pqp_supermarket_data[[#This Row],[Quantity]]</f>
        <v>18</v>
      </c>
      <c r="L225" t="str">
        <f>TEXT(Pqp_supermarket_data[[#This Row],[DateTime]],"ddd")</f>
        <v>Wed</v>
      </c>
      <c r="M225" t="str">
        <f>TEXT(Pqp_supermarket_data[[#This Row],[DateTime]],"mmm")</f>
        <v>Feb</v>
      </c>
      <c r="N225" t="str">
        <f>TEXT(Pqp_supermarket_data[[#This Row],[DateTime]],"yyy")</f>
        <v>2025</v>
      </c>
    </row>
    <row r="226" spans="1:14" x14ac:dyDescent="0.35">
      <c r="A226" t="s">
        <v>592</v>
      </c>
      <c r="B226" s="1">
        <v>44612.028507511575</v>
      </c>
      <c r="C226" t="s">
        <v>593</v>
      </c>
      <c r="D226" t="s">
        <v>30</v>
      </c>
      <c r="E226" t="s">
        <v>145</v>
      </c>
      <c r="F226">
        <v>1.7</v>
      </c>
      <c r="G226">
        <v>5</v>
      </c>
      <c r="H226" t="s">
        <v>14</v>
      </c>
      <c r="I226" t="s">
        <v>40</v>
      </c>
      <c r="J226" t="s">
        <v>548</v>
      </c>
      <c r="K226">
        <f>Pqp_supermarket_data[[#This Row],[Unit_Price]]*Pqp_supermarket_data[[#This Row],[Quantity]]</f>
        <v>8.5</v>
      </c>
      <c r="L226" t="str">
        <f>TEXT(Pqp_supermarket_data[[#This Row],[DateTime]],"ddd")</f>
        <v>Sun</v>
      </c>
      <c r="M226" t="str">
        <f>TEXT(Pqp_supermarket_data[[#This Row],[DateTime]],"mmm")</f>
        <v>Feb</v>
      </c>
      <c r="N226" t="str">
        <f>TEXT(Pqp_supermarket_data[[#This Row],[DateTime]],"yyy")</f>
        <v>2022</v>
      </c>
    </row>
    <row r="227" spans="1:14" x14ac:dyDescent="0.35">
      <c r="A227" t="s">
        <v>594</v>
      </c>
      <c r="B227" s="1">
        <v>45744.136146412035</v>
      </c>
      <c r="C227" t="s">
        <v>595</v>
      </c>
      <c r="D227" t="s">
        <v>226</v>
      </c>
      <c r="E227" t="s">
        <v>45</v>
      </c>
      <c r="F227">
        <v>1</v>
      </c>
      <c r="G227">
        <v>8</v>
      </c>
      <c r="H227" t="s">
        <v>14</v>
      </c>
      <c r="I227" t="s">
        <v>36</v>
      </c>
      <c r="J227" t="s">
        <v>116</v>
      </c>
      <c r="K227">
        <f>Pqp_supermarket_data[[#This Row],[Unit_Price]]*Pqp_supermarket_data[[#This Row],[Quantity]]</f>
        <v>8</v>
      </c>
      <c r="L227" t="str">
        <f>TEXT(Pqp_supermarket_data[[#This Row],[DateTime]],"ddd")</f>
        <v>Fri</v>
      </c>
      <c r="M227" t="str">
        <f>TEXT(Pqp_supermarket_data[[#This Row],[DateTime]],"mmm")</f>
        <v>Mar</v>
      </c>
      <c r="N227" t="str">
        <f>TEXT(Pqp_supermarket_data[[#This Row],[DateTime]],"yyy")</f>
        <v>2025</v>
      </c>
    </row>
    <row r="228" spans="1:14" x14ac:dyDescent="0.35">
      <c r="A228" t="s">
        <v>596</v>
      </c>
      <c r="B228" s="1">
        <v>45605.980590868057</v>
      </c>
      <c r="C228" t="s">
        <v>597</v>
      </c>
      <c r="D228" t="s">
        <v>77</v>
      </c>
      <c r="E228" t="s">
        <v>26</v>
      </c>
      <c r="F228">
        <v>2.5</v>
      </c>
      <c r="G228">
        <v>7</v>
      </c>
      <c r="H228" t="s">
        <v>14</v>
      </c>
      <c r="I228" t="s">
        <v>21</v>
      </c>
      <c r="J228" t="s">
        <v>548</v>
      </c>
      <c r="K228">
        <f>Pqp_supermarket_data[[#This Row],[Unit_Price]]*Pqp_supermarket_data[[#This Row],[Quantity]]</f>
        <v>17.5</v>
      </c>
      <c r="L228" t="str">
        <f>TEXT(Pqp_supermarket_data[[#This Row],[DateTime]],"ddd")</f>
        <v>Sat</v>
      </c>
      <c r="M228" t="str">
        <f>TEXT(Pqp_supermarket_data[[#This Row],[DateTime]],"mmm")</f>
        <v>Nov</v>
      </c>
      <c r="N228" t="str">
        <f>TEXT(Pqp_supermarket_data[[#This Row],[DateTime]],"yyy")</f>
        <v>2024</v>
      </c>
    </row>
    <row r="229" spans="1:14" x14ac:dyDescent="0.35">
      <c r="A229" t="s">
        <v>598</v>
      </c>
      <c r="B229" s="1">
        <v>44713.459063090275</v>
      </c>
      <c r="C229" t="s">
        <v>599</v>
      </c>
      <c r="D229" t="s">
        <v>34</v>
      </c>
      <c r="E229" t="s">
        <v>57</v>
      </c>
      <c r="F229">
        <v>4.5</v>
      </c>
      <c r="G229">
        <v>6</v>
      </c>
      <c r="H229" t="s">
        <v>14</v>
      </c>
      <c r="I229" t="s">
        <v>15</v>
      </c>
      <c r="J229" t="s">
        <v>517</v>
      </c>
      <c r="K229">
        <f>Pqp_supermarket_data[[#This Row],[Unit_Price]]*Pqp_supermarket_data[[#This Row],[Quantity]]</f>
        <v>27</v>
      </c>
      <c r="L229" t="str">
        <f>TEXT(Pqp_supermarket_data[[#This Row],[DateTime]],"ddd")</f>
        <v>Wed</v>
      </c>
      <c r="M229" t="str">
        <f>TEXT(Pqp_supermarket_data[[#This Row],[DateTime]],"mmm")</f>
        <v>Jun</v>
      </c>
      <c r="N229" t="str">
        <f>TEXT(Pqp_supermarket_data[[#This Row],[DateTime]],"yyy")</f>
        <v>2022</v>
      </c>
    </row>
    <row r="230" spans="1:14" x14ac:dyDescent="0.35">
      <c r="A230" t="s">
        <v>600</v>
      </c>
      <c r="B230" s="1">
        <v>45442.45420197917</v>
      </c>
      <c r="C230" t="s">
        <v>601</v>
      </c>
      <c r="D230" t="s">
        <v>30</v>
      </c>
      <c r="E230" t="s">
        <v>148</v>
      </c>
      <c r="F230">
        <v>5.5</v>
      </c>
      <c r="G230">
        <v>9</v>
      </c>
      <c r="H230" t="s">
        <v>14</v>
      </c>
      <c r="I230" t="s">
        <v>21</v>
      </c>
      <c r="J230" t="s">
        <v>248</v>
      </c>
      <c r="K230">
        <f>Pqp_supermarket_data[[#This Row],[Unit_Price]]*Pqp_supermarket_data[[#This Row],[Quantity]]</f>
        <v>49.5</v>
      </c>
      <c r="L230" t="str">
        <f>TEXT(Pqp_supermarket_data[[#This Row],[DateTime]],"ddd")</f>
        <v>Thu</v>
      </c>
      <c r="M230" t="str">
        <f>TEXT(Pqp_supermarket_data[[#This Row],[DateTime]],"mmm")</f>
        <v>May</v>
      </c>
      <c r="N230" t="str">
        <f>TEXT(Pqp_supermarket_data[[#This Row],[DateTime]],"yyy")</f>
        <v>2024</v>
      </c>
    </row>
    <row r="231" spans="1:14" x14ac:dyDescent="0.35">
      <c r="A231" t="s">
        <v>602</v>
      </c>
      <c r="B231" s="1">
        <v>45071.069479756945</v>
      </c>
      <c r="C231" t="s">
        <v>603</v>
      </c>
      <c r="D231" t="s">
        <v>34</v>
      </c>
      <c r="E231" t="s">
        <v>111</v>
      </c>
      <c r="F231">
        <v>2.2000000000000002</v>
      </c>
      <c r="G231">
        <v>4</v>
      </c>
      <c r="H231" t="s">
        <v>14</v>
      </c>
      <c r="I231" t="s">
        <v>40</v>
      </c>
      <c r="J231" t="s">
        <v>209</v>
      </c>
      <c r="K231">
        <f>Pqp_supermarket_data[[#This Row],[Unit_Price]]*Pqp_supermarket_data[[#This Row],[Quantity]]</f>
        <v>8.8000000000000007</v>
      </c>
      <c r="L231" t="str">
        <f>TEXT(Pqp_supermarket_data[[#This Row],[DateTime]],"ddd")</f>
        <v>Thu</v>
      </c>
      <c r="M231" t="str">
        <f>TEXT(Pqp_supermarket_data[[#This Row],[DateTime]],"mmm")</f>
        <v>May</v>
      </c>
      <c r="N231" t="str">
        <f>TEXT(Pqp_supermarket_data[[#This Row],[DateTime]],"yyy")</f>
        <v>2023</v>
      </c>
    </row>
    <row r="232" spans="1:14" x14ac:dyDescent="0.35">
      <c r="A232" t="s">
        <v>604</v>
      </c>
      <c r="B232" s="1">
        <v>45262.302118657404</v>
      </c>
      <c r="C232" t="s">
        <v>605</v>
      </c>
      <c r="D232" t="s">
        <v>171</v>
      </c>
      <c r="E232" t="s">
        <v>111</v>
      </c>
      <c r="F232">
        <v>2.2000000000000002</v>
      </c>
      <c r="G232">
        <v>2</v>
      </c>
      <c r="H232" t="s">
        <v>14</v>
      </c>
      <c r="I232" t="s">
        <v>15</v>
      </c>
      <c r="J232" t="s">
        <v>426</v>
      </c>
      <c r="K232">
        <f>Pqp_supermarket_data[[#This Row],[Unit_Price]]*Pqp_supermarket_data[[#This Row],[Quantity]]</f>
        <v>4.4000000000000004</v>
      </c>
      <c r="L232" t="str">
        <f>TEXT(Pqp_supermarket_data[[#This Row],[DateTime]],"ddd")</f>
        <v>Sat</v>
      </c>
      <c r="M232" t="str">
        <f>TEXT(Pqp_supermarket_data[[#This Row],[DateTime]],"mmm")</f>
        <v>Dec</v>
      </c>
      <c r="N232" t="str">
        <f>TEXT(Pqp_supermarket_data[[#This Row],[DateTime]],"yyy")</f>
        <v>2023</v>
      </c>
    </row>
    <row r="233" spans="1:14" x14ac:dyDescent="0.35">
      <c r="A233" t="s">
        <v>606</v>
      </c>
      <c r="B233" s="1">
        <v>44499.914618657407</v>
      </c>
      <c r="C233" t="s">
        <v>607</v>
      </c>
      <c r="D233" t="s">
        <v>226</v>
      </c>
      <c r="E233" t="s">
        <v>119</v>
      </c>
      <c r="F233">
        <v>4</v>
      </c>
      <c r="G233">
        <v>10</v>
      </c>
      <c r="H233" t="s">
        <v>14</v>
      </c>
      <c r="I233" t="s">
        <v>86</v>
      </c>
      <c r="J233" t="s">
        <v>382</v>
      </c>
      <c r="K233">
        <f>Pqp_supermarket_data[[#This Row],[Unit_Price]]*Pqp_supermarket_data[[#This Row],[Quantity]]</f>
        <v>40</v>
      </c>
      <c r="L233" t="str">
        <f>TEXT(Pqp_supermarket_data[[#This Row],[DateTime]],"ddd")</f>
        <v>Sat</v>
      </c>
      <c r="M233" t="str">
        <f>TEXT(Pqp_supermarket_data[[#This Row],[DateTime]],"mmm")</f>
        <v>Oct</v>
      </c>
      <c r="N233" t="str">
        <f>TEXT(Pqp_supermarket_data[[#This Row],[DateTime]],"yyy")</f>
        <v>2021</v>
      </c>
    </row>
    <row r="234" spans="1:14" x14ac:dyDescent="0.35">
      <c r="A234" t="s">
        <v>608</v>
      </c>
      <c r="B234" s="1">
        <v>44629.698646435187</v>
      </c>
      <c r="C234" t="s">
        <v>609</v>
      </c>
      <c r="D234" t="s">
        <v>171</v>
      </c>
      <c r="E234" t="s">
        <v>39</v>
      </c>
      <c r="F234">
        <v>3.2</v>
      </c>
      <c r="G234">
        <v>6</v>
      </c>
      <c r="H234" t="s">
        <v>14</v>
      </c>
      <c r="I234" t="s">
        <v>15</v>
      </c>
      <c r="J234" t="s">
        <v>510</v>
      </c>
      <c r="K234">
        <f>Pqp_supermarket_data[[#This Row],[Unit_Price]]*Pqp_supermarket_data[[#This Row],[Quantity]]</f>
        <v>19.200000000000003</v>
      </c>
      <c r="L234" t="str">
        <f>TEXT(Pqp_supermarket_data[[#This Row],[DateTime]],"ddd")</f>
        <v>Wed</v>
      </c>
      <c r="M234" t="str">
        <f>TEXT(Pqp_supermarket_data[[#This Row],[DateTime]],"mmm")</f>
        <v>Mar</v>
      </c>
      <c r="N234" t="str">
        <f>TEXT(Pqp_supermarket_data[[#This Row],[DateTime]],"yyy")</f>
        <v>2022</v>
      </c>
    </row>
    <row r="235" spans="1:14" x14ac:dyDescent="0.35">
      <c r="A235" t="s">
        <v>610</v>
      </c>
      <c r="B235" s="1">
        <v>45646.915313101854</v>
      </c>
      <c r="C235" t="s">
        <v>611</v>
      </c>
      <c r="D235" t="s">
        <v>30</v>
      </c>
      <c r="E235" t="s">
        <v>57</v>
      </c>
      <c r="F235">
        <v>4.5</v>
      </c>
      <c r="G235">
        <v>5</v>
      </c>
      <c r="H235" t="s">
        <v>14</v>
      </c>
      <c r="I235" t="s">
        <v>21</v>
      </c>
      <c r="J235" t="s">
        <v>387</v>
      </c>
      <c r="K235">
        <f>Pqp_supermarket_data[[#This Row],[Unit_Price]]*Pqp_supermarket_data[[#This Row],[Quantity]]</f>
        <v>22.5</v>
      </c>
      <c r="L235" t="str">
        <f>TEXT(Pqp_supermarket_data[[#This Row],[DateTime]],"ddd")</f>
        <v>Fri</v>
      </c>
      <c r="M235" t="str">
        <f>TEXT(Pqp_supermarket_data[[#This Row],[DateTime]],"mmm")</f>
        <v>Dec</v>
      </c>
      <c r="N235" t="str">
        <f>TEXT(Pqp_supermarket_data[[#This Row],[DateTime]],"yyy")</f>
        <v>2024</v>
      </c>
    </row>
    <row r="236" spans="1:14" x14ac:dyDescent="0.35">
      <c r="A236" t="s">
        <v>612</v>
      </c>
      <c r="B236" s="1">
        <v>45065.890313101852</v>
      </c>
      <c r="C236" t="s">
        <v>613</v>
      </c>
      <c r="D236" t="s">
        <v>127</v>
      </c>
      <c r="E236" t="s">
        <v>70</v>
      </c>
      <c r="F236">
        <v>5</v>
      </c>
      <c r="G236">
        <v>8</v>
      </c>
      <c r="H236" t="s">
        <v>14</v>
      </c>
      <c r="I236" t="s">
        <v>40</v>
      </c>
      <c r="J236" t="s">
        <v>387</v>
      </c>
      <c r="K236">
        <f>Pqp_supermarket_data[[#This Row],[Unit_Price]]*Pqp_supermarket_data[[#This Row],[Quantity]]</f>
        <v>40</v>
      </c>
      <c r="L236" t="str">
        <f>TEXT(Pqp_supermarket_data[[#This Row],[DateTime]],"ddd")</f>
        <v>Fri</v>
      </c>
      <c r="M236" t="str">
        <f>TEXT(Pqp_supermarket_data[[#This Row],[DateTime]],"mmm")</f>
        <v>May</v>
      </c>
      <c r="N236" t="str">
        <f>TEXT(Pqp_supermarket_data[[#This Row],[DateTime]],"yyy")</f>
        <v>2023</v>
      </c>
    </row>
    <row r="237" spans="1:14" x14ac:dyDescent="0.35">
      <c r="A237" t="s">
        <v>614</v>
      </c>
      <c r="B237" s="1">
        <v>45031.181979780093</v>
      </c>
      <c r="C237" t="s">
        <v>615</v>
      </c>
      <c r="D237" t="s">
        <v>30</v>
      </c>
      <c r="E237" t="s">
        <v>65</v>
      </c>
      <c r="F237">
        <v>3</v>
      </c>
      <c r="G237">
        <v>10</v>
      </c>
      <c r="H237" t="s">
        <v>14</v>
      </c>
      <c r="I237" t="s">
        <v>21</v>
      </c>
      <c r="J237" t="s">
        <v>616</v>
      </c>
      <c r="K237">
        <f>Pqp_supermarket_data[[#This Row],[Unit_Price]]*Pqp_supermarket_data[[#This Row],[Quantity]]</f>
        <v>30</v>
      </c>
      <c r="L237" t="str">
        <f>TEXT(Pqp_supermarket_data[[#This Row],[DateTime]],"ddd")</f>
        <v>Sat</v>
      </c>
      <c r="M237" t="str">
        <f>TEXT(Pqp_supermarket_data[[#This Row],[DateTime]],"mmm")</f>
        <v>Apr</v>
      </c>
      <c r="N237" t="str">
        <f>TEXT(Pqp_supermarket_data[[#This Row],[DateTime]],"yyy")</f>
        <v>2023</v>
      </c>
    </row>
    <row r="238" spans="1:14" x14ac:dyDescent="0.35">
      <c r="A238" t="s">
        <v>617</v>
      </c>
      <c r="B238" s="1">
        <v>44998.950729780096</v>
      </c>
      <c r="C238" t="s">
        <v>618</v>
      </c>
      <c r="D238" t="s">
        <v>85</v>
      </c>
      <c r="E238" t="s">
        <v>137</v>
      </c>
      <c r="F238">
        <v>2.5</v>
      </c>
      <c r="G238">
        <v>8</v>
      </c>
      <c r="H238" t="s">
        <v>14</v>
      </c>
      <c r="I238" t="s">
        <v>21</v>
      </c>
      <c r="J238" t="s">
        <v>189</v>
      </c>
      <c r="K238">
        <f>Pqp_supermarket_data[[#This Row],[Unit_Price]]*Pqp_supermarket_data[[#This Row],[Quantity]]</f>
        <v>20</v>
      </c>
      <c r="L238" t="str">
        <f>TEXT(Pqp_supermarket_data[[#This Row],[DateTime]],"ddd")</f>
        <v>Mon</v>
      </c>
      <c r="M238" t="str">
        <f>TEXT(Pqp_supermarket_data[[#This Row],[DateTime]],"mmm")</f>
        <v>Mar</v>
      </c>
      <c r="N238" t="str">
        <f>TEXT(Pqp_supermarket_data[[#This Row],[DateTime]],"yyy")</f>
        <v>2023</v>
      </c>
    </row>
    <row r="239" spans="1:14" x14ac:dyDescent="0.35">
      <c r="A239" t="s">
        <v>619</v>
      </c>
      <c r="B239" s="1">
        <v>45401.116702002313</v>
      </c>
      <c r="C239" t="s">
        <v>620</v>
      </c>
      <c r="D239" t="s">
        <v>98</v>
      </c>
      <c r="E239" t="s">
        <v>90</v>
      </c>
      <c r="F239">
        <v>1.8</v>
      </c>
      <c r="G239">
        <v>3</v>
      </c>
      <c r="H239" t="s">
        <v>14</v>
      </c>
      <c r="I239" t="s">
        <v>40</v>
      </c>
      <c r="J239" t="s">
        <v>31</v>
      </c>
      <c r="K239">
        <f>Pqp_supermarket_data[[#This Row],[Unit_Price]]*Pqp_supermarket_data[[#This Row],[Quantity]]</f>
        <v>5.4</v>
      </c>
      <c r="L239" t="str">
        <f>TEXT(Pqp_supermarket_data[[#This Row],[DateTime]],"ddd")</f>
        <v>Fri</v>
      </c>
      <c r="M239" t="str">
        <f>TEXT(Pqp_supermarket_data[[#This Row],[DateTime]],"mmm")</f>
        <v>Apr</v>
      </c>
      <c r="N239" t="str">
        <f>TEXT(Pqp_supermarket_data[[#This Row],[DateTime]],"yyy")</f>
        <v>2024</v>
      </c>
    </row>
    <row r="240" spans="1:14" x14ac:dyDescent="0.35">
      <c r="A240" t="s">
        <v>621</v>
      </c>
      <c r="B240" s="1">
        <v>45575.111840902777</v>
      </c>
      <c r="C240" t="s">
        <v>622</v>
      </c>
      <c r="D240" t="s">
        <v>77</v>
      </c>
      <c r="E240" t="s">
        <v>90</v>
      </c>
      <c r="F240">
        <v>1.8</v>
      </c>
      <c r="G240">
        <v>3</v>
      </c>
      <c r="H240" t="s">
        <v>14</v>
      </c>
      <c r="I240" t="s">
        <v>40</v>
      </c>
      <c r="J240" t="s">
        <v>623</v>
      </c>
      <c r="K240">
        <f>Pqp_supermarket_data[[#This Row],[Unit_Price]]*Pqp_supermarket_data[[#This Row],[Quantity]]</f>
        <v>5.4</v>
      </c>
      <c r="L240" t="str">
        <f>TEXT(Pqp_supermarket_data[[#This Row],[DateTime]],"ddd")</f>
        <v>Thu</v>
      </c>
      <c r="M240" t="str">
        <f>TEXT(Pqp_supermarket_data[[#This Row],[DateTime]],"mmm")</f>
        <v>Oct</v>
      </c>
      <c r="N240" t="str">
        <f>TEXT(Pqp_supermarket_data[[#This Row],[DateTime]],"yyy")</f>
        <v>2024</v>
      </c>
    </row>
    <row r="241" spans="1:14" x14ac:dyDescent="0.35">
      <c r="A241" t="s">
        <v>624</v>
      </c>
      <c r="B241" s="1">
        <v>44336.95697979167</v>
      </c>
      <c r="C241" t="s">
        <v>625</v>
      </c>
      <c r="D241" t="s">
        <v>85</v>
      </c>
      <c r="E241" t="s">
        <v>90</v>
      </c>
      <c r="F241">
        <v>1.8</v>
      </c>
      <c r="G241">
        <v>10</v>
      </c>
      <c r="H241" t="s">
        <v>14</v>
      </c>
      <c r="I241" t="s">
        <v>15</v>
      </c>
      <c r="J241" t="s">
        <v>116</v>
      </c>
      <c r="K241">
        <f>Pqp_supermarket_data[[#This Row],[Unit_Price]]*Pqp_supermarket_data[[#This Row],[Quantity]]</f>
        <v>18</v>
      </c>
      <c r="L241" t="str">
        <f>TEXT(Pqp_supermarket_data[[#This Row],[DateTime]],"ddd")</f>
        <v>Thu</v>
      </c>
      <c r="M241" t="str">
        <f>TEXT(Pqp_supermarket_data[[#This Row],[DateTime]],"mmm")</f>
        <v>May</v>
      </c>
      <c r="N241" t="str">
        <f>TEXT(Pqp_supermarket_data[[#This Row],[DateTime]],"yyy")</f>
        <v>2021</v>
      </c>
    </row>
    <row r="242" spans="1:14" x14ac:dyDescent="0.35">
      <c r="A242" t="s">
        <v>626</v>
      </c>
      <c r="B242" s="1">
        <v>45023.168090914354</v>
      </c>
      <c r="C242" t="s">
        <v>627</v>
      </c>
      <c r="D242" t="s">
        <v>82</v>
      </c>
      <c r="E242" t="s">
        <v>39</v>
      </c>
      <c r="F242">
        <v>3.2</v>
      </c>
      <c r="G242">
        <v>10</v>
      </c>
      <c r="H242" t="s">
        <v>14</v>
      </c>
      <c r="I242" t="s">
        <v>40</v>
      </c>
      <c r="J242" t="s">
        <v>134</v>
      </c>
      <c r="K242">
        <f>Pqp_supermarket_data[[#This Row],[Unit_Price]]*Pqp_supermarket_data[[#This Row],[Quantity]]</f>
        <v>32</v>
      </c>
      <c r="L242" t="str">
        <f>TEXT(Pqp_supermarket_data[[#This Row],[DateTime]],"ddd")</f>
        <v>Fri</v>
      </c>
      <c r="M242" t="str">
        <f>TEXT(Pqp_supermarket_data[[#This Row],[DateTime]],"mmm")</f>
        <v>Apr</v>
      </c>
      <c r="N242" t="str">
        <f>TEXT(Pqp_supermarket_data[[#This Row],[DateTime]],"yyy")</f>
        <v>2023</v>
      </c>
    </row>
    <row r="243" spans="1:14" x14ac:dyDescent="0.35">
      <c r="A243" t="s">
        <v>628</v>
      </c>
      <c r="B243" s="1">
        <v>44461.140313148149</v>
      </c>
      <c r="C243" t="s">
        <v>629</v>
      </c>
      <c r="D243" t="s">
        <v>44</v>
      </c>
      <c r="E243" t="s">
        <v>148</v>
      </c>
      <c r="F243">
        <v>5.5</v>
      </c>
      <c r="G243">
        <v>9</v>
      </c>
      <c r="H243" t="s">
        <v>14</v>
      </c>
      <c r="I243" t="s">
        <v>36</v>
      </c>
      <c r="J243" t="s">
        <v>423</v>
      </c>
      <c r="K243">
        <f>Pqp_supermarket_data[[#This Row],[Unit_Price]]*Pqp_supermarket_data[[#This Row],[Quantity]]</f>
        <v>49.5</v>
      </c>
      <c r="L243" t="str">
        <f>TEXT(Pqp_supermarket_data[[#This Row],[DateTime]],"ddd")</f>
        <v>Wed</v>
      </c>
      <c r="M243" t="str">
        <f>TEXT(Pqp_supermarket_data[[#This Row],[DateTime]],"mmm")</f>
        <v>Sep</v>
      </c>
      <c r="N243" t="str">
        <f>TEXT(Pqp_supermarket_data[[#This Row],[DateTime]],"yyy")</f>
        <v>2021</v>
      </c>
    </row>
    <row r="244" spans="1:14" x14ac:dyDescent="0.35">
      <c r="A244" t="s">
        <v>630</v>
      </c>
      <c r="B244" s="1">
        <v>45205.194479814818</v>
      </c>
      <c r="C244" t="s">
        <v>631</v>
      </c>
      <c r="D244" t="s">
        <v>34</v>
      </c>
      <c r="E244" t="s">
        <v>45</v>
      </c>
      <c r="F244">
        <v>1</v>
      </c>
      <c r="G244">
        <v>3</v>
      </c>
      <c r="H244" t="s">
        <v>14</v>
      </c>
      <c r="I244" t="s">
        <v>61</v>
      </c>
      <c r="J244" t="s">
        <v>369</v>
      </c>
      <c r="K244">
        <f>Pqp_supermarket_data[[#This Row],[Unit_Price]]*Pqp_supermarket_data[[#This Row],[Quantity]]</f>
        <v>3</v>
      </c>
      <c r="L244" t="str">
        <f>TEXT(Pqp_supermarket_data[[#This Row],[DateTime]],"ddd")</f>
        <v>Fri</v>
      </c>
      <c r="M244" t="str">
        <f>TEXT(Pqp_supermarket_data[[#This Row],[DateTime]],"mmm")</f>
        <v>Oct</v>
      </c>
      <c r="N244" t="str">
        <f>TEXT(Pqp_supermarket_data[[#This Row],[DateTime]],"yyy")</f>
        <v>2023</v>
      </c>
    </row>
    <row r="245" spans="1:14" x14ac:dyDescent="0.35">
      <c r="A245" t="s">
        <v>632</v>
      </c>
      <c r="B245" s="1">
        <v>44592.678507592595</v>
      </c>
      <c r="C245" t="s">
        <v>633</v>
      </c>
      <c r="D245" t="s">
        <v>19</v>
      </c>
      <c r="E245" t="s">
        <v>53</v>
      </c>
      <c r="F245">
        <v>2.8</v>
      </c>
      <c r="G245">
        <v>5</v>
      </c>
      <c r="H245" t="s">
        <v>14</v>
      </c>
      <c r="I245" t="s">
        <v>36</v>
      </c>
      <c r="J245" t="s">
        <v>160</v>
      </c>
      <c r="K245">
        <f>Pqp_supermarket_data[[#This Row],[Unit_Price]]*Pqp_supermarket_data[[#This Row],[Quantity]]</f>
        <v>14</v>
      </c>
      <c r="L245" t="str">
        <f>TEXT(Pqp_supermarket_data[[#This Row],[DateTime]],"ddd")</f>
        <v>Mon</v>
      </c>
      <c r="M245" t="str">
        <f>TEXT(Pqp_supermarket_data[[#This Row],[DateTime]],"mmm")</f>
        <v>Jan</v>
      </c>
      <c r="N245" t="str">
        <f>TEXT(Pqp_supermarket_data[[#This Row],[DateTime]],"yyy")</f>
        <v>2022</v>
      </c>
    </row>
    <row r="246" spans="1:14" x14ac:dyDescent="0.35">
      <c r="A246" t="s">
        <v>634</v>
      </c>
      <c r="B246" s="1">
        <v>44430.054202037034</v>
      </c>
      <c r="C246" t="s">
        <v>635</v>
      </c>
      <c r="D246" t="s">
        <v>171</v>
      </c>
      <c r="E246" t="s">
        <v>65</v>
      </c>
      <c r="F246">
        <v>3</v>
      </c>
      <c r="G246">
        <v>5</v>
      </c>
      <c r="H246" t="s">
        <v>14</v>
      </c>
      <c r="I246" t="s">
        <v>21</v>
      </c>
      <c r="J246" t="s">
        <v>41</v>
      </c>
      <c r="K246">
        <f>Pqp_supermarket_data[[#This Row],[Unit_Price]]*Pqp_supermarket_data[[#This Row],[Quantity]]</f>
        <v>15</v>
      </c>
      <c r="L246" t="str">
        <f>TEXT(Pqp_supermarket_data[[#This Row],[DateTime]],"ddd")</f>
        <v>Sun</v>
      </c>
      <c r="M246" t="str">
        <f>TEXT(Pqp_supermarket_data[[#This Row],[DateTime]],"mmm")</f>
        <v>Aug</v>
      </c>
      <c r="N246" t="str">
        <f>TEXT(Pqp_supermarket_data[[#This Row],[DateTime]],"yyy")</f>
        <v>2021</v>
      </c>
    </row>
    <row r="247" spans="1:14" x14ac:dyDescent="0.35">
      <c r="A247" t="s">
        <v>636</v>
      </c>
      <c r="B247" s="1">
        <v>44469.106979826392</v>
      </c>
      <c r="C247" t="s">
        <v>637</v>
      </c>
      <c r="D247" t="s">
        <v>69</v>
      </c>
      <c r="E247" t="s">
        <v>90</v>
      </c>
      <c r="F247">
        <v>1.8</v>
      </c>
      <c r="G247">
        <v>2</v>
      </c>
      <c r="H247" t="s">
        <v>14</v>
      </c>
      <c r="I247" t="s">
        <v>36</v>
      </c>
      <c r="J247" t="s">
        <v>178</v>
      </c>
      <c r="K247">
        <f>Pqp_supermarket_data[[#This Row],[Unit_Price]]*Pqp_supermarket_data[[#This Row],[Quantity]]</f>
        <v>3.6</v>
      </c>
      <c r="L247" t="str">
        <f>TEXT(Pqp_supermarket_data[[#This Row],[DateTime]],"ddd")</f>
        <v>Thu</v>
      </c>
      <c r="M247" t="str">
        <f>TEXT(Pqp_supermarket_data[[#This Row],[DateTime]],"mmm")</f>
        <v>Sep</v>
      </c>
      <c r="N247" t="str">
        <f>TEXT(Pqp_supermarket_data[[#This Row],[DateTime]],"yyy")</f>
        <v>2021</v>
      </c>
    </row>
    <row r="248" spans="1:14" x14ac:dyDescent="0.35">
      <c r="A248" t="s">
        <v>638</v>
      </c>
      <c r="B248" s="1">
        <v>44918.877118715274</v>
      </c>
      <c r="C248" t="s">
        <v>639</v>
      </c>
      <c r="D248" t="s">
        <v>208</v>
      </c>
      <c r="E248" t="s">
        <v>53</v>
      </c>
      <c r="F248">
        <v>2.8</v>
      </c>
      <c r="G248">
        <v>5</v>
      </c>
      <c r="H248" t="s">
        <v>14</v>
      </c>
      <c r="I248" t="s">
        <v>15</v>
      </c>
      <c r="J248" t="s">
        <v>163</v>
      </c>
      <c r="K248">
        <f>Pqp_supermarket_data[[#This Row],[Unit_Price]]*Pqp_supermarket_data[[#This Row],[Quantity]]</f>
        <v>14</v>
      </c>
      <c r="L248" t="str">
        <f>TEXT(Pqp_supermarket_data[[#This Row],[DateTime]],"ddd")</f>
        <v>Fri</v>
      </c>
      <c r="M248" t="str">
        <f>TEXT(Pqp_supermarket_data[[#This Row],[DateTime]],"mmm")</f>
        <v>Dec</v>
      </c>
      <c r="N248" t="str">
        <f>TEXT(Pqp_supermarket_data[[#This Row],[DateTime]],"yyy")</f>
        <v>2022</v>
      </c>
    </row>
    <row r="249" spans="1:14" x14ac:dyDescent="0.35">
      <c r="A249" t="s">
        <v>640</v>
      </c>
      <c r="B249" s="1">
        <v>45086.926424282407</v>
      </c>
      <c r="C249" t="s">
        <v>641</v>
      </c>
      <c r="D249" t="s">
        <v>25</v>
      </c>
      <c r="E249" t="s">
        <v>111</v>
      </c>
      <c r="F249">
        <v>2.2000000000000002</v>
      </c>
      <c r="G249">
        <v>3</v>
      </c>
      <c r="H249" t="s">
        <v>14</v>
      </c>
      <c r="I249" t="s">
        <v>40</v>
      </c>
      <c r="J249" t="s">
        <v>50</v>
      </c>
      <c r="K249">
        <f>Pqp_supermarket_data[[#This Row],[Unit_Price]]*Pqp_supermarket_data[[#This Row],[Quantity]]</f>
        <v>6.6000000000000005</v>
      </c>
      <c r="L249" t="str">
        <f>TEXT(Pqp_supermarket_data[[#This Row],[DateTime]],"ddd")</f>
        <v>Fri</v>
      </c>
      <c r="M249" t="str">
        <f>TEXT(Pqp_supermarket_data[[#This Row],[DateTime]],"mmm")</f>
        <v>Jun</v>
      </c>
      <c r="N249" t="str">
        <f>TEXT(Pqp_supermarket_data[[#This Row],[DateTime]],"yyy")</f>
        <v>2023</v>
      </c>
    </row>
    <row r="250" spans="1:14" x14ac:dyDescent="0.35">
      <c r="A250" t="s">
        <v>642</v>
      </c>
      <c r="B250" s="1">
        <v>45578.85906318287</v>
      </c>
      <c r="C250" t="s">
        <v>643</v>
      </c>
      <c r="D250" t="s">
        <v>85</v>
      </c>
      <c r="E250" t="s">
        <v>90</v>
      </c>
      <c r="F250">
        <v>1.8</v>
      </c>
      <c r="G250">
        <v>1</v>
      </c>
      <c r="H250" t="s">
        <v>14</v>
      </c>
      <c r="I250" t="s">
        <v>36</v>
      </c>
      <c r="J250" t="s">
        <v>102</v>
      </c>
      <c r="K250">
        <f>Pqp_supermarket_data[[#This Row],[Unit_Price]]*Pqp_supermarket_data[[#This Row],[Quantity]]</f>
        <v>1.8</v>
      </c>
      <c r="L250" t="str">
        <f>TEXT(Pqp_supermarket_data[[#This Row],[DateTime]],"ddd")</f>
        <v>Sun</v>
      </c>
      <c r="M250" t="str">
        <f>TEXT(Pqp_supermarket_data[[#This Row],[DateTime]],"mmm")</f>
        <v>Oct</v>
      </c>
      <c r="N250" t="str">
        <f>TEXT(Pqp_supermarket_data[[#This Row],[DateTime]],"yyy")</f>
        <v>2024</v>
      </c>
    </row>
    <row r="251" spans="1:14" x14ac:dyDescent="0.35">
      <c r="A251" t="s">
        <v>644</v>
      </c>
      <c r="B251" s="1">
        <v>44521.366702083331</v>
      </c>
      <c r="C251" t="s">
        <v>645</v>
      </c>
      <c r="D251" t="s">
        <v>82</v>
      </c>
      <c r="E251" t="s">
        <v>111</v>
      </c>
      <c r="F251">
        <v>2.2000000000000002</v>
      </c>
      <c r="G251">
        <v>3</v>
      </c>
      <c r="H251" t="s">
        <v>14</v>
      </c>
      <c r="I251" t="s">
        <v>15</v>
      </c>
      <c r="J251" t="s">
        <v>320</v>
      </c>
      <c r="K251">
        <f>Pqp_supermarket_data[[#This Row],[Unit_Price]]*Pqp_supermarket_data[[#This Row],[Quantity]]</f>
        <v>6.6000000000000005</v>
      </c>
      <c r="L251" t="str">
        <f>TEXT(Pqp_supermarket_data[[#This Row],[DateTime]],"ddd")</f>
        <v>Sun</v>
      </c>
      <c r="M251" t="str">
        <f>TEXT(Pqp_supermarket_data[[#This Row],[DateTime]],"mmm")</f>
        <v>Nov</v>
      </c>
      <c r="N251" t="str">
        <f>TEXT(Pqp_supermarket_data[[#This Row],[DateTime]],"yyy")</f>
        <v>2021</v>
      </c>
    </row>
    <row r="252" spans="1:14" x14ac:dyDescent="0.35">
      <c r="A252" t="s">
        <v>646</v>
      </c>
      <c r="B252" s="1">
        <v>44507.319479861108</v>
      </c>
      <c r="C252" t="s">
        <v>647</v>
      </c>
      <c r="D252" t="s">
        <v>98</v>
      </c>
      <c r="E252" t="s">
        <v>137</v>
      </c>
      <c r="F252">
        <v>2.5</v>
      </c>
      <c r="G252">
        <v>7</v>
      </c>
      <c r="H252" t="s">
        <v>14</v>
      </c>
      <c r="I252" t="s">
        <v>61</v>
      </c>
      <c r="J252" t="s">
        <v>255</v>
      </c>
      <c r="K252">
        <f>Pqp_supermarket_data[[#This Row],[Unit_Price]]*Pqp_supermarket_data[[#This Row],[Quantity]]</f>
        <v>17.5</v>
      </c>
      <c r="L252" t="str">
        <f>TEXT(Pqp_supermarket_data[[#This Row],[DateTime]],"ddd")</f>
        <v>Sun</v>
      </c>
      <c r="M252" t="str">
        <f>TEXT(Pqp_supermarket_data[[#This Row],[DateTime]],"mmm")</f>
        <v>Nov</v>
      </c>
      <c r="N252" t="str">
        <f>TEXT(Pqp_supermarket_data[[#This Row],[DateTime]],"yyy")</f>
        <v>2021</v>
      </c>
    </row>
    <row r="253" spans="1:14" x14ac:dyDescent="0.35">
      <c r="A253" t="s">
        <v>648</v>
      </c>
      <c r="B253" s="1">
        <v>45299.949340983796</v>
      </c>
      <c r="C253" t="s">
        <v>649</v>
      </c>
      <c r="D253" t="s">
        <v>127</v>
      </c>
      <c r="E253" t="s">
        <v>70</v>
      </c>
      <c r="F253">
        <v>5</v>
      </c>
      <c r="G253">
        <v>4</v>
      </c>
      <c r="H253" t="s">
        <v>14</v>
      </c>
      <c r="I253" t="s">
        <v>21</v>
      </c>
      <c r="J253" t="s">
        <v>461</v>
      </c>
      <c r="K253">
        <f>Pqp_supermarket_data[[#This Row],[Unit_Price]]*Pqp_supermarket_data[[#This Row],[Quantity]]</f>
        <v>20</v>
      </c>
      <c r="L253" t="str">
        <f>TEXT(Pqp_supermarket_data[[#This Row],[DateTime]],"ddd")</f>
        <v>Mon</v>
      </c>
      <c r="M253" t="str">
        <f>TEXT(Pqp_supermarket_data[[#This Row],[DateTime]],"mmm")</f>
        <v>Jan</v>
      </c>
      <c r="N253" t="str">
        <f>TEXT(Pqp_supermarket_data[[#This Row],[DateTime]],"yyy")</f>
        <v>2024</v>
      </c>
    </row>
    <row r="254" spans="1:14" x14ac:dyDescent="0.35">
      <c r="A254" t="s">
        <v>650</v>
      </c>
      <c r="B254" s="1">
        <v>45152.895174328703</v>
      </c>
      <c r="C254" t="s">
        <v>651</v>
      </c>
      <c r="D254" t="s">
        <v>34</v>
      </c>
      <c r="E254" t="s">
        <v>78</v>
      </c>
      <c r="F254">
        <v>4</v>
      </c>
      <c r="G254">
        <v>6</v>
      </c>
      <c r="H254" t="s">
        <v>14</v>
      </c>
      <c r="I254" t="s">
        <v>36</v>
      </c>
      <c r="J254" t="s">
        <v>317</v>
      </c>
      <c r="K254">
        <f>Pqp_supermarket_data[[#This Row],[Unit_Price]]*Pqp_supermarket_data[[#This Row],[Quantity]]</f>
        <v>24</v>
      </c>
      <c r="L254" t="str">
        <f>TEXT(Pqp_supermarket_data[[#This Row],[DateTime]],"ddd")</f>
        <v>Mon</v>
      </c>
      <c r="M254" t="str">
        <f>TEXT(Pqp_supermarket_data[[#This Row],[DateTime]],"mmm")</f>
        <v>Aug</v>
      </c>
      <c r="N254" t="str">
        <f>TEXT(Pqp_supermarket_data[[#This Row],[DateTime]],"yyy")</f>
        <v>2023</v>
      </c>
    </row>
    <row r="255" spans="1:14" x14ac:dyDescent="0.35">
      <c r="A255" t="s">
        <v>652</v>
      </c>
      <c r="B255" s="1">
        <v>44883.942396550927</v>
      </c>
      <c r="C255" t="s">
        <v>653</v>
      </c>
      <c r="D255" t="s">
        <v>127</v>
      </c>
      <c r="E255" t="s">
        <v>49</v>
      </c>
      <c r="F255">
        <v>7</v>
      </c>
      <c r="G255">
        <v>9</v>
      </c>
      <c r="H255" t="s">
        <v>14</v>
      </c>
      <c r="I255" t="s">
        <v>21</v>
      </c>
      <c r="J255" t="s">
        <v>175</v>
      </c>
      <c r="K255">
        <f>Pqp_supermarket_data[[#This Row],[Unit_Price]]*Pqp_supermarket_data[[#This Row],[Quantity]]</f>
        <v>63</v>
      </c>
      <c r="L255" t="str">
        <f>TEXT(Pqp_supermarket_data[[#This Row],[DateTime]],"ddd")</f>
        <v>Fri</v>
      </c>
      <c r="M255" t="str">
        <f>TEXT(Pqp_supermarket_data[[#This Row],[DateTime]],"mmm")</f>
        <v>Nov</v>
      </c>
      <c r="N255" t="str">
        <f>TEXT(Pqp_supermarket_data[[#This Row],[DateTime]],"yyy")</f>
        <v>2022</v>
      </c>
    </row>
    <row r="256" spans="1:14" x14ac:dyDescent="0.35">
      <c r="A256" t="s">
        <v>654</v>
      </c>
      <c r="B256" s="1">
        <v>45455.274340995369</v>
      </c>
      <c r="C256" t="s">
        <v>655</v>
      </c>
      <c r="D256" t="s">
        <v>171</v>
      </c>
      <c r="E256" t="s">
        <v>111</v>
      </c>
      <c r="F256">
        <v>2.2000000000000002</v>
      </c>
      <c r="G256">
        <v>5</v>
      </c>
      <c r="H256" t="s">
        <v>14</v>
      </c>
      <c r="I256" t="s">
        <v>40</v>
      </c>
      <c r="J256" t="s">
        <v>230</v>
      </c>
      <c r="K256">
        <f>Pqp_supermarket_data[[#This Row],[Unit_Price]]*Pqp_supermarket_data[[#This Row],[Quantity]]</f>
        <v>11</v>
      </c>
      <c r="L256" t="str">
        <f>TEXT(Pqp_supermarket_data[[#This Row],[DateTime]],"ddd")</f>
        <v>Wed</v>
      </c>
      <c r="M256" t="str">
        <f>TEXT(Pqp_supermarket_data[[#This Row],[DateTime]],"mmm")</f>
        <v>Jun</v>
      </c>
      <c r="N256" t="str">
        <f>TEXT(Pqp_supermarket_data[[#This Row],[DateTime]],"yyy")</f>
        <v>2024</v>
      </c>
    </row>
    <row r="257" spans="1:14" x14ac:dyDescent="0.35">
      <c r="A257" t="s">
        <v>656</v>
      </c>
      <c r="B257" s="1">
        <v>44802.07711878472</v>
      </c>
      <c r="C257" t="s">
        <v>657</v>
      </c>
      <c r="D257" t="s">
        <v>19</v>
      </c>
      <c r="E257" t="s">
        <v>148</v>
      </c>
      <c r="F257">
        <v>5.5</v>
      </c>
      <c r="G257">
        <v>9</v>
      </c>
      <c r="H257" t="s">
        <v>14</v>
      </c>
      <c r="I257" t="s">
        <v>40</v>
      </c>
      <c r="J257" t="s">
        <v>429</v>
      </c>
      <c r="K257">
        <f>Pqp_supermarket_data[[#This Row],[Unit_Price]]*Pqp_supermarket_data[[#This Row],[Quantity]]</f>
        <v>49.5</v>
      </c>
      <c r="L257" t="str">
        <f>TEXT(Pqp_supermarket_data[[#This Row],[DateTime]],"ddd")</f>
        <v>Mon</v>
      </c>
      <c r="M257" t="str">
        <f>TEXT(Pqp_supermarket_data[[#This Row],[DateTime]],"mmm")</f>
        <v>Aug</v>
      </c>
      <c r="N257" t="str">
        <f>TEXT(Pqp_supermarket_data[[#This Row],[DateTime]],"yyy")</f>
        <v>2022</v>
      </c>
    </row>
    <row r="258" spans="1:14" x14ac:dyDescent="0.35">
      <c r="A258" t="s">
        <v>658</v>
      </c>
      <c r="B258" s="1">
        <v>45615.339618784725</v>
      </c>
      <c r="C258" t="s">
        <v>659</v>
      </c>
      <c r="D258" t="s">
        <v>98</v>
      </c>
      <c r="E258" t="s">
        <v>90</v>
      </c>
      <c r="F258">
        <v>1.8</v>
      </c>
      <c r="G258">
        <v>3</v>
      </c>
      <c r="H258" t="s">
        <v>14</v>
      </c>
      <c r="I258" t="s">
        <v>86</v>
      </c>
      <c r="J258" t="s">
        <v>451</v>
      </c>
      <c r="K258">
        <f>Pqp_supermarket_data[[#This Row],[Unit_Price]]*Pqp_supermarket_data[[#This Row],[Quantity]]</f>
        <v>5.4</v>
      </c>
      <c r="L258" t="str">
        <f>TEXT(Pqp_supermarket_data[[#This Row],[DateTime]],"ddd")</f>
        <v>Tue</v>
      </c>
      <c r="M258" t="str">
        <f>TEXT(Pqp_supermarket_data[[#This Row],[DateTime]],"mmm")</f>
        <v>Nov</v>
      </c>
      <c r="N258" t="str">
        <f>TEXT(Pqp_supermarket_data[[#This Row],[DateTime]],"yyy")</f>
        <v>2024</v>
      </c>
    </row>
    <row r="259" spans="1:14" x14ac:dyDescent="0.35">
      <c r="A259" t="s">
        <v>660</v>
      </c>
      <c r="B259" s="1">
        <v>45331.93753545139</v>
      </c>
      <c r="C259" t="s">
        <v>661</v>
      </c>
      <c r="D259" t="s">
        <v>44</v>
      </c>
      <c r="E259" t="s">
        <v>35</v>
      </c>
      <c r="F259">
        <v>1.2</v>
      </c>
      <c r="G259">
        <v>7</v>
      </c>
      <c r="H259" t="s">
        <v>14</v>
      </c>
      <c r="I259" t="s">
        <v>40</v>
      </c>
      <c r="J259" t="s">
        <v>662</v>
      </c>
      <c r="K259">
        <f>Pqp_supermarket_data[[#This Row],[Unit_Price]]*Pqp_supermarket_data[[#This Row],[Quantity]]</f>
        <v>8.4</v>
      </c>
      <c r="L259" t="str">
        <f>TEXT(Pqp_supermarket_data[[#This Row],[DateTime]],"ddd")</f>
        <v>Fri</v>
      </c>
      <c r="M259" t="str">
        <f>TEXT(Pqp_supermarket_data[[#This Row],[DateTime]],"mmm")</f>
        <v>Feb</v>
      </c>
      <c r="N259" t="str">
        <f>TEXT(Pqp_supermarket_data[[#This Row],[DateTime]],"yyy")</f>
        <v>2024</v>
      </c>
    </row>
    <row r="260" spans="1:14" x14ac:dyDescent="0.35">
      <c r="A260" t="s">
        <v>663</v>
      </c>
      <c r="B260" s="1">
        <v>44758.091007685187</v>
      </c>
      <c r="C260" t="s">
        <v>664</v>
      </c>
      <c r="D260" t="s">
        <v>82</v>
      </c>
      <c r="E260" t="s">
        <v>65</v>
      </c>
      <c r="F260">
        <v>3</v>
      </c>
      <c r="G260">
        <v>6</v>
      </c>
      <c r="H260" t="s">
        <v>14</v>
      </c>
      <c r="I260" t="s">
        <v>15</v>
      </c>
      <c r="J260" t="s">
        <v>27</v>
      </c>
      <c r="K260">
        <f>Pqp_supermarket_data[[#This Row],[Unit_Price]]*Pqp_supermarket_data[[#This Row],[Quantity]]</f>
        <v>18</v>
      </c>
      <c r="L260" t="str">
        <f>TEXT(Pqp_supermarket_data[[#This Row],[DateTime]],"ddd")</f>
        <v>Sat</v>
      </c>
      <c r="M260" t="str">
        <f>TEXT(Pqp_supermarket_data[[#This Row],[DateTime]],"mmm")</f>
        <v>Jul</v>
      </c>
      <c r="N260" t="str">
        <f>TEXT(Pqp_supermarket_data[[#This Row],[DateTime]],"yyy")</f>
        <v>2022</v>
      </c>
    </row>
    <row r="261" spans="1:14" x14ac:dyDescent="0.35">
      <c r="A261" t="s">
        <v>665</v>
      </c>
      <c r="B261" s="1">
        <v>45134.397952129628</v>
      </c>
      <c r="C261" t="s">
        <v>666</v>
      </c>
      <c r="D261" t="s">
        <v>12</v>
      </c>
      <c r="E261" t="s">
        <v>39</v>
      </c>
      <c r="F261">
        <v>3.2</v>
      </c>
      <c r="G261">
        <v>3</v>
      </c>
      <c r="H261" t="s">
        <v>14</v>
      </c>
      <c r="I261" t="s">
        <v>15</v>
      </c>
      <c r="J261" t="s">
        <v>74</v>
      </c>
      <c r="K261">
        <f>Pqp_supermarket_data[[#This Row],[Unit_Price]]*Pqp_supermarket_data[[#This Row],[Quantity]]</f>
        <v>9.6000000000000014</v>
      </c>
      <c r="L261" t="str">
        <f>TEXT(Pqp_supermarket_data[[#This Row],[DateTime]],"ddd")</f>
        <v>Thu</v>
      </c>
      <c r="M261" t="str">
        <f>TEXT(Pqp_supermarket_data[[#This Row],[DateTime]],"mmm")</f>
        <v>Jul</v>
      </c>
      <c r="N261" t="str">
        <f>TEXT(Pqp_supermarket_data[[#This Row],[DateTime]],"yyy")</f>
        <v>2023</v>
      </c>
    </row>
    <row r="262" spans="1:14" x14ac:dyDescent="0.35">
      <c r="A262" t="s">
        <v>667</v>
      </c>
      <c r="B262" s="1">
        <v>45198.904202129626</v>
      </c>
      <c r="C262" t="s">
        <v>668</v>
      </c>
      <c r="D262" t="s">
        <v>34</v>
      </c>
      <c r="E262" t="s">
        <v>111</v>
      </c>
      <c r="F262">
        <v>2.2000000000000002</v>
      </c>
      <c r="G262">
        <v>8</v>
      </c>
      <c r="H262" t="s">
        <v>14</v>
      </c>
      <c r="I262" t="s">
        <v>86</v>
      </c>
      <c r="J262" t="s">
        <v>262</v>
      </c>
      <c r="K262">
        <f>Pqp_supermarket_data[[#This Row],[Unit_Price]]*Pqp_supermarket_data[[#This Row],[Quantity]]</f>
        <v>17.600000000000001</v>
      </c>
      <c r="L262" t="str">
        <f>TEXT(Pqp_supermarket_data[[#This Row],[DateTime]],"ddd")</f>
        <v>Fri</v>
      </c>
      <c r="M262" t="str">
        <f>TEXT(Pqp_supermarket_data[[#This Row],[DateTime]],"mmm")</f>
        <v>Sep</v>
      </c>
      <c r="N262" t="str">
        <f>TEXT(Pqp_supermarket_data[[#This Row],[DateTime]],"yyy")</f>
        <v>2023</v>
      </c>
    </row>
    <row r="263" spans="1:14" x14ac:dyDescent="0.35">
      <c r="A263" t="s">
        <v>669</v>
      </c>
      <c r="B263" s="1">
        <v>45776.475729907404</v>
      </c>
      <c r="C263" t="s">
        <v>670</v>
      </c>
      <c r="D263" t="s">
        <v>127</v>
      </c>
      <c r="E263" t="s">
        <v>78</v>
      </c>
      <c r="F263">
        <v>4</v>
      </c>
      <c r="G263">
        <v>3</v>
      </c>
      <c r="H263" t="s">
        <v>14</v>
      </c>
      <c r="I263" t="s">
        <v>21</v>
      </c>
      <c r="J263" t="s">
        <v>46</v>
      </c>
      <c r="K263">
        <f>Pqp_supermarket_data[[#This Row],[Unit_Price]]*Pqp_supermarket_data[[#This Row],[Quantity]]</f>
        <v>12</v>
      </c>
      <c r="L263" t="str">
        <f>TEXT(Pqp_supermarket_data[[#This Row],[DateTime]],"ddd")</f>
        <v>Tue</v>
      </c>
      <c r="M263" t="str">
        <f>TEXT(Pqp_supermarket_data[[#This Row],[DateTime]],"mmm")</f>
        <v>Apr</v>
      </c>
      <c r="N263" t="str">
        <f>TEXT(Pqp_supermarket_data[[#This Row],[DateTime]],"yyy")</f>
        <v>2025</v>
      </c>
    </row>
    <row r="264" spans="1:14" x14ac:dyDescent="0.35">
      <c r="A264" t="s">
        <v>671</v>
      </c>
      <c r="B264" s="1">
        <v>44539.87434101852</v>
      </c>
      <c r="C264" t="s">
        <v>672</v>
      </c>
      <c r="D264" t="s">
        <v>77</v>
      </c>
      <c r="E264" t="s">
        <v>57</v>
      </c>
      <c r="F264">
        <v>4.5</v>
      </c>
      <c r="G264">
        <v>4</v>
      </c>
      <c r="H264" t="s">
        <v>14</v>
      </c>
      <c r="I264" t="s">
        <v>61</v>
      </c>
      <c r="J264" t="s">
        <v>172</v>
      </c>
      <c r="K264">
        <f>Pqp_supermarket_data[[#This Row],[Unit_Price]]*Pqp_supermarket_data[[#This Row],[Quantity]]</f>
        <v>18</v>
      </c>
      <c r="L264" t="str">
        <f>TEXT(Pqp_supermarket_data[[#This Row],[DateTime]],"ddd")</f>
        <v>Thu</v>
      </c>
      <c r="M264" t="str">
        <f>TEXT(Pqp_supermarket_data[[#This Row],[DateTime]],"mmm")</f>
        <v>Dec</v>
      </c>
      <c r="N264" t="str">
        <f>TEXT(Pqp_supermarket_data[[#This Row],[DateTime]],"yyy")</f>
        <v>2021</v>
      </c>
    </row>
    <row r="265" spans="1:14" x14ac:dyDescent="0.35">
      <c r="A265" t="s">
        <v>673</v>
      </c>
      <c r="B265" s="1">
        <v>45689.250035474535</v>
      </c>
      <c r="C265" t="s">
        <v>674</v>
      </c>
      <c r="D265" t="s">
        <v>30</v>
      </c>
      <c r="E265" t="s">
        <v>45</v>
      </c>
      <c r="F265">
        <v>1</v>
      </c>
      <c r="G265">
        <v>8</v>
      </c>
      <c r="H265" t="s">
        <v>14</v>
      </c>
      <c r="I265" t="s">
        <v>40</v>
      </c>
      <c r="J265" t="s">
        <v>233</v>
      </c>
      <c r="K265">
        <f>Pqp_supermarket_data[[#This Row],[Unit_Price]]*Pqp_supermarket_data[[#This Row],[Quantity]]</f>
        <v>8</v>
      </c>
      <c r="L265" t="str">
        <f>TEXT(Pqp_supermarket_data[[#This Row],[DateTime]],"ddd")</f>
        <v>Sat</v>
      </c>
      <c r="M265" t="str">
        <f>TEXT(Pqp_supermarket_data[[#This Row],[DateTime]],"mmm")</f>
        <v>Feb</v>
      </c>
      <c r="N265" t="str">
        <f>TEXT(Pqp_supermarket_data[[#This Row],[DateTime]],"yyy")</f>
        <v>2025</v>
      </c>
    </row>
    <row r="266" spans="1:14" x14ac:dyDescent="0.35">
      <c r="A266" t="s">
        <v>675</v>
      </c>
      <c r="B266" s="1">
        <v>44762.744479918983</v>
      </c>
      <c r="C266" t="s">
        <v>676</v>
      </c>
      <c r="D266" t="s">
        <v>208</v>
      </c>
      <c r="E266" t="s">
        <v>90</v>
      </c>
      <c r="F266">
        <v>1.8</v>
      </c>
      <c r="G266">
        <v>10</v>
      </c>
      <c r="H266" t="s">
        <v>14</v>
      </c>
      <c r="I266" t="s">
        <v>15</v>
      </c>
      <c r="J266" t="s">
        <v>541</v>
      </c>
      <c r="K266">
        <f>Pqp_supermarket_data[[#This Row],[Unit_Price]]*Pqp_supermarket_data[[#This Row],[Quantity]]</f>
        <v>18</v>
      </c>
      <c r="L266" t="str">
        <f>TEXT(Pqp_supermarket_data[[#This Row],[DateTime]],"ddd")</f>
        <v>Wed</v>
      </c>
      <c r="M266" t="str">
        <f>TEXT(Pqp_supermarket_data[[#This Row],[DateTime]],"mmm")</f>
        <v>Jul</v>
      </c>
      <c r="N266" t="str">
        <f>TEXT(Pqp_supermarket_data[[#This Row],[DateTime]],"yyy")</f>
        <v>2022</v>
      </c>
    </row>
    <row r="267" spans="1:14" x14ac:dyDescent="0.35">
      <c r="A267" t="s">
        <v>677</v>
      </c>
      <c r="B267" s="1">
        <v>45492.16600769676</v>
      </c>
      <c r="C267" t="s">
        <v>678</v>
      </c>
      <c r="D267" t="s">
        <v>208</v>
      </c>
      <c r="E267" t="s">
        <v>45</v>
      </c>
      <c r="F267">
        <v>1</v>
      </c>
      <c r="G267">
        <v>6</v>
      </c>
      <c r="H267" t="s">
        <v>14</v>
      </c>
      <c r="I267" t="s">
        <v>15</v>
      </c>
      <c r="J267" t="s">
        <v>317</v>
      </c>
      <c r="K267">
        <f>Pqp_supermarket_data[[#This Row],[Unit_Price]]*Pqp_supermarket_data[[#This Row],[Quantity]]</f>
        <v>6</v>
      </c>
      <c r="L267" t="str">
        <f>TEXT(Pqp_supermarket_data[[#This Row],[DateTime]],"ddd")</f>
        <v>Fri</v>
      </c>
      <c r="M267" t="str">
        <f>TEXT(Pqp_supermarket_data[[#This Row],[DateTime]],"mmm")</f>
        <v>Jul</v>
      </c>
      <c r="N267" t="str">
        <f>TEXT(Pqp_supermarket_data[[#This Row],[DateTime]],"yyy")</f>
        <v>2024</v>
      </c>
    </row>
    <row r="268" spans="1:14" x14ac:dyDescent="0.35">
      <c r="A268" t="s">
        <v>679</v>
      </c>
      <c r="B268" s="1">
        <v>44933.32225769676</v>
      </c>
      <c r="C268" t="s">
        <v>680</v>
      </c>
      <c r="D268" t="s">
        <v>30</v>
      </c>
      <c r="E268" t="s">
        <v>65</v>
      </c>
      <c r="F268">
        <v>3</v>
      </c>
      <c r="G268">
        <v>9</v>
      </c>
      <c r="H268" t="s">
        <v>14</v>
      </c>
      <c r="I268" t="s">
        <v>61</v>
      </c>
      <c r="J268" t="s">
        <v>95</v>
      </c>
      <c r="K268">
        <f>Pqp_supermarket_data[[#This Row],[Unit_Price]]*Pqp_supermarket_data[[#This Row],[Quantity]]</f>
        <v>27</v>
      </c>
      <c r="L268" t="str">
        <f>TEXT(Pqp_supermarket_data[[#This Row],[DateTime]],"ddd")</f>
        <v>Sat</v>
      </c>
      <c r="M268" t="str">
        <f>TEXT(Pqp_supermarket_data[[#This Row],[DateTime]],"mmm")</f>
        <v>Jan</v>
      </c>
      <c r="N268" t="str">
        <f>TEXT(Pqp_supermarket_data[[#This Row],[DateTime]],"yyy")</f>
        <v>2023</v>
      </c>
    </row>
    <row r="269" spans="1:14" x14ac:dyDescent="0.35">
      <c r="A269" t="s">
        <v>681</v>
      </c>
      <c r="B269" s="1">
        <v>44708.829202141205</v>
      </c>
      <c r="C269" t="s">
        <v>682</v>
      </c>
      <c r="D269" t="s">
        <v>226</v>
      </c>
      <c r="E269" t="s">
        <v>90</v>
      </c>
      <c r="F269">
        <v>1.8</v>
      </c>
      <c r="G269">
        <v>9</v>
      </c>
      <c r="H269" t="s">
        <v>14</v>
      </c>
      <c r="I269" t="s">
        <v>40</v>
      </c>
      <c r="J269" t="s">
        <v>423</v>
      </c>
      <c r="K269">
        <f>Pqp_supermarket_data[[#This Row],[Unit_Price]]*Pqp_supermarket_data[[#This Row],[Quantity]]</f>
        <v>16.2</v>
      </c>
      <c r="L269" t="str">
        <f>TEXT(Pqp_supermarket_data[[#This Row],[DateTime]],"ddd")</f>
        <v>Fri</v>
      </c>
      <c r="M269" t="str">
        <f>TEXT(Pqp_supermarket_data[[#This Row],[DateTime]],"mmm")</f>
        <v>May</v>
      </c>
      <c r="N269" t="str">
        <f>TEXT(Pqp_supermarket_data[[#This Row],[DateTime]],"yyy")</f>
        <v>2022</v>
      </c>
    </row>
    <row r="270" spans="1:14" x14ac:dyDescent="0.35">
      <c r="A270" t="s">
        <v>683</v>
      </c>
      <c r="B270" s="1">
        <v>44824.490313263886</v>
      </c>
      <c r="C270" t="s">
        <v>684</v>
      </c>
      <c r="D270" t="s">
        <v>82</v>
      </c>
      <c r="E270" t="s">
        <v>53</v>
      </c>
      <c r="F270">
        <v>2.8</v>
      </c>
      <c r="G270">
        <v>5</v>
      </c>
      <c r="H270" t="s">
        <v>14</v>
      </c>
      <c r="I270" t="s">
        <v>36</v>
      </c>
      <c r="J270" t="s">
        <v>397</v>
      </c>
      <c r="K270">
        <f>Pqp_supermarket_data[[#This Row],[Unit_Price]]*Pqp_supermarket_data[[#This Row],[Quantity]]</f>
        <v>14</v>
      </c>
      <c r="L270" t="str">
        <f>TEXT(Pqp_supermarket_data[[#This Row],[DateTime]],"ddd")</f>
        <v>Tue</v>
      </c>
      <c r="M270" t="str">
        <f>TEXT(Pqp_supermarket_data[[#This Row],[DateTime]],"mmm")</f>
        <v>Sep</v>
      </c>
      <c r="N270" t="str">
        <f>TEXT(Pqp_supermarket_data[[#This Row],[DateTime]],"yyy")</f>
        <v>2022</v>
      </c>
    </row>
    <row r="271" spans="1:14" x14ac:dyDescent="0.35">
      <c r="A271" t="s">
        <v>685</v>
      </c>
      <c r="B271" s="1">
        <v>45055.461146597219</v>
      </c>
      <c r="C271" t="s">
        <v>686</v>
      </c>
      <c r="D271" t="s">
        <v>25</v>
      </c>
      <c r="E271" t="s">
        <v>148</v>
      </c>
      <c r="F271">
        <v>5.5</v>
      </c>
      <c r="G271">
        <v>10</v>
      </c>
      <c r="H271" t="s">
        <v>14</v>
      </c>
      <c r="I271" t="s">
        <v>36</v>
      </c>
      <c r="J271" t="s">
        <v>91</v>
      </c>
      <c r="K271">
        <f>Pqp_supermarket_data[[#This Row],[Unit_Price]]*Pqp_supermarket_data[[#This Row],[Quantity]]</f>
        <v>55</v>
      </c>
      <c r="L271" t="str">
        <f>TEXT(Pqp_supermarket_data[[#This Row],[DateTime]],"ddd")</f>
        <v>Tue</v>
      </c>
      <c r="M271" t="str">
        <f>TEXT(Pqp_supermarket_data[[#This Row],[DateTime]],"mmm")</f>
        <v>May</v>
      </c>
      <c r="N271" t="str">
        <f>TEXT(Pqp_supermarket_data[[#This Row],[DateTime]],"yyy")</f>
        <v>2023</v>
      </c>
    </row>
    <row r="272" spans="1:14" x14ac:dyDescent="0.35">
      <c r="A272" t="s">
        <v>687</v>
      </c>
      <c r="B272" s="1">
        <v>45106.391702152781</v>
      </c>
      <c r="C272" t="s">
        <v>688</v>
      </c>
      <c r="D272" t="s">
        <v>44</v>
      </c>
      <c r="E272" t="s">
        <v>20</v>
      </c>
      <c r="F272">
        <v>1</v>
      </c>
      <c r="G272">
        <v>6</v>
      </c>
      <c r="H272" t="s">
        <v>14</v>
      </c>
      <c r="I272" t="s">
        <v>36</v>
      </c>
      <c r="J272" t="s">
        <v>218</v>
      </c>
      <c r="K272">
        <f>Pqp_supermarket_data[[#This Row],[Unit_Price]]*Pqp_supermarket_data[[#This Row],[Quantity]]</f>
        <v>6</v>
      </c>
      <c r="L272" t="str">
        <f>TEXT(Pqp_supermarket_data[[#This Row],[DateTime]],"ddd")</f>
        <v>Thu</v>
      </c>
      <c r="M272" t="str">
        <f>TEXT(Pqp_supermarket_data[[#This Row],[DateTime]],"mmm")</f>
        <v>Jun</v>
      </c>
      <c r="N272" t="str">
        <f>TEXT(Pqp_supermarket_data[[#This Row],[DateTime]],"yyy")</f>
        <v>2023</v>
      </c>
    </row>
    <row r="273" spans="1:14" x14ac:dyDescent="0.35">
      <c r="A273" t="s">
        <v>689</v>
      </c>
      <c r="B273" s="1">
        <v>44383.945868819443</v>
      </c>
      <c r="C273" t="s">
        <v>690</v>
      </c>
      <c r="D273" t="s">
        <v>98</v>
      </c>
      <c r="E273" t="s">
        <v>94</v>
      </c>
      <c r="F273">
        <v>0.8</v>
      </c>
      <c r="G273">
        <v>3</v>
      </c>
      <c r="H273" t="s">
        <v>14</v>
      </c>
      <c r="I273" t="s">
        <v>40</v>
      </c>
      <c r="J273" t="s">
        <v>541</v>
      </c>
      <c r="K273">
        <f>Pqp_supermarket_data[[#This Row],[Unit_Price]]*Pqp_supermarket_data[[#This Row],[Quantity]]</f>
        <v>2.4000000000000004</v>
      </c>
      <c r="L273" t="str">
        <f>TEXT(Pqp_supermarket_data[[#This Row],[DateTime]],"ddd")</f>
        <v>Tue</v>
      </c>
      <c r="M273" t="str">
        <f>TEXT(Pqp_supermarket_data[[#This Row],[DateTime]],"mmm")</f>
        <v>Jul</v>
      </c>
      <c r="N273" t="str">
        <f>TEXT(Pqp_supermarket_data[[#This Row],[DateTime]],"yyy")</f>
        <v>2021</v>
      </c>
    </row>
    <row r="274" spans="1:14" x14ac:dyDescent="0.35">
      <c r="A274" t="s">
        <v>691</v>
      </c>
      <c r="B274" s="1">
        <v>44849.505591041663</v>
      </c>
      <c r="C274" t="s">
        <v>692</v>
      </c>
      <c r="D274" t="s">
        <v>25</v>
      </c>
      <c r="E274" t="s">
        <v>137</v>
      </c>
      <c r="F274">
        <v>2.5</v>
      </c>
      <c r="G274">
        <v>4</v>
      </c>
      <c r="H274" t="s">
        <v>14</v>
      </c>
      <c r="I274" t="s">
        <v>40</v>
      </c>
      <c r="J274" t="s">
        <v>79</v>
      </c>
      <c r="K274">
        <f>Pqp_supermarket_data[[#This Row],[Unit_Price]]*Pqp_supermarket_data[[#This Row],[Quantity]]</f>
        <v>10</v>
      </c>
      <c r="L274" t="str">
        <f>TEXT(Pqp_supermarket_data[[#This Row],[DateTime]],"ddd")</f>
        <v>Sat</v>
      </c>
      <c r="M274" t="str">
        <f>TEXT(Pqp_supermarket_data[[#This Row],[DateTime]],"mmm")</f>
        <v>Oct</v>
      </c>
      <c r="N274" t="str">
        <f>TEXT(Pqp_supermarket_data[[#This Row],[DateTime]],"yyy")</f>
        <v>2022</v>
      </c>
    </row>
    <row r="275" spans="1:14" x14ac:dyDescent="0.35">
      <c r="A275" t="s">
        <v>693</v>
      </c>
      <c r="B275" s="1">
        <v>45150.875729942127</v>
      </c>
      <c r="C275" t="s">
        <v>694</v>
      </c>
      <c r="D275" t="s">
        <v>34</v>
      </c>
      <c r="E275" t="s">
        <v>20</v>
      </c>
      <c r="F275">
        <v>1</v>
      </c>
      <c r="G275">
        <v>8</v>
      </c>
      <c r="H275" t="s">
        <v>14</v>
      </c>
      <c r="I275" t="s">
        <v>61</v>
      </c>
      <c r="J275" t="s">
        <v>74</v>
      </c>
      <c r="K275">
        <f>Pqp_supermarket_data[[#This Row],[Unit_Price]]*Pqp_supermarket_data[[#This Row],[Quantity]]</f>
        <v>8</v>
      </c>
      <c r="L275" t="str">
        <f>TEXT(Pqp_supermarket_data[[#This Row],[DateTime]],"ddd")</f>
        <v>Sat</v>
      </c>
      <c r="M275" t="str">
        <f>TEXT(Pqp_supermarket_data[[#This Row],[DateTime]],"mmm")</f>
        <v>Aug</v>
      </c>
      <c r="N275" t="str">
        <f>TEXT(Pqp_supermarket_data[[#This Row],[DateTime]],"yyy")</f>
        <v>2023</v>
      </c>
    </row>
    <row r="276" spans="1:14" x14ac:dyDescent="0.35">
      <c r="A276" t="s">
        <v>695</v>
      </c>
      <c r="B276" s="1">
        <v>44462.297257719911</v>
      </c>
      <c r="C276" t="s">
        <v>696</v>
      </c>
      <c r="D276" t="s">
        <v>44</v>
      </c>
      <c r="E276" t="s">
        <v>137</v>
      </c>
      <c r="F276">
        <v>2.5</v>
      </c>
      <c r="G276">
        <v>6</v>
      </c>
      <c r="H276" t="s">
        <v>14</v>
      </c>
      <c r="I276" t="s">
        <v>61</v>
      </c>
      <c r="J276" t="s">
        <v>172</v>
      </c>
      <c r="K276">
        <f>Pqp_supermarket_data[[#This Row],[Unit_Price]]*Pqp_supermarket_data[[#This Row],[Quantity]]</f>
        <v>15</v>
      </c>
      <c r="L276" t="str">
        <f>TEXT(Pqp_supermarket_data[[#This Row],[DateTime]],"ddd")</f>
        <v>Thu</v>
      </c>
      <c r="M276" t="str">
        <f>TEXT(Pqp_supermarket_data[[#This Row],[DateTime]],"mmm")</f>
        <v>Sep</v>
      </c>
      <c r="N276" t="str">
        <f>TEXT(Pqp_supermarket_data[[#This Row],[DateTime]],"yyy")</f>
        <v>2021</v>
      </c>
    </row>
    <row r="277" spans="1:14" x14ac:dyDescent="0.35">
      <c r="A277" t="s">
        <v>697</v>
      </c>
      <c r="B277" s="1">
        <v>45032.979202164352</v>
      </c>
      <c r="C277" t="s">
        <v>593</v>
      </c>
      <c r="D277" t="s">
        <v>82</v>
      </c>
      <c r="E277" t="s">
        <v>70</v>
      </c>
      <c r="F277">
        <v>5</v>
      </c>
      <c r="G277">
        <v>7</v>
      </c>
      <c r="H277" t="s">
        <v>14</v>
      </c>
      <c r="I277" t="s">
        <v>61</v>
      </c>
      <c r="J277" t="s">
        <v>458</v>
      </c>
      <c r="K277">
        <f>Pqp_supermarket_data[[#This Row],[Unit_Price]]*Pqp_supermarket_data[[#This Row],[Quantity]]</f>
        <v>35</v>
      </c>
      <c r="L277" t="str">
        <f>TEXT(Pqp_supermarket_data[[#This Row],[DateTime]],"ddd")</f>
        <v>Sun</v>
      </c>
      <c r="M277" t="str">
        <f>TEXT(Pqp_supermarket_data[[#This Row],[DateTime]],"mmm")</f>
        <v>Apr</v>
      </c>
      <c r="N277" t="str">
        <f>TEXT(Pqp_supermarket_data[[#This Row],[DateTime]],"yyy")</f>
        <v>2023</v>
      </c>
    </row>
    <row r="278" spans="1:14" x14ac:dyDescent="0.35">
      <c r="A278" t="s">
        <v>698</v>
      </c>
      <c r="B278" s="1">
        <v>44769.621563275461</v>
      </c>
      <c r="C278" t="s">
        <v>699</v>
      </c>
      <c r="D278" t="s">
        <v>44</v>
      </c>
      <c r="E278" t="s">
        <v>90</v>
      </c>
      <c r="F278">
        <v>1.8</v>
      </c>
      <c r="G278">
        <v>5</v>
      </c>
      <c r="H278" t="s">
        <v>14</v>
      </c>
      <c r="I278" t="s">
        <v>40</v>
      </c>
      <c r="J278" t="s">
        <v>46</v>
      </c>
      <c r="K278">
        <f>Pqp_supermarket_data[[#This Row],[Unit_Price]]*Pqp_supermarket_data[[#This Row],[Quantity]]</f>
        <v>9</v>
      </c>
      <c r="L278" t="str">
        <f>TEXT(Pqp_supermarket_data[[#This Row],[DateTime]],"ddd")</f>
        <v>Wed</v>
      </c>
      <c r="M278" t="str">
        <f>TEXT(Pqp_supermarket_data[[#This Row],[DateTime]],"mmm")</f>
        <v>Jul</v>
      </c>
      <c r="N278" t="str">
        <f>TEXT(Pqp_supermarket_data[[#This Row],[DateTime]],"yyy")</f>
        <v>2022</v>
      </c>
    </row>
    <row r="279" spans="1:14" x14ac:dyDescent="0.35">
      <c r="A279" t="s">
        <v>700</v>
      </c>
      <c r="B279" s="1">
        <v>44917.457674398145</v>
      </c>
      <c r="C279" t="s">
        <v>701</v>
      </c>
      <c r="D279" t="s">
        <v>171</v>
      </c>
      <c r="E279" t="s">
        <v>94</v>
      </c>
      <c r="F279">
        <v>0.8</v>
      </c>
      <c r="G279">
        <v>9</v>
      </c>
      <c r="H279" t="s">
        <v>14</v>
      </c>
      <c r="I279" t="s">
        <v>61</v>
      </c>
      <c r="J279" t="s">
        <v>394</v>
      </c>
      <c r="K279">
        <f>Pqp_supermarket_data[[#This Row],[Unit_Price]]*Pqp_supermarket_data[[#This Row],[Quantity]]</f>
        <v>7.2</v>
      </c>
      <c r="L279" t="str">
        <f>TEXT(Pqp_supermarket_data[[#This Row],[DateTime]],"ddd")</f>
        <v>Thu</v>
      </c>
      <c r="M279" t="str">
        <f>TEXT(Pqp_supermarket_data[[#This Row],[DateTime]],"mmm")</f>
        <v>Dec</v>
      </c>
      <c r="N279" t="str">
        <f>TEXT(Pqp_supermarket_data[[#This Row],[DateTime]],"yyy")</f>
        <v>2022</v>
      </c>
    </row>
    <row r="280" spans="1:14" x14ac:dyDescent="0.35">
      <c r="A280" t="s">
        <v>702</v>
      </c>
      <c r="B280" s="1">
        <v>45576.462535509258</v>
      </c>
      <c r="C280" t="s">
        <v>703</v>
      </c>
      <c r="D280" t="s">
        <v>30</v>
      </c>
      <c r="E280" t="s">
        <v>57</v>
      </c>
      <c r="F280">
        <v>4.5</v>
      </c>
      <c r="G280">
        <v>5</v>
      </c>
      <c r="H280" t="s">
        <v>14</v>
      </c>
      <c r="I280" t="s">
        <v>86</v>
      </c>
      <c r="J280" t="s">
        <v>538</v>
      </c>
      <c r="K280">
        <f>Pqp_supermarket_data[[#This Row],[Unit_Price]]*Pqp_supermarket_data[[#This Row],[Quantity]]</f>
        <v>22.5</v>
      </c>
      <c r="L280" t="str">
        <f>TEXT(Pqp_supermarket_data[[#This Row],[DateTime]],"ddd")</f>
        <v>Fri</v>
      </c>
      <c r="M280" t="str">
        <f>TEXT(Pqp_supermarket_data[[#This Row],[DateTime]],"mmm")</f>
        <v>Oct</v>
      </c>
      <c r="N280" t="str">
        <f>TEXT(Pqp_supermarket_data[[#This Row],[DateTime]],"yyy")</f>
        <v>2024</v>
      </c>
    </row>
    <row r="281" spans="1:14" x14ac:dyDescent="0.35">
      <c r="A281" t="s">
        <v>704</v>
      </c>
      <c r="B281" s="1">
        <v>44914.320868842595</v>
      </c>
      <c r="C281" t="s">
        <v>705</v>
      </c>
      <c r="D281" t="s">
        <v>98</v>
      </c>
      <c r="E281" t="s">
        <v>53</v>
      </c>
      <c r="F281">
        <v>2.8</v>
      </c>
      <c r="G281">
        <v>8</v>
      </c>
      <c r="H281" t="s">
        <v>14</v>
      </c>
      <c r="I281" t="s">
        <v>40</v>
      </c>
      <c r="J281" t="s">
        <v>46</v>
      </c>
      <c r="K281">
        <f>Pqp_supermarket_data[[#This Row],[Unit_Price]]*Pqp_supermarket_data[[#This Row],[Quantity]]</f>
        <v>22.4</v>
      </c>
      <c r="L281" t="str">
        <f>TEXT(Pqp_supermarket_data[[#This Row],[DateTime]],"ddd")</f>
        <v>Mon</v>
      </c>
      <c r="M281" t="str">
        <f>TEXT(Pqp_supermarket_data[[#This Row],[DateTime]],"mmm")</f>
        <v>Dec</v>
      </c>
      <c r="N281" t="str">
        <f>TEXT(Pqp_supermarket_data[[#This Row],[DateTime]],"yyy")</f>
        <v>2022</v>
      </c>
    </row>
    <row r="282" spans="1:14" x14ac:dyDescent="0.35">
      <c r="A282" t="s">
        <v>706</v>
      </c>
      <c r="B282" s="1">
        <v>45063.749341064817</v>
      </c>
      <c r="C282" t="s">
        <v>707</v>
      </c>
      <c r="D282" t="s">
        <v>127</v>
      </c>
      <c r="E282" t="s">
        <v>137</v>
      </c>
      <c r="F282">
        <v>2.5</v>
      </c>
      <c r="G282">
        <v>2</v>
      </c>
      <c r="H282" t="s">
        <v>14</v>
      </c>
      <c r="I282" t="s">
        <v>36</v>
      </c>
      <c r="J282" t="s">
        <v>71</v>
      </c>
      <c r="K282">
        <f>Pqp_supermarket_data[[#This Row],[Unit_Price]]*Pqp_supermarket_data[[#This Row],[Quantity]]</f>
        <v>5</v>
      </c>
      <c r="L282" t="str">
        <f>TEXT(Pqp_supermarket_data[[#This Row],[DateTime]],"ddd")</f>
        <v>Wed</v>
      </c>
      <c r="M282" t="str">
        <f>TEXT(Pqp_supermarket_data[[#This Row],[DateTime]],"mmm")</f>
        <v>May</v>
      </c>
      <c r="N282" t="str">
        <f>TEXT(Pqp_supermarket_data[[#This Row],[DateTime]],"yyy")</f>
        <v>2023</v>
      </c>
    </row>
    <row r="283" spans="1:14" x14ac:dyDescent="0.35">
      <c r="A283" t="s">
        <v>708</v>
      </c>
      <c r="B283" s="1">
        <v>44955.079202175926</v>
      </c>
      <c r="C283" t="s">
        <v>709</v>
      </c>
      <c r="D283" t="s">
        <v>226</v>
      </c>
      <c r="E283" t="s">
        <v>94</v>
      </c>
      <c r="F283">
        <v>0.8</v>
      </c>
      <c r="G283">
        <v>1</v>
      </c>
      <c r="H283" t="s">
        <v>14</v>
      </c>
      <c r="I283" t="s">
        <v>15</v>
      </c>
      <c r="J283" t="s">
        <v>538</v>
      </c>
      <c r="K283">
        <f>Pqp_supermarket_data[[#This Row],[Unit_Price]]*Pqp_supermarket_data[[#This Row],[Quantity]]</f>
        <v>0.8</v>
      </c>
      <c r="L283" t="str">
        <f>TEXT(Pqp_supermarket_data[[#This Row],[DateTime]],"ddd")</f>
        <v>Sun</v>
      </c>
      <c r="M283" t="str">
        <f>TEXT(Pqp_supermarket_data[[#This Row],[DateTime]],"mmm")</f>
        <v>Jan</v>
      </c>
      <c r="N283" t="str">
        <f>TEXT(Pqp_supermarket_data[[#This Row],[DateTime]],"yyy")</f>
        <v>2023</v>
      </c>
    </row>
    <row r="284" spans="1:14" x14ac:dyDescent="0.35">
      <c r="A284" t="s">
        <v>710</v>
      </c>
      <c r="B284" s="1">
        <v>44397.975035520831</v>
      </c>
      <c r="C284" t="s">
        <v>711</v>
      </c>
      <c r="D284" t="s">
        <v>69</v>
      </c>
      <c r="E284" t="s">
        <v>65</v>
      </c>
      <c r="F284">
        <v>3</v>
      </c>
      <c r="G284">
        <v>4</v>
      </c>
      <c r="H284" t="s">
        <v>14</v>
      </c>
      <c r="I284" t="s">
        <v>36</v>
      </c>
      <c r="J284" t="s">
        <v>116</v>
      </c>
      <c r="K284">
        <f>Pqp_supermarket_data[[#This Row],[Unit_Price]]*Pqp_supermarket_data[[#This Row],[Quantity]]</f>
        <v>12</v>
      </c>
      <c r="L284" t="str">
        <f>TEXT(Pqp_supermarket_data[[#This Row],[DateTime]],"ddd")</f>
        <v>Tue</v>
      </c>
      <c r="M284" t="str">
        <f>TEXT(Pqp_supermarket_data[[#This Row],[DateTime]],"mmm")</f>
        <v>Jul</v>
      </c>
      <c r="N284" t="str">
        <f>TEXT(Pqp_supermarket_data[[#This Row],[DateTime]],"yyy")</f>
        <v>2021</v>
      </c>
    </row>
    <row r="285" spans="1:14" x14ac:dyDescent="0.35">
      <c r="A285" t="s">
        <v>712</v>
      </c>
      <c r="B285" s="1">
        <v>45045.034757743058</v>
      </c>
      <c r="C285" t="s">
        <v>713</v>
      </c>
      <c r="D285" t="s">
        <v>208</v>
      </c>
      <c r="E285" t="s">
        <v>45</v>
      </c>
      <c r="F285">
        <v>1</v>
      </c>
      <c r="G285">
        <v>3</v>
      </c>
      <c r="H285" t="s">
        <v>14</v>
      </c>
      <c r="I285" t="s">
        <v>36</v>
      </c>
      <c r="J285" t="s">
        <v>31</v>
      </c>
      <c r="K285">
        <f>Pqp_supermarket_data[[#This Row],[Unit_Price]]*Pqp_supermarket_data[[#This Row],[Quantity]]</f>
        <v>3</v>
      </c>
      <c r="L285" t="str">
        <f>TEXT(Pqp_supermarket_data[[#This Row],[DateTime]],"ddd")</f>
        <v>Sat</v>
      </c>
      <c r="M285" t="str">
        <f>TEXT(Pqp_supermarket_data[[#This Row],[DateTime]],"mmm")</f>
        <v>Apr</v>
      </c>
      <c r="N285" t="str">
        <f>TEXT(Pqp_supermarket_data[[#This Row],[DateTime]],"yyy")</f>
        <v>2023</v>
      </c>
    </row>
    <row r="286" spans="1:14" x14ac:dyDescent="0.35">
      <c r="A286" t="s">
        <v>714</v>
      </c>
      <c r="B286" s="1">
        <v>45027.081979965275</v>
      </c>
      <c r="C286" t="s">
        <v>715</v>
      </c>
      <c r="D286" t="s">
        <v>226</v>
      </c>
      <c r="E286" t="s">
        <v>65</v>
      </c>
      <c r="F286">
        <v>3</v>
      </c>
      <c r="G286">
        <v>10</v>
      </c>
      <c r="H286" t="s">
        <v>14</v>
      </c>
      <c r="I286" t="s">
        <v>15</v>
      </c>
      <c r="J286" t="s">
        <v>716</v>
      </c>
      <c r="K286">
        <f>Pqp_supermarket_data[[#This Row],[Unit_Price]]*Pqp_supermarket_data[[#This Row],[Quantity]]</f>
        <v>30</v>
      </c>
      <c r="L286" t="str">
        <f>TEXT(Pqp_supermarket_data[[#This Row],[DateTime]],"ddd")</f>
        <v>Tue</v>
      </c>
      <c r="M286" t="str">
        <f>TEXT(Pqp_supermarket_data[[#This Row],[DateTime]],"mmm")</f>
        <v>Apr</v>
      </c>
      <c r="N286" t="str">
        <f>TEXT(Pqp_supermarket_data[[#This Row],[DateTime]],"yyy")</f>
        <v>2023</v>
      </c>
    </row>
    <row r="287" spans="1:14" x14ac:dyDescent="0.35">
      <c r="A287" t="s">
        <v>717</v>
      </c>
      <c r="B287" s="1">
        <v>45035.045868854169</v>
      </c>
      <c r="C287" t="s">
        <v>718</v>
      </c>
      <c r="D287" t="s">
        <v>30</v>
      </c>
      <c r="E287" t="s">
        <v>13</v>
      </c>
      <c r="F287">
        <v>3.1</v>
      </c>
      <c r="G287">
        <v>4</v>
      </c>
      <c r="H287" t="s">
        <v>14</v>
      </c>
      <c r="I287" t="s">
        <v>40</v>
      </c>
      <c r="J287" t="s">
        <v>27</v>
      </c>
      <c r="K287">
        <f>Pqp_supermarket_data[[#This Row],[Unit_Price]]*Pqp_supermarket_data[[#This Row],[Quantity]]</f>
        <v>12.4</v>
      </c>
      <c r="L287" t="str">
        <f>TEXT(Pqp_supermarket_data[[#This Row],[DateTime]],"ddd")</f>
        <v>Wed</v>
      </c>
      <c r="M287" t="str">
        <f>TEXT(Pqp_supermarket_data[[#This Row],[DateTime]],"mmm")</f>
        <v>Apr</v>
      </c>
      <c r="N287" t="str">
        <f>TEXT(Pqp_supermarket_data[[#This Row],[DateTime]],"yyy")</f>
        <v>2023</v>
      </c>
    </row>
    <row r="288" spans="1:14" x14ac:dyDescent="0.35">
      <c r="A288" t="s">
        <v>719</v>
      </c>
      <c r="B288" s="1">
        <v>45404.911841076391</v>
      </c>
      <c r="C288" t="s">
        <v>720</v>
      </c>
      <c r="D288" t="s">
        <v>82</v>
      </c>
      <c r="E288" t="s">
        <v>20</v>
      </c>
      <c r="F288">
        <v>1</v>
      </c>
      <c r="G288">
        <v>2</v>
      </c>
      <c r="H288" t="s">
        <v>14</v>
      </c>
      <c r="I288" t="s">
        <v>61</v>
      </c>
      <c r="J288" t="s">
        <v>267</v>
      </c>
      <c r="K288">
        <f>Pqp_supermarket_data[[#This Row],[Unit_Price]]*Pqp_supermarket_data[[#This Row],[Quantity]]</f>
        <v>2</v>
      </c>
      <c r="L288" t="str">
        <f>TEXT(Pqp_supermarket_data[[#This Row],[DateTime]],"ddd")</f>
        <v>Mon</v>
      </c>
      <c r="M288" t="str">
        <f>TEXT(Pqp_supermarket_data[[#This Row],[DateTime]],"mmm")</f>
        <v>Apr</v>
      </c>
      <c r="N288" t="str">
        <f>TEXT(Pqp_supermarket_data[[#This Row],[DateTime]],"yyy")</f>
        <v>2024</v>
      </c>
    </row>
    <row r="289" spans="1:14" x14ac:dyDescent="0.35">
      <c r="A289" t="s">
        <v>721</v>
      </c>
      <c r="B289" s="1">
        <v>45252.623646643522</v>
      </c>
      <c r="C289" t="s">
        <v>722</v>
      </c>
      <c r="D289" t="s">
        <v>25</v>
      </c>
      <c r="E289" t="s">
        <v>45</v>
      </c>
      <c r="F289">
        <v>1</v>
      </c>
      <c r="G289">
        <v>5</v>
      </c>
      <c r="H289" t="s">
        <v>14</v>
      </c>
      <c r="I289" t="s">
        <v>36</v>
      </c>
      <c r="J289" t="s">
        <v>723</v>
      </c>
      <c r="K289">
        <f>Pqp_supermarket_data[[#This Row],[Unit_Price]]*Pqp_supermarket_data[[#This Row],[Quantity]]</f>
        <v>5</v>
      </c>
      <c r="L289" t="str">
        <f>TEXT(Pqp_supermarket_data[[#This Row],[DateTime]],"ddd")</f>
        <v>Wed</v>
      </c>
      <c r="M289" t="str">
        <f>TEXT(Pqp_supermarket_data[[#This Row],[DateTime]],"mmm")</f>
        <v>Nov</v>
      </c>
      <c r="N289" t="str">
        <f>TEXT(Pqp_supermarket_data[[#This Row],[DateTime]],"yyy")</f>
        <v>2023</v>
      </c>
    </row>
    <row r="290" spans="1:14" x14ac:dyDescent="0.35">
      <c r="A290" t="s">
        <v>724</v>
      </c>
      <c r="B290" s="1">
        <v>45377.429202199077</v>
      </c>
      <c r="C290" t="s">
        <v>725</v>
      </c>
      <c r="D290" t="s">
        <v>34</v>
      </c>
      <c r="E290" t="s">
        <v>65</v>
      </c>
      <c r="F290">
        <v>3</v>
      </c>
      <c r="G290">
        <v>8</v>
      </c>
      <c r="H290" t="s">
        <v>14</v>
      </c>
      <c r="I290" t="s">
        <v>15</v>
      </c>
      <c r="J290" t="s">
        <v>541</v>
      </c>
      <c r="K290">
        <f>Pqp_supermarket_data[[#This Row],[Unit_Price]]*Pqp_supermarket_data[[#This Row],[Quantity]]</f>
        <v>24</v>
      </c>
      <c r="L290" t="str">
        <f>TEXT(Pqp_supermarket_data[[#This Row],[DateTime]],"ddd")</f>
        <v>Tue</v>
      </c>
      <c r="M290" t="str">
        <f>TEXT(Pqp_supermarket_data[[#This Row],[DateTime]],"mmm")</f>
        <v>Mar</v>
      </c>
      <c r="N290" t="str">
        <f>TEXT(Pqp_supermarket_data[[#This Row],[DateTime]],"yyy")</f>
        <v>2024</v>
      </c>
    </row>
    <row r="291" spans="1:14" x14ac:dyDescent="0.35">
      <c r="A291" t="s">
        <v>726</v>
      </c>
      <c r="B291" s="1">
        <v>44875.441007754627</v>
      </c>
      <c r="C291" t="s">
        <v>727</v>
      </c>
      <c r="D291" t="s">
        <v>30</v>
      </c>
      <c r="E291" t="s">
        <v>39</v>
      </c>
      <c r="F291">
        <v>3.2</v>
      </c>
      <c r="G291">
        <v>6</v>
      </c>
      <c r="H291" t="s">
        <v>14</v>
      </c>
      <c r="I291" t="s">
        <v>36</v>
      </c>
      <c r="J291" t="s">
        <v>95</v>
      </c>
      <c r="K291">
        <f>Pqp_supermarket_data[[#This Row],[Unit_Price]]*Pqp_supermarket_data[[#This Row],[Quantity]]</f>
        <v>19.200000000000003</v>
      </c>
      <c r="L291" t="str">
        <f>TEXT(Pqp_supermarket_data[[#This Row],[DateTime]],"ddd")</f>
        <v>Thu</v>
      </c>
      <c r="M291" t="str">
        <f>TEXT(Pqp_supermarket_data[[#This Row],[DateTime]],"mmm")</f>
        <v>Nov</v>
      </c>
      <c r="N291" t="str">
        <f>TEXT(Pqp_supermarket_data[[#This Row],[DateTime]],"yyy")</f>
        <v>2022</v>
      </c>
    </row>
    <row r="292" spans="1:14" x14ac:dyDescent="0.35">
      <c r="A292" t="s">
        <v>728</v>
      </c>
      <c r="B292" s="1">
        <v>44659.838924421296</v>
      </c>
      <c r="C292" t="s">
        <v>729</v>
      </c>
      <c r="D292" t="s">
        <v>19</v>
      </c>
      <c r="E292" t="s">
        <v>57</v>
      </c>
      <c r="F292">
        <v>4.5</v>
      </c>
      <c r="G292">
        <v>3</v>
      </c>
      <c r="H292" t="s">
        <v>14</v>
      </c>
      <c r="I292" t="s">
        <v>36</v>
      </c>
      <c r="J292" t="s">
        <v>54</v>
      </c>
      <c r="K292">
        <f>Pqp_supermarket_data[[#This Row],[Unit_Price]]*Pqp_supermarket_data[[#This Row],[Quantity]]</f>
        <v>13.5</v>
      </c>
      <c r="L292" t="str">
        <f>TEXT(Pqp_supermarket_data[[#This Row],[DateTime]],"ddd")</f>
        <v>Fri</v>
      </c>
      <c r="M292" t="str">
        <f>TEXT(Pqp_supermarket_data[[#This Row],[DateTime]],"mmm")</f>
        <v>Apr</v>
      </c>
      <c r="N292" t="str">
        <f>TEXT(Pqp_supermarket_data[[#This Row],[DateTime]],"yyy")</f>
        <v>2022</v>
      </c>
    </row>
    <row r="293" spans="1:14" x14ac:dyDescent="0.35">
      <c r="A293" t="s">
        <v>730</v>
      </c>
      <c r="B293" s="1">
        <v>44351.718785543984</v>
      </c>
      <c r="C293" t="s">
        <v>731</v>
      </c>
      <c r="D293" t="s">
        <v>226</v>
      </c>
      <c r="E293" t="s">
        <v>53</v>
      </c>
      <c r="F293">
        <v>2.8</v>
      </c>
      <c r="G293">
        <v>9</v>
      </c>
      <c r="H293" t="s">
        <v>14</v>
      </c>
      <c r="I293" t="s">
        <v>15</v>
      </c>
      <c r="J293" t="s">
        <v>172</v>
      </c>
      <c r="K293">
        <f>Pqp_supermarket_data[[#This Row],[Unit_Price]]*Pqp_supermarket_data[[#This Row],[Quantity]]</f>
        <v>25.2</v>
      </c>
      <c r="L293" t="str">
        <f>TEXT(Pqp_supermarket_data[[#This Row],[DateTime]],"ddd")</f>
        <v>Fri</v>
      </c>
      <c r="M293" t="str">
        <f>TEXT(Pqp_supermarket_data[[#This Row],[DateTime]],"mmm")</f>
        <v>Jun</v>
      </c>
      <c r="N293" t="str">
        <f>TEXT(Pqp_supermarket_data[[#This Row],[DateTime]],"yyy")</f>
        <v>2021</v>
      </c>
    </row>
    <row r="294" spans="1:14" x14ac:dyDescent="0.35">
      <c r="A294" t="s">
        <v>732</v>
      </c>
      <c r="B294" s="1">
        <v>45375.382674432869</v>
      </c>
      <c r="C294" t="s">
        <v>733</v>
      </c>
      <c r="D294" t="s">
        <v>226</v>
      </c>
      <c r="E294" t="s">
        <v>115</v>
      </c>
      <c r="F294">
        <v>1.5</v>
      </c>
      <c r="G294">
        <v>1</v>
      </c>
      <c r="H294" t="s">
        <v>14</v>
      </c>
      <c r="I294" t="s">
        <v>61</v>
      </c>
      <c r="J294" t="s">
        <v>153</v>
      </c>
      <c r="K294">
        <f>Pqp_supermarket_data[[#This Row],[Unit_Price]]*Pqp_supermarket_data[[#This Row],[Quantity]]</f>
        <v>1.5</v>
      </c>
      <c r="L294" t="str">
        <f>TEXT(Pqp_supermarket_data[[#This Row],[DateTime]],"ddd")</f>
        <v>Sun</v>
      </c>
      <c r="M294" t="str">
        <f>TEXT(Pqp_supermarket_data[[#This Row],[DateTime]],"mmm")</f>
        <v>Mar</v>
      </c>
      <c r="N294" t="str">
        <f>TEXT(Pqp_supermarket_data[[#This Row],[DateTime]],"yyy")</f>
        <v>2024</v>
      </c>
    </row>
    <row r="295" spans="1:14" x14ac:dyDescent="0.35">
      <c r="A295" t="s">
        <v>734</v>
      </c>
      <c r="B295" s="1">
        <v>44614.08128554398</v>
      </c>
      <c r="C295" t="s">
        <v>735</v>
      </c>
      <c r="D295" t="s">
        <v>226</v>
      </c>
      <c r="E295" t="s">
        <v>20</v>
      </c>
      <c r="F295">
        <v>1</v>
      </c>
      <c r="G295">
        <v>3</v>
      </c>
      <c r="H295" t="s">
        <v>14</v>
      </c>
      <c r="I295" t="s">
        <v>21</v>
      </c>
      <c r="J295" t="s">
        <v>451</v>
      </c>
      <c r="K295">
        <f>Pqp_supermarket_data[[#This Row],[Unit_Price]]*Pqp_supermarket_data[[#This Row],[Quantity]]</f>
        <v>3</v>
      </c>
      <c r="L295" t="str">
        <f>TEXT(Pqp_supermarket_data[[#This Row],[DateTime]],"ddd")</f>
        <v>Tue</v>
      </c>
      <c r="M295" t="str">
        <f>TEXT(Pqp_supermarket_data[[#This Row],[DateTime]],"mmm")</f>
        <v>Feb</v>
      </c>
      <c r="N295" t="str">
        <f>TEXT(Pqp_supermarket_data[[#This Row],[DateTime]],"yyy")</f>
        <v>2022</v>
      </c>
    </row>
    <row r="296" spans="1:14" x14ac:dyDescent="0.35">
      <c r="A296" t="s">
        <v>736</v>
      </c>
      <c r="B296" s="1">
        <v>45652.167396655095</v>
      </c>
      <c r="C296" t="s">
        <v>737</v>
      </c>
      <c r="D296" t="s">
        <v>12</v>
      </c>
      <c r="E296" t="s">
        <v>115</v>
      </c>
      <c r="F296">
        <v>1.5</v>
      </c>
      <c r="G296">
        <v>9</v>
      </c>
      <c r="H296" t="s">
        <v>14</v>
      </c>
      <c r="I296" t="s">
        <v>86</v>
      </c>
      <c r="J296" t="s">
        <v>426</v>
      </c>
      <c r="K296">
        <f>Pqp_supermarket_data[[#This Row],[Unit_Price]]*Pqp_supermarket_data[[#This Row],[Quantity]]</f>
        <v>13.5</v>
      </c>
      <c r="L296" t="str">
        <f>TEXT(Pqp_supermarket_data[[#This Row],[DateTime]],"ddd")</f>
        <v>Thu</v>
      </c>
      <c r="M296" t="str">
        <f>TEXT(Pqp_supermarket_data[[#This Row],[DateTime]],"mmm")</f>
        <v>Dec</v>
      </c>
      <c r="N296" t="str">
        <f>TEXT(Pqp_supermarket_data[[#This Row],[DateTime]],"yyy")</f>
        <v>2024</v>
      </c>
    </row>
    <row r="297" spans="1:14" x14ac:dyDescent="0.35">
      <c r="A297" t="s">
        <v>738</v>
      </c>
      <c r="B297" s="1">
        <v>44947.806979988425</v>
      </c>
      <c r="C297" t="s">
        <v>739</v>
      </c>
      <c r="D297" t="s">
        <v>69</v>
      </c>
      <c r="E297" t="s">
        <v>39</v>
      </c>
      <c r="F297">
        <v>3.2</v>
      </c>
      <c r="G297">
        <v>2</v>
      </c>
      <c r="H297" t="s">
        <v>14</v>
      </c>
      <c r="I297" t="s">
        <v>86</v>
      </c>
      <c r="J297" t="s">
        <v>311</v>
      </c>
      <c r="K297">
        <f>Pqp_supermarket_data[[#This Row],[Unit_Price]]*Pqp_supermarket_data[[#This Row],[Quantity]]</f>
        <v>6.4</v>
      </c>
      <c r="L297" t="str">
        <f>TEXT(Pqp_supermarket_data[[#This Row],[DateTime]],"ddd")</f>
        <v>Sat</v>
      </c>
      <c r="M297" t="str">
        <f>TEXT(Pqp_supermarket_data[[#This Row],[DateTime]],"mmm")</f>
        <v>Jan</v>
      </c>
      <c r="N297" t="str">
        <f>TEXT(Pqp_supermarket_data[[#This Row],[DateTime]],"yyy")</f>
        <v>2023</v>
      </c>
    </row>
    <row r="298" spans="1:14" x14ac:dyDescent="0.35">
      <c r="A298" t="s">
        <v>740</v>
      </c>
      <c r="B298" s="1">
        <v>44393.877813333333</v>
      </c>
      <c r="C298" t="s">
        <v>741</v>
      </c>
      <c r="D298" t="s">
        <v>69</v>
      </c>
      <c r="E298" t="s">
        <v>20</v>
      </c>
      <c r="F298">
        <v>1</v>
      </c>
      <c r="G298">
        <v>10</v>
      </c>
      <c r="H298" t="s">
        <v>14</v>
      </c>
      <c r="I298" t="s">
        <v>15</v>
      </c>
      <c r="J298" t="s">
        <v>426</v>
      </c>
      <c r="K298">
        <f>Pqp_supermarket_data[[#This Row],[Unit_Price]]*Pqp_supermarket_data[[#This Row],[Quantity]]</f>
        <v>10</v>
      </c>
      <c r="L298" t="str">
        <f>TEXT(Pqp_supermarket_data[[#This Row],[DateTime]],"ddd")</f>
        <v>Fri</v>
      </c>
      <c r="M298" t="str">
        <f>TEXT(Pqp_supermarket_data[[#This Row],[DateTime]],"mmm")</f>
        <v>Jul</v>
      </c>
      <c r="N298" t="str">
        <f>TEXT(Pqp_supermarket_data[[#This Row],[DateTime]],"yyy")</f>
        <v>2021</v>
      </c>
    </row>
    <row r="299" spans="1:14" x14ac:dyDescent="0.35">
      <c r="A299" t="s">
        <v>742</v>
      </c>
      <c r="B299" s="1">
        <v>45521.995868888887</v>
      </c>
      <c r="C299" t="s">
        <v>743</v>
      </c>
      <c r="D299" t="s">
        <v>19</v>
      </c>
      <c r="E299" t="s">
        <v>137</v>
      </c>
      <c r="F299">
        <v>2.5</v>
      </c>
      <c r="G299">
        <v>2</v>
      </c>
      <c r="H299" t="s">
        <v>14</v>
      </c>
      <c r="I299" t="s">
        <v>21</v>
      </c>
      <c r="J299" t="s">
        <v>744</v>
      </c>
      <c r="K299">
        <f>Pqp_supermarket_data[[#This Row],[Unit_Price]]*Pqp_supermarket_data[[#This Row],[Quantity]]</f>
        <v>5</v>
      </c>
      <c r="L299" t="str">
        <f>TEXT(Pqp_supermarket_data[[#This Row],[DateTime]],"ddd")</f>
        <v>Sat</v>
      </c>
      <c r="M299" t="str">
        <f>TEXT(Pqp_supermarket_data[[#This Row],[DateTime]],"mmm")</f>
        <v>Aug</v>
      </c>
      <c r="N299" t="str">
        <f>TEXT(Pqp_supermarket_data[[#This Row],[DateTime]],"yyy")</f>
        <v>2024</v>
      </c>
    </row>
    <row r="300" spans="1:14" x14ac:dyDescent="0.35">
      <c r="A300" t="s">
        <v>745</v>
      </c>
      <c r="B300" s="1">
        <v>45164.34448</v>
      </c>
      <c r="C300" t="s">
        <v>746</v>
      </c>
      <c r="D300" t="s">
        <v>44</v>
      </c>
      <c r="E300" t="s">
        <v>26</v>
      </c>
      <c r="F300">
        <v>2.5</v>
      </c>
      <c r="G300">
        <v>6</v>
      </c>
      <c r="H300" t="s">
        <v>14</v>
      </c>
      <c r="I300" t="s">
        <v>21</v>
      </c>
      <c r="J300" t="s">
        <v>429</v>
      </c>
      <c r="K300">
        <f>Pqp_supermarket_data[[#This Row],[Unit_Price]]*Pqp_supermarket_data[[#This Row],[Quantity]]</f>
        <v>15</v>
      </c>
      <c r="L300" t="str">
        <f>TEXT(Pqp_supermarket_data[[#This Row],[DateTime]],"ddd")</f>
        <v>Sat</v>
      </c>
      <c r="M300" t="str">
        <f>TEXT(Pqp_supermarket_data[[#This Row],[DateTime]],"mmm")</f>
        <v>Aug</v>
      </c>
      <c r="N300" t="str">
        <f>TEXT(Pqp_supermarket_data[[#This Row],[DateTime]],"yyy")</f>
        <v>2023</v>
      </c>
    </row>
    <row r="301" spans="1:14" x14ac:dyDescent="0.35">
      <c r="A301" t="s">
        <v>747</v>
      </c>
      <c r="B301" s="1">
        <v>45625.218091122682</v>
      </c>
      <c r="C301" t="s">
        <v>748</v>
      </c>
      <c r="D301" t="s">
        <v>30</v>
      </c>
      <c r="E301" t="s">
        <v>20</v>
      </c>
      <c r="F301">
        <v>1</v>
      </c>
      <c r="G301">
        <v>5</v>
      </c>
      <c r="H301" t="s">
        <v>14</v>
      </c>
      <c r="I301" t="s">
        <v>15</v>
      </c>
      <c r="J301" t="s">
        <v>134</v>
      </c>
      <c r="K301">
        <f>Pqp_supermarket_data[[#This Row],[Unit_Price]]*Pqp_supermarket_data[[#This Row],[Quantity]]</f>
        <v>5</v>
      </c>
      <c r="L301" t="str">
        <f>TEXT(Pqp_supermarket_data[[#This Row],[DateTime]],"ddd")</f>
        <v>Fri</v>
      </c>
      <c r="M301" t="str">
        <f>TEXT(Pqp_supermarket_data[[#This Row],[DateTime]],"mmm")</f>
        <v>Nov</v>
      </c>
      <c r="N301" t="str">
        <f>TEXT(Pqp_supermarket_data[[#This Row],[DateTime]],"yyy")</f>
        <v>2024</v>
      </c>
    </row>
    <row r="302" spans="1:14" x14ac:dyDescent="0.35">
      <c r="A302" t="s">
        <v>749</v>
      </c>
      <c r="B302" s="1">
        <v>45165.744480011577</v>
      </c>
      <c r="C302" t="s">
        <v>750</v>
      </c>
      <c r="D302" t="s">
        <v>77</v>
      </c>
      <c r="E302" t="s">
        <v>90</v>
      </c>
      <c r="F302">
        <v>1.8</v>
      </c>
      <c r="G302">
        <v>3</v>
      </c>
      <c r="H302" t="s">
        <v>14</v>
      </c>
      <c r="I302" t="s">
        <v>21</v>
      </c>
      <c r="J302" t="s">
        <v>87</v>
      </c>
      <c r="K302">
        <f>Pqp_supermarket_data[[#This Row],[Unit_Price]]*Pqp_supermarket_data[[#This Row],[Quantity]]</f>
        <v>5.4</v>
      </c>
      <c r="L302" t="str">
        <f>TEXT(Pqp_supermarket_data[[#This Row],[DateTime]],"ddd")</f>
        <v>Sun</v>
      </c>
      <c r="M302" t="str">
        <f>TEXT(Pqp_supermarket_data[[#This Row],[DateTime]],"mmm")</f>
        <v>Aug</v>
      </c>
      <c r="N302" t="str">
        <f>TEXT(Pqp_supermarket_data[[#This Row],[DateTime]],"yyy")</f>
        <v>2023</v>
      </c>
    </row>
    <row r="303" spans="1:14" x14ac:dyDescent="0.35">
      <c r="A303" t="s">
        <v>751</v>
      </c>
      <c r="B303" s="1">
        <v>45471.322257789354</v>
      </c>
      <c r="C303" t="s">
        <v>752</v>
      </c>
      <c r="D303" t="s">
        <v>171</v>
      </c>
      <c r="E303" t="s">
        <v>45</v>
      </c>
      <c r="F303">
        <v>1</v>
      </c>
      <c r="G303">
        <v>6</v>
      </c>
      <c r="H303" t="s">
        <v>14</v>
      </c>
      <c r="I303" t="s">
        <v>21</v>
      </c>
      <c r="J303" t="s">
        <v>436</v>
      </c>
      <c r="K303">
        <f>Pqp_supermarket_data[[#This Row],[Unit_Price]]*Pqp_supermarket_data[[#This Row],[Quantity]]</f>
        <v>6</v>
      </c>
      <c r="L303" t="str">
        <f>TEXT(Pqp_supermarket_data[[#This Row],[DateTime]],"ddd")</f>
        <v>Fri</v>
      </c>
      <c r="M303" t="str">
        <f>TEXT(Pqp_supermarket_data[[#This Row],[DateTime]],"mmm")</f>
        <v>Jun</v>
      </c>
      <c r="N303" t="str">
        <f>TEXT(Pqp_supermarket_data[[#This Row],[DateTime]],"yyy")</f>
        <v>2024</v>
      </c>
    </row>
    <row r="304" spans="1:14" x14ac:dyDescent="0.35">
      <c r="A304" t="s">
        <v>753</v>
      </c>
      <c r="B304" s="1">
        <v>45728.475035567128</v>
      </c>
      <c r="C304" t="s">
        <v>754</v>
      </c>
      <c r="D304" t="s">
        <v>30</v>
      </c>
      <c r="E304" t="s">
        <v>119</v>
      </c>
      <c r="F304">
        <v>4</v>
      </c>
      <c r="G304">
        <v>5</v>
      </c>
      <c r="H304" t="s">
        <v>14</v>
      </c>
      <c r="I304" t="s">
        <v>36</v>
      </c>
      <c r="J304" t="s">
        <v>212</v>
      </c>
      <c r="K304">
        <f>Pqp_supermarket_data[[#This Row],[Unit_Price]]*Pqp_supermarket_data[[#This Row],[Quantity]]</f>
        <v>20</v>
      </c>
      <c r="L304" t="str">
        <f>TEXT(Pqp_supermarket_data[[#This Row],[DateTime]],"ddd")</f>
        <v>Wed</v>
      </c>
      <c r="M304" t="str">
        <f>TEXT(Pqp_supermarket_data[[#This Row],[DateTime]],"mmm")</f>
        <v>Mar</v>
      </c>
      <c r="N304" t="str">
        <f>TEXT(Pqp_supermarket_data[[#This Row],[DateTime]],"yyy")</f>
        <v>2025</v>
      </c>
    </row>
    <row r="305" spans="1:14" x14ac:dyDescent="0.35">
      <c r="A305" t="s">
        <v>755</v>
      </c>
      <c r="B305" s="1">
        <v>44614.991007800927</v>
      </c>
      <c r="C305" t="s">
        <v>756</v>
      </c>
      <c r="D305" t="s">
        <v>30</v>
      </c>
      <c r="E305" t="s">
        <v>35</v>
      </c>
      <c r="F305">
        <v>1.2</v>
      </c>
      <c r="G305">
        <v>8</v>
      </c>
      <c r="H305" t="s">
        <v>14</v>
      </c>
      <c r="I305" t="s">
        <v>36</v>
      </c>
      <c r="J305" t="s">
        <v>112</v>
      </c>
      <c r="K305">
        <f>Pqp_supermarket_data[[#This Row],[Unit_Price]]*Pqp_supermarket_data[[#This Row],[Quantity]]</f>
        <v>9.6</v>
      </c>
      <c r="L305" t="str">
        <f>TEXT(Pqp_supermarket_data[[#This Row],[DateTime]],"ddd")</f>
        <v>Tue</v>
      </c>
      <c r="M305" t="str">
        <f>TEXT(Pqp_supermarket_data[[#This Row],[DateTime]],"mmm")</f>
        <v>Feb</v>
      </c>
      <c r="N305" t="str">
        <f>TEXT(Pqp_supermarket_data[[#This Row],[DateTime]],"yyy")</f>
        <v>2022</v>
      </c>
    </row>
    <row r="306" spans="1:14" x14ac:dyDescent="0.35">
      <c r="A306" t="s">
        <v>757</v>
      </c>
      <c r="B306" s="1">
        <v>45192.713230023146</v>
      </c>
      <c r="C306" t="s">
        <v>758</v>
      </c>
      <c r="D306" t="s">
        <v>98</v>
      </c>
      <c r="E306" t="s">
        <v>26</v>
      </c>
      <c r="F306">
        <v>2.5</v>
      </c>
      <c r="G306">
        <v>7</v>
      </c>
      <c r="H306" t="s">
        <v>14</v>
      </c>
      <c r="I306" t="s">
        <v>61</v>
      </c>
      <c r="J306" t="s">
        <v>223</v>
      </c>
      <c r="K306">
        <f>Pqp_supermarket_data[[#This Row],[Unit_Price]]*Pqp_supermarket_data[[#This Row],[Quantity]]</f>
        <v>17.5</v>
      </c>
      <c r="L306" t="str">
        <f>TEXT(Pqp_supermarket_data[[#This Row],[DateTime]],"ddd")</f>
        <v>Sat</v>
      </c>
      <c r="M306" t="str">
        <f>TEXT(Pqp_supermarket_data[[#This Row],[DateTime]],"mmm")</f>
        <v>Sep</v>
      </c>
      <c r="N306" t="str">
        <f>TEXT(Pqp_supermarket_data[[#This Row],[DateTime]],"yyy")</f>
        <v>2023</v>
      </c>
    </row>
    <row r="307" spans="1:14" x14ac:dyDescent="0.35">
      <c r="A307" t="s">
        <v>759</v>
      </c>
      <c r="B307" s="1">
        <v>45636.641007800928</v>
      </c>
      <c r="C307" t="s">
        <v>760</v>
      </c>
      <c r="D307" t="s">
        <v>69</v>
      </c>
      <c r="E307" t="s">
        <v>70</v>
      </c>
      <c r="F307">
        <v>5</v>
      </c>
      <c r="G307">
        <v>7</v>
      </c>
      <c r="H307" t="s">
        <v>14</v>
      </c>
      <c r="I307" t="s">
        <v>86</v>
      </c>
      <c r="J307" t="s">
        <v>311</v>
      </c>
      <c r="K307">
        <f>Pqp_supermarket_data[[#This Row],[Unit_Price]]*Pqp_supermarket_data[[#This Row],[Quantity]]</f>
        <v>35</v>
      </c>
      <c r="L307" t="str">
        <f>TEXT(Pqp_supermarket_data[[#This Row],[DateTime]],"ddd")</f>
        <v>Tue</v>
      </c>
      <c r="M307" t="str">
        <f>TEXT(Pqp_supermarket_data[[#This Row],[DateTime]],"mmm")</f>
        <v>Dec</v>
      </c>
      <c r="N307" t="str">
        <f>TEXT(Pqp_supermarket_data[[#This Row],[DateTime]],"yyy")</f>
        <v>2024</v>
      </c>
    </row>
    <row r="308" spans="1:14" x14ac:dyDescent="0.35">
      <c r="A308" t="s">
        <v>761</v>
      </c>
      <c r="B308" s="1">
        <v>45369.116702256943</v>
      </c>
      <c r="C308" t="s">
        <v>762</v>
      </c>
      <c r="D308" t="s">
        <v>69</v>
      </c>
      <c r="E308" t="s">
        <v>39</v>
      </c>
      <c r="F308">
        <v>3.2</v>
      </c>
      <c r="G308">
        <v>6</v>
      </c>
      <c r="H308" t="s">
        <v>14</v>
      </c>
      <c r="I308" t="s">
        <v>36</v>
      </c>
      <c r="J308" t="s">
        <v>561</v>
      </c>
      <c r="K308">
        <f>Pqp_supermarket_data[[#This Row],[Unit_Price]]*Pqp_supermarket_data[[#This Row],[Quantity]]</f>
        <v>19.200000000000003</v>
      </c>
      <c r="L308" t="str">
        <f>TEXT(Pqp_supermarket_data[[#This Row],[DateTime]],"ddd")</f>
        <v>Mon</v>
      </c>
      <c r="M308" t="str">
        <f>TEXT(Pqp_supermarket_data[[#This Row],[DateTime]],"mmm")</f>
        <v>Mar</v>
      </c>
      <c r="N308" t="str">
        <f>TEXT(Pqp_supermarket_data[[#This Row],[DateTime]],"yyy")</f>
        <v>2024</v>
      </c>
    </row>
    <row r="309" spans="1:14" x14ac:dyDescent="0.35">
      <c r="A309" t="s">
        <v>763</v>
      </c>
      <c r="B309" s="1">
        <v>44970.359757824073</v>
      </c>
      <c r="C309" t="s">
        <v>764</v>
      </c>
      <c r="D309" t="s">
        <v>44</v>
      </c>
      <c r="E309" t="s">
        <v>90</v>
      </c>
      <c r="F309">
        <v>1.8</v>
      </c>
      <c r="G309">
        <v>9</v>
      </c>
      <c r="H309" t="s">
        <v>14</v>
      </c>
      <c r="I309" t="s">
        <v>40</v>
      </c>
      <c r="J309" t="s">
        <v>79</v>
      </c>
      <c r="K309">
        <f>Pqp_supermarket_data[[#This Row],[Unit_Price]]*Pqp_supermarket_data[[#This Row],[Quantity]]</f>
        <v>16.2</v>
      </c>
      <c r="L309" t="str">
        <f>TEXT(Pqp_supermarket_data[[#This Row],[DateTime]],"ddd")</f>
        <v>Mon</v>
      </c>
      <c r="M309" t="str">
        <f>TEXT(Pqp_supermarket_data[[#This Row],[DateTime]],"mmm")</f>
        <v>Feb</v>
      </c>
      <c r="N309" t="str">
        <f>TEXT(Pqp_supermarket_data[[#This Row],[DateTime]],"yyy")</f>
        <v>2023</v>
      </c>
    </row>
    <row r="310" spans="1:14" x14ac:dyDescent="0.35">
      <c r="A310" t="s">
        <v>765</v>
      </c>
      <c r="B310" s="1">
        <v>45290.97156337963</v>
      </c>
      <c r="C310" t="s">
        <v>766</v>
      </c>
      <c r="D310" t="s">
        <v>127</v>
      </c>
      <c r="E310" t="s">
        <v>70</v>
      </c>
      <c r="F310">
        <v>5</v>
      </c>
      <c r="G310">
        <v>4</v>
      </c>
      <c r="H310" t="s">
        <v>14</v>
      </c>
      <c r="I310" t="s">
        <v>15</v>
      </c>
      <c r="J310" t="s">
        <v>58</v>
      </c>
      <c r="K310">
        <f>Pqp_supermarket_data[[#This Row],[Unit_Price]]*Pqp_supermarket_data[[#This Row],[Quantity]]</f>
        <v>20</v>
      </c>
      <c r="L310" t="str">
        <f>TEXT(Pqp_supermarket_data[[#This Row],[DateTime]],"ddd")</f>
        <v>Sat</v>
      </c>
      <c r="M310" t="str">
        <f>TEXT(Pqp_supermarket_data[[#This Row],[DateTime]],"mmm")</f>
        <v>Dec</v>
      </c>
      <c r="N310" t="str">
        <f>TEXT(Pqp_supermarket_data[[#This Row],[DateTime]],"yyy")</f>
        <v>2023</v>
      </c>
    </row>
    <row r="311" spans="1:14" x14ac:dyDescent="0.35">
      <c r="A311" t="s">
        <v>767</v>
      </c>
      <c r="B311" s="1">
        <v>45683.168091168984</v>
      </c>
      <c r="C311" t="s">
        <v>768</v>
      </c>
      <c r="D311" t="s">
        <v>34</v>
      </c>
      <c r="E311" t="s">
        <v>45</v>
      </c>
      <c r="F311">
        <v>1</v>
      </c>
      <c r="G311">
        <v>7</v>
      </c>
      <c r="H311" t="s">
        <v>14</v>
      </c>
      <c r="I311" t="s">
        <v>15</v>
      </c>
      <c r="J311" t="s">
        <v>769</v>
      </c>
      <c r="K311">
        <f>Pqp_supermarket_data[[#This Row],[Unit_Price]]*Pqp_supermarket_data[[#This Row],[Quantity]]</f>
        <v>7</v>
      </c>
      <c r="L311" t="str">
        <f>TEXT(Pqp_supermarket_data[[#This Row],[DateTime]],"ddd")</f>
        <v>Sun</v>
      </c>
      <c r="M311" t="str">
        <f>TEXT(Pqp_supermarket_data[[#This Row],[DateTime]],"mmm")</f>
        <v>Jan</v>
      </c>
      <c r="N311" t="str">
        <f>TEXT(Pqp_supermarket_data[[#This Row],[DateTime]],"yyy")</f>
        <v>2025</v>
      </c>
    </row>
    <row r="312" spans="1:14" x14ac:dyDescent="0.35">
      <c r="A312" t="s">
        <v>770</v>
      </c>
      <c r="B312" s="1">
        <v>45115.777813391207</v>
      </c>
      <c r="C312" t="s">
        <v>771</v>
      </c>
      <c r="D312" t="s">
        <v>44</v>
      </c>
      <c r="E312" t="s">
        <v>78</v>
      </c>
      <c r="F312">
        <v>4</v>
      </c>
      <c r="G312">
        <v>3</v>
      </c>
      <c r="H312" t="s">
        <v>14</v>
      </c>
      <c r="I312" t="s">
        <v>86</v>
      </c>
      <c r="J312" t="s">
        <v>138</v>
      </c>
      <c r="K312">
        <f>Pqp_supermarket_data[[#This Row],[Unit_Price]]*Pqp_supermarket_data[[#This Row],[Quantity]]</f>
        <v>12</v>
      </c>
      <c r="L312" t="str">
        <f>TEXT(Pqp_supermarket_data[[#This Row],[DateTime]],"ddd")</f>
        <v>Sat</v>
      </c>
      <c r="M312" t="str">
        <f>TEXT(Pqp_supermarket_data[[#This Row],[DateTime]],"mmm")</f>
        <v>Jul</v>
      </c>
      <c r="N312" t="str">
        <f>TEXT(Pqp_supermarket_data[[#This Row],[DateTime]],"yyy")</f>
        <v>2023</v>
      </c>
    </row>
    <row r="313" spans="1:14" x14ac:dyDescent="0.35">
      <c r="A313" t="s">
        <v>772</v>
      </c>
      <c r="B313" s="1">
        <v>44829.895868946762</v>
      </c>
      <c r="C313" t="s">
        <v>773</v>
      </c>
      <c r="D313" t="s">
        <v>127</v>
      </c>
      <c r="E313" t="s">
        <v>115</v>
      </c>
      <c r="F313">
        <v>1.5</v>
      </c>
      <c r="G313">
        <v>1</v>
      </c>
      <c r="H313" t="s">
        <v>14</v>
      </c>
      <c r="I313" t="s">
        <v>40</v>
      </c>
      <c r="J313" t="s">
        <v>662</v>
      </c>
      <c r="K313">
        <f>Pqp_supermarket_data[[#This Row],[Unit_Price]]*Pqp_supermarket_data[[#This Row],[Quantity]]</f>
        <v>1.5</v>
      </c>
      <c r="L313" t="str">
        <f>TEXT(Pqp_supermarket_data[[#This Row],[DateTime]],"ddd")</f>
        <v>Sun</v>
      </c>
      <c r="M313" t="str">
        <f>TEXT(Pqp_supermarket_data[[#This Row],[DateTime]],"mmm")</f>
        <v>Sep</v>
      </c>
      <c r="N313" t="str">
        <f>TEXT(Pqp_supermarket_data[[#This Row],[DateTime]],"yyy")</f>
        <v>2022</v>
      </c>
    </row>
    <row r="314" spans="1:14" x14ac:dyDescent="0.35">
      <c r="A314" t="s">
        <v>774</v>
      </c>
      <c r="B314" s="1">
        <v>44750.966007847222</v>
      </c>
      <c r="C314" t="s">
        <v>775</v>
      </c>
      <c r="D314" t="s">
        <v>25</v>
      </c>
      <c r="E314" t="s">
        <v>119</v>
      </c>
      <c r="F314">
        <v>4</v>
      </c>
      <c r="G314">
        <v>6</v>
      </c>
      <c r="H314" t="s">
        <v>14</v>
      </c>
      <c r="I314" t="s">
        <v>40</v>
      </c>
      <c r="J314" t="s">
        <v>166</v>
      </c>
      <c r="K314">
        <f>Pqp_supermarket_data[[#This Row],[Unit_Price]]*Pqp_supermarket_data[[#This Row],[Quantity]]</f>
        <v>24</v>
      </c>
      <c r="L314" t="str">
        <f>TEXT(Pqp_supermarket_data[[#This Row],[DateTime]],"ddd")</f>
        <v>Fri</v>
      </c>
      <c r="M314" t="str">
        <f>TEXT(Pqp_supermarket_data[[#This Row],[DateTime]],"mmm")</f>
        <v>Jul</v>
      </c>
      <c r="N314" t="str">
        <f>TEXT(Pqp_supermarket_data[[#This Row],[DateTime]],"yyy")</f>
        <v>2022</v>
      </c>
    </row>
    <row r="315" spans="1:14" x14ac:dyDescent="0.35">
      <c r="A315" t="s">
        <v>776</v>
      </c>
      <c r="B315" s="1">
        <v>45209.908368958335</v>
      </c>
      <c r="C315" t="s">
        <v>777</v>
      </c>
      <c r="D315" t="s">
        <v>19</v>
      </c>
      <c r="E315" t="s">
        <v>115</v>
      </c>
      <c r="F315">
        <v>1.5</v>
      </c>
      <c r="G315">
        <v>5</v>
      </c>
      <c r="H315" t="s">
        <v>14</v>
      </c>
      <c r="I315" t="s">
        <v>21</v>
      </c>
      <c r="J315" t="s">
        <v>99</v>
      </c>
      <c r="K315">
        <f>Pqp_supermarket_data[[#This Row],[Unit_Price]]*Pqp_supermarket_data[[#This Row],[Quantity]]</f>
        <v>7.5</v>
      </c>
      <c r="L315" t="str">
        <f>TEXT(Pqp_supermarket_data[[#This Row],[DateTime]],"ddd")</f>
        <v>Tue</v>
      </c>
      <c r="M315" t="str">
        <f>TEXT(Pqp_supermarket_data[[#This Row],[DateTime]],"mmm")</f>
        <v>Oct</v>
      </c>
      <c r="N315" t="str">
        <f>TEXT(Pqp_supermarket_data[[#This Row],[DateTime]],"yyy")</f>
        <v>2023</v>
      </c>
    </row>
    <row r="316" spans="1:14" x14ac:dyDescent="0.35">
      <c r="A316" t="s">
        <v>778</v>
      </c>
      <c r="B316" s="1">
        <v>45566.012535624999</v>
      </c>
      <c r="C316" t="s">
        <v>779</v>
      </c>
      <c r="D316" t="s">
        <v>19</v>
      </c>
      <c r="E316" t="s">
        <v>13</v>
      </c>
      <c r="F316">
        <v>3.1</v>
      </c>
      <c r="G316">
        <v>6</v>
      </c>
      <c r="H316" t="s">
        <v>14</v>
      </c>
      <c r="I316" t="s">
        <v>86</v>
      </c>
      <c r="J316" t="s">
        <v>116</v>
      </c>
      <c r="K316">
        <f>Pqp_supermarket_data[[#This Row],[Unit_Price]]*Pqp_supermarket_data[[#This Row],[Quantity]]</f>
        <v>18.600000000000001</v>
      </c>
      <c r="L316" t="str">
        <f>TEXT(Pqp_supermarket_data[[#This Row],[DateTime]],"ddd")</f>
        <v>Tue</v>
      </c>
      <c r="M316" t="str">
        <f>TEXT(Pqp_supermarket_data[[#This Row],[DateTime]],"mmm")</f>
        <v>Oct</v>
      </c>
      <c r="N316" t="str">
        <f>TEXT(Pqp_supermarket_data[[#This Row],[DateTime]],"yyy")</f>
        <v>2024</v>
      </c>
    </row>
    <row r="317" spans="1:14" x14ac:dyDescent="0.35">
      <c r="A317" t="s">
        <v>780</v>
      </c>
      <c r="B317" s="1">
        <v>45694.05767451389</v>
      </c>
      <c r="C317" t="s">
        <v>781</v>
      </c>
      <c r="D317" t="s">
        <v>171</v>
      </c>
      <c r="E317" t="s">
        <v>20</v>
      </c>
      <c r="F317">
        <v>1</v>
      </c>
      <c r="G317">
        <v>4</v>
      </c>
      <c r="H317" t="s">
        <v>14</v>
      </c>
      <c r="I317" t="s">
        <v>61</v>
      </c>
      <c r="J317" t="s">
        <v>153</v>
      </c>
      <c r="K317">
        <f>Pqp_supermarket_data[[#This Row],[Unit_Price]]*Pqp_supermarket_data[[#This Row],[Quantity]]</f>
        <v>4</v>
      </c>
      <c r="L317" t="str">
        <f>TEXT(Pqp_supermarket_data[[#This Row],[DateTime]],"ddd")</f>
        <v>Thu</v>
      </c>
      <c r="M317" t="str">
        <f>TEXT(Pqp_supermarket_data[[#This Row],[DateTime]],"mmm")</f>
        <v>Feb</v>
      </c>
      <c r="N317" t="str">
        <f>TEXT(Pqp_supermarket_data[[#This Row],[DateTime]],"yyy")</f>
        <v>2025</v>
      </c>
    </row>
    <row r="318" spans="1:14" x14ac:dyDescent="0.35">
      <c r="A318" t="s">
        <v>782</v>
      </c>
      <c r="B318" s="1">
        <v>45195.459757847224</v>
      </c>
      <c r="C318" t="s">
        <v>783</v>
      </c>
      <c r="D318" t="s">
        <v>85</v>
      </c>
      <c r="E318" t="s">
        <v>70</v>
      </c>
      <c r="F318">
        <v>5</v>
      </c>
      <c r="G318">
        <v>9</v>
      </c>
      <c r="H318" t="s">
        <v>14</v>
      </c>
      <c r="I318" t="s">
        <v>61</v>
      </c>
      <c r="J318" t="s">
        <v>215</v>
      </c>
      <c r="K318">
        <f>Pqp_supermarket_data[[#This Row],[Unit_Price]]*Pqp_supermarket_data[[#This Row],[Quantity]]</f>
        <v>45</v>
      </c>
      <c r="L318" t="str">
        <f>TEXT(Pqp_supermarket_data[[#This Row],[DateTime]],"ddd")</f>
        <v>Tue</v>
      </c>
      <c r="M318" t="str">
        <f>TEXT(Pqp_supermarket_data[[#This Row],[DateTime]],"mmm")</f>
        <v>Sep</v>
      </c>
      <c r="N318" t="str">
        <f>TEXT(Pqp_supermarket_data[[#This Row],[DateTime]],"yyy")</f>
        <v>2023</v>
      </c>
    </row>
    <row r="319" spans="1:14" x14ac:dyDescent="0.35">
      <c r="A319" t="s">
        <v>784</v>
      </c>
      <c r="B319" s="1">
        <v>44392.763230081022</v>
      </c>
      <c r="C319" t="s">
        <v>785</v>
      </c>
      <c r="D319" t="s">
        <v>69</v>
      </c>
      <c r="E319" t="s">
        <v>148</v>
      </c>
      <c r="F319">
        <v>5.5</v>
      </c>
      <c r="G319">
        <v>7</v>
      </c>
      <c r="H319" t="s">
        <v>14</v>
      </c>
      <c r="I319" t="s">
        <v>61</v>
      </c>
      <c r="J319" t="s">
        <v>102</v>
      </c>
      <c r="K319">
        <f>Pqp_supermarket_data[[#This Row],[Unit_Price]]*Pqp_supermarket_data[[#This Row],[Quantity]]</f>
        <v>38.5</v>
      </c>
      <c r="L319" t="str">
        <f>TEXT(Pqp_supermarket_data[[#This Row],[DateTime]],"ddd")</f>
        <v>Thu</v>
      </c>
      <c r="M319" t="str">
        <f>TEXT(Pqp_supermarket_data[[#This Row],[DateTime]],"mmm")</f>
        <v>Jul</v>
      </c>
      <c r="N319" t="str">
        <f>TEXT(Pqp_supermarket_data[[#This Row],[DateTime]],"yyy")</f>
        <v>2021</v>
      </c>
    </row>
    <row r="320" spans="1:14" x14ac:dyDescent="0.35">
      <c r="A320" t="s">
        <v>786</v>
      </c>
      <c r="B320" s="1">
        <v>44644.06809119213</v>
      </c>
      <c r="C320" t="s">
        <v>787</v>
      </c>
      <c r="D320" t="s">
        <v>69</v>
      </c>
      <c r="E320" t="s">
        <v>78</v>
      </c>
      <c r="F320">
        <v>4</v>
      </c>
      <c r="G320">
        <v>10</v>
      </c>
      <c r="H320" t="s">
        <v>14</v>
      </c>
      <c r="I320" t="s">
        <v>21</v>
      </c>
      <c r="J320" t="s">
        <v>548</v>
      </c>
      <c r="K320">
        <f>Pqp_supermarket_data[[#This Row],[Unit_Price]]*Pqp_supermarket_data[[#This Row],[Quantity]]</f>
        <v>40</v>
      </c>
      <c r="L320" t="str">
        <f>TEXT(Pqp_supermarket_data[[#This Row],[DateTime]],"ddd")</f>
        <v>Thu</v>
      </c>
      <c r="M320" t="str">
        <f>TEXT(Pqp_supermarket_data[[#This Row],[DateTime]],"mmm")</f>
        <v>Mar</v>
      </c>
      <c r="N320" t="str">
        <f>TEXT(Pqp_supermarket_data[[#This Row],[DateTime]],"yyy")</f>
        <v>2022</v>
      </c>
    </row>
    <row r="321" spans="1:14" x14ac:dyDescent="0.35">
      <c r="A321" t="s">
        <v>788</v>
      </c>
      <c r="B321" s="1">
        <v>44762.516702303241</v>
      </c>
      <c r="C321" t="s">
        <v>789</v>
      </c>
      <c r="D321" t="s">
        <v>208</v>
      </c>
      <c r="E321" t="s">
        <v>111</v>
      </c>
      <c r="F321">
        <v>2.2000000000000002</v>
      </c>
      <c r="G321">
        <v>6</v>
      </c>
      <c r="H321" t="s">
        <v>14</v>
      </c>
      <c r="I321" t="s">
        <v>86</v>
      </c>
      <c r="J321" t="s">
        <v>128</v>
      </c>
      <c r="K321">
        <f>Pqp_supermarket_data[[#This Row],[Unit_Price]]*Pqp_supermarket_data[[#This Row],[Quantity]]</f>
        <v>13.200000000000001</v>
      </c>
      <c r="L321" t="str">
        <f>TEXT(Pqp_supermarket_data[[#This Row],[DateTime]],"ddd")</f>
        <v>Wed</v>
      </c>
      <c r="M321" t="str">
        <f>TEXT(Pqp_supermarket_data[[#This Row],[DateTime]],"mmm")</f>
        <v>Jul</v>
      </c>
      <c r="N321" t="str">
        <f>TEXT(Pqp_supermarket_data[[#This Row],[DateTime]],"yyy")</f>
        <v>2022</v>
      </c>
    </row>
    <row r="322" spans="1:14" x14ac:dyDescent="0.35">
      <c r="A322" t="s">
        <v>790</v>
      </c>
      <c r="B322" s="1">
        <v>44851.366702303239</v>
      </c>
      <c r="C322" t="s">
        <v>791</v>
      </c>
      <c r="D322" t="s">
        <v>19</v>
      </c>
      <c r="E322" t="s">
        <v>90</v>
      </c>
      <c r="F322">
        <v>1.8</v>
      </c>
      <c r="G322">
        <v>3</v>
      </c>
      <c r="H322" t="s">
        <v>14</v>
      </c>
      <c r="I322" t="s">
        <v>61</v>
      </c>
      <c r="J322" t="s">
        <v>262</v>
      </c>
      <c r="K322">
        <f>Pqp_supermarket_data[[#This Row],[Unit_Price]]*Pqp_supermarket_data[[#This Row],[Quantity]]</f>
        <v>5.4</v>
      </c>
      <c r="L322" t="str">
        <f>TEXT(Pqp_supermarket_data[[#This Row],[DateTime]],"ddd")</f>
        <v>Mon</v>
      </c>
      <c r="M322" t="str">
        <f>TEXT(Pqp_supermarket_data[[#This Row],[DateTime]],"mmm")</f>
        <v>Oct</v>
      </c>
      <c r="N322" t="str">
        <f>TEXT(Pqp_supermarket_data[[#This Row],[DateTime]],"yyy")</f>
        <v>2022</v>
      </c>
    </row>
    <row r="323" spans="1:14" x14ac:dyDescent="0.35">
      <c r="A323" t="s">
        <v>792</v>
      </c>
      <c r="B323" s="1">
        <v>45134.334063414353</v>
      </c>
      <c r="C323" t="s">
        <v>793</v>
      </c>
      <c r="D323" t="s">
        <v>171</v>
      </c>
      <c r="E323" t="s">
        <v>57</v>
      </c>
      <c r="F323">
        <v>4.5</v>
      </c>
      <c r="G323">
        <v>10</v>
      </c>
      <c r="H323" t="s">
        <v>14</v>
      </c>
      <c r="I323" t="s">
        <v>61</v>
      </c>
      <c r="J323" t="s">
        <v>616</v>
      </c>
      <c r="K323">
        <f>Pqp_supermarket_data[[#This Row],[Unit_Price]]*Pqp_supermarket_data[[#This Row],[Quantity]]</f>
        <v>45</v>
      </c>
      <c r="L323" t="str">
        <f>TEXT(Pqp_supermarket_data[[#This Row],[DateTime]],"ddd")</f>
        <v>Thu</v>
      </c>
      <c r="M323" t="str">
        <f>TEXT(Pqp_supermarket_data[[#This Row],[DateTime]],"mmm")</f>
        <v>Jul</v>
      </c>
      <c r="N323" t="str">
        <f>TEXT(Pqp_supermarket_data[[#This Row],[DateTime]],"yyy")</f>
        <v>2023</v>
      </c>
    </row>
    <row r="324" spans="1:14" x14ac:dyDescent="0.35">
      <c r="A324" t="s">
        <v>794</v>
      </c>
      <c r="B324" s="1">
        <v>44742.829896759256</v>
      </c>
      <c r="C324" t="s">
        <v>795</v>
      </c>
      <c r="D324" t="s">
        <v>12</v>
      </c>
      <c r="E324" t="s">
        <v>119</v>
      </c>
      <c r="F324">
        <v>4</v>
      </c>
      <c r="G324">
        <v>5</v>
      </c>
      <c r="H324" t="s">
        <v>14</v>
      </c>
      <c r="I324" t="s">
        <v>86</v>
      </c>
      <c r="J324" t="s">
        <v>397</v>
      </c>
      <c r="K324">
        <f>Pqp_supermarket_data[[#This Row],[Unit_Price]]*Pqp_supermarket_data[[#This Row],[Quantity]]</f>
        <v>20</v>
      </c>
      <c r="L324" t="str">
        <f>TEXT(Pqp_supermarket_data[[#This Row],[DateTime]],"ddd")</f>
        <v>Thu</v>
      </c>
      <c r="M324" t="str">
        <f>TEXT(Pqp_supermarket_data[[#This Row],[DateTime]],"mmm")</f>
        <v>Jun</v>
      </c>
      <c r="N324" t="str">
        <f>TEXT(Pqp_supermarket_data[[#This Row],[DateTime]],"yyy")</f>
        <v>2022</v>
      </c>
    </row>
    <row r="325" spans="1:14" x14ac:dyDescent="0.35">
      <c r="A325" t="s">
        <v>796</v>
      </c>
      <c r="B325" s="1">
        <v>45032.113230092589</v>
      </c>
      <c r="C325" t="s">
        <v>797</v>
      </c>
      <c r="D325" t="s">
        <v>77</v>
      </c>
      <c r="E325" t="s">
        <v>145</v>
      </c>
      <c r="F325">
        <v>1.7</v>
      </c>
      <c r="G325">
        <v>10</v>
      </c>
      <c r="H325" t="s">
        <v>14</v>
      </c>
      <c r="I325" t="s">
        <v>61</v>
      </c>
      <c r="J325" t="s">
        <v>105</v>
      </c>
      <c r="K325">
        <f>Pqp_supermarket_data[[#This Row],[Unit_Price]]*Pqp_supermarket_data[[#This Row],[Quantity]]</f>
        <v>17</v>
      </c>
      <c r="L325" t="str">
        <f>TEXT(Pqp_supermarket_data[[#This Row],[DateTime]],"ddd")</f>
        <v>Sun</v>
      </c>
      <c r="M325" t="str">
        <f>TEXT(Pqp_supermarket_data[[#This Row],[DateTime]],"mmm")</f>
        <v>Apr</v>
      </c>
      <c r="N325" t="str">
        <f>TEXT(Pqp_supermarket_data[[#This Row],[DateTime]],"yyy")</f>
        <v>2023</v>
      </c>
    </row>
    <row r="326" spans="1:14" x14ac:dyDescent="0.35">
      <c r="A326" t="s">
        <v>798</v>
      </c>
      <c r="B326" s="1">
        <v>44376.725730092592</v>
      </c>
      <c r="C326" t="s">
        <v>799</v>
      </c>
      <c r="D326" t="s">
        <v>171</v>
      </c>
      <c r="E326" t="s">
        <v>115</v>
      </c>
      <c r="F326">
        <v>1.5</v>
      </c>
      <c r="G326">
        <v>5</v>
      </c>
      <c r="H326" t="s">
        <v>14</v>
      </c>
      <c r="I326" t="s">
        <v>36</v>
      </c>
      <c r="J326" t="s">
        <v>267</v>
      </c>
      <c r="K326">
        <f>Pqp_supermarket_data[[#This Row],[Unit_Price]]*Pqp_supermarket_data[[#This Row],[Quantity]]</f>
        <v>7.5</v>
      </c>
      <c r="L326" t="str">
        <f>TEXT(Pqp_supermarket_data[[#This Row],[DateTime]],"ddd")</f>
        <v>Tue</v>
      </c>
      <c r="M326" t="str">
        <f>TEXT(Pqp_supermarket_data[[#This Row],[DateTime]],"mmm")</f>
        <v>Jun</v>
      </c>
      <c r="N326" t="str">
        <f>TEXT(Pqp_supermarket_data[[#This Row],[DateTime]],"yyy")</f>
        <v>2021</v>
      </c>
    </row>
    <row r="327" spans="1:14" x14ac:dyDescent="0.35">
      <c r="A327" t="s">
        <v>800</v>
      </c>
      <c r="B327" s="1">
        <v>44601.80003564815</v>
      </c>
      <c r="C327" t="s">
        <v>801</v>
      </c>
      <c r="D327" t="s">
        <v>12</v>
      </c>
      <c r="E327" t="s">
        <v>137</v>
      </c>
      <c r="F327">
        <v>2.5</v>
      </c>
      <c r="G327">
        <v>10</v>
      </c>
      <c r="H327" t="s">
        <v>14</v>
      </c>
      <c r="I327" t="s">
        <v>86</v>
      </c>
      <c r="J327" t="s">
        <v>66</v>
      </c>
      <c r="K327">
        <f>Pqp_supermarket_data[[#This Row],[Unit_Price]]*Pqp_supermarket_data[[#This Row],[Quantity]]</f>
        <v>25</v>
      </c>
      <c r="L327" t="str">
        <f>TEXT(Pqp_supermarket_data[[#This Row],[DateTime]],"ddd")</f>
        <v>Wed</v>
      </c>
      <c r="M327" t="str">
        <f>TEXT(Pqp_supermarket_data[[#This Row],[DateTime]],"mmm")</f>
        <v>Feb</v>
      </c>
      <c r="N327" t="str">
        <f>TEXT(Pqp_supermarket_data[[#This Row],[DateTime]],"yyy")</f>
        <v>2022</v>
      </c>
    </row>
    <row r="328" spans="1:14" x14ac:dyDescent="0.35">
      <c r="A328" t="s">
        <v>802</v>
      </c>
      <c r="B328" s="1">
        <v>44712.694480104168</v>
      </c>
      <c r="C328" t="s">
        <v>803</v>
      </c>
      <c r="D328" t="s">
        <v>171</v>
      </c>
      <c r="E328" t="s">
        <v>49</v>
      </c>
      <c r="F328">
        <v>7</v>
      </c>
      <c r="G328">
        <v>3</v>
      </c>
      <c r="H328" t="s">
        <v>14</v>
      </c>
      <c r="I328" t="s">
        <v>36</v>
      </c>
      <c r="J328" t="s">
        <v>623</v>
      </c>
      <c r="K328">
        <f>Pqp_supermarket_data[[#This Row],[Unit_Price]]*Pqp_supermarket_data[[#This Row],[Quantity]]</f>
        <v>21</v>
      </c>
      <c r="L328" t="str">
        <f>TEXT(Pqp_supermarket_data[[#This Row],[DateTime]],"ddd")</f>
        <v>Tue</v>
      </c>
      <c r="M328" t="str">
        <f>TEXT(Pqp_supermarket_data[[#This Row],[DateTime]],"mmm")</f>
        <v>May</v>
      </c>
      <c r="N328" t="str">
        <f>TEXT(Pqp_supermarket_data[[#This Row],[DateTime]],"yyy")</f>
        <v>2022</v>
      </c>
    </row>
    <row r="329" spans="1:14" x14ac:dyDescent="0.35">
      <c r="A329" t="s">
        <v>804</v>
      </c>
      <c r="B329" s="1">
        <v>45721.77920232639</v>
      </c>
      <c r="C329" t="s">
        <v>805</v>
      </c>
      <c r="D329" t="s">
        <v>77</v>
      </c>
      <c r="E329" t="s">
        <v>78</v>
      </c>
      <c r="F329">
        <v>4</v>
      </c>
      <c r="G329">
        <v>1</v>
      </c>
      <c r="H329" t="s">
        <v>14</v>
      </c>
      <c r="I329" t="s">
        <v>86</v>
      </c>
      <c r="J329" t="s">
        <v>79</v>
      </c>
      <c r="K329">
        <f>Pqp_supermarket_data[[#This Row],[Unit_Price]]*Pqp_supermarket_data[[#This Row],[Quantity]]</f>
        <v>4</v>
      </c>
      <c r="L329" t="str">
        <f>TEXT(Pqp_supermarket_data[[#This Row],[DateTime]],"ddd")</f>
        <v>Wed</v>
      </c>
      <c r="M329" t="str">
        <f>TEXT(Pqp_supermarket_data[[#This Row],[DateTime]],"mmm")</f>
        <v>Mar</v>
      </c>
      <c r="N329" t="str">
        <f>TEXT(Pqp_supermarket_data[[#This Row],[DateTime]],"yyy")</f>
        <v>2025</v>
      </c>
    </row>
    <row r="330" spans="1:14" x14ac:dyDescent="0.35">
      <c r="A330" t="s">
        <v>806</v>
      </c>
      <c r="B330" s="1">
        <v>44929.375035659723</v>
      </c>
      <c r="C330" t="s">
        <v>807</v>
      </c>
      <c r="D330" t="s">
        <v>12</v>
      </c>
      <c r="E330" t="s">
        <v>78</v>
      </c>
      <c r="F330">
        <v>4</v>
      </c>
      <c r="G330">
        <v>7</v>
      </c>
      <c r="H330" t="s">
        <v>14</v>
      </c>
      <c r="I330" t="s">
        <v>21</v>
      </c>
      <c r="J330" t="s">
        <v>267</v>
      </c>
      <c r="K330">
        <f>Pqp_supermarket_data[[#This Row],[Unit_Price]]*Pqp_supermarket_data[[#This Row],[Quantity]]</f>
        <v>28</v>
      </c>
      <c r="L330" t="str">
        <f>TEXT(Pqp_supermarket_data[[#This Row],[DateTime]],"ddd")</f>
        <v>Tue</v>
      </c>
      <c r="M330" t="str">
        <f>TEXT(Pqp_supermarket_data[[#This Row],[DateTime]],"mmm")</f>
        <v>Jan</v>
      </c>
      <c r="N330" t="str">
        <f>TEXT(Pqp_supermarket_data[[#This Row],[DateTime]],"yyy")</f>
        <v>2023</v>
      </c>
    </row>
    <row r="331" spans="1:14" x14ac:dyDescent="0.35">
      <c r="A331" t="s">
        <v>808</v>
      </c>
      <c r="B331" s="1">
        <v>44533.896563437498</v>
      </c>
      <c r="C331" t="s">
        <v>809</v>
      </c>
      <c r="D331" t="s">
        <v>34</v>
      </c>
      <c r="E331" t="s">
        <v>137</v>
      </c>
      <c r="F331">
        <v>2.5</v>
      </c>
      <c r="G331">
        <v>3</v>
      </c>
      <c r="H331" t="s">
        <v>14</v>
      </c>
      <c r="I331" t="s">
        <v>21</v>
      </c>
      <c r="J331" t="s">
        <v>212</v>
      </c>
      <c r="K331">
        <f>Pqp_supermarket_data[[#This Row],[Unit_Price]]*Pqp_supermarket_data[[#This Row],[Quantity]]</f>
        <v>7.5</v>
      </c>
      <c r="L331" t="str">
        <f>TEXT(Pqp_supermarket_data[[#This Row],[DateTime]],"ddd")</f>
        <v>Fri</v>
      </c>
      <c r="M331" t="str">
        <f>TEXT(Pqp_supermarket_data[[#This Row],[DateTime]],"mmm")</f>
        <v>Dec</v>
      </c>
      <c r="N331" t="str">
        <f>TEXT(Pqp_supermarket_data[[#This Row],[DateTime]],"yyy")</f>
        <v>2021</v>
      </c>
    </row>
    <row r="332" spans="1:14" x14ac:dyDescent="0.35">
      <c r="A332" t="s">
        <v>810</v>
      </c>
      <c r="B332" s="1">
        <v>44638.113924548612</v>
      </c>
      <c r="C332" t="s">
        <v>811</v>
      </c>
      <c r="D332" t="s">
        <v>98</v>
      </c>
      <c r="E332" t="s">
        <v>90</v>
      </c>
      <c r="F332">
        <v>1.8</v>
      </c>
      <c r="G332">
        <v>7</v>
      </c>
      <c r="H332" t="s">
        <v>14</v>
      </c>
      <c r="I332" t="s">
        <v>61</v>
      </c>
      <c r="J332" t="s">
        <v>218</v>
      </c>
      <c r="K332">
        <f>Pqp_supermarket_data[[#This Row],[Unit_Price]]*Pqp_supermarket_data[[#This Row],[Quantity]]</f>
        <v>12.6</v>
      </c>
      <c r="L332" t="str">
        <f>TEXT(Pqp_supermarket_data[[#This Row],[DateTime]],"ddd")</f>
        <v>Fri</v>
      </c>
      <c r="M332" t="str">
        <f>TEXT(Pqp_supermarket_data[[#This Row],[DateTime]],"mmm")</f>
        <v>Mar</v>
      </c>
      <c r="N332" t="str">
        <f>TEXT(Pqp_supermarket_data[[#This Row],[DateTime]],"yyy")</f>
        <v>2022</v>
      </c>
    </row>
    <row r="333" spans="1:14" x14ac:dyDescent="0.35">
      <c r="A333" t="s">
        <v>812</v>
      </c>
      <c r="B333" s="1">
        <v>44844.836841226854</v>
      </c>
      <c r="C333" t="s">
        <v>813</v>
      </c>
      <c r="D333" t="s">
        <v>85</v>
      </c>
      <c r="E333" t="s">
        <v>53</v>
      </c>
      <c r="F333">
        <v>2.8</v>
      </c>
      <c r="G333">
        <v>5</v>
      </c>
      <c r="H333" t="s">
        <v>14</v>
      </c>
      <c r="I333" t="s">
        <v>21</v>
      </c>
      <c r="J333" t="s">
        <v>470</v>
      </c>
      <c r="K333">
        <f>Pqp_supermarket_data[[#This Row],[Unit_Price]]*Pqp_supermarket_data[[#This Row],[Quantity]]</f>
        <v>14</v>
      </c>
      <c r="L333" t="str">
        <f>TEXT(Pqp_supermarket_data[[#This Row],[DateTime]],"ddd")</f>
        <v>Mon</v>
      </c>
      <c r="M333" t="str">
        <f>TEXT(Pqp_supermarket_data[[#This Row],[DateTime]],"mmm")</f>
        <v>Oct</v>
      </c>
      <c r="N333" t="str">
        <f>TEXT(Pqp_supermarket_data[[#This Row],[DateTime]],"yyy")</f>
        <v>2022</v>
      </c>
    </row>
    <row r="334" spans="1:14" x14ac:dyDescent="0.35">
      <c r="A334" t="s">
        <v>814</v>
      </c>
      <c r="B334" s="1">
        <v>45393.256285671298</v>
      </c>
      <c r="C334" t="s">
        <v>815</v>
      </c>
      <c r="D334" t="s">
        <v>85</v>
      </c>
      <c r="E334" t="s">
        <v>57</v>
      </c>
      <c r="F334">
        <v>4.5</v>
      </c>
      <c r="G334">
        <v>4</v>
      </c>
      <c r="H334" t="s">
        <v>14</v>
      </c>
      <c r="I334" t="s">
        <v>61</v>
      </c>
      <c r="J334" t="s">
        <v>426</v>
      </c>
      <c r="K334">
        <f>Pqp_supermarket_data[[#This Row],[Unit_Price]]*Pqp_supermarket_data[[#This Row],[Quantity]]</f>
        <v>18</v>
      </c>
      <c r="L334" t="str">
        <f>TEXT(Pqp_supermarket_data[[#This Row],[DateTime]],"ddd")</f>
        <v>Thu</v>
      </c>
      <c r="M334" t="str">
        <f>TEXT(Pqp_supermarket_data[[#This Row],[DateTime]],"mmm")</f>
        <v>Apr</v>
      </c>
      <c r="N334" t="str">
        <f>TEXT(Pqp_supermarket_data[[#This Row],[DateTime]],"yyy")</f>
        <v>2024</v>
      </c>
    </row>
    <row r="335" spans="1:14" x14ac:dyDescent="0.35">
      <c r="A335" t="s">
        <v>816</v>
      </c>
      <c r="B335" s="1">
        <v>45194.634063449077</v>
      </c>
      <c r="C335" t="s">
        <v>817</v>
      </c>
      <c r="D335" t="s">
        <v>12</v>
      </c>
      <c r="E335" t="s">
        <v>115</v>
      </c>
      <c r="F335">
        <v>1.5</v>
      </c>
      <c r="G335">
        <v>6</v>
      </c>
      <c r="H335" t="s">
        <v>14</v>
      </c>
      <c r="I335" t="s">
        <v>86</v>
      </c>
      <c r="J335" t="s">
        <v>561</v>
      </c>
      <c r="K335">
        <f>Pqp_supermarket_data[[#This Row],[Unit_Price]]*Pqp_supermarket_data[[#This Row],[Quantity]]</f>
        <v>9</v>
      </c>
      <c r="L335" t="str">
        <f>TEXT(Pqp_supermarket_data[[#This Row],[DateTime]],"ddd")</f>
        <v>Mon</v>
      </c>
      <c r="M335" t="str">
        <f>TEXT(Pqp_supermarket_data[[#This Row],[DateTime]],"mmm")</f>
        <v>Sep</v>
      </c>
      <c r="N335" t="str">
        <f>TEXT(Pqp_supermarket_data[[#This Row],[DateTime]],"yyy")</f>
        <v>2023</v>
      </c>
    </row>
    <row r="336" spans="1:14" x14ac:dyDescent="0.35">
      <c r="A336" t="s">
        <v>818</v>
      </c>
      <c r="B336" s="1">
        <v>44638.589619004626</v>
      </c>
      <c r="C336" t="s">
        <v>819</v>
      </c>
      <c r="D336" t="s">
        <v>127</v>
      </c>
      <c r="E336" t="s">
        <v>148</v>
      </c>
      <c r="F336">
        <v>5.5</v>
      </c>
      <c r="G336">
        <v>10</v>
      </c>
      <c r="H336" t="s">
        <v>14</v>
      </c>
      <c r="I336" t="s">
        <v>36</v>
      </c>
      <c r="J336" t="s">
        <v>112</v>
      </c>
      <c r="K336">
        <f>Pqp_supermarket_data[[#This Row],[Unit_Price]]*Pqp_supermarket_data[[#This Row],[Quantity]]</f>
        <v>55</v>
      </c>
      <c r="L336" t="str">
        <f>TEXT(Pqp_supermarket_data[[#This Row],[DateTime]],"ddd")</f>
        <v>Fri</v>
      </c>
      <c r="M336" t="str">
        <f>TEXT(Pqp_supermarket_data[[#This Row],[DateTime]],"mmm")</f>
        <v>Mar</v>
      </c>
      <c r="N336" t="str">
        <f>TEXT(Pqp_supermarket_data[[#This Row],[DateTime]],"yyy")</f>
        <v>2022</v>
      </c>
    </row>
    <row r="337" spans="1:14" x14ac:dyDescent="0.35">
      <c r="A337" t="s">
        <v>820</v>
      </c>
      <c r="B337" s="1">
        <v>45009.023646782407</v>
      </c>
      <c r="C337" t="s">
        <v>821</v>
      </c>
      <c r="D337" t="s">
        <v>44</v>
      </c>
      <c r="E337" t="s">
        <v>111</v>
      </c>
      <c r="F337">
        <v>2.2000000000000002</v>
      </c>
      <c r="G337">
        <v>5</v>
      </c>
      <c r="H337" t="s">
        <v>14</v>
      </c>
      <c r="I337" t="s">
        <v>40</v>
      </c>
      <c r="J337" t="s">
        <v>429</v>
      </c>
      <c r="K337">
        <f>Pqp_supermarket_data[[#This Row],[Unit_Price]]*Pqp_supermarket_data[[#This Row],[Quantity]]</f>
        <v>11</v>
      </c>
      <c r="L337" t="str">
        <f>TEXT(Pqp_supermarket_data[[#This Row],[DateTime]],"ddd")</f>
        <v>Fri</v>
      </c>
      <c r="M337" t="str">
        <f>TEXT(Pqp_supermarket_data[[#This Row],[DateTime]],"mmm")</f>
        <v>Mar</v>
      </c>
      <c r="N337" t="str">
        <f>TEXT(Pqp_supermarket_data[[#This Row],[DateTime]],"yyy")</f>
        <v>2023</v>
      </c>
    </row>
    <row r="338" spans="1:14" x14ac:dyDescent="0.35">
      <c r="A338" t="s">
        <v>822</v>
      </c>
      <c r="B338" s="1">
        <v>45625.060452349535</v>
      </c>
      <c r="C338" t="s">
        <v>823</v>
      </c>
      <c r="D338" t="s">
        <v>98</v>
      </c>
      <c r="E338" t="s">
        <v>13</v>
      </c>
      <c r="F338">
        <v>3.1</v>
      </c>
      <c r="G338">
        <v>8</v>
      </c>
      <c r="H338" t="s">
        <v>14</v>
      </c>
      <c r="I338" t="s">
        <v>15</v>
      </c>
      <c r="J338" t="s">
        <v>485</v>
      </c>
      <c r="K338">
        <f>Pqp_supermarket_data[[#This Row],[Unit_Price]]*Pqp_supermarket_data[[#This Row],[Quantity]]</f>
        <v>24.8</v>
      </c>
      <c r="L338" t="str">
        <f>TEXT(Pqp_supermarket_data[[#This Row],[DateTime]],"ddd")</f>
        <v>Fri</v>
      </c>
      <c r="M338" t="str">
        <f>TEXT(Pqp_supermarket_data[[#This Row],[DateTime]],"mmm")</f>
        <v>Nov</v>
      </c>
      <c r="N338" t="str">
        <f>TEXT(Pqp_supermarket_data[[#This Row],[DateTime]],"yyy")</f>
        <v>2024</v>
      </c>
    </row>
    <row r="339" spans="1:14" x14ac:dyDescent="0.35">
      <c r="A339" t="s">
        <v>824</v>
      </c>
      <c r="B339" s="1">
        <v>44683.185452349535</v>
      </c>
      <c r="C339" t="s">
        <v>825</v>
      </c>
      <c r="D339" t="s">
        <v>85</v>
      </c>
      <c r="E339" t="s">
        <v>13</v>
      </c>
      <c r="F339">
        <v>3.1</v>
      </c>
      <c r="G339">
        <v>3</v>
      </c>
      <c r="H339" t="s">
        <v>14</v>
      </c>
      <c r="I339" t="s">
        <v>40</v>
      </c>
      <c r="J339" t="s">
        <v>262</v>
      </c>
      <c r="K339">
        <f>Pqp_supermarket_data[[#This Row],[Unit_Price]]*Pqp_supermarket_data[[#This Row],[Quantity]]</f>
        <v>9.3000000000000007</v>
      </c>
      <c r="L339" t="str">
        <f>TEXT(Pqp_supermarket_data[[#This Row],[DateTime]],"ddd")</f>
        <v>Mon</v>
      </c>
      <c r="M339" t="str">
        <f>TEXT(Pqp_supermarket_data[[#This Row],[DateTime]],"mmm")</f>
        <v>May</v>
      </c>
      <c r="N339" t="str">
        <f>TEXT(Pqp_supermarket_data[[#This Row],[DateTime]],"yyy")</f>
        <v>2022</v>
      </c>
    </row>
    <row r="340" spans="1:14" x14ac:dyDescent="0.35">
      <c r="A340" t="s">
        <v>826</v>
      </c>
      <c r="B340" s="1">
        <v>44585.25767457176</v>
      </c>
      <c r="C340" t="s">
        <v>827</v>
      </c>
      <c r="D340" t="s">
        <v>208</v>
      </c>
      <c r="E340" t="s">
        <v>90</v>
      </c>
      <c r="F340">
        <v>1.8</v>
      </c>
      <c r="G340">
        <v>4</v>
      </c>
      <c r="H340" t="s">
        <v>14</v>
      </c>
      <c r="I340" t="s">
        <v>36</v>
      </c>
      <c r="J340" t="s">
        <v>496</v>
      </c>
      <c r="K340">
        <f>Pqp_supermarket_data[[#This Row],[Unit_Price]]*Pqp_supermarket_data[[#This Row],[Quantity]]</f>
        <v>7.2</v>
      </c>
      <c r="L340" t="str">
        <f>TEXT(Pqp_supermarket_data[[#This Row],[DateTime]],"ddd")</f>
        <v>Mon</v>
      </c>
      <c r="M340" t="str">
        <f>TEXT(Pqp_supermarket_data[[#This Row],[DateTime]],"mmm")</f>
        <v>Jan</v>
      </c>
      <c r="N340" t="str">
        <f>TEXT(Pqp_supermarket_data[[#This Row],[DateTime]],"yyy")</f>
        <v>2022</v>
      </c>
    </row>
    <row r="341" spans="1:14" x14ac:dyDescent="0.35">
      <c r="A341" t="s">
        <v>828</v>
      </c>
      <c r="B341" s="1">
        <v>45679.416702349539</v>
      </c>
      <c r="C341" t="s">
        <v>829</v>
      </c>
      <c r="D341" t="s">
        <v>44</v>
      </c>
      <c r="E341" t="s">
        <v>115</v>
      </c>
      <c r="F341">
        <v>1.5</v>
      </c>
      <c r="G341">
        <v>2</v>
      </c>
      <c r="H341" t="s">
        <v>14</v>
      </c>
      <c r="I341" t="s">
        <v>36</v>
      </c>
      <c r="J341" t="s">
        <v>426</v>
      </c>
      <c r="K341">
        <f>Pqp_supermarket_data[[#This Row],[Unit_Price]]*Pqp_supermarket_data[[#This Row],[Quantity]]</f>
        <v>3</v>
      </c>
      <c r="L341" t="str">
        <f>TEXT(Pqp_supermarket_data[[#This Row],[DateTime]],"ddd")</f>
        <v>Wed</v>
      </c>
      <c r="M341" t="str">
        <f>TEXT(Pqp_supermarket_data[[#This Row],[DateTime]],"mmm")</f>
        <v>Jan</v>
      </c>
      <c r="N341" t="str">
        <f>TEXT(Pqp_supermarket_data[[#This Row],[DateTime]],"yyy")</f>
        <v>2025</v>
      </c>
    </row>
    <row r="342" spans="1:14" x14ac:dyDescent="0.35">
      <c r="A342" t="s">
        <v>830</v>
      </c>
      <c r="B342" s="1">
        <v>45505.535452349533</v>
      </c>
      <c r="C342" t="s">
        <v>831</v>
      </c>
      <c r="D342" t="s">
        <v>19</v>
      </c>
      <c r="E342" t="s">
        <v>94</v>
      </c>
      <c r="F342">
        <v>0.8</v>
      </c>
      <c r="G342">
        <v>7</v>
      </c>
      <c r="H342" t="s">
        <v>14</v>
      </c>
      <c r="I342" t="s">
        <v>36</v>
      </c>
      <c r="J342" t="s">
        <v>122</v>
      </c>
      <c r="K342">
        <f>Pqp_supermarket_data[[#This Row],[Unit_Price]]*Pqp_supermarket_data[[#This Row],[Quantity]]</f>
        <v>5.6000000000000005</v>
      </c>
      <c r="L342" t="str">
        <f>TEXT(Pqp_supermarket_data[[#This Row],[DateTime]],"ddd")</f>
        <v>Thu</v>
      </c>
      <c r="M342" t="str">
        <f>TEXT(Pqp_supermarket_data[[#This Row],[DateTime]],"mmm")</f>
        <v>Aug</v>
      </c>
      <c r="N342" t="str">
        <f>TEXT(Pqp_supermarket_data[[#This Row],[DateTime]],"yyy")</f>
        <v>2024</v>
      </c>
    </row>
    <row r="343" spans="1:14" x14ac:dyDescent="0.35">
      <c r="A343" t="s">
        <v>832</v>
      </c>
      <c r="B343" s="1">
        <v>44808.718091249997</v>
      </c>
      <c r="C343" t="s">
        <v>833</v>
      </c>
      <c r="D343" t="s">
        <v>226</v>
      </c>
      <c r="E343" t="s">
        <v>57</v>
      </c>
      <c r="F343">
        <v>4.5</v>
      </c>
      <c r="G343">
        <v>6</v>
      </c>
      <c r="H343" t="s">
        <v>14</v>
      </c>
      <c r="I343" t="s">
        <v>61</v>
      </c>
      <c r="J343" t="s">
        <v>230</v>
      </c>
      <c r="K343">
        <f>Pqp_supermarket_data[[#This Row],[Unit_Price]]*Pqp_supermarket_data[[#This Row],[Quantity]]</f>
        <v>27</v>
      </c>
      <c r="L343" t="str">
        <f>TEXT(Pqp_supermarket_data[[#This Row],[DateTime]],"ddd")</f>
        <v>Sun</v>
      </c>
      <c r="M343" t="str">
        <f>TEXT(Pqp_supermarket_data[[#This Row],[DateTime]],"mmm")</f>
        <v>Sep</v>
      </c>
      <c r="N343" t="str">
        <f>TEXT(Pqp_supermarket_data[[#This Row],[DateTime]],"yyy")</f>
        <v>2022</v>
      </c>
    </row>
    <row r="344" spans="1:14" x14ac:dyDescent="0.35">
      <c r="A344" t="s">
        <v>834</v>
      </c>
      <c r="B344" s="1">
        <v>45665.447952361108</v>
      </c>
      <c r="C344" t="s">
        <v>835</v>
      </c>
      <c r="D344" t="s">
        <v>171</v>
      </c>
      <c r="E344" t="s">
        <v>26</v>
      </c>
      <c r="F344">
        <v>2.5</v>
      </c>
      <c r="G344">
        <v>9</v>
      </c>
      <c r="H344" t="s">
        <v>14</v>
      </c>
      <c r="I344" t="s">
        <v>36</v>
      </c>
      <c r="J344" t="s">
        <v>105</v>
      </c>
      <c r="K344">
        <f>Pqp_supermarket_data[[#This Row],[Unit_Price]]*Pqp_supermarket_data[[#This Row],[Quantity]]</f>
        <v>22.5</v>
      </c>
      <c r="L344" t="str">
        <f>TEXT(Pqp_supermarket_data[[#This Row],[DateTime]],"ddd")</f>
        <v>Wed</v>
      </c>
      <c r="M344" t="str">
        <f>TEXT(Pqp_supermarket_data[[#This Row],[DateTime]],"mmm")</f>
        <v>Jan</v>
      </c>
      <c r="N344" t="str">
        <f>TEXT(Pqp_supermarket_data[[#This Row],[DateTime]],"yyy")</f>
        <v>2025</v>
      </c>
    </row>
    <row r="345" spans="1:14" x14ac:dyDescent="0.35">
      <c r="A345" t="s">
        <v>836</v>
      </c>
      <c r="B345" s="1">
        <v>45710.33336902778</v>
      </c>
      <c r="C345" t="s">
        <v>837</v>
      </c>
      <c r="D345" t="s">
        <v>19</v>
      </c>
      <c r="E345" t="s">
        <v>94</v>
      </c>
      <c r="F345">
        <v>0.8</v>
      </c>
      <c r="G345">
        <v>1</v>
      </c>
      <c r="H345" t="s">
        <v>14</v>
      </c>
      <c r="I345" t="s">
        <v>86</v>
      </c>
      <c r="J345" t="s">
        <v>336</v>
      </c>
      <c r="K345">
        <f>Pqp_supermarket_data[[#This Row],[Unit_Price]]*Pqp_supermarket_data[[#This Row],[Quantity]]</f>
        <v>0.8</v>
      </c>
      <c r="L345" t="str">
        <f>TEXT(Pqp_supermarket_data[[#This Row],[DateTime]],"ddd")</f>
        <v>Sat</v>
      </c>
      <c r="M345" t="str">
        <f>TEXT(Pqp_supermarket_data[[#This Row],[DateTime]],"mmm")</f>
        <v>Feb</v>
      </c>
      <c r="N345" t="str">
        <f>TEXT(Pqp_supermarket_data[[#This Row],[DateTime]],"yyy")</f>
        <v>2025</v>
      </c>
    </row>
    <row r="346" spans="1:14" x14ac:dyDescent="0.35">
      <c r="A346" t="s">
        <v>838</v>
      </c>
      <c r="B346" s="1">
        <v>45404.563230138891</v>
      </c>
      <c r="C346" t="s">
        <v>839</v>
      </c>
      <c r="D346" t="s">
        <v>19</v>
      </c>
      <c r="E346" t="s">
        <v>57</v>
      </c>
      <c r="F346">
        <v>4.5</v>
      </c>
      <c r="G346">
        <v>1</v>
      </c>
      <c r="H346" t="s">
        <v>14</v>
      </c>
      <c r="I346" t="s">
        <v>40</v>
      </c>
      <c r="J346" t="s">
        <v>108</v>
      </c>
      <c r="K346">
        <f>Pqp_supermarket_data[[#This Row],[Unit_Price]]*Pqp_supermarket_data[[#This Row],[Quantity]]</f>
        <v>4.5</v>
      </c>
      <c r="L346" t="str">
        <f>TEXT(Pqp_supermarket_data[[#This Row],[DateTime]],"ddd")</f>
        <v>Mon</v>
      </c>
      <c r="M346" t="str">
        <f>TEXT(Pqp_supermarket_data[[#This Row],[DateTime]],"mmm")</f>
        <v>Apr</v>
      </c>
      <c r="N346" t="str">
        <f>TEXT(Pqp_supermarket_data[[#This Row],[DateTime]],"yyy")</f>
        <v>2024</v>
      </c>
    </row>
    <row r="347" spans="1:14" x14ac:dyDescent="0.35">
      <c r="A347" t="s">
        <v>840</v>
      </c>
      <c r="B347" s="1">
        <v>44622.763924583334</v>
      </c>
      <c r="C347" t="s">
        <v>841</v>
      </c>
      <c r="D347" t="s">
        <v>19</v>
      </c>
      <c r="E347" t="s">
        <v>39</v>
      </c>
      <c r="F347">
        <v>3.2</v>
      </c>
      <c r="G347">
        <v>5</v>
      </c>
      <c r="H347" t="s">
        <v>14</v>
      </c>
      <c r="I347" t="s">
        <v>86</v>
      </c>
      <c r="J347" t="s">
        <v>230</v>
      </c>
      <c r="K347">
        <f>Pqp_supermarket_data[[#This Row],[Unit_Price]]*Pqp_supermarket_data[[#This Row],[Quantity]]</f>
        <v>16</v>
      </c>
      <c r="L347" t="str">
        <f>TEXT(Pqp_supermarket_data[[#This Row],[DateTime]],"ddd")</f>
        <v>Wed</v>
      </c>
      <c r="M347" t="str">
        <f>TEXT(Pqp_supermarket_data[[#This Row],[DateTime]],"mmm")</f>
        <v>Mar</v>
      </c>
      <c r="N347" t="str">
        <f>TEXT(Pqp_supermarket_data[[#This Row],[DateTime]],"yyy")</f>
        <v>2022</v>
      </c>
    </row>
    <row r="348" spans="1:14" x14ac:dyDescent="0.35">
      <c r="A348" t="s">
        <v>842</v>
      </c>
      <c r="B348" s="1">
        <v>44673.871563483794</v>
      </c>
      <c r="C348" t="s">
        <v>843</v>
      </c>
      <c r="D348" t="s">
        <v>19</v>
      </c>
      <c r="E348" t="s">
        <v>111</v>
      </c>
      <c r="F348">
        <v>2.2000000000000002</v>
      </c>
      <c r="G348">
        <v>9</v>
      </c>
      <c r="H348" t="s">
        <v>14</v>
      </c>
      <c r="I348" t="s">
        <v>86</v>
      </c>
      <c r="J348" t="s">
        <v>195</v>
      </c>
      <c r="K348">
        <f>Pqp_supermarket_data[[#This Row],[Unit_Price]]*Pqp_supermarket_data[[#This Row],[Quantity]]</f>
        <v>19.8</v>
      </c>
      <c r="L348" t="str">
        <f>TEXT(Pqp_supermarket_data[[#This Row],[DateTime]],"ddd")</f>
        <v>Fri</v>
      </c>
      <c r="M348" t="str">
        <f>TEXT(Pqp_supermarket_data[[#This Row],[DateTime]],"mmm")</f>
        <v>Apr</v>
      </c>
      <c r="N348" t="str">
        <f>TEXT(Pqp_supermarket_data[[#This Row],[DateTime]],"yyy")</f>
        <v>2022</v>
      </c>
    </row>
    <row r="349" spans="1:14" x14ac:dyDescent="0.35">
      <c r="A349" t="s">
        <v>844</v>
      </c>
      <c r="B349" s="1">
        <v>45392.42017459491</v>
      </c>
      <c r="C349" t="s">
        <v>845</v>
      </c>
      <c r="D349" t="s">
        <v>69</v>
      </c>
      <c r="E349" t="s">
        <v>70</v>
      </c>
      <c r="F349">
        <v>5</v>
      </c>
      <c r="G349">
        <v>5</v>
      </c>
      <c r="H349" t="s">
        <v>14</v>
      </c>
      <c r="I349" t="s">
        <v>36</v>
      </c>
      <c r="J349" t="s">
        <v>458</v>
      </c>
      <c r="K349">
        <f>Pqp_supermarket_data[[#This Row],[Unit_Price]]*Pqp_supermarket_data[[#This Row],[Quantity]]</f>
        <v>25</v>
      </c>
      <c r="L349" t="str">
        <f>TEXT(Pqp_supermarket_data[[#This Row],[DateTime]],"ddd")</f>
        <v>Wed</v>
      </c>
      <c r="M349" t="str">
        <f>TEXT(Pqp_supermarket_data[[#This Row],[DateTime]],"mmm")</f>
        <v>Apr</v>
      </c>
      <c r="N349" t="str">
        <f>TEXT(Pqp_supermarket_data[[#This Row],[DateTime]],"yyy")</f>
        <v>2024</v>
      </c>
    </row>
    <row r="350" spans="1:14" x14ac:dyDescent="0.35">
      <c r="A350" t="s">
        <v>846</v>
      </c>
      <c r="B350" s="1">
        <v>45757.586841261575</v>
      </c>
      <c r="C350" t="s">
        <v>847</v>
      </c>
      <c r="D350" t="s">
        <v>226</v>
      </c>
      <c r="E350" t="s">
        <v>57</v>
      </c>
      <c r="F350">
        <v>4.5</v>
      </c>
      <c r="G350">
        <v>10</v>
      </c>
      <c r="H350" t="s">
        <v>14</v>
      </c>
      <c r="I350" t="s">
        <v>36</v>
      </c>
      <c r="J350" t="s">
        <v>91</v>
      </c>
      <c r="K350">
        <f>Pqp_supermarket_data[[#This Row],[Unit_Price]]*Pqp_supermarket_data[[#This Row],[Quantity]]</f>
        <v>45</v>
      </c>
      <c r="L350" t="str">
        <f>TEXT(Pqp_supermarket_data[[#This Row],[DateTime]],"ddd")</f>
        <v>Thu</v>
      </c>
      <c r="M350" t="str">
        <f>TEXT(Pqp_supermarket_data[[#This Row],[DateTime]],"mmm")</f>
        <v>Apr</v>
      </c>
      <c r="N350" t="str">
        <f>TEXT(Pqp_supermarket_data[[#This Row],[DateTime]],"yyy")</f>
        <v>2025</v>
      </c>
    </row>
    <row r="351" spans="1:14" x14ac:dyDescent="0.35">
      <c r="A351" t="s">
        <v>848</v>
      </c>
      <c r="B351" s="1">
        <v>45391.324341261578</v>
      </c>
      <c r="C351" t="s">
        <v>849</v>
      </c>
      <c r="D351" t="s">
        <v>34</v>
      </c>
      <c r="E351" t="s">
        <v>49</v>
      </c>
      <c r="F351">
        <v>7</v>
      </c>
      <c r="G351">
        <v>7</v>
      </c>
      <c r="H351" t="s">
        <v>14</v>
      </c>
      <c r="I351" t="s">
        <v>21</v>
      </c>
      <c r="J351" t="s">
        <v>394</v>
      </c>
      <c r="K351">
        <f>Pqp_supermarket_data[[#This Row],[Unit_Price]]*Pqp_supermarket_data[[#This Row],[Quantity]]</f>
        <v>49</v>
      </c>
      <c r="L351" t="str">
        <f>TEXT(Pqp_supermarket_data[[#This Row],[DateTime]],"ddd")</f>
        <v>Tue</v>
      </c>
      <c r="M351" t="str">
        <f>TEXT(Pqp_supermarket_data[[#This Row],[DateTime]],"mmm")</f>
        <v>Apr</v>
      </c>
      <c r="N351" t="str">
        <f>TEXT(Pqp_supermarket_data[[#This Row],[DateTime]],"yyy")</f>
        <v>2024</v>
      </c>
    </row>
    <row r="352" spans="1:14" x14ac:dyDescent="0.35">
      <c r="A352" t="s">
        <v>850</v>
      </c>
      <c r="B352" s="1">
        <v>45609.030591261573</v>
      </c>
      <c r="C352" t="s">
        <v>851</v>
      </c>
      <c r="D352" t="s">
        <v>77</v>
      </c>
      <c r="E352" t="s">
        <v>94</v>
      </c>
      <c r="F352">
        <v>0.8</v>
      </c>
      <c r="G352">
        <v>3</v>
      </c>
      <c r="H352" t="s">
        <v>14</v>
      </c>
      <c r="I352" t="s">
        <v>86</v>
      </c>
      <c r="J352" t="s">
        <v>394</v>
      </c>
      <c r="K352">
        <f>Pqp_supermarket_data[[#This Row],[Unit_Price]]*Pqp_supermarket_data[[#This Row],[Quantity]]</f>
        <v>2.4000000000000004</v>
      </c>
      <c r="L352" t="str">
        <f>TEXT(Pqp_supermarket_data[[#This Row],[DateTime]],"ddd")</f>
        <v>Wed</v>
      </c>
      <c r="M352" t="str">
        <f>TEXT(Pqp_supermarket_data[[#This Row],[DateTime]],"mmm")</f>
        <v>Nov</v>
      </c>
      <c r="N352" t="str">
        <f>TEXT(Pqp_supermarket_data[[#This Row],[DateTime]],"yyy")</f>
        <v>2024</v>
      </c>
    </row>
    <row r="353" spans="1:14" x14ac:dyDescent="0.35">
      <c r="A353" t="s">
        <v>852</v>
      </c>
      <c r="B353" s="1">
        <v>45278.548646828705</v>
      </c>
      <c r="C353" t="s">
        <v>853</v>
      </c>
      <c r="D353" t="s">
        <v>82</v>
      </c>
      <c r="E353" t="s">
        <v>26</v>
      </c>
      <c r="F353">
        <v>2.5</v>
      </c>
      <c r="G353">
        <v>8</v>
      </c>
      <c r="H353" t="s">
        <v>14</v>
      </c>
      <c r="I353" t="s">
        <v>61</v>
      </c>
      <c r="J353" t="s">
        <v>517</v>
      </c>
      <c r="K353">
        <f>Pqp_supermarket_data[[#This Row],[Unit_Price]]*Pqp_supermarket_data[[#This Row],[Quantity]]</f>
        <v>20</v>
      </c>
      <c r="L353" t="str">
        <f>TEXT(Pqp_supermarket_data[[#This Row],[DateTime]],"ddd")</f>
        <v>Mon</v>
      </c>
      <c r="M353" t="str">
        <f>TEXT(Pqp_supermarket_data[[#This Row],[DateTime]],"mmm")</f>
        <v>Dec</v>
      </c>
      <c r="N353" t="str">
        <f>TEXT(Pqp_supermarket_data[[#This Row],[DateTime]],"yyy")</f>
        <v>2023</v>
      </c>
    </row>
    <row r="354" spans="1:14" x14ac:dyDescent="0.35">
      <c r="A354" t="s">
        <v>854</v>
      </c>
      <c r="B354" s="1">
        <v>45167.77781349537</v>
      </c>
      <c r="C354" t="s">
        <v>855</v>
      </c>
      <c r="D354" t="s">
        <v>171</v>
      </c>
      <c r="E354" t="s">
        <v>35</v>
      </c>
      <c r="F354">
        <v>1.2</v>
      </c>
      <c r="G354">
        <v>5</v>
      </c>
      <c r="H354" t="s">
        <v>14</v>
      </c>
      <c r="I354" t="s">
        <v>36</v>
      </c>
      <c r="J354" t="s">
        <v>116</v>
      </c>
      <c r="K354">
        <f>Pqp_supermarket_data[[#This Row],[Unit_Price]]*Pqp_supermarket_data[[#This Row],[Quantity]]</f>
        <v>6</v>
      </c>
      <c r="L354" t="str">
        <f>TEXT(Pqp_supermarket_data[[#This Row],[DateTime]],"ddd")</f>
        <v>Tue</v>
      </c>
      <c r="M354" t="str">
        <f>TEXT(Pqp_supermarket_data[[#This Row],[DateTime]],"mmm")</f>
        <v>Aug</v>
      </c>
      <c r="N354" t="str">
        <f>TEXT(Pqp_supermarket_data[[#This Row],[DateTime]],"yyy")</f>
        <v>2023</v>
      </c>
    </row>
    <row r="355" spans="1:14" x14ac:dyDescent="0.35">
      <c r="A355" t="s">
        <v>856</v>
      </c>
      <c r="B355" s="1">
        <v>44368.266007939812</v>
      </c>
      <c r="C355" t="s">
        <v>857</v>
      </c>
      <c r="D355" t="s">
        <v>30</v>
      </c>
      <c r="E355" t="s">
        <v>148</v>
      </c>
      <c r="F355">
        <v>5.5</v>
      </c>
      <c r="G355">
        <v>8</v>
      </c>
      <c r="H355" t="s">
        <v>14</v>
      </c>
      <c r="I355" t="s">
        <v>61</v>
      </c>
      <c r="J355" t="s">
        <v>769</v>
      </c>
      <c r="K355">
        <f>Pqp_supermarket_data[[#This Row],[Unit_Price]]*Pqp_supermarket_data[[#This Row],[Quantity]]</f>
        <v>44</v>
      </c>
      <c r="L355" t="str">
        <f>TEXT(Pqp_supermarket_data[[#This Row],[DateTime]],"ddd")</f>
        <v>Mon</v>
      </c>
      <c r="M355" t="str">
        <f>TEXT(Pqp_supermarket_data[[#This Row],[DateTime]],"mmm")</f>
        <v>Jun</v>
      </c>
      <c r="N355" t="str">
        <f>TEXT(Pqp_supermarket_data[[#This Row],[DateTime]],"yyy")</f>
        <v>2021</v>
      </c>
    </row>
    <row r="356" spans="1:14" x14ac:dyDescent="0.35">
      <c r="A356" t="s">
        <v>858</v>
      </c>
      <c r="B356" s="1">
        <v>44955.662535717594</v>
      </c>
      <c r="C356" t="s">
        <v>859</v>
      </c>
      <c r="D356" t="s">
        <v>19</v>
      </c>
      <c r="E356" t="s">
        <v>57</v>
      </c>
      <c r="F356">
        <v>4.5</v>
      </c>
      <c r="G356">
        <v>2</v>
      </c>
      <c r="H356" t="s">
        <v>14</v>
      </c>
      <c r="I356" t="s">
        <v>36</v>
      </c>
      <c r="J356" t="s">
        <v>50</v>
      </c>
      <c r="K356">
        <f>Pqp_supermarket_data[[#This Row],[Unit_Price]]*Pqp_supermarket_data[[#This Row],[Quantity]]</f>
        <v>9</v>
      </c>
      <c r="L356" t="str">
        <f>TEXT(Pqp_supermarket_data[[#This Row],[DateTime]],"ddd")</f>
        <v>Sun</v>
      </c>
      <c r="M356" t="str">
        <f>TEXT(Pqp_supermarket_data[[#This Row],[DateTime]],"mmm")</f>
        <v>Jan</v>
      </c>
      <c r="N356" t="str">
        <f>TEXT(Pqp_supermarket_data[[#This Row],[DateTime]],"yyy")</f>
        <v>2023</v>
      </c>
    </row>
    <row r="357" spans="1:14" x14ac:dyDescent="0.35">
      <c r="A357" t="s">
        <v>860</v>
      </c>
      <c r="B357" s="1">
        <v>45033.758369050927</v>
      </c>
      <c r="C357" t="s">
        <v>861</v>
      </c>
      <c r="D357" t="s">
        <v>25</v>
      </c>
      <c r="E357" t="s">
        <v>111</v>
      </c>
      <c r="F357">
        <v>2.2000000000000002</v>
      </c>
      <c r="G357">
        <v>8</v>
      </c>
      <c r="H357" t="s">
        <v>14</v>
      </c>
      <c r="I357" t="s">
        <v>15</v>
      </c>
      <c r="J357" t="s">
        <v>223</v>
      </c>
      <c r="K357">
        <f>Pqp_supermarket_data[[#This Row],[Unit_Price]]*Pqp_supermarket_data[[#This Row],[Quantity]]</f>
        <v>17.600000000000001</v>
      </c>
      <c r="L357" t="str">
        <f>TEXT(Pqp_supermarket_data[[#This Row],[DateTime]],"ddd")</f>
        <v>Mon</v>
      </c>
      <c r="M357" t="str">
        <f>TEXT(Pqp_supermarket_data[[#This Row],[DateTime]],"mmm")</f>
        <v>Apr</v>
      </c>
      <c r="N357" t="str">
        <f>TEXT(Pqp_supermarket_data[[#This Row],[DateTime]],"yyy")</f>
        <v>2023</v>
      </c>
    </row>
    <row r="358" spans="1:14" x14ac:dyDescent="0.35">
      <c r="A358" t="s">
        <v>862</v>
      </c>
      <c r="B358" s="1">
        <v>44546.0833690625</v>
      </c>
      <c r="C358" t="s">
        <v>863</v>
      </c>
      <c r="D358" t="s">
        <v>12</v>
      </c>
      <c r="E358" t="s">
        <v>20</v>
      </c>
      <c r="F358">
        <v>1</v>
      </c>
      <c r="G358">
        <v>8</v>
      </c>
      <c r="H358" t="s">
        <v>14</v>
      </c>
      <c r="I358" t="s">
        <v>21</v>
      </c>
      <c r="J358" t="s">
        <v>178</v>
      </c>
      <c r="K358">
        <f>Pqp_supermarket_data[[#This Row],[Unit_Price]]*Pqp_supermarket_data[[#This Row],[Quantity]]</f>
        <v>8</v>
      </c>
      <c r="L358" t="str">
        <f>TEXT(Pqp_supermarket_data[[#This Row],[DateTime]],"ddd")</f>
        <v>Thu</v>
      </c>
      <c r="M358" t="str">
        <f>TEXT(Pqp_supermarket_data[[#This Row],[DateTime]],"mmm")</f>
        <v>Dec</v>
      </c>
      <c r="N358" t="str">
        <f>TEXT(Pqp_supermarket_data[[#This Row],[DateTime]],"yyy")</f>
        <v>2021</v>
      </c>
    </row>
    <row r="359" spans="1:14" x14ac:dyDescent="0.35">
      <c r="A359" t="s">
        <v>864</v>
      </c>
      <c r="B359" s="1">
        <v>45339.238230173614</v>
      </c>
      <c r="C359" t="s">
        <v>865</v>
      </c>
      <c r="D359" t="s">
        <v>226</v>
      </c>
      <c r="E359" t="s">
        <v>45</v>
      </c>
      <c r="F359">
        <v>1</v>
      </c>
      <c r="G359">
        <v>2</v>
      </c>
      <c r="H359" t="s">
        <v>14</v>
      </c>
      <c r="I359" t="s">
        <v>21</v>
      </c>
      <c r="J359" t="s">
        <v>31</v>
      </c>
      <c r="K359">
        <f>Pqp_supermarket_data[[#This Row],[Unit_Price]]*Pqp_supermarket_data[[#This Row],[Quantity]]</f>
        <v>2</v>
      </c>
      <c r="L359" t="str">
        <f>TEXT(Pqp_supermarket_data[[#This Row],[DateTime]],"ddd")</f>
        <v>Sat</v>
      </c>
      <c r="M359" t="str">
        <f>TEXT(Pqp_supermarket_data[[#This Row],[DateTime]],"mmm")</f>
        <v>Feb</v>
      </c>
      <c r="N359" t="str">
        <f>TEXT(Pqp_supermarket_data[[#This Row],[DateTime]],"yyy")</f>
        <v>2024</v>
      </c>
    </row>
    <row r="360" spans="1:14" x14ac:dyDescent="0.35">
      <c r="A360" t="s">
        <v>866</v>
      </c>
      <c r="B360" s="1">
        <v>44704.627119062498</v>
      </c>
      <c r="C360" t="s">
        <v>867</v>
      </c>
      <c r="D360" t="s">
        <v>77</v>
      </c>
      <c r="E360" t="s">
        <v>119</v>
      </c>
      <c r="F360">
        <v>4</v>
      </c>
      <c r="G360">
        <v>2</v>
      </c>
      <c r="H360" t="s">
        <v>14</v>
      </c>
      <c r="I360" t="s">
        <v>40</v>
      </c>
      <c r="J360" t="s">
        <v>153</v>
      </c>
      <c r="K360">
        <f>Pqp_supermarket_data[[#This Row],[Unit_Price]]*Pqp_supermarket_data[[#This Row],[Quantity]]</f>
        <v>8</v>
      </c>
      <c r="L360" t="str">
        <f>TEXT(Pqp_supermarket_data[[#This Row],[DateTime]],"ddd")</f>
        <v>Mon</v>
      </c>
      <c r="M360" t="str">
        <f>TEXT(Pqp_supermarket_data[[#This Row],[DateTime]],"mmm")</f>
        <v>May</v>
      </c>
      <c r="N360" t="str">
        <f>TEXT(Pqp_supermarket_data[[#This Row],[DateTime]],"yyy")</f>
        <v>2022</v>
      </c>
    </row>
    <row r="361" spans="1:14" x14ac:dyDescent="0.35">
      <c r="A361" t="s">
        <v>868</v>
      </c>
      <c r="B361" s="1">
        <v>44751.284757951391</v>
      </c>
      <c r="C361" t="s">
        <v>869</v>
      </c>
      <c r="D361" t="s">
        <v>85</v>
      </c>
      <c r="E361" t="s">
        <v>111</v>
      </c>
      <c r="F361">
        <v>2.2000000000000002</v>
      </c>
      <c r="G361">
        <v>3</v>
      </c>
      <c r="H361" t="s">
        <v>14</v>
      </c>
      <c r="I361" t="s">
        <v>61</v>
      </c>
      <c r="J361" t="s">
        <v>128</v>
      </c>
      <c r="K361">
        <f>Pqp_supermarket_data[[#This Row],[Unit_Price]]*Pqp_supermarket_data[[#This Row],[Quantity]]</f>
        <v>6.6000000000000005</v>
      </c>
      <c r="L361" t="str">
        <f>TEXT(Pqp_supermarket_data[[#This Row],[DateTime]],"ddd")</f>
        <v>Sat</v>
      </c>
      <c r="M361" t="str">
        <f>TEXT(Pqp_supermarket_data[[#This Row],[DateTime]],"mmm")</f>
        <v>Jul</v>
      </c>
      <c r="N361" t="str">
        <f>TEXT(Pqp_supermarket_data[[#This Row],[DateTime]],"yyy")</f>
        <v>2022</v>
      </c>
    </row>
    <row r="362" spans="1:14" x14ac:dyDescent="0.35">
      <c r="A362" t="s">
        <v>870</v>
      </c>
      <c r="B362" s="1">
        <v>44882.404896840279</v>
      </c>
      <c r="C362" t="s">
        <v>871</v>
      </c>
      <c r="D362" t="s">
        <v>25</v>
      </c>
      <c r="E362" t="s">
        <v>119</v>
      </c>
      <c r="F362">
        <v>4</v>
      </c>
      <c r="G362">
        <v>8</v>
      </c>
      <c r="H362" t="s">
        <v>14</v>
      </c>
      <c r="I362" t="s">
        <v>40</v>
      </c>
      <c r="J362" t="s">
        <v>138</v>
      </c>
      <c r="K362">
        <f>Pqp_supermarket_data[[#This Row],[Unit_Price]]*Pqp_supermarket_data[[#This Row],[Quantity]]</f>
        <v>32</v>
      </c>
      <c r="L362" t="str">
        <f>TEXT(Pqp_supermarket_data[[#This Row],[DateTime]],"ddd")</f>
        <v>Thu</v>
      </c>
      <c r="M362" t="str">
        <f>TEXT(Pqp_supermarket_data[[#This Row],[DateTime]],"mmm")</f>
        <v>Nov</v>
      </c>
      <c r="N362" t="str">
        <f>TEXT(Pqp_supermarket_data[[#This Row],[DateTime]],"yyy")</f>
        <v>2022</v>
      </c>
    </row>
    <row r="363" spans="1:14" x14ac:dyDescent="0.35">
      <c r="A363" t="s">
        <v>872</v>
      </c>
      <c r="B363" s="1">
        <v>44874.497952407408</v>
      </c>
      <c r="C363" t="s">
        <v>873</v>
      </c>
      <c r="D363" t="s">
        <v>69</v>
      </c>
      <c r="E363" t="s">
        <v>90</v>
      </c>
      <c r="F363">
        <v>1.8</v>
      </c>
      <c r="G363">
        <v>7</v>
      </c>
      <c r="H363" t="s">
        <v>14</v>
      </c>
      <c r="I363" t="s">
        <v>86</v>
      </c>
      <c r="J363" t="s">
        <v>323</v>
      </c>
      <c r="K363">
        <f>Pqp_supermarket_data[[#This Row],[Unit_Price]]*Pqp_supermarket_data[[#This Row],[Quantity]]</f>
        <v>12.6</v>
      </c>
      <c r="L363" t="str">
        <f>TEXT(Pqp_supermarket_data[[#This Row],[DateTime]],"ddd")</f>
        <v>Wed</v>
      </c>
      <c r="M363" t="str">
        <f>TEXT(Pqp_supermarket_data[[#This Row],[DateTime]],"mmm")</f>
        <v>Nov</v>
      </c>
      <c r="N363" t="str">
        <f>TEXT(Pqp_supermarket_data[[#This Row],[DateTime]],"yyy")</f>
        <v>2022</v>
      </c>
    </row>
    <row r="364" spans="1:14" x14ac:dyDescent="0.35">
      <c r="A364" t="s">
        <v>874</v>
      </c>
      <c r="B364" s="1">
        <v>45667.831285740744</v>
      </c>
      <c r="C364" t="s">
        <v>875</v>
      </c>
      <c r="D364" t="s">
        <v>30</v>
      </c>
      <c r="E364" t="s">
        <v>57</v>
      </c>
      <c r="F364">
        <v>4.5</v>
      </c>
      <c r="G364">
        <v>1</v>
      </c>
      <c r="H364" t="s">
        <v>14</v>
      </c>
      <c r="I364" t="s">
        <v>86</v>
      </c>
      <c r="J364" t="s">
        <v>364</v>
      </c>
      <c r="K364">
        <f>Pqp_supermarket_data[[#This Row],[Unit_Price]]*Pqp_supermarket_data[[#This Row],[Quantity]]</f>
        <v>4.5</v>
      </c>
      <c r="L364" t="str">
        <f>TEXT(Pqp_supermarket_data[[#This Row],[DateTime]],"ddd")</f>
        <v>Fri</v>
      </c>
      <c r="M364" t="str">
        <f>TEXT(Pqp_supermarket_data[[#This Row],[DateTime]],"mmm")</f>
        <v>Jan</v>
      </c>
      <c r="N364" t="str">
        <f>TEXT(Pqp_supermarket_data[[#This Row],[DateTime]],"yyy")</f>
        <v>2025</v>
      </c>
    </row>
    <row r="365" spans="1:14" x14ac:dyDescent="0.35">
      <c r="A365" t="s">
        <v>876</v>
      </c>
      <c r="B365" s="1">
        <v>45779.592396863423</v>
      </c>
      <c r="C365" t="s">
        <v>877</v>
      </c>
      <c r="D365" t="s">
        <v>171</v>
      </c>
      <c r="E365" t="s">
        <v>65</v>
      </c>
      <c r="F365">
        <v>3</v>
      </c>
      <c r="G365">
        <v>1</v>
      </c>
      <c r="H365" t="s">
        <v>14</v>
      </c>
      <c r="I365" t="s">
        <v>86</v>
      </c>
      <c r="J365" t="s">
        <v>561</v>
      </c>
      <c r="K365">
        <f>Pqp_supermarket_data[[#This Row],[Unit_Price]]*Pqp_supermarket_data[[#This Row],[Quantity]]</f>
        <v>3</v>
      </c>
      <c r="L365" t="str">
        <f>TEXT(Pqp_supermarket_data[[#This Row],[DateTime]],"ddd")</f>
        <v>Fri</v>
      </c>
      <c r="M365" t="str">
        <f>TEXT(Pqp_supermarket_data[[#This Row],[DateTime]],"mmm")</f>
        <v>May</v>
      </c>
      <c r="N365" t="str">
        <f>TEXT(Pqp_supermarket_data[[#This Row],[DateTime]],"yyy")</f>
        <v>2025</v>
      </c>
    </row>
    <row r="366" spans="1:14" x14ac:dyDescent="0.35">
      <c r="A366" t="s">
        <v>878</v>
      </c>
      <c r="B366" s="1">
        <v>44352.452813530093</v>
      </c>
      <c r="C366" t="s">
        <v>879</v>
      </c>
      <c r="D366" t="s">
        <v>208</v>
      </c>
      <c r="E366" t="s">
        <v>65</v>
      </c>
      <c r="F366">
        <v>3</v>
      </c>
      <c r="G366">
        <v>8</v>
      </c>
      <c r="H366" t="s">
        <v>14</v>
      </c>
      <c r="I366" t="s">
        <v>40</v>
      </c>
      <c r="J366" t="s">
        <v>429</v>
      </c>
      <c r="K366">
        <f>Pqp_supermarket_data[[#This Row],[Unit_Price]]*Pqp_supermarket_data[[#This Row],[Quantity]]</f>
        <v>24</v>
      </c>
      <c r="L366" t="str">
        <f>TEXT(Pqp_supermarket_data[[#This Row],[DateTime]],"ddd")</f>
        <v>Sat</v>
      </c>
      <c r="M366" t="str">
        <f>TEXT(Pqp_supermarket_data[[#This Row],[DateTime]],"mmm")</f>
        <v>Jun</v>
      </c>
      <c r="N366" t="str">
        <f>TEXT(Pqp_supermarket_data[[#This Row],[DateTime]],"yyy")</f>
        <v>2021</v>
      </c>
    </row>
    <row r="367" spans="1:14" x14ac:dyDescent="0.35">
      <c r="A367" t="s">
        <v>880</v>
      </c>
      <c r="B367" s="1">
        <v>44949.317396863429</v>
      </c>
      <c r="C367" t="s">
        <v>881</v>
      </c>
      <c r="D367" t="s">
        <v>69</v>
      </c>
      <c r="E367" t="s">
        <v>145</v>
      </c>
      <c r="F367">
        <v>1.7</v>
      </c>
      <c r="G367">
        <v>6</v>
      </c>
      <c r="H367" t="s">
        <v>14</v>
      </c>
      <c r="I367" t="s">
        <v>86</v>
      </c>
      <c r="J367" t="s">
        <v>31</v>
      </c>
      <c r="K367">
        <f>Pqp_supermarket_data[[#This Row],[Unit_Price]]*Pqp_supermarket_data[[#This Row],[Quantity]]</f>
        <v>10.199999999999999</v>
      </c>
      <c r="L367" t="str">
        <f>TEXT(Pqp_supermarket_data[[#This Row],[DateTime]],"ddd")</f>
        <v>Mon</v>
      </c>
      <c r="M367" t="str">
        <f>TEXT(Pqp_supermarket_data[[#This Row],[DateTime]],"mmm")</f>
        <v>Jan</v>
      </c>
      <c r="N367" t="str">
        <f>TEXT(Pqp_supermarket_data[[#This Row],[DateTime]],"yyy")</f>
        <v>2023</v>
      </c>
    </row>
    <row r="368" spans="1:14" x14ac:dyDescent="0.35">
      <c r="A368" t="s">
        <v>882</v>
      </c>
      <c r="B368" s="1">
        <v>45013.056285763887</v>
      </c>
      <c r="C368" t="s">
        <v>883</v>
      </c>
      <c r="D368" t="s">
        <v>30</v>
      </c>
      <c r="E368" t="s">
        <v>20</v>
      </c>
      <c r="F368">
        <v>1</v>
      </c>
      <c r="G368">
        <v>3</v>
      </c>
      <c r="H368" t="s">
        <v>14</v>
      </c>
      <c r="I368" t="s">
        <v>36</v>
      </c>
      <c r="J368" t="s">
        <v>561</v>
      </c>
      <c r="K368">
        <f>Pqp_supermarket_data[[#This Row],[Unit_Price]]*Pqp_supermarket_data[[#This Row],[Quantity]]</f>
        <v>3</v>
      </c>
      <c r="L368" t="str">
        <f>TEXT(Pqp_supermarket_data[[#This Row],[DateTime]],"ddd")</f>
        <v>Tue</v>
      </c>
      <c r="M368" t="str">
        <f>TEXT(Pqp_supermarket_data[[#This Row],[DateTime]],"mmm")</f>
        <v>Mar</v>
      </c>
      <c r="N368" t="str">
        <f>TEXT(Pqp_supermarket_data[[#This Row],[DateTime]],"yyy")</f>
        <v>2023</v>
      </c>
    </row>
    <row r="369" spans="1:14" x14ac:dyDescent="0.35">
      <c r="A369" t="s">
        <v>884</v>
      </c>
      <c r="B369" s="1">
        <v>45544.327813541669</v>
      </c>
      <c r="C369" t="s">
        <v>885</v>
      </c>
      <c r="D369" t="s">
        <v>82</v>
      </c>
      <c r="E369" t="s">
        <v>90</v>
      </c>
      <c r="F369">
        <v>1.8</v>
      </c>
      <c r="G369">
        <v>3</v>
      </c>
      <c r="H369" t="s">
        <v>14</v>
      </c>
      <c r="I369" t="s">
        <v>36</v>
      </c>
      <c r="J369" t="s">
        <v>499</v>
      </c>
      <c r="K369">
        <f>Pqp_supermarket_data[[#This Row],[Unit_Price]]*Pqp_supermarket_data[[#This Row],[Quantity]]</f>
        <v>5.4</v>
      </c>
      <c r="L369" t="str">
        <f>TEXT(Pqp_supermarket_data[[#This Row],[DateTime]],"ddd")</f>
        <v>Mon</v>
      </c>
      <c r="M369" t="str">
        <f>TEXT(Pqp_supermarket_data[[#This Row],[DateTime]],"mmm")</f>
        <v>Sep</v>
      </c>
      <c r="N369" t="str">
        <f>TEXT(Pqp_supermarket_data[[#This Row],[DateTime]],"yyy")</f>
        <v>2024</v>
      </c>
    </row>
    <row r="370" spans="1:14" x14ac:dyDescent="0.35">
      <c r="A370" t="s">
        <v>886</v>
      </c>
      <c r="B370" s="1">
        <v>45779.546563553238</v>
      </c>
      <c r="C370" t="s">
        <v>887</v>
      </c>
      <c r="D370" t="s">
        <v>98</v>
      </c>
      <c r="E370" t="s">
        <v>20</v>
      </c>
      <c r="F370">
        <v>1</v>
      </c>
      <c r="G370">
        <v>7</v>
      </c>
      <c r="H370" t="s">
        <v>14</v>
      </c>
      <c r="I370" t="s">
        <v>21</v>
      </c>
      <c r="J370" t="s">
        <v>41</v>
      </c>
      <c r="K370">
        <f>Pqp_supermarket_data[[#This Row],[Unit_Price]]*Pqp_supermarket_data[[#This Row],[Quantity]]</f>
        <v>7</v>
      </c>
      <c r="L370" t="str">
        <f>TEXT(Pqp_supermarket_data[[#This Row],[DateTime]],"ddd")</f>
        <v>Fri</v>
      </c>
      <c r="M370" t="str">
        <f>TEXT(Pqp_supermarket_data[[#This Row],[DateTime]],"mmm")</f>
        <v>May</v>
      </c>
      <c r="N370" t="str">
        <f>TEXT(Pqp_supermarket_data[[#This Row],[DateTime]],"yyy")</f>
        <v>2025</v>
      </c>
    </row>
    <row r="371" spans="1:14" x14ac:dyDescent="0.35">
      <c r="A371" t="s">
        <v>888</v>
      </c>
      <c r="B371" s="1">
        <v>45316.247952442129</v>
      </c>
      <c r="C371" t="s">
        <v>889</v>
      </c>
      <c r="D371" t="s">
        <v>44</v>
      </c>
      <c r="E371" t="s">
        <v>111</v>
      </c>
      <c r="F371">
        <v>2.2000000000000002</v>
      </c>
      <c r="G371">
        <v>5</v>
      </c>
      <c r="H371" t="s">
        <v>14</v>
      </c>
      <c r="I371" t="s">
        <v>15</v>
      </c>
      <c r="J371" t="s">
        <v>105</v>
      </c>
      <c r="K371">
        <f>Pqp_supermarket_data[[#This Row],[Unit_Price]]*Pqp_supermarket_data[[#This Row],[Quantity]]</f>
        <v>11</v>
      </c>
      <c r="L371" t="str">
        <f>TEXT(Pqp_supermarket_data[[#This Row],[DateTime]],"ddd")</f>
        <v>Thu</v>
      </c>
      <c r="M371" t="str">
        <f>TEXT(Pqp_supermarket_data[[#This Row],[DateTime]],"mmm")</f>
        <v>Jan</v>
      </c>
      <c r="N371" t="str">
        <f>TEXT(Pqp_supermarket_data[[#This Row],[DateTime]],"yyy")</f>
        <v>2024</v>
      </c>
    </row>
    <row r="372" spans="1:14" x14ac:dyDescent="0.35">
      <c r="A372" t="s">
        <v>890</v>
      </c>
      <c r="B372" s="1">
        <v>45555.482674664352</v>
      </c>
      <c r="C372" t="s">
        <v>891</v>
      </c>
      <c r="D372" t="s">
        <v>30</v>
      </c>
      <c r="E372" t="s">
        <v>145</v>
      </c>
      <c r="F372">
        <v>1.7</v>
      </c>
      <c r="G372">
        <v>10</v>
      </c>
      <c r="H372" t="s">
        <v>14</v>
      </c>
      <c r="I372" t="s">
        <v>40</v>
      </c>
      <c r="J372" t="s">
        <v>461</v>
      </c>
      <c r="K372">
        <f>Pqp_supermarket_data[[#This Row],[Unit_Price]]*Pqp_supermarket_data[[#This Row],[Quantity]]</f>
        <v>17</v>
      </c>
      <c r="L372" t="str">
        <f>TEXT(Pqp_supermarket_data[[#This Row],[DateTime]],"ddd")</f>
        <v>Fri</v>
      </c>
      <c r="M372" t="str">
        <f>TEXT(Pqp_supermarket_data[[#This Row],[DateTime]],"mmm")</f>
        <v>Sep</v>
      </c>
      <c r="N372" t="str">
        <f>TEXT(Pqp_supermarket_data[[#This Row],[DateTime]],"yyy")</f>
        <v>2024</v>
      </c>
    </row>
    <row r="373" spans="1:14" x14ac:dyDescent="0.35">
      <c r="A373" t="s">
        <v>892</v>
      </c>
      <c r="B373" s="1">
        <v>45364.472258020833</v>
      </c>
      <c r="C373" t="s">
        <v>893</v>
      </c>
      <c r="D373" t="s">
        <v>171</v>
      </c>
      <c r="E373" t="s">
        <v>137</v>
      </c>
      <c r="F373">
        <v>2.5</v>
      </c>
      <c r="G373">
        <v>8</v>
      </c>
      <c r="H373" t="s">
        <v>14</v>
      </c>
      <c r="I373" t="s">
        <v>21</v>
      </c>
      <c r="J373" t="s">
        <v>255</v>
      </c>
      <c r="K373">
        <f>Pqp_supermarket_data[[#This Row],[Unit_Price]]*Pqp_supermarket_data[[#This Row],[Quantity]]</f>
        <v>20</v>
      </c>
      <c r="L373" t="str">
        <f>TEXT(Pqp_supermarket_data[[#This Row],[DateTime]],"ddd")</f>
        <v>Wed</v>
      </c>
      <c r="M373" t="str">
        <f>TEXT(Pqp_supermarket_data[[#This Row],[DateTime]],"mmm")</f>
        <v>Mar</v>
      </c>
      <c r="N373" t="str">
        <f>TEXT(Pqp_supermarket_data[[#This Row],[DateTime]],"yyy")</f>
        <v>2024</v>
      </c>
    </row>
    <row r="374" spans="1:14" x14ac:dyDescent="0.35">
      <c r="A374" t="s">
        <v>894</v>
      </c>
      <c r="B374" s="1">
        <v>44346.507674699074</v>
      </c>
      <c r="C374" t="s">
        <v>895</v>
      </c>
      <c r="D374" t="s">
        <v>12</v>
      </c>
      <c r="E374" t="s">
        <v>137</v>
      </c>
      <c r="F374">
        <v>2.5</v>
      </c>
      <c r="G374">
        <v>7</v>
      </c>
      <c r="H374" t="s">
        <v>14</v>
      </c>
      <c r="I374" t="s">
        <v>86</v>
      </c>
      <c r="J374" t="s">
        <v>496</v>
      </c>
      <c r="K374">
        <f>Pqp_supermarket_data[[#This Row],[Unit_Price]]*Pqp_supermarket_data[[#This Row],[Quantity]]</f>
        <v>17.5</v>
      </c>
      <c r="L374" t="str">
        <f>TEXT(Pqp_supermarket_data[[#This Row],[DateTime]],"ddd")</f>
        <v>Sun</v>
      </c>
      <c r="M374" t="str">
        <f>TEXT(Pqp_supermarket_data[[#This Row],[DateTime]],"mmm")</f>
        <v>May</v>
      </c>
      <c r="N374" t="str">
        <f>TEXT(Pqp_supermarket_data[[#This Row],[DateTime]],"yyy")</f>
        <v>2021</v>
      </c>
    </row>
    <row r="375" spans="1:14" x14ac:dyDescent="0.35">
      <c r="A375" t="s">
        <v>896</v>
      </c>
      <c r="B375" s="1">
        <v>44681.276424710646</v>
      </c>
      <c r="C375" t="s">
        <v>897</v>
      </c>
      <c r="D375" t="s">
        <v>34</v>
      </c>
      <c r="E375" t="s">
        <v>137</v>
      </c>
      <c r="F375">
        <v>2.5</v>
      </c>
      <c r="G375">
        <v>3</v>
      </c>
      <c r="H375" t="s">
        <v>14</v>
      </c>
      <c r="I375" t="s">
        <v>21</v>
      </c>
      <c r="J375" t="s">
        <v>50</v>
      </c>
      <c r="K375">
        <f>Pqp_supermarket_data[[#This Row],[Unit_Price]]*Pqp_supermarket_data[[#This Row],[Quantity]]</f>
        <v>7.5</v>
      </c>
      <c r="L375" t="str">
        <f>TEXT(Pqp_supermarket_data[[#This Row],[DateTime]],"ddd")</f>
        <v>Sat</v>
      </c>
      <c r="M375" t="str">
        <f>TEXT(Pqp_supermarket_data[[#This Row],[DateTime]],"mmm")</f>
        <v>Apr</v>
      </c>
      <c r="N375" t="str">
        <f>TEXT(Pqp_supermarket_data[[#This Row],[DateTime]],"yyy")</f>
        <v>2022</v>
      </c>
    </row>
    <row r="376" spans="1:14" x14ac:dyDescent="0.35">
      <c r="A376" t="s">
        <v>898</v>
      </c>
      <c r="B376" s="1">
        <v>45306.576424710649</v>
      </c>
      <c r="C376" t="s">
        <v>899</v>
      </c>
      <c r="D376" t="s">
        <v>44</v>
      </c>
      <c r="E376" t="s">
        <v>119</v>
      </c>
      <c r="F376">
        <v>4</v>
      </c>
      <c r="G376">
        <v>10</v>
      </c>
      <c r="H376" t="s">
        <v>14</v>
      </c>
      <c r="I376" t="s">
        <v>36</v>
      </c>
      <c r="J376" t="s">
        <v>394</v>
      </c>
      <c r="K376">
        <f>Pqp_supermarket_data[[#This Row],[Unit_Price]]*Pqp_supermarket_data[[#This Row],[Quantity]]</f>
        <v>40</v>
      </c>
      <c r="L376" t="str">
        <f>TEXT(Pqp_supermarket_data[[#This Row],[DateTime]],"ddd")</f>
        <v>Mon</v>
      </c>
      <c r="M376" t="str">
        <f>TEXT(Pqp_supermarket_data[[#This Row],[DateTime]],"mmm")</f>
        <v>Jan</v>
      </c>
      <c r="N376" t="str">
        <f>TEXT(Pqp_supermarket_data[[#This Row],[DateTime]],"yyy")</f>
        <v>2024</v>
      </c>
    </row>
    <row r="377" spans="1:14" x14ac:dyDescent="0.35">
      <c r="A377" t="s">
        <v>900</v>
      </c>
      <c r="B377" s="1">
        <v>45301.145869166663</v>
      </c>
      <c r="C377" t="s">
        <v>901</v>
      </c>
      <c r="D377" t="s">
        <v>69</v>
      </c>
      <c r="E377" t="s">
        <v>90</v>
      </c>
      <c r="F377">
        <v>1.8</v>
      </c>
      <c r="G377">
        <v>4</v>
      </c>
      <c r="H377" t="s">
        <v>14</v>
      </c>
      <c r="I377" t="s">
        <v>86</v>
      </c>
      <c r="J377" t="s">
        <v>108</v>
      </c>
      <c r="K377">
        <f>Pqp_supermarket_data[[#This Row],[Unit_Price]]*Pqp_supermarket_data[[#This Row],[Quantity]]</f>
        <v>7.2</v>
      </c>
      <c r="L377" t="str">
        <f>TEXT(Pqp_supermarket_data[[#This Row],[DateTime]],"ddd")</f>
        <v>Wed</v>
      </c>
      <c r="M377" t="str">
        <f>TEXT(Pqp_supermarket_data[[#This Row],[DateTime]],"mmm")</f>
        <v>Jan</v>
      </c>
      <c r="N377" t="str">
        <f>TEXT(Pqp_supermarket_data[[#This Row],[DateTime]],"yyy")</f>
        <v>2024</v>
      </c>
    </row>
    <row r="378" spans="1:14" x14ac:dyDescent="0.35">
      <c r="A378" t="s">
        <v>902</v>
      </c>
      <c r="B378" s="1">
        <v>45223.493785844905</v>
      </c>
      <c r="C378" t="s">
        <v>903</v>
      </c>
      <c r="D378" t="s">
        <v>171</v>
      </c>
      <c r="E378" t="s">
        <v>94</v>
      </c>
      <c r="F378">
        <v>0.8</v>
      </c>
      <c r="G378">
        <v>7</v>
      </c>
      <c r="H378" t="s">
        <v>14</v>
      </c>
      <c r="I378" t="s">
        <v>21</v>
      </c>
      <c r="J378" t="s">
        <v>336</v>
      </c>
      <c r="K378">
        <f>Pqp_supermarket_data[[#This Row],[Unit_Price]]*Pqp_supermarket_data[[#This Row],[Quantity]]</f>
        <v>5.6000000000000005</v>
      </c>
      <c r="L378" t="str">
        <f>TEXT(Pqp_supermarket_data[[#This Row],[DateTime]],"ddd")</f>
        <v>Tue</v>
      </c>
      <c r="M378" t="str">
        <f>TEXT(Pqp_supermarket_data[[#This Row],[DateTime]],"mmm")</f>
        <v>Oct</v>
      </c>
      <c r="N378" t="str">
        <f>TEXT(Pqp_supermarket_data[[#This Row],[DateTime]],"yyy")</f>
        <v>2023</v>
      </c>
    </row>
    <row r="379" spans="1:14" x14ac:dyDescent="0.35">
      <c r="A379" t="s">
        <v>904</v>
      </c>
      <c r="B379" s="1">
        <v>45690.072952523151</v>
      </c>
      <c r="C379" t="s">
        <v>905</v>
      </c>
      <c r="D379" t="s">
        <v>30</v>
      </c>
      <c r="E379" t="s">
        <v>49</v>
      </c>
      <c r="F379">
        <v>7</v>
      </c>
      <c r="G379">
        <v>9</v>
      </c>
      <c r="H379" t="s">
        <v>14</v>
      </c>
      <c r="I379" t="s">
        <v>61</v>
      </c>
      <c r="J379" t="s">
        <v>160</v>
      </c>
      <c r="K379">
        <f>Pqp_supermarket_data[[#This Row],[Unit_Price]]*Pqp_supermarket_data[[#This Row],[Quantity]]</f>
        <v>63</v>
      </c>
      <c r="L379" t="str">
        <f>TEXT(Pqp_supermarket_data[[#This Row],[DateTime]],"ddd")</f>
        <v>Sun</v>
      </c>
      <c r="M379" t="str">
        <f>TEXT(Pqp_supermarket_data[[#This Row],[DateTime]],"mmm")</f>
        <v>Feb</v>
      </c>
      <c r="N379" t="str">
        <f>TEXT(Pqp_supermarket_data[[#This Row],[DateTime]],"yyy")</f>
        <v>2025</v>
      </c>
    </row>
    <row r="380" spans="1:14" x14ac:dyDescent="0.35">
      <c r="A380" t="s">
        <v>906</v>
      </c>
      <c r="B380" s="1">
        <v>44934.011841423613</v>
      </c>
      <c r="C380" t="s">
        <v>907</v>
      </c>
      <c r="D380" t="s">
        <v>127</v>
      </c>
      <c r="E380" t="s">
        <v>49</v>
      </c>
      <c r="F380">
        <v>7</v>
      </c>
      <c r="G380">
        <v>3</v>
      </c>
      <c r="H380" t="s">
        <v>14</v>
      </c>
      <c r="I380" t="s">
        <v>21</v>
      </c>
      <c r="J380" t="s">
        <v>122</v>
      </c>
      <c r="K380">
        <f>Pqp_supermarket_data[[#This Row],[Unit_Price]]*Pqp_supermarket_data[[#This Row],[Quantity]]</f>
        <v>21</v>
      </c>
      <c r="L380" t="str">
        <f>TEXT(Pqp_supermarket_data[[#This Row],[DateTime]],"ddd")</f>
        <v>Sun</v>
      </c>
      <c r="M380" t="str">
        <f>TEXT(Pqp_supermarket_data[[#This Row],[DateTime]],"mmm")</f>
        <v>Jan</v>
      </c>
      <c r="N380" t="str">
        <f>TEXT(Pqp_supermarket_data[[#This Row],[DateTime]],"yyy")</f>
        <v>2023</v>
      </c>
    </row>
    <row r="381" spans="1:14" x14ac:dyDescent="0.35">
      <c r="A381" t="s">
        <v>908</v>
      </c>
      <c r="B381" s="1">
        <v>45293.254896979168</v>
      </c>
      <c r="C381" t="s">
        <v>909</v>
      </c>
      <c r="D381" t="s">
        <v>34</v>
      </c>
      <c r="E381" t="s">
        <v>111</v>
      </c>
      <c r="F381">
        <v>2.2000000000000002</v>
      </c>
      <c r="G381">
        <v>8</v>
      </c>
      <c r="H381" t="s">
        <v>14</v>
      </c>
      <c r="I381" t="s">
        <v>40</v>
      </c>
      <c r="J381" t="s">
        <v>270</v>
      </c>
      <c r="K381">
        <f>Pqp_supermarket_data[[#This Row],[Unit_Price]]*Pqp_supermarket_data[[#This Row],[Quantity]]</f>
        <v>17.600000000000001</v>
      </c>
      <c r="L381" t="str">
        <f>TEXT(Pqp_supermarket_data[[#This Row],[DateTime]],"ddd")</f>
        <v>Tue</v>
      </c>
      <c r="M381" t="str">
        <f>TEXT(Pqp_supermarket_data[[#This Row],[DateTime]],"mmm")</f>
        <v>Jan</v>
      </c>
      <c r="N381" t="str">
        <f>TEXT(Pqp_supermarket_data[[#This Row],[DateTime]],"yyy")</f>
        <v>2024</v>
      </c>
    </row>
    <row r="382" spans="1:14" x14ac:dyDescent="0.35">
      <c r="A382" t="s">
        <v>910</v>
      </c>
      <c r="B382" s="1">
        <v>44940.993785868057</v>
      </c>
      <c r="C382" t="s">
        <v>911</v>
      </c>
      <c r="D382" t="s">
        <v>85</v>
      </c>
      <c r="E382" t="s">
        <v>111</v>
      </c>
      <c r="F382">
        <v>2.2000000000000002</v>
      </c>
      <c r="G382">
        <v>7</v>
      </c>
      <c r="H382" t="s">
        <v>14</v>
      </c>
      <c r="I382" t="s">
        <v>15</v>
      </c>
      <c r="J382" t="s">
        <v>364</v>
      </c>
      <c r="K382">
        <f>Pqp_supermarket_data[[#This Row],[Unit_Price]]*Pqp_supermarket_data[[#This Row],[Quantity]]</f>
        <v>15.400000000000002</v>
      </c>
      <c r="L382" t="str">
        <f>TEXT(Pqp_supermarket_data[[#This Row],[DateTime]],"ddd")</f>
        <v>Sat</v>
      </c>
      <c r="M382" t="str">
        <f>TEXT(Pqp_supermarket_data[[#This Row],[DateTime]],"mmm")</f>
        <v>Jan</v>
      </c>
      <c r="N382" t="str">
        <f>TEXT(Pqp_supermarket_data[[#This Row],[DateTime]],"yyy")</f>
        <v>2023</v>
      </c>
    </row>
    <row r="383" spans="1:14" x14ac:dyDescent="0.35">
      <c r="A383" t="s">
        <v>912</v>
      </c>
      <c r="B383" s="1">
        <v>45370.11461921296</v>
      </c>
      <c r="C383" t="s">
        <v>913</v>
      </c>
      <c r="D383" t="s">
        <v>77</v>
      </c>
      <c r="E383" t="s">
        <v>70</v>
      </c>
      <c r="F383">
        <v>5</v>
      </c>
      <c r="G383">
        <v>6</v>
      </c>
      <c r="H383" t="s">
        <v>14</v>
      </c>
      <c r="I383" t="s">
        <v>40</v>
      </c>
      <c r="J383" t="s">
        <v>183</v>
      </c>
      <c r="K383">
        <f>Pqp_supermarket_data[[#This Row],[Unit_Price]]*Pqp_supermarket_data[[#This Row],[Quantity]]</f>
        <v>30</v>
      </c>
      <c r="L383" t="str">
        <f>TEXT(Pqp_supermarket_data[[#This Row],[DateTime]],"ddd")</f>
        <v>Tue</v>
      </c>
      <c r="M383" t="str">
        <f>TEXT(Pqp_supermarket_data[[#This Row],[DateTime]],"mmm")</f>
        <v>Mar</v>
      </c>
      <c r="N383" t="str">
        <f>TEXT(Pqp_supermarket_data[[#This Row],[DateTime]],"yyy")</f>
        <v>2024</v>
      </c>
    </row>
    <row r="384" spans="1:14" x14ac:dyDescent="0.35">
      <c r="A384" t="s">
        <v>914</v>
      </c>
      <c r="B384" s="1">
        <v>45396.50628587963</v>
      </c>
      <c r="C384" t="s">
        <v>915</v>
      </c>
      <c r="D384" t="s">
        <v>82</v>
      </c>
      <c r="E384" t="s">
        <v>45</v>
      </c>
      <c r="F384">
        <v>1</v>
      </c>
      <c r="G384">
        <v>10</v>
      </c>
      <c r="H384" t="s">
        <v>14</v>
      </c>
      <c r="I384" t="s">
        <v>40</v>
      </c>
      <c r="J384" t="s">
        <v>205</v>
      </c>
      <c r="K384">
        <f>Pqp_supermarket_data[[#This Row],[Unit_Price]]*Pqp_supermarket_data[[#This Row],[Quantity]]</f>
        <v>10</v>
      </c>
      <c r="L384" t="str">
        <f>TEXT(Pqp_supermarket_data[[#This Row],[DateTime]],"ddd")</f>
        <v>Sun</v>
      </c>
      <c r="M384" t="str">
        <f>TEXT(Pqp_supermarket_data[[#This Row],[DateTime]],"mmm")</f>
        <v>Apr</v>
      </c>
      <c r="N384" t="str">
        <f>TEXT(Pqp_supermarket_data[[#This Row],[DateTime]],"yyy")</f>
        <v>2024</v>
      </c>
    </row>
    <row r="385" spans="1:14" x14ac:dyDescent="0.35">
      <c r="A385" t="s">
        <v>916</v>
      </c>
      <c r="B385" s="1">
        <v>45400.777813668981</v>
      </c>
      <c r="C385" t="s">
        <v>917</v>
      </c>
      <c r="D385" t="s">
        <v>30</v>
      </c>
      <c r="E385" t="s">
        <v>20</v>
      </c>
      <c r="F385">
        <v>1</v>
      </c>
      <c r="G385">
        <v>4</v>
      </c>
      <c r="H385" t="s">
        <v>14</v>
      </c>
      <c r="I385" t="s">
        <v>86</v>
      </c>
      <c r="J385" t="s">
        <v>212</v>
      </c>
      <c r="K385">
        <f>Pqp_supermarket_data[[#This Row],[Unit_Price]]*Pqp_supermarket_data[[#This Row],[Quantity]]</f>
        <v>4</v>
      </c>
      <c r="L385" t="str">
        <f>TEXT(Pqp_supermarket_data[[#This Row],[DateTime]],"ddd")</f>
        <v>Thu</v>
      </c>
      <c r="M385" t="str">
        <f>TEXT(Pqp_supermarket_data[[#This Row],[DateTime]],"mmm")</f>
        <v>Apr</v>
      </c>
      <c r="N385" t="str">
        <f>TEXT(Pqp_supermarket_data[[#This Row],[DateTime]],"yyy")</f>
        <v>2024</v>
      </c>
    </row>
    <row r="386" spans="1:14" x14ac:dyDescent="0.35">
      <c r="A386" t="s">
        <v>918</v>
      </c>
      <c r="B386" s="1">
        <v>45105.144480347219</v>
      </c>
      <c r="C386" t="s">
        <v>919</v>
      </c>
      <c r="D386" t="s">
        <v>208</v>
      </c>
      <c r="E386" t="s">
        <v>78</v>
      </c>
      <c r="F386">
        <v>4</v>
      </c>
      <c r="G386">
        <v>4</v>
      </c>
      <c r="H386" t="s">
        <v>14</v>
      </c>
      <c r="I386" t="s">
        <v>36</v>
      </c>
      <c r="J386" t="s">
        <v>172</v>
      </c>
      <c r="K386">
        <f>Pqp_supermarket_data[[#This Row],[Unit_Price]]*Pqp_supermarket_data[[#This Row],[Quantity]]</f>
        <v>16</v>
      </c>
      <c r="L386" t="str">
        <f>TEXT(Pqp_supermarket_data[[#This Row],[DateTime]],"ddd")</f>
        <v>Wed</v>
      </c>
      <c r="M386" t="str">
        <f>TEXT(Pqp_supermarket_data[[#This Row],[DateTime]],"mmm")</f>
        <v>Jun</v>
      </c>
      <c r="N386" t="str">
        <f>TEXT(Pqp_supermarket_data[[#This Row],[DateTime]],"yyy")</f>
        <v>2023</v>
      </c>
    </row>
    <row r="387" spans="1:14" x14ac:dyDescent="0.35">
      <c r="A387" t="s">
        <v>920</v>
      </c>
      <c r="B387" s="1">
        <v>44806.237535914355</v>
      </c>
      <c r="C387" t="s">
        <v>921</v>
      </c>
      <c r="D387" t="s">
        <v>171</v>
      </c>
      <c r="E387" t="s">
        <v>78</v>
      </c>
      <c r="F387">
        <v>4</v>
      </c>
      <c r="G387">
        <v>7</v>
      </c>
      <c r="H387" t="s">
        <v>14</v>
      </c>
      <c r="I387" t="s">
        <v>15</v>
      </c>
      <c r="J387" t="s">
        <v>153</v>
      </c>
      <c r="K387">
        <f>Pqp_supermarket_data[[#This Row],[Unit_Price]]*Pqp_supermarket_data[[#This Row],[Quantity]]</f>
        <v>28</v>
      </c>
      <c r="L387" t="str">
        <f>TEXT(Pqp_supermarket_data[[#This Row],[DateTime]],"ddd")</f>
        <v>Fri</v>
      </c>
      <c r="M387" t="str">
        <f>TEXT(Pqp_supermarket_data[[#This Row],[DateTime]],"mmm")</f>
        <v>Sep</v>
      </c>
      <c r="N387" t="str">
        <f>TEXT(Pqp_supermarket_data[[#This Row],[DateTime]],"yyy")</f>
        <v>2022</v>
      </c>
    </row>
    <row r="388" spans="1:14" x14ac:dyDescent="0.35">
      <c r="A388" t="s">
        <v>922</v>
      </c>
      <c r="B388" s="1">
        <v>45128.168091481479</v>
      </c>
      <c r="C388" t="s">
        <v>923</v>
      </c>
      <c r="D388" t="s">
        <v>98</v>
      </c>
      <c r="E388" t="s">
        <v>20</v>
      </c>
      <c r="F388">
        <v>1</v>
      </c>
      <c r="G388">
        <v>6</v>
      </c>
      <c r="H388" t="s">
        <v>14</v>
      </c>
      <c r="I388" t="s">
        <v>61</v>
      </c>
      <c r="J388" t="s">
        <v>924</v>
      </c>
      <c r="K388">
        <f>Pqp_supermarket_data[[#This Row],[Unit_Price]]*Pqp_supermarket_data[[#This Row],[Quantity]]</f>
        <v>6</v>
      </c>
      <c r="L388" t="str">
        <f>TEXT(Pqp_supermarket_data[[#This Row],[DateTime]],"ddd")</f>
        <v>Fri</v>
      </c>
      <c r="M388" t="str">
        <f>TEXT(Pqp_supermarket_data[[#This Row],[DateTime]],"mmm")</f>
        <v>Jul</v>
      </c>
      <c r="N388" t="str">
        <f>TEXT(Pqp_supermarket_data[[#This Row],[DateTime]],"yyy")</f>
        <v>2023</v>
      </c>
    </row>
    <row r="389" spans="1:14" x14ac:dyDescent="0.35">
      <c r="A389" t="s">
        <v>925</v>
      </c>
      <c r="B389" s="1">
        <v>45049.854202604169</v>
      </c>
      <c r="C389" t="s">
        <v>926</v>
      </c>
      <c r="D389" t="s">
        <v>98</v>
      </c>
      <c r="E389" t="s">
        <v>70</v>
      </c>
      <c r="F389">
        <v>5</v>
      </c>
      <c r="G389">
        <v>2</v>
      </c>
      <c r="H389" t="s">
        <v>14</v>
      </c>
      <c r="I389" t="s">
        <v>36</v>
      </c>
      <c r="J389" t="s">
        <v>122</v>
      </c>
      <c r="K389">
        <f>Pqp_supermarket_data[[#This Row],[Unit_Price]]*Pqp_supermarket_data[[#This Row],[Quantity]]</f>
        <v>10</v>
      </c>
      <c r="L389" t="str">
        <f>TEXT(Pqp_supermarket_data[[#This Row],[DateTime]],"ddd")</f>
        <v>Wed</v>
      </c>
      <c r="M389" t="str">
        <f>TEXT(Pqp_supermarket_data[[#This Row],[DateTime]],"mmm")</f>
        <v>May</v>
      </c>
      <c r="N389" t="str">
        <f>TEXT(Pqp_supermarket_data[[#This Row],[DateTime]],"yyy")</f>
        <v>2023</v>
      </c>
    </row>
    <row r="390" spans="1:14" x14ac:dyDescent="0.35">
      <c r="A390" t="s">
        <v>927</v>
      </c>
      <c r="B390" s="1">
        <v>45131.293785937502</v>
      </c>
      <c r="C390" t="s">
        <v>928</v>
      </c>
      <c r="D390" t="s">
        <v>44</v>
      </c>
      <c r="E390" t="s">
        <v>145</v>
      </c>
      <c r="F390">
        <v>1.7</v>
      </c>
      <c r="G390">
        <v>1</v>
      </c>
      <c r="H390" t="s">
        <v>14</v>
      </c>
      <c r="I390" t="s">
        <v>21</v>
      </c>
      <c r="J390" t="s">
        <v>499</v>
      </c>
      <c r="K390">
        <f>Pqp_supermarket_data[[#This Row],[Unit_Price]]*Pqp_supermarket_data[[#This Row],[Quantity]]</f>
        <v>1.7</v>
      </c>
      <c r="L390" t="str">
        <f>TEXT(Pqp_supermarket_data[[#This Row],[DateTime]],"ddd")</f>
        <v>Mon</v>
      </c>
      <c r="M390" t="str">
        <f>TEXT(Pqp_supermarket_data[[#This Row],[DateTime]],"mmm")</f>
        <v>Jul</v>
      </c>
      <c r="N390" t="str">
        <f>TEXT(Pqp_supermarket_data[[#This Row],[DateTime]],"yyy")</f>
        <v>2023</v>
      </c>
    </row>
    <row r="391" spans="1:14" x14ac:dyDescent="0.35">
      <c r="A391" t="s">
        <v>929</v>
      </c>
      <c r="B391" s="1">
        <v>45488.548647060183</v>
      </c>
      <c r="C391" t="s">
        <v>930</v>
      </c>
      <c r="D391" t="s">
        <v>85</v>
      </c>
      <c r="E391" t="s">
        <v>119</v>
      </c>
      <c r="F391">
        <v>4</v>
      </c>
      <c r="G391">
        <v>10</v>
      </c>
      <c r="H391" t="s">
        <v>14</v>
      </c>
      <c r="I391" t="s">
        <v>36</v>
      </c>
      <c r="J391" t="s">
        <v>175</v>
      </c>
      <c r="K391">
        <f>Pqp_supermarket_data[[#This Row],[Unit_Price]]*Pqp_supermarket_data[[#This Row],[Quantity]]</f>
        <v>40</v>
      </c>
      <c r="L391" t="str">
        <f>TEXT(Pqp_supermarket_data[[#This Row],[DateTime]],"ddd")</f>
        <v>Mon</v>
      </c>
      <c r="M391" t="str">
        <f>TEXT(Pqp_supermarket_data[[#This Row],[DateTime]],"mmm")</f>
        <v>Jul</v>
      </c>
      <c r="N391" t="str">
        <f>TEXT(Pqp_supermarket_data[[#This Row],[DateTime]],"yyy")</f>
        <v>2024</v>
      </c>
    </row>
    <row r="392" spans="1:14" x14ac:dyDescent="0.35">
      <c r="A392" t="s">
        <v>931</v>
      </c>
      <c r="B392" s="1">
        <v>45182.384758171298</v>
      </c>
      <c r="C392" t="s">
        <v>932</v>
      </c>
      <c r="D392" t="s">
        <v>44</v>
      </c>
      <c r="E392" t="s">
        <v>26</v>
      </c>
      <c r="F392">
        <v>2.5</v>
      </c>
      <c r="G392">
        <v>7</v>
      </c>
      <c r="H392" t="s">
        <v>14</v>
      </c>
      <c r="I392" t="s">
        <v>21</v>
      </c>
      <c r="J392" t="s">
        <v>623</v>
      </c>
      <c r="K392">
        <f>Pqp_supermarket_data[[#This Row],[Unit_Price]]*Pqp_supermarket_data[[#This Row],[Quantity]]</f>
        <v>17.5</v>
      </c>
      <c r="L392" t="str">
        <f>TEXT(Pqp_supermarket_data[[#This Row],[DateTime]],"ddd")</f>
        <v>Wed</v>
      </c>
      <c r="M392" t="str">
        <f>TEXT(Pqp_supermarket_data[[#This Row],[DateTime]],"mmm")</f>
        <v>Sep</v>
      </c>
      <c r="N392" t="str">
        <f>TEXT(Pqp_supermarket_data[[#This Row],[DateTime]],"yyy")</f>
        <v>2023</v>
      </c>
    </row>
    <row r="393" spans="1:14" x14ac:dyDescent="0.35">
      <c r="A393" t="s">
        <v>933</v>
      </c>
      <c r="B393" s="1">
        <v>44763.822952615737</v>
      </c>
      <c r="C393" t="s">
        <v>934</v>
      </c>
      <c r="D393" t="s">
        <v>30</v>
      </c>
      <c r="E393" t="s">
        <v>39</v>
      </c>
      <c r="F393">
        <v>3.2</v>
      </c>
      <c r="G393">
        <v>5</v>
      </c>
      <c r="H393" t="s">
        <v>14</v>
      </c>
      <c r="I393" t="s">
        <v>86</v>
      </c>
      <c r="J393" t="s">
        <v>105</v>
      </c>
      <c r="K393">
        <f>Pqp_supermarket_data[[#This Row],[Unit_Price]]*Pqp_supermarket_data[[#This Row],[Quantity]]</f>
        <v>16</v>
      </c>
      <c r="L393" t="str">
        <f>TEXT(Pqp_supermarket_data[[#This Row],[DateTime]],"ddd")</f>
        <v>Thu</v>
      </c>
      <c r="M393" t="str">
        <f>TEXT(Pqp_supermarket_data[[#This Row],[DateTime]],"mmm")</f>
        <v>Jul</v>
      </c>
      <c r="N393" t="str">
        <f>TEXT(Pqp_supermarket_data[[#This Row],[DateTime]],"yyy")</f>
        <v>2022</v>
      </c>
    </row>
    <row r="394" spans="1:14" x14ac:dyDescent="0.35">
      <c r="A394" t="s">
        <v>935</v>
      </c>
      <c r="B394" s="1">
        <v>44471.579897071759</v>
      </c>
      <c r="C394" t="s">
        <v>936</v>
      </c>
      <c r="D394" t="s">
        <v>98</v>
      </c>
      <c r="E394" t="s">
        <v>94</v>
      </c>
      <c r="F394">
        <v>0.8</v>
      </c>
      <c r="G394">
        <v>6</v>
      </c>
      <c r="H394" t="s">
        <v>14</v>
      </c>
      <c r="I394" t="s">
        <v>15</v>
      </c>
      <c r="J394" t="s">
        <v>16</v>
      </c>
      <c r="K394">
        <f>Pqp_supermarket_data[[#This Row],[Unit_Price]]*Pqp_supermarket_data[[#This Row],[Quantity]]</f>
        <v>4.8000000000000007</v>
      </c>
      <c r="L394" t="str">
        <f>TEXT(Pqp_supermarket_data[[#This Row],[DateTime]],"ddd")</f>
        <v>Sat</v>
      </c>
      <c r="M394" t="str">
        <f>TEXT(Pqp_supermarket_data[[#This Row],[DateTime]],"mmm")</f>
        <v>Oct</v>
      </c>
      <c r="N394" t="str">
        <f>TEXT(Pqp_supermarket_data[[#This Row],[DateTime]],"yyy")</f>
        <v>2021</v>
      </c>
    </row>
    <row r="395" spans="1:14" x14ac:dyDescent="0.35">
      <c r="A395" t="s">
        <v>937</v>
      </c>
      <c r="B395" s="1">
        <v>44666.927119305554</v>
      </c>
      <c r="C395" t="s">
        <v>938</v>
      </c>
      <c r="D395" t="s">
        <v>19</v>
      </c>
      <c r="E395" t="s">
        <v>20</v>
      </c>
      <c r="F395">
        <v>1</v>
      </c>
      <c r="G395">
        <v>1</v>
      </c>
      <c r="H395" t="s">
        <v>14</v>
      </c>
      <c r="I395" t="s">
        <v>21</v>
      </c>
      <c r="J395" t="s">
        <v>74</v>
      </c>
      <c r="K395">
        <f>Pqp_supermarket_data[[#This Row],[Unit_Price]]*Pqp_supermarket_data[[#This Row],[Quantity]]</f>
        <v>1</v>
      </c>
      <c r="L395" t="str">
        <f>TEXT(Pqp_supermarket_data[[#This Row],[DateTime]],"ddd")</f>
        <v>Fri</v>
      </c>
      <c r="M395" t="str">
        <f>TEXT(Pqp_supermarket_data[[#This Row],[DateTime]],"mmm")</f>
        <v>Apr</v>
      </c>
      <c r="N395" t="str">
        <f>TEXT(Pqp_supermarket_data[[#This Row],[DateTime]],"yyy")</f>
        <v>2022</v>
      </c>
    </row>
    <row r="396" spans="1:14" x14ac:dyDescent="0.35">
      <c r="A396" t="s">
        <v>939</v>
      </c>
      <c r="B396" s="1">
        <v>45633.682674872682</v>
      </c>
      <c r="C396" t="s">
        <v>940</v>
      </c>
      <c r="D396" t="s">
        <v>226</v>
      </c>
      <c r="E396" t="s">
        <v>35</v>
      </c>
      <c r="F396">
        <v>1.2</v>
      </c>
      <c r="G396">
        <v>7</v>
      </c>
      <c r="H396" t="s">
        <v>14</v>
      </c>
      <c r="I396" t="s">
        <v>15</v>
      </c>
      <c r="J396" t="s">
        <v>134</v>
      </c>
      <c r="K396">
        <f>Pqp_supermarket_data[[#This Row],[Unit_Price]]*Pqp_supermarket_data[[#This Row],[Quantity]]</f>
        <v>8.4</v>
      </c>
      <c r="L396" t="str">
        <f>TEXT(Pqp_supermarket_data[[#This Row],[DateTime]],"ddd")</f>
        <v>Sat</v>
      </c>
      <c r="M396" t="str">
        <f>TEXT(Pqp_supermarket_data[[#This Row],[DateTime]],"mmm")</f>
        <v>Dec</v>
      </c>
      <c r="N396" t="str">
        <f>TEXT(Pqp_supermarket_data[[#This Row],[DateTime]],"yyy")</f>
        <v>2024</v>
      </c>
    </row>
    <row r="397" spans="1:14" x14ac:dyDescent="0.35">
      <c r="A397" t="s">
        <v>941</v>
      </c>
      <c r="B397" s="1">
        <v>45313.445174895831</v>
      </c>
      <c r="C397" t="s">
        <v>942</v>
      </c>
      <c r="D397" t="s">
        <v>69</v>
      </c>
      <c r="E397" t="s">
        <v>35</v>
      </c>
      <c r="F397">
        <v>1.2</v>
      </c>
      <c r="G397">
        <v>4</v>
      </c>
      <c r="H397" t="s">
        <v>14</v>
      </c>
      <c r="I397" t="s">
        <v>21</v>
      </c>
      <c r="J397" t="s">
        <v>223</v>
      </c>
      <c r="K397">
        <f>Pqp_supermarket_data[[#This Row],[Unit_Price]]*Pqp_supermarket_data[[#This Row],[Quantity]]</f>
        <v>4.8</v>
      </c>
      <c r="L397" t="str">
        <f>TEXT(Pqp_supermarket_data[[#This Row],[DateTime]],"ddd")</f>
        <v>Mon</v>
      </c>
      <c r="M397" t="str">
        <f>TEXT(Pqp_supermarket_data[[#This Row],[DateTime]],"mmm")</f>
        <v>Jan</v>
      </c>
      <c r="N397" t="str">
        <f>TEXT(Pqp_supermarket_data[[#This Row],[DateTime]],"yyy")</f>
        <v>2024</v>
      </c>
    </row>
    <row r="398" spans="1:14" x14ac:dyDescent="0.35">
      <c r="A398" t="s">
        <v>943</v>
      </c>
      <c r="B398" s="1">
        <v>45022.491008229168</v>
      </c>
      <c r="C398" t="s">
        <v>944</v>
      </c>
      <c r="D398" t="s">
        <v>30</v>
      </c>
      <c r="E398" t="s">
        <v>45</v>
      </c>
      <c r="F398">
        <v>1</v>
      </c>
      <c r="G398">
        <v>8</v>
      </c>
      <c r="H398" t="s">
        <v>14</v>
      </c>
      <c r="I398" t="s">
        <v>36</v>
      </c>
      <c r="J398" t="s">
        <v>723</v>
      </c>
      <c r="K398">
        <f>Pqp_supermarket_data[[#This Row],[Unit_Price]]*Pqp_supermarket_data[[#This Row],[Quantity]]</f>
        <v>8</v>
      </c>
      <c r="L398" t="str">
        <f>TEXT(Pqp_supermarket_data[[#This Row],[DateTime]],"ddd")</f>
        <v>Thu</v>
      </c>
      <c r="M398" t="str">
        <f>TEXT(Pqp_supermarket_data[[#This Row],[DateTime]],"mmm")</f>
        <v>Apr</v>
      </c>
      <c r="N398" t="str">
        <f>TEXT(Pqp_supermarket_data[[#This Row],[DateTime]],"yyy")</f>
        <v>2023</v>
      </c>
    </row>
    <row r="399" spans="1:14" x14ac:dyDescent="0.35">
      <c r="A399" t="s">
        <v>945</v>
      </c>
      <c r="B399" s="1">
        <v>45754.536147129627</v>
      </c>
      <c r="C399" t="s">
        <v>946</v>
      </c>
      <c r="D399" t="s">
        <v>85</v>
      </c>
      <c r="E399" t="s">
        <v>145</v>
      </c>
      <c r="F399">
        <v>1.7</v>
      </c>
      <c r="G399">
        <v>1</v>
      </c>
      <c r="H399" t="s">
        <v>14</v>
      </c>
      <c r="I399" t="s">
        <v>40</v>
      </c>
      <c r="J399" t="s">
        <v>716</v>
      </c>
      <c r="K399">
        <f>Pqp_supermarket_data[[#This Row],[Unit_Price]]*Pqp_supermarket_data[[#This Row],[Quantity]]</f>
        <v>1.7</v>
      </c>
      <c r="L399" t="str">
        <f>TEXT(Pqp_supermarket_data[[#This Row],[DateTime]],"ddd")</f>
        <v>Mon</v>
      </c>
      <c r="M399" t="str">
        <f>TEXT(Pqp_supermarket_data[[#This Row],[DateTime]],"mmm")</f>
        <v>Apr</v>
      </c>
      <c r="N399" t="str">
        <f>TEXT(Pqp_supermarket_data[[#This Row],[DateTime]],"yyy")</f>
        <v>2025</v>
      </c>
    </row>
    <row r="400" spans="1:14" x14ac:dyDescent="0.35">
      <c r="A400" t="s">
        <v>947</v>
      </c>
      <c r="B400" s="1">
        <v>45223.83892490741</v>
      </c>
      <c r="C400" t="s">
        <v>948</v>
      </c>
      <c r="D400" t="s">
        <v>208</v>
      </c>
      <c r="E400" t="s">
        <v>90</v>
      </c>
      <c r="F400">
        <v>1.8</v>
      </c>
      <c r="G400">
        <v>7</v>
      </c>
      <c r="H400" t="s">
        <v>14</v>
      </c>
      <c r="I400" t="s">
        <v>15</v>
      </c>
      <c r="J400" t="s">
        <v>192</v>
      </c>
      <c r="K400">
        <f>Pqp_supermarket_data[[#This Row],[Unit_Price]]*Pqp_supermarket_data[[#This Row],[Quantity]]</f>
        <v>12.6</v>
      </c>
      <c r="L400" t="str">
        <f>TEXT(Pqp_supermarket_data[[#This Row],[DateTime]],"ddd")</f>
        <v>Tue</v>
      </c>
      <c r="M400" t="str">
        <f>TEXT(Pqp_supermarket_data[[#This Row],[DateTime]],"mmm")</f>
        <v>Oct</v>
      </c>
      <c r="N400" t="str">
        <f>TEXT(Pqp_supermarket_data[[#This Row],[DateTime]],"yyy")</f>
        <v>2023</v>
      </c>
    </row>
    <row r="401" spans="1:14" x14ac:dyDescent="0.35">
      <c r="A401" t="s">
        <v>949</v>
      </c>
      <c r="B401" s="1">
        <v>45588.886841585649</v>
      </c>
      <c r="C401" t="s">
        <v>950</v>
      </c>
      <c r="D401" t="s">
        <v>25</v>
      </c>
      <c r="E401" t="s">
        <v>78</v>
      </c>
      <c r="F401">
        <v>4</v>
      </c>
      <c r="G401">
        <v>10</v>
      </c>
      <c r="H401" t="s">
        <v>14</v>
      </c>
      <c r="I401" t="s">
        <v>21</v>
      </c>
      <c r="J401" t="s">
        <v>364</v>
      </c>
      <c r="K401">
        <f>Pqp_supermarket_data[[#This Row],[Unit_Price]]*Pqp_supermarket_data[[#This Row],[Quantity]]</f>
        <v>40</v>
      </c>
      <c r="L401" t="str">
        <f>TEXT(Pqp_supermarket_data[[#This Row],[DateTime]],"ddd")</f>
        <v>Wed</v>
      </c>
      <c r="M401" t="str">
        <f>TEXT(Pqp_supermarket_data[[#This Row],[DateTime]],"mmm")</f>
        <v>Oct</v>
      </c>
      <c r="N401" t="str">
        <f>TEXT(Pqp_supermarket_data[[#This Row],[DateTime]],"yyy")</f>
        <v>2024</v>
      </c>
    </row>
    <row r="402" spans="1:14" x14ac:dyDescent="0.35">
      <c r="A402" t="s">
        <v>951</v>
      </c>
      <c r="B402" s="1">
        <v>45061.191702696757</v>
      </c>
      <c r="C402" t="s">
        <v>952</v>
      </c>
      <c r="D402" t="s">
        <v>82</v>
      </c>
      <c r="E402" t="s">
        <v>65</v>
      </c>
      <c r="F402">
        <v>3</v>
      </c>
      <c r="G402">
        <v>6</v>
      </c>
      <c r="H402" t="s">
        <v>14</v>
      </c>
      <c r="I402" t="s">
        <v>86</v>
      </c>
      <c r="J402" t="s">
        <v>223</v>
      </c>
      <c r="K402">
        <f>Pqp_supermarket_data[[#This Row],[Unit_Price]]*Pqp_supermarket_data[[#This Row],[Quantity]]</f>
        <v>18</v>
      </c>
      <c r="L402" t="str">
        <f>TEXT(Pqp_supermarket_data[[#This Row],[DateTime]],"ddd")</f>
        <v>Mon</v>
      </c>
      <c r="M402" t="str">
        <f>TEXT(Pqp_supermarket_data[[#This Row],[DateTime]],"mmm")</f>
        <v>May</v>
      </c>
      <c r="N402" t="str">
        <f>TEXT(Pqp_supermarket_data[[#This Row],[DateTime]],"yyy")</f>
        <v>2023</v>
      </c>
    </row>
    <row r="403" spans="1:14" x14ac:dyDescent="0.35">
      <c r="A403" t="s">
        <v>953</v>
      </c>
      <c r="B403" s="1">
        <v>44629.237536030094</v>
      </c>
      <c r="C403" t="s">
        <v>954</v>
      </c>
      <c r="D403" t="s">
        <v>25</v>
      </c>
      <c r="E403" t="s">
        <v>57</v>
      </c>
      <c r="F403">
        <v>4.5</v>
      </c>
      <c r="G403">
        <v>2</v>
      </c>
      <c r="H403" t="s">
        <v>14</v>
      </c>
      <c r="I403" t="s">
        <v>36</v>
      </c>
      <c r="J403" t="s">
        <v>189</v>
      </c>
      <c r="K403">
        <f>Pqp_supermarket_data[[#This Row],[Unit_Price]]*Pqp_supermarket_data[[#This Row],[Quantity]]</f>
        <v>9</v>
      </c>
      <c r="L403" t="str">
        <f>TEXT(Pqp_supermarket_data[[#This Row],[DateTime]],"ddd")</f>
        <v>Wed</v>
      </c>
      <c r="M403" t="str">
        <f>TEXT(Pqp_supermarket_data[[#This Row],[DateTime]],"mmm")</f>
        <v>Mar</v>
      </c>
      <c r="N403" t="str">
        <f>TEXT(Pqp_supermarket_data[[#This Row],[DateTime]],"yyy")</f>
        <v>2022</v>
      </c>
    </row>
    <row r="404" spans="1:14" x14ac:dyDescent="0.35">
      <c r="A404" t="s">
        <v>955</v>
      </c>
      <c r="B404" s="1">
        <v>45722.459063807873</v>
      </c>
      <c r="C404" t="s">
        <v>956</v>
      </c>
      <c r="D404" t="s">
        <v>82</v>
      </c>
      <c r="E404" t="s">
        <v>49</v>
      </c>
      <c r="F404">
        <v>7</v>
      </c>
      <c r="G404">
        <v>9</v>
      </c>
      <c r="H404" t="s">
        <v>14</v>
      </c>
      <c r="I404" t="s">
        <v>86</v>
      </c>
      <c r="J404" t="s">
        <v>387</v>
      </c>
      <c r="K404">
        <f>Pqp_supermarket_data[[#This Row],[Unit_Price]]*Pqp_supermarket_data[[#This Row],[Quantity]]</f>
        <v>63</v>
      </c>
      <c r="L404" t="str">
        <f>TEXT(Pqp_supermarket_data[[#This Row],[DateTime]],"ddd")</f>
        <v>Thu</v>
      </c>
      <c r="M404" t="str">
        <f>TEXT(Pqp_supermarket_data[[#This Row],[DateTime]],"mmm")</f>
        <v>Mar</v>
      </c>
      <c r="N404" t="str">
        <f>TEXT(Pqp_supermarket_data[[#This Row],[DateTime]],"yyy")</f>
        <v>2025</v>
      </c>
    </row>
    <row r="405" spans="1:14" x14ac:dyDescent="0.35">
      <c r="A405" t="s">
        <v>957</v>
      </c>
      <c r="B405" s="1">
        <v>44482.529202696758</v>
      </c>
      <c r="C405" t="s">
        <v>958</v>
      </c>
      <c r="D405" t="s">
        <v>69</v>
      </c>
      <c r="E405" t="s">
        <v>65</v>
      </c>
      <c r="F405">
        <v>3</v>
      </c>
      <c r="G405">
        <v>8</v>
      </c>
      <c r="H405" t="s">
        <v>14</v>
      </c>
      <c r="I405" t="s">
        <v>86</v>
      </c>
      <c r="J405" t="s">
        <v>230</v>
      </c>
      <c r="K405">
        <f>Pqp_supermarket_data[[#This Row],[Unit_Price]]*Pqp_supermarket_data[[#This Row],[Quantity]]</f>
        <v>24</v>
      </c>
      <c r="L405" t="str">
        <f>TEXT(Pqp_supermarket_data[[#This Row],[DateTime]],"ddd")</f>
        <v>Wed</v>
      </c>
      <c r="M405" t="str">
        <f>TEXT(Pqp_supermarket_data[[#This Row],[DateTime]],"mmm")</f>
        <v>Oct</v>
      </c>
      <c r="N405" t="str">
        <f>TEXT(Pqp_supermarket_data[[#This Row],[DateTime]],"yyy")</f>
        <v>2021</v>
      </c>
    </row>
    <row r="406" spans="1:14" x14ac:dyDescent="0.35">
      <c r="A406" t="s">
        <v>959</v>
      </c>
      <c r="B406" s="1">
        <v>45107.772258263889</v>
      </c>
      <c r="C406" t="s">
        <v>960</v>
      </c>
      <c r="D406" t="s">
        <v>77</v>
      </c>
      <c r="E406" t="s">
        <v>90</v>
      </c>
      <c r="F406">
        <v>1.8</v>
      </c>
      <c r="G406">
        <v>1</v>
      </c>
      <c r="H406" t="s">
        <v>14</v>
      </c>
      <c r="I406" t="s">
        <v>15</v>
      </c>
      <c r="J406" t="s">
        <v>163</v>
      </c>
      <c r="K406">
        <f>Pqp_supermarket_data[[#This Row],[Unit_Price]]*Pqp_supermarket_data[[#This Row],[Quantity]]</f>
        <v>1.8</v>
      </c>
      <c r="L406" t="str">
        <f>TEXT(Pqp_supermarket_data[[#This Row],[DateTime]],"ddd")</f>
        <v>Fri</v>
      </c>
      <c r="M406" t="str">
        <f>TEXT(Pqp_supermarket_data[[#This Row],[DateTime]],"mmm")</f>
        <v>Jun</v>
      </c>
      <c r="N406" t="str">
        <f>TEXT(Pqp_supermarket_data[[#This Row],[DateTime]],"yyy")</f>
        <v>2023</v>
      </c>
    </row>
    <row r="407" spans="1:14" x14ac:dyDescent="0.35">
      <c r="A407" t="s">
        <v>961</v>
      </c>
      <c r="B407" s="1">
        <v>44368.788924930559</v>
      </c>
      <c r="C407" t="s">
        <v>962</v>
      </c>
      <c r="D407" t="s">
        <v>127</v>
      </c>
      <c r="E407" t="s">
        <v>137</v>
      </c>
      <c r="F407">
        <v>2.5</v>
      </c>
      <c r="G407">
        <v>2</v>
      </c>
      <c r="H407" t="s">
        <v>14</v>
      </c>
      <c r="I407" t="s">
        <v>36</v>
      </c>
      <c r="J407" t="s">
        <v>339</v>
      </c>
      <c r="K407">
        <f>Pqp_supermarket_data[[#This Row],[Unit_Price]]*Pqp_supermarket_data[[#This Row],[Quantity]]</f>
        <v>5</v>
      </c>
      <c r="L407" t="str">
        <f>TEXT(Pqp_supermarket_data[[#This Row],[DateTime]],"ddd")</f>
        <v>Mon</v>
      </c>
      <c r="M407" t="str">
        <f>TEXT(Pqp_supermarket_data[[#This Row],[DateTime]],"mmm")</f>
        <v>Jun</v>
      </c>
      <c r="N407" t="str">
        <f>TEXT(Pqp_supermarket_data[[#This Row],[DateTime]],"yyy")</f>
        <v>2021</v>
      </c>
    </row>
    <row r="408" spans="1:14" x14ac:dyDescent="0.35">
      <c r="A408" t="s">
        <v>963</v>
      </c>
      <c r="B408" s="1">
        <v>44673.78059159722</v>
      </c>
      <c r="C408" t="s">
        <v>964</v>
      </c>
      <c r="D408" t="s">
        <v>208</v>
      </c>
      <c r="E408" t="s">
        <v>94</v>
      </c>
      <c r="F408">
        <v>0.8</v>
      </c>
      <c r="G408">
        <v>6</v>
      </c>
      <c r="H408" t="s">
        <v>14</v>
      </c>
      <c r="I408" t="s">
        <v>40</v>
      </c>
      <c r="J408" t="s">
        <v>212</v>
      </c>
      <c r="K408">
        <f>Pqp_supermarket_data[[#This Row],[Unit_Price]]*Pqp_supermarket_data[[#This Row],[Quantity]]</f>
        <v>4.8000000000000007</v>
      </c>
      <c r="L408" t="str">
        <f>TEXT(Pqp_supermarket_data[[#This Row],[DateTime]],"ddd")</f>
        <v>Fri</v>
      </c>
      <c r="M408" t="str">
        <f>TEXT(Pqp_supermarket_data[[#This Row],[DateTime]],"mmm")</f>
        <v>Apr</v>
      </c>
      <c r="N408" t="str">
        <f>TEXT(Pqp_supermarket_data[[#This Row],[DateTime]],"yyy")</f>
        <v>2022</v>
      </c>
    </row>
    <row r="409" spans="1:14" x14ac:dyDescent="0.35">
      <c r="A409" t="s">
        <v>965</v>
      </c>
      <c r="B409" s="1">
        <v>44584.35975826389</v>
      </c>
      <c r="C409" t="s">
        <v>966</v>
      </c>
      <c r="D409" t="s">
        <v>34</v>
      </c>
      <c r="E409" t="s">
        <v>49</v>
      </c>
      <c r="F409">
        <v>7</v>
      </c>
      <c r="G409">
        <v>2</v>
      </c>
      <c r="H409" t="s">
        <v>14</v>
      </c>
      <c r="I409" t="s">
        <v>61</v>
      </c>
      <c r="J409" t="s">
        <v>769</v>
      </c>
      <c r="K409">
        <f>Pqp_supermarket_data[[#This Row],[Unit_Price]]*Pqp_supermarket_data[[#This Row],[Quantity]]</f>
        <v>14</v>
      </c>
      <c r="L409" t="str">
        <f>TEXT(Pqp_supermarket_data[[#This Row],[DateTime]],"ddd")</f>
        <v>Sun</v>
      </c>
      <c r="M409" t="str">
        <f>TEXT(Pqp_supermarket_data[[#This Row],[DateTime]],"mmm")</f>
        <v>Jan</v>
      </c>
      <c r="N409" t="str">
        <f>TEXT(Pqp_supermarket_data[[#This Row],[DateTime]],"yyy")</f>
        <v>2022</v>
      </c>
    </row>
    <row r="410" spans="1:14" x14ac:dyDescent="0.35">
      <c r="A410" t="s">
        <v>967</v>
      </c>
      <c r="B410" s="1">
        <v>44632.243091608798</v>
      </c>
      <c r="C410" t="s">
        <v>968</v>
      </c>
      <c r="D410" t="s">
        <v>34</v>
      </c>
      <c r="E410" t="s">
        <v>49</v>
      </c>
      <c r="F410">
        <v>7</v>
      </c>
      <c r="G410">
        <v>9</v>
      </c>
      <c r="H410" t="s">
        <v>14</v>
      </c>
      <c r="I410" t="s">
        <v>61</v>
      </c>
      <c r="J410" t="s">
        <v>423</v>
      </c>
      <c r="K410">
        <f>Pqp_supermarket_data[[#This Row],[Unit_Price]]*Pqp_supermarket_data[[#This Row],[Quantity]]</f>
        <v>63</v>
      </c>
      <c r="L410" t="str">
        <f>TEXT(Pqp_supermarket_data[[#This Row],[DateTime]],"ddd")</f>
        <v>Sat</v>
      </c>
      <c r="M410" t="str">
        <f>TEXT(Pqp_supermarket_data[[#This Row],[DateTime]],"mmm")</f>
        <v>Mar</v>
      </c>
      <c r="N410" t="str">
        <f>TEXT(Pqp_supermarket_data[[#This Row],[DateTime]],"yyy")</f>
        <v>2022</v>
      </c>
    </row>
    <row r="411" spans="1:14" x14ac:dyDescent="0.35">
      <c r="A411" t="s">
        <v>969</v>
      </c>
      <c r="B411" s="1">
        <v>45499.611147164353</v>
      </c>
      <c r="C411" t="s">
        <v>970</v>
      </c>
      <c r="D411" t="s">
        <v>77</v>
      </c>
      <c r="E411" t="s">
        <v>90</v>
      </c>
      <c r="F411">
        <v>1.8</v>
      </c>
      <c r="G411">
        <v>6</v>
      </c>
      <c r="H411" t="s">
        <v>14</v>
      </c>
      <c r="I411" t="s">
        <v>40</v>
      </c>
      <c r="J411" t="s">
        <v>58</v>
      </c>
      <c r="K411">
        <f>Pqp_supermarket_data[[#This Row],[Unit_Price]]*Pqp_supermarket_data[[#This Row],[Quantity]]</f>
        <v>10.8</v>
      </c>
      <c r="L411" t="str">
        <f>TEXT(Pqp_supermarket_data[[#This Row],[DateTime]],"ddd")</f>
        <v>Fri</v>
      </c>
      <c r="M411" t="str">
        <f>TEXT(Pqp_supermarket_data[[#This Row],[DateTime]],"mmm")</f>
        <v>Jul</v>
      </c>
      <c r="N411" t="str">
        <f>TEXT(Pqp_supermarket_data[[#This Row],[DateTime]],"yyy")</f>
        <v>2024</v>
      </c>
    </row>
    <row r="412" spans="1:14" x14ac:dyDescent="0.35">
      <c r="A412" t="s">
        <v>971</v>
      </c>
      <c r="B412" s="1">
        <v>44891.23128605324</v>
      </c>
      <c r="C412" t="s">
        <v>972</v>
      </c>
      <c r="D412" t="s">
        <v>77</v>
      </c>
      <c r="E412" t="s">
        <v>39</v>
      </c>
      <c r="F412">
        <v>3.2</v>
      </c>
      <c r="G412">
        <v>10</v>
      </c>
      <c r="H412" t="s">
        <v>14</v>
      </c>
      <c r="I412" t="s">
        <v>21</v>
      </c>
      <c r="J412" t="s">
        <v>273</v>
      </c>
      <c r="K412">
        <f>Pqp_supermarket_data[[#This Row],[Unit_Price]]*Pqp_supermarket_data[[#This Row],[Quantity]]</f>
        <v>32</v>
      </c>
      <c r="L412" t="str">
        <f>TEXT(Pqp_supermarket_data[[#This Row],[DateTime]],"ddd")</f>
        <v>Sat</v>
      </c>
      <c r="M412" t="str">
        <f>TEXT(Pqp_supermarket_data[[#This Row],[DateTime]],"mmm")</f>
        <v>Nov</v>
      </c>
      <c r="N412" t="str">
        <f>TEXT(Pqp_supermarket_data[[#This Row],[DateTime]],"yyy")</f>
        <v>2022</v>
      </c>
    </row>
    <row r="413" spans="1:14" x14ac:dyDescent="0.35">
      <c r="A413" t="s">
        <v>973</v>
      </c>
      <c r="B413" s="1">
        <v>44974.142397164353</v>
      </c>
      <c r="C413" t="s">
        <v>974</v>
      </c>
      <c r="D413" t="s">
        <v>30</v>
      </c>
      <c r="E413" t="s">
        <v>13</v>
      </c>
      <c r="F413">
        <v>3.1</v>
      </c>
      <c r="G413">
        <v>8</v>
      </c>
      <c r="H413" t="s">
        <v>14</v>
      </c>
      <c r="I413" t="s">
        <v>86</v>
      </c>
      <c r="J413" t="s">
        <v>496</v>
      </c>
      <c r="K413">
        <f>Pqp_supermarket_data[[#This Row],[Unit_Price]]*Pqp_supermarket_data[[#This Row],[Quantity]]</f>
        <v>24.8</v>
      </c>
      <c r="L413" t="str">
        <f>TEXT(Pqp_supermarket_data[[#This Row],[DateTime]],"ddd")</f>
        <v>Fri</v>
      </c>
      <c r="M413" t="str">
        <f>TEXT(Pqp_supermarket_data[[#This Row],[DateTime]],"mmm")</f>
        <v>Feb</v>
      </c>
      <c r="N413" t="str">
        <f>TEXT(Pqp_supermarket_data[[#This Row],[DateTime]],"yyy")</f>
        <v>2023</v>
      </c>
    </row>
    <row r="414" spans="1:14" x14ac:dyDescent="0.35">
      <c r="A414" t="s">
        <v>975</v>
      </c>
      <c r="B414" s="1">
        <v>45057.834758275465</v>
      </c>
      <c r="C414" t="s">
        <v>976</v>
      </c>
      <c r="D414" t="s">
        <v>82</v>
      </c>
      <c r="E414" t="s">
        <v>94</v>
      </c>
      <c r="F414">
        <v>0.8</v>
      </c>
      <c r="G414">
        <v>10</v>
      </c>
      <c r="H414" t="s">
        <v>14</v>
      </c>
      <c r="I414" t="s">
        <v>36</v>
      </c>
      <c r="J414" t="s">
        <v>41</v>
      </c>
      <c r="K414">
        <f>Pqp_supermarket_data[[#This Row],[Unit_Price]]*Pqp_supermarket_data[[#This Row],[Quantity]]</f>
        <v>8</v>
      </c>
      <c r="L414" t="str">
        <f>TEXT(Pqp_supermarket_data[[#This Row],[DateTime]],"ddd")</f>
        <v>Thu</v>
      </c>
      <c r="M414" t="str">
        <f>TEXT(Pqp_supermarket_data[[#This Row],[DateTime]],"mmm")</f>
        <v>May</v>
      </c>
      <c r="N414" t="str">
        <f>TEXT(Pqp_supermarket_data[[#This Row],[DateTime]],"yyy")</f>
        <v>2023</v>
      </c>
    </row>
    <row r="415" spans="1:14" x14ac:dyDescent="0.35">
      <c r="A415" t="s">
        <v>977</v>
      </c>
      <c r="B415" s="1">
        <v>45610.755591620371</v>
      </c>
      <c r="C415" t="s">
        <v>978</v>
      </c>
      <c r="D415" t="s">
        <v>226</v>
      </c>
      <c r="E415" t="s">
        <v>26</v>
      </c>
      <c r="F415">
        <v>2.5</v>
      </c>
      <c r="G415">
        <v>2</v>
      </c>
      <c r="H415" t="s">
        <v>14</v>
      </c>
      <c r="I415" t="s">
        <v>40</v>
      </c>
      <c r="J415" t="s">
        <v>195</v>
      </c>
      <c r="K415">
        <f>Pqp_supermarket_data[[#This Row],[Unit_Price]]*Pqp_supermarket_data[[#This Row],[Quantity]]</f>
        <v>5</v>
      </c>
      <c r="L415" t="str">
        <f>TEXT(Pqp_supermarket_data[[#This Row],[DateTime]],"ddd")</f>
        <v>Thu</v>
      </c>
      <c r="M415" t="str">
        <f>TEXT(Pqp_supermarket_data[[#This Row],[DateTime]],"mmm")</f>
        <v>Nov</v>
      </c>
      <c r="N415" t="str">
        <f>TEXT(Pqp_supermarket_data[[#This Row],[DateTime]],"yyy")</f>
        <v>2024</v>
      </c>
    </row>
    <row r="416" spans="1:14" x14ac:dyDescent="0.35">
      <c r="A416" t="s">
        <v>979</v>
      </c>
      <c r="B416" s="1">
        <v>45471.02850828704</v>
      </c>
      <c r="C416" t="s">
        <v>980</v>
      </c>
      <c r="D416" t="s">
        <v>226</v>
      </c>
      <c r="E416" t="s">
        <v>111</v>
      </c>
      <c r="F416">
        <v>2.2000000000000002</v>
      </c>
      <c r="G416">
        <v>7</v>
      </c>
      <c r="H416" t="s">
        <v>14</v>
      </c>
      <c r="I416" t="s">
        <v>61</v>
      </c>
      <c r="J416" t="s">
        <v>116</v>
      </c>
      <c r="K416">
        <f>Pqp_supermarket_data[[#This Row],[Unit_Price]]*Pqp_supermarket_data[[#This Row],[Quantity]]</f>
        <v>15.400000000000002</v>
      </c>
      <c r="L416" t="str">
        <f>TEXT(Pqp_supermarket_data[[#This Row],[DateTime]],"ddd")</f>
        <v>Fri</v>
      </c>
      <c r="M416" t="str">
        <f>TEXT(Pqp_supermarket_data[[#This Row],[DateTime]],"mmm")</f>
        <v>Jun</v>
      </c>
      <c r="N416" t="str">
        <f>TEXT(Pqp_supermarket_data[[#This Row],[DateTime]],"yyy")</f>
        <v>2024</v>
      </c>
    </row>
    <row r="417" spans="1:14" x14ac:dyDescent="0.35">
      <c r="A417" t="s">
        <v>981</v>
      </c>
      <c r="B417" s="1">
        <v>45568.476424953704</v>
      </c>
      <c r="C417" t="s">
        <v>982</v>
      </c>
      <c r="D417" t="s">
        <v>127</v>
      </c>
      <c r="E417" t="s">
        <v>70</v>
      </c>
      <c r="F417">
        <v>5</v>
      </c>
      <c r="G417">
        <v>6</v>
      </c>
      <c r="H417" t="s">
        <v>14</v>
      </c>
      <c r="I417" t="s">
        <v>61</v>
      </c>
      <c r="J417" t="s">
        <v>192</v>
      </c>
      <c r="K417">
        <f>Pqp_supermarket_data[[#This Row],[Unit_Price]]*Pqp_supermarket_data[[#This Row],[Quantity]]</f>
        <v>30</v>
      </c>
      <c r="L417" t="str">
        <f>TEXT(Pqp_supermarket_data[[#This Row],[DateTime]],"ddd")</f>
        <v>Thu</v>
      </c>
      <c r="M417" t="str">
        <f>TEXT(Pqp_supermarket_data[[#This Row],[DateTime]],"mmm")</f>
        <v>Oct</v>
      </c>
      <c r="N417" t="str">
        <f>TEXT(Pqp_supermarket_data[[#This Row],[DateTime]],"yyy")</f>
        <v>2024</v>
      </c>
    </row>
    <row r="418" spans="1:14" x14ac:dyDescent="0.35">
      <c r="A418" t="s">
        <v>983</v>
      </c>
      <c r="B418" s="1">
        <v>45515.468786064812</v>
      </c>
      <c r="C418" t="s">
        <v>984</v>
      </c>
      <c r="D418" t="s">
        <v>82</v>
      </c>
      <c r="E418" t="s">
        <v>70</v>
      </c>
      <c r="F418">
        <v>5</v>
      </c>
      <c r="G418">
        <v>9</v>
      </c>
      <c r="H418" t="s">
        <v>14</v>
      </c>
      <c r="I418" t="s">
        <v>21</v>
      </c>
      <c r="J418" t="s">
        <v>138</v>
      </c>
      <c r="K418">
        <f>Pqp_supermarket_data[[#This Row],[Unit_Price]]*Pqp_supermarket_data[[#This Row],[Quantity]]</f>
        <v>45</v>
      </c>
      <c r="L418" t="str">
        <f>TEXT(Pqp_supermarket_data[[#This Row],[DateTime]],"ddd")</f>
        <v>Sun</v>
      </c>
      <c r="M418" t="str">
        <f>TEXT(Pqp_supermarket_data[[#This Row],[DateTime]],"mmm")</f>
        <v>Aug</v>
      </c>
      <c r="N418" t="str">
        <f>TEXT(Pqp_supermarket_data[[#This Row],[DateTime]],"yyy")</f>
        <v>2024</v>
      </c>
    </row>
    <row r="419" spans="1:14" x14ac:dyDescent="0.35">
      <c r="A419" t="s">
        <v>985</v>
      </c>
      <c r="B419" s="1">
        <v>44951.434063842593</v>
      </c>
      <c r="C419" t="s">
        <v>986</v>
      </c>
      <c r="D419" t="s">
        <v>77</v>
      </c>
      <c r="E419" t="s">
        <v>53</v>
      </c>
      <c r="F419">
        <v>2.8</v>
      </c>
      <c r="G419">
        <v>9</v>
      </c>
      <c r="H419" t="s">
        <v>14</v>
      </c>
      <c r="I419" t="s">
        <v>40</v>
      </c>
      <c r="J419" t="s">
        <v>273</v>
      </c>
      <c r="K419">
        <f>Pqp_supermarket_data[[#This Row],[Unit_Price]]*Pqp_supermarket_data[[#This Row],[Quantity]]</f>
        <v>25.2</v>
      </c>
      <c r="L419" t="str">
        <f>TEXT(Pqp_supermarket_data[[#This Row],[DateTime]],"ddd")</f>
        <v>Wed</v>
      </c>
      <c r="M419" t="str">
        <f>TEXT(Pqp_supermarket_data[[#This Row],[DateTime]],"mmm")</f>
        <v>Jan</v>
      </c>
      <c r="N419" t="str">
        <f>TEXT(Pqp_supermarket_data[[#This Row],[DateTime]],"yyy")</f>
        <v>2023</v>
      </c>
    </row>
    <row r="420" spans="1:14" x14ac:dyDescent="0.35">
      <c r="A420" t="s">
        <v>987</v>
      </c>
      <c r="B420" s="1">
        <v>44562.104897187499</v>
      </c>
      <c r="C420" t="s">
        <v>988</v>
      </c>
      <c r="D420" t="s">
        <v>82</v>
      </c>
      <c r="E420" t="s">
        <v>35</v>
      </c>
      <c r="F420">
        <v>1.2</v>
      </c>
      <c r="G420">
        <v>5</v>
      </c>
      <c r="H420" t="s">
        <v>14</v>
      </c>
      <c r="I420" t="s">
        <v>86</v>
      </c>
      <c r="J420" t="s">
        <v>423</v>
      </c>
      <c r="K420">
        <f>Pqp_supermarket_data[[#This Row],[Unit_Price]]*Pqp_supermarket_data[[#This Row],[Quantity]]</f>
        <v>6</v>
      </c>
      <c r="L420" t="str">
        <f>TEXT(Pqp_supermarket_data[[#This Row],[DateTime]],"ddd")</f>
        <v>Sat</v>
      </c>
      <c r="M420" t="str">
        <f>TEXT(Pqp_supermarket_data[[#This Row],[DateTime]],"mmm")</f>
        <v>Jan</v>
      </c>
      <c r="N420" t="str">
        <f>TEXT(Pqp_supermarket_data[[#This Row],[DateTime]],"yyy")</f>
        <v>2022</v>
      </c>
    </row>
    <row r="421" spans="1:14" x14ac:dyDescent="0.35">
      <c r="A421" t="s">
        <v>989</v>
      </c>
      <c r="B421" s="1">
        <v>45612.561841631941</v>
      </c>
      <c r="C421" t="s">
        <v>990</v>
      </c>
      <c r="D421" t="s">
        <v>85</v>
      </c>
      <c r="E421" t="s">
        <v>26</v>
      </c>
      <c r="F421">
        <v>2.5</v>
      </c>
      <c r="G421">
        <v>10</v>
      </c>
      <c r="H421" t="s">
        <v>14</v>
      </c>
      <c r="I421" t="s">
        <v>21</v>
      </c>
      <c r="J421" t="s">
        <v>66</v>
      </c>
      <c r="K421">
        <f>Pqp_supermarket_data[[#This Row],[Unit_Price]]*Pqp_supermarket_data[[#This Row],[Quantity]]</f>
        <v>25</v>
      </c>
      <c r="L421" t="str">
        <f>TEXT(Pqp_supermarket_data[[#This Row],[DateTime]],"ddd")</f>
        <v>Sat</v>
      </c>
      <c r="M421" t="str">
        <f>TEXT(Pqp_supermarket_data[[#This Row],[DateTime]],"mmm")</f>
        <v>Nov</v>
      </c>
      <c r="N421" t="str">
        <f>TEXT(Pqp_supermarket_data[[#This Row],[DateTime]],"yyy")</f>
        <v>2024</v>
      </c>
    </row>
    <row r="422" spans="1:14" x14ac:dyDescent="0.35">
      <c r="A422" t="s">
        <v>991</v>
      </c>
      <c r="B422" s="1">
        <v>44383.052813854163</v>
      </c>
      <c r="C422" t="s">
        <v>992</v>
      </c>
      <c r="D422" t="s">
        <v>69</v>
      </c>
      <c r="E422" t="s">
        <v>13</v>
      </c>
      <c r="F422">
        <v>3.1</v>
      </c>
      <c r="G422">
        <v>5</v>
      </c>
      <c r="H422" t="s">
        <v>14</v>
      </c>
      <c r="I422" t="s">
        <v>61</v>
      </c>
      <c r="J422" t="s">
        <v>336</v>
      </c>
      <c r="K422">
        <f>Pqp_supermarket_data[[#This Row],[Unit_Price]]*Pqp_supermarket_data[[#This Row],[Quantity]]</f>
        <v>15.5</v>
      </c>
      <c r="L422" t="str">
        <f>TEXT(Pqp_supermarket_data[[#This Row],[DateTime]],"ddd")</f>
        <v>Tue</v>
      </c>
      <c r="M422" t="str">
        <f>TEXT(Pqp_supermarket_data[[#This Row],[DateTime]],"mmm")</f>
        <v>Jul</v>
      </c>
      <c r="N422" t="str">
        <f>TEXT(Pqp_supermarket_data[[#This Row],[DateTime]],"yyy")</f>
        <v>2021</v>
      </c>
    </row>
    <row r="423" spans="1:14" x14ac:dyDescent="0.35">
      <c r="A423" t="s">
        <v>993</v>
      </c>
      <c r="B423" s="1">
        <v>45488.469480520835</v>
      </c>
      <c r="C423" t="s">
        <v>994</v>
      </c>
      <c r="D423" t="s">
        <v>82</v>
      </c>
      <c r="E423" t="s">
        <v>13</v>
      </c>
      <c r="F423">
        <v>3.1</v>
      </c>
      <c r="G423">
        <v>7</v>
      </c>
      <c r="H423" t="s">
        <v>14</v>
      </c>
      <c r="I423" t="s">
        <v>61</v>
      </c>
      <c r="J423" t="s">
        <v>470</v>
      </c>
      <c r="K423">
        <f>Pqp_supermarket_data[[#This Row],[Unit_Price]]*Pqp_supermarket_data[[#This Row],[Quantity]]</f>
        <v>21.7</v>
      </c>
      <c r="L423" t="str">
        <f>TEXT(Pqp_supermarket_data[[#This Row],[DateTime]],"ddd")</f>
        <v>Mon</v>
      </c>
      <c r="M423" t="str">
        <f>TEXT(Pqp_supermarket_data[[#This Row],[DateTime]],"mmm")</f>
        <v>Jul</v>
      </c>
      <c r="N423" t="str">
        <f>TEXT(Pqp_supermarket_data[[#This Row],[DateTime]],"yyy")</f>
        <v>2024</v>
      </c>
    </row>
    <row r="424" spans="1:14" x14ac:dyDescent="0.35">
      <c r="A424" t="s">
        <v>995</v>
      </c>
      <c r="B424" s="1">
        <v>45629.090313854169</v>
      </c>
      <c r="C424" t="s">
        <v>996</v>
      </c>
      <c r="D424" t="s">
        <v>25</v>
      </c>
      <c r="E424" t="s">
        <v>115</v>
      </c>
      <c r="F424">
        <v>1.5</v>
      </c>
      <c r="G424">
        <v>10</v>
      </c>
      <c r="H424" t="s">
        <v>14</v>
      </c>
      <c r="I424" t="s">
        <v>21</v>
      </c>
      <c r="J424" t="s">
        <v>485</v>
      </c>
      <c r="K424">
        <f>Pqp_supermarket_data[[#This Row],[Unit_Price]]*Pqp_supermarket_data[[#This Row],[Quantity]]</f>
        <v>15</v>
      </c>
      <c r="L424" t="str">
        <f>TEXT(Pqp_supermarket_data[[#This Row],[DateTime]],"ddd")</f>
        <v>Tue</v>
      </c>
      <c r="M424" t="str">
        <f>TEXT(Pqp_supermarket_data[[#This Row],[DateTime]],"mmm")</f>
        <v>Dec</v>
      </c>
      <c r="N424" t="str">
        <f>TEXT(Pqp_supermarket_data[[#This Row],[DateTime]],"yyy")</f>
        <v>2024</v>
      </c>
    </row>
    <row r="425" spans="1:14" x14ac:dyDescent="0.35">
      <c r="A425" t="s">
        <v>997</v>
      </c>
      <c r="B425" s="1">
        <v>44849.429202754633</v>
      </c>
      <c r="C425" t="s">
        <v>998</v>
      </c>
      <c r="D425" t="s">
        <v>127</v>
      </c>
      <c r="E425" t="s">
        <v>35</v>
      </c>
      <c r="F425">
        <v>1.2</v>
      </c>
      <c r="G425">
        <v>7</v>
      </c>
      <c r="H425" t="s">
        <v>14</v>
      </c>
      <c r="I425" t="s">
        <v>61</v>
      </c>
      <c r="J425" t="s">
        <v>215</v>
      </c>
      <c r="K425">
        <f>Pqp_supermarket_data[[#This Row],[Unit_Price]]*Pqp_supermarket_data[[#This Row],[Quantity]]</f>
        <v>8.4</v>
      </c>
      <c r="L425" t="str">
        <f>TEXT(Pqp_supermarket_data[[#This Row],[DateTime]],"ddd")</f>
        <v>Sat</v>
      </c>
      <c r="M425" t="str">
        <f>TEXT(Pqp_supermarket_data[[#This Row],[DateTime]],"mmm")</f>
        <v>Oct</v>
      </c>
      <c r="N425" t="str">
        <f>TEXT(Pqp_supermarket_data[[#This Row],[DateTime]],"yyy")</f>
        <v>2022</v>
      </c>
    </row>
    <row r="426" spans="1:14" x14ac:dyDescent="0.35">
      <c r="A426" t="s">
        <v>999</v>
      </c>
      <c r="B426" s="1">
        <v>45008.123647199071</v>
      </c>
      <c r="C426" t="s">
        <v>1000</v>
      </c>
      <c r="D426" t="s">
        <v>44</v>
      </c>
      <c r="E426" t="s">
        <v>145</v>
      </c>
      <c r="F426">
        <v>1.7</v>
      </c>
      <c r="G426">
        <v>10</v>
      </c>
      <c r="H426" t="s">
        <v>14</v>
      </c>
      <c r="I426" t="s">
        <v>15</v>
      </c>
      <c r="J426" t="s">
        <v>108</v>
      </c>
      <c r="K426">
        <f>Pqp_supermarket_data[[#This Row],[Unit_Price]]*Pqp_supermarket_data[[#This Row],[Quantity]]</f>
        <v>17</v>
      </c>
      <c r="L426" t="str">
        <f>TEXT(Pqp_supermarket_data[[#This Row],[DateTime]],"ddd")</f>
        <v>Thu</v>
      </c>
      <c r="M426" t="str">
        <f>TEXT(Pqp_supermarket_data[[#This Row],[DateTime]],"mmm")</f>
        <v>Mar</v>
      </c>
      <c r="N426" t="str">
        <f>TEXT(Pqp_supermarket_data[[#This Row],[DateTime]],"yyy")</f>
        <v>2023</v>
      </c>
    </row>
    <row r="427" spans="1:14" x14ac:dyDescent="0.35">
      <c r="A427" t="s">
        <v>1001</v>
      </c>
      <c r="B427" s="1">
        <v>45129.73753608796</v>
      </c>
      <c r="C427" t="s">
        <v>1002</v>
      </c>
      <c r="D427" t="s">
        <v>25</v>
      </c>
      <c r="E427" t="s">
        <v>115</v>
      </c>
      <c r="F427">
        <v>1.5</v>
      </c>
      <c r="G427">
        <v>6</v>
      </c>
      <c r="H427" t="s">
        <v>14</v>
      </c>
      <c r="I427" t="s">
        <v>15</v>
      </c>
      <c r="J427" t="s">
        <v>662</v>
      </c>
      <c r="K427">
        <f>Pqp_supermarket_data[[#This Row],[Unit_Price]]*Pqp_supermarket_data[[#This Row],[Quantity]]</f>
        <v>9</v>
      </c>
      <c r="L427" t="str">
        <f>TEXT(Pqp_supermarket_data[[#This Row],[DateTime]],"ddd")</f>
        <v>Sat</v>
      </c>
      <c r="M427" t="str">
        <f>TEXT(Pqp_supermarket_data[[#This Row],[DateTime]],"mmm")</f>
        <v>Jul</v>
      </c>
      <c r="N427" t="str">
        <f>TEXT(Pqp_supermarket_data[[#This Row],[DateTime]],"yyy")</f>
        <v>2023</v>
      </c>
    </row>
    <row r="428" spans="1:14" x14ac:dyDescent="0.35">
      <c r="A428" t="s">
        <v>1003</v>
      </c>
      <c r="B428" s="1">
        <v>45133.152119421298</v>
      </c>
      <c r="C428" t="s">
        <v>1004</v>
      </c>
      <c r="D428" t="s">
        <v>12</v>
      </c>
      <c r="E428" t="s">
        <v>115</v>
      </c>
      <c r="F428">
        <v>1.5</v>
      </c>
      <c r="G428">
        <v>10</v>
      </c>
      <c r="H428" t="s">
        <v>14</v>
      </c>
      <c r="I428" t="s">
        <v>15</v>
      </c>
      <c r="J428" t="s">
        <v>394</v>
      </c>
      <c r="K428">
        <f>Pqp_supermarket_data[[#This Row],[Unit_Price]]*Pqp_supermarket_data[[#This Row],[Quantity]]</f>
        <v>15</v>
      </c>
      <c r="L428" t="str">
        <f>TEXT(Pqp_supermarket_data[[#This Row],[DateTime]],"ddd")</f>
        <v>Wed</v>
      </c>
      <c r="M428" t="str">
        <f>TEXT(Pqp_supermarket_data[[#This Row],[DateTime]],"mmm")</f>
        <v>Jul</v>
      </c>
      <c r="N428" t="str">
        <f>TEXT(Pqp_supermarket_data[[#This Row],[DateTime]],"yyy")</f>
        <v>2023</v>
      </c>
    </row>
    <row r="429" spans="1:14" x14ac:dyDescent="0.35">
      <c r="A429" t="s">
        <v>1005</v>
      </c>
      <c r="B429" s="1">
        <v>45016.190313877312</v>
      </c>
      <c r="C429" t="s">
        <v>1006</v>
      </c>
      <c r="D429" t="s">
        <v>226</v>
      </c>
      <c r="E429" t="s">
        <v>49</v>
      </c>
      <c r="F429">
        <v>7</v>
      </c>
      <c r="G429">
        <v>6</v>
      </c>
      <c r="H429" t="s">
        <v>14</v>
      </c>
      <c r="I429" t="s">
        <v>40</v>
      </c>
      <c r="J429" t="s">
        <v>323</v>
      </c>
      <c r="K429">
        <f>Pqp_supermarket_data[[#This Row],[Unit_Price]]*Pqp_supermarket_data[[#This Row],[Quantity]]</f>
        <v>42</v>
      </c>
      <c r="L429" t="str">
        <f>TEXT(Pqp_supermarket_data[[#This Row],[DateTime]],"ddd")</f>
        <v>Fri</v>
      </c>
      <c r="M429" t="str">
        <f>TEXT(Pqp_supermarket_data[[#This Row],[DateTime]],"mmm")</f>
        <v>Mar</v>
      </c>
      <c r="N429" t="str">
        <f>TEXT(Pqp_supermarket_data[[#This Row],[DateTime]],"yyy")</f>
        <v>2023</v>
      </c>
    </row>
    <row r="430" spans="1:14" x14ac:dyDescent="0.35">
      <c r="A430" t="s">
        <v>1007</v>
      </c>
      <c r="B430" s="1">
        <v>45376.786147210645</v>
      </c>
      <c r="C430" t="s">
        <v>1008</v>
      </c>
      <c r="D430" t="s">
        <v>69</v>
      </c>
      <c r="E430" t="s">
        <v>20</v>
      </c>
      <c r="F430">
        <v>1</v>
      </c>
      <c r="G430">
        <v>1</v>
      </c>
      <c r="H430" t="s">
        <v>14</v>
      </c>
      <c r="I430" t="s">
        <v>36</v>
      </c>
      <c r="J430" t="s">
        <v>311</v>
      </c>
      <c r="K430">
        <f>Pqp_supermarket_data[[#This Row],[Unit_Price]]*Pqp_supermarket_data[[#This Row],[Quantity]]</f>
        <v>1</v>
      </c>
      <c r="L430" t="str">
        <f>TEXT(Pqp_supermarket_data[[#This Row],[DateTime]],"ddd")</f>
        <v>Mon</v>
      </c>
      <c r="M430" t="str">
        <f>TEXT(Pqp_supermarket_data[[#This Row],[DateTime]],"mmm")</f>
        <v>Mar</v>
      </c>
      <c r="N430" t="str">
        <f>TEXT(Pqp_supermarket_data[[#This Row],[DateTime]],"yyy")</f>
        <v>2024</v>
      </c>
    </row>
    <row r="431" spans="1:14" x14ac:dyDescent="0.35">
      <c r="A431" t="s">
        <v>1009</v>
      </c>
      <c r="B431" s="1">
        <v>44336.290313888887</v>
      </c>
      <c r="C431" t="s">
        <v>1010</v>
      </c>
      <c r="D431" t="s">
        <v>226</v>
      </c>
      <c r="E431" t="s">
        <v>57</v>
      </c>
      <c r="F431">
        <v>4.5</v>
      </c>
      <c r="G431">
        <v>2</v>
      </c>
      <c r="H431" t="s">
        <v>14</v>
      </c>
      <c r="I431" t="s">
        <v>86</v>
      </c>
      <c r="J431" t="s">
        <v>255</v>
      </c>
      <c r="K431">
        <f>Pqp_supermarket_data[[#This Row],[Unit_Price]]*Pqp_supermarket_data[[#This Row],[Quantity]]</f>
        <v>9</v>
      </c>
      <c r="L431" t="str">
        <f>TEXT(Pqp_supermarket_data[[#This Row],[DateTime]],"ddd")</f>
        <v>Thu</v>
      </c>
      <c r="M431" t="str">
        <f>TEXT(Pqp_supermarket_data[[#This Row],[DateTime]],"mmm")</f>
        <v>May</v>
      </c>
      <c r="N431" t="str">
        <f>TEXT(Pqp_supermarket_data[[#This Row],[DateTime]],"yyy")</f>
        <v>2021</v>
      </c>
    </row>
    <row r="432" spans="1:14" x14ac:dyDescent="0.35">
      <c r="A432" t="s">
        <v>1011</v>
      </c>
      <c r="B432" s="1">
        <v>44764.365313888891</v>
      </c>
      <c r="C432" t="s">
        <v>1012</v>
      </c>
      <c r="D432" t="s">
        <v>127</v>
      </c>
      <c r="E432" t="s">
        <v>26</v>
      </c>
      <c r="F432">
        <v>2.5</v>
      </c>
      <c r="G432">
        <v>5</v>
      </c>
      <c r="H432" t="s">
        <v>14</v>
      </c>
      <c r="I432" t="s">
        <v>36</v>
      </c>
      <c r="J432" t="s">
        <v>744</v>
      </c>
      <c r="K432">
        <f>Pqp_supermarket_data[[#This Row],[Unit_Price]]*Pqp_supermarket_data[[#This Row],[Quantity]]</f>
        <v>12.5</v>
      </c>
      <c r="L432" t="str">
        <f>TEXT(Pqp_supermarket_data[[#This Row],[DateTime]],"ddd")</f>
        <v>Fri</v>
      </c>
      <c r="M432" t="str">
        <f>TEXT(Pqp_supermarket_data[[#This Row],[DateTime]],"mmm")</f>
        <v>Jul</v>
      </c>
      <c r="N432" t="str">
        <f>TEXT(Pqp_supermarket_data[[#This Row],[DateTime]],"yyy")</f>
        <v>2022</v>
      </c>
    </row>
    <row r="433" spans="1:14" x14ac:dyDescent="0.35">
      <c r="A433" t="s">
        <v>1013</v>
      </c>
      <c r="B433" s="1">
        <v>44920.056980555557</v>
      </c>
      <c r="C433" t="s">
        <v>1014</v>
      </c>
      <c r="D433" t="s">
        <v>98</v>
      </c>
      <c r="E433" t="s">
        <v>45</v>
      </c>
      <c r="F433">
        <v>1</v>
      </c>
      <c r="G433">
        <v>8</v>
      </c>
      <c r="H433" t="s">
        <v>14</v>
      </c>
      <c r="I433" t="s">
        <v>21</v>
      </c>
      <c r="J433" t="s">
        <v>548</v>
      </c>
      <c r="K433">
        <f>Pqp_supermarket_data[[#This Row],[Unit_Price]]*Pqp_supermarket_data[[#This Row],[Quantity]]</f>
        <v>8</v>
      </c>
      <c r="L433" t="str">
        <f>TEXT(Pqp_supermarket_data[[#This Row],[DateTime]],"ddd")</f>
        <v>Sun</v>
      </c>
      <c r="M433" t="str">
        <f>TEXT(Pqp_supermarket_data[[#This Row],[DateTime]],"mmm")</f>
        <v>Dec</v>
      </c>
      <c r="N433" t="str">
        <f>TEXT(Pqp_supermarket_data[[#This Row],[DateTime]],"yyy")</f>
        <v>2022</v>
      </c>
    </row>
    <row r="434" spans="1:14" x14ac:dyDescent="0.35">
      <c r="A434" t="s">
        <v>1015</v>
      </c>
      <c r="B434" s="1">
        <v>44691.852119444447</v>
      </c>
      <c r="C434" t="s">
        <v>1016</v>
      </c>
      <c r="D434" t="s">
        <v>19</v>
      </c>
      <c r="E434" t="s">
        <v>145</v>
      </c>
      <c r="F434">
        <v>1.7</v>
      </c>
      <c r="G434">
        <v>9</v>
      </c>
      <c r="H434" t="s">
        <v>14</v>
      </c>
      <c r="I434" t="s">
        <v>40</v>
      </c>
      <c r="J434" t="s">
        <v>116</v>
      </c>
      <c r="K434">
        <f>Pqp_supermarket_data[[#This Row],[Unit_Price]]*Pqp_supermarket_data[[#This Row],[Quantity]]</f>
        <v>15.299999999999999</v>
      </c>
      <c r="L434" t="str">
        <f>TEXT(Pqp_supermarket_data[[#This Row],[DateTime]],"ddd")</f>
        <v>Tue</v>
      </c>
      <c r="M434" t="str">
        <f>TEXT(Pqp_supermarket_data[[#This Row],[DateTime]],"mmm")</f>
        <v>May</v>
      </c>
      <c r="N434" t="str">
        <f>TEXT(Pqp_supermarket_data[[#This Row],[DateTime]],"yyy")</f>
        <v>2022</v>
      </c>
    </row>
    <row r="435" spans="1:14" x14ac:dyDescent="0.35">
      <c r="A435" t="s">
        <v>1017</v>
      </c>
      <c r="B435" s="1">
        <v>44349.825036111113</v>
      </c>
      <c r="C435" t="s">
        <v>1018</v>
      </c>
      <c r="D435" t="s">
        <v>30</v>
      </c>
      <c r="E435" t="s">
        <v>65</v>
      </c>
      <c r="F435">
        <v>3</v>
      </c>
      <c r="G435">
        <v>2</v>
      </c>
      <c r="H435" t="s">
        <v>14</v>
      </c>
      <c r="I435" t="s">
        <v>15</v>
      </c>
      <c r="J435" t="s">
        <v>227</v>
      </c>
      <c r="K435">
        <f>Pqp_supermarket_data[[#This Row],[Unit_Price]]*Pqp_supermarket_data[[#This Row],[Quantity]]</f>
        <v>6</v>
      </c>
      <c r="L435" t="str">
        <f>TEXT(Pqp_supermarket_data[[#This Row],[DateTime]],"ddd")</f>
        <v>Wed</v>
      </c>
      <c r="M435" t="str">
        <f>TEXT(Pqp_supermarket_data[[#This Row],[DateTime]],"mmm")</f>
        <v>Jun</v>
      </c>
      <c r="N435" t="str">
        <f>TEXT(Pqp_supermarket_data[[#This Row],[DateTime]],"yyy")</f>
        <v>2021</v>
      </c>
    </row>
    <row r="436" spans="1:14" x14ac:dyDescent="0.35">
      <c r="A436" t="s">
        <v>1019</v>
      </c>
      <c r="B436" s="1">
        <v>44425.094480567132</v>
      </c>
      <c r="C436" t="s">
        <v>1020</v>
      </c>
      <c r="D436" t="s">
        <v>30</v>
      </c>
      <c r="E436" t="s">
        <v>45</v>
      </c>
      <c r="F436">
        <v>1</v>
      </c>
      <c r="G436">
        <v>1</v>
      </c>
      <c r="H436" t="s">
        <v>14</v>
      </c>
      <c r="I436" t="s">
        <v>21</v>
      </c>
      <c r="J436" t="s">
        <v>230</v>
      </c>
      <c r="K436">
        <f>Pqp_supermarket_data[[#This Row],[Unit_Price]]*Pqp_supermarket_data[[#This Row],[Quantity]]</f>
        <v>1</v>
      </c>
      <c r="L436" t="str">
        <f>TEXT(Pqp_supermarket_data[[#This Row],[DateTime]],"ddd")</f>
        <v>Tue</v>
      </c>
      <c r="M436" t="str">
        <f>TEXT(Pqp_supermarket_data[[#This Row],[DateTime]],"mmm")</f>
        <v>Aug</v>
      </c>
      <c r="N436" t="str">
        <f>TEXT(Pqp_supermarket_data[[#This Row],[DateTime]],"yyy")</f>
        <v>2021</v>
      </c>
    </row>
    <row r="437" spans="1:14" x14ac:dyDescent="0.35">
      <c r="A437" t="s">
        <v>1021</v>
      </c>
      <c r="B437" s="1">
        <v>44398.70906390046</v>
      </c>
      <c r="C437" t="s">
        <v>1022</v>
      </c>
      <c r="D437" t="s">
        <v>226</v>
      </c>
      <c r="E437" t="s">
        <v>39</v>
      </c>
      <c r="F437">
        <v>3.2</v>
      </c>
      <c r="G437">
        <v>7</v>
      </c>
      <c r="H437" t="s">
        <v>14</v>
      </c>
      <c r="I437" t="s">
        <v>40</v>
      </c>
      <c r="J437" t="s">
        <v>99</v>
      </c>
      <c r="K437">
        <f>Pqp_supermarket_data[[#This Row],[Unit_Price]]*Pqp_supermarket_data[[#This Row],[Quantity]]</f>
        <v>22.400000000000002</v>
      </c>
      <c r="L437" t="str">
        <f>TEXT(Pqp_supermarket_data[[#This Row],[DateTime]],"ddd")</f>
        <v>Wed</v>
      </c>
      <c r="M437" t="str">
        <f>TEXT(Pqp_supermarket_data[[#This Row],[DateTime]],"mmm")</f>
        <v>Jul</v>
      </c>
      <c r="N437" t="str">
        <f>TEXT(Pqp_supermarket_data[[#This Row],[DateTime]],"yyy")</f>
        <v>2021</v>
      </c>
    </row>
    <row r="438" spans="1:14" x14ac:dyDescent="0.35">
      <c r="A438" t="s">
        <v>1023</v>
      </c>
      <c r="B438" s="1">
        <v>45585.216702789352</v>
      </c>
      <c r="C438" t="s">
        <v>1024</v>
      </c>
      <c r="D438" t="s">
        <v>85</v>
      </c>
      <c r="E438" t="s">
        <v>90</v>
      </c>
      <c r="F438">
        <v>1.8</v>
      </c>
      <c r="G438">
        <v>9</v>
      </c>
      <c r="H438" t="s">
        <v>14</v>
      </c>
      <c r="I438" t="s">
        <v>21</v>
      </c>
      <c r="J438" t="s">
        <v>320</v>
      </c>
      <c r="K438">
        <f>Pqp_supermarket_data[[#This Row],[Unit_Price]]*Pqp_supermarket_data[[#This Row],[Quantity]]</f>
        <v>16.2</v>
      </c>
      <c r="L438" t="str">
        <f>TEXT(Pqp_supermarket_data[[#This Row],[DateTime]],"ddd")</f>
        <v>Sun</v>
      </c>
      <c r="M438" t="str">
        <f>TEXT(Pqp_supermarket_data[[#This Row],[DateTime]],"mmm")</f>
        <v>Oct</v>
      </c>
      <c r="N438" t="str">
        <f>TEXT(Pqp_supermarket_data[[#This Row],[DateTime]],"yyy")</f>
        <v>2024</v>
      </c>
    </row>
    <row r="439" spans="1:14" x14ac:dyDescent="0.35">
      <c r="A439" t="s">
        <v>1025</v>
      </c>
      <c r="B439" s="1">
        <v>44608.248647233799</v>
      </c>
      <c r="C439" t="s">
        <v>1026</v>
      </c>
      <c r="D439" t="s">
        <v>44</v>
      </c>
      <c r="E439" t="s">
        <v>49</v>
      </c>
      <c r="F439">
        <v>7</v>
      </c>
      <c r="G439">
        <v>8</v>
      </c>
      <c r="H439" t="s">
        <v>14</v>
      </c>
      <c r="I439" t="s">
        <v>36</v>
      </c>
      <c r="J439" t="s">
        <v>131</v>
      </c>
      <c r="K439">
        <f>Pqp_supermarket_data[[#This Row],[Unit_Price]]*Pqp_supermarket_data[[#This Row],[Quantity]]</f>
        <v>56</v>
      </c>
      <c r="L439" t="str">
        <f>TEXT(Pqp_supermarket_data[[#This Row],[DateTime]],"ddd")</f>
        <v>Wed</v>
      </c>
      <c r="M439" t="str">
        <f>TEXT(Pqp_supermarket_data[[#This Row],[DateTime]],"mmm")</f>
        <v>Feb</v>
      </c>
      <c r="N439" t="str">
        <f>TEXT(Pqp_supermarket_data[[#This Row],[DateTime]],"yyy")</f>
        <v>2022</v>
      </c>
    </row>
    <row r="440" spans="1:14" x14ac:dyDescent="0.35">
      <c r="A440" t="s">
        <v>1027</v>
      </c>
      <c r="B440" s="1">
        <v>44371.886841689811</v>
      </c>
      <c r="C440" t="s">
        <v>1028</v>
      </c>
      <c r="D440" t="s">
        <v>44</v>
      </c>
      <c r="E440" t="s">
        <v>35</v>
      </c>
      <c r="F440">
        <v>1.2</v>
      </c>
      <c r="G440">
        <v>8</v>
      </c>
      <c r="H440" t="s">
        <v>14</v>
      </c>
      <c r="I440" t="s">
        <v>40</v>
      </c>
      <c r="J440" t="s">
        <v>50</v>
      </c>
      <c r="K440">
        <f>Pqp_supermarket_data[[#This Row],[Unit_Price]]*Pqp_supermarket_data[[#This Row],[Quantity]]</f>
        <v>9.6</v>
      </c>
      <c r="L440" t="str">
        <f>TEXT(Pqp_supermarket_data[[#This Row],[DateTime]],"ddd")</f>
        <v>Thu</v>
      </c>
      <c r="M440" t="str">
        <f>TEXT(Pqp_supermarket_data[[#This Row],[DateTime]],"mmm")</f>
        <v>Jun</v>
      </c>
      <c r="N440" t="str">
        <f>TEXT(Pqp_supermarket_data[[#This Row],[DateTime]],"yyy")</f>
        <v>2021</v>
      </c>
    </row>
    <row r="441" spans="1:14" x14ac:dyDescent="0.35">
      <c r="A441" t="s">
        <v>1029</v>
      </c>
      <c r="B441" s="1">
        <v>44935.47156391204</v>
      </c>
      <c r="C441" t="s">
        <v>1030</v>
      </c>
      <c r="D441" t="s">
        <v>34</v>
      </c>
      <c r="E441" t="s">
        <v>111</v>
      </c>
      <c r="F441">
        <v>2.2000000000000002</v>
      </c>
      <c r="G441">
        <v>6</v>
      </c>
      <c r="H441" t="s">
        <v>14</v>
      </c>
      <c r="I441" t="s">
        <v>61</v>
      </c>
      <c r="J441" t="s">
        <v>102</v>
      </c>
      <c r="K441">
        <f>Pqp_supermarket_data[[#This Row],[Unit_Price]]*Pqp_supermarket_data[[#This Row],[Quantity]]</f>
        <v>13.200000000000001</v>
      </c>
      <c r="L441" t="str">
        <f>TEXT(Pqp_supermarket_data[[#This Row],[DateTime]],"ddd")</f>
        <v>Mon</v>
      </c>
      <c r="M441" t="str">
        <f>TEXT(Pqp_supermarket_data[[#This Row],[DateTime]],"mmm")</f>
        <v>Jan</v>
      </c>
      <c r="N441" t="str">
        <f>TEXT(Pqp_supermarket_data[[#This Row],[DateTime]],"yyy")</f>
        <v>2023</v>
      </c>
    </row>
    <row r="442" spans="1:14" x14ac:dyDescent="0.35">
      <c r="A442" t="s">
        <v>1031</v>
      </c>
      <c r="B442" s="1">
        <v>44854.286841689813</v>
      </c>
      <c r="C442" t="s">
        <v>1032</v>
      </c>
      <c r="D442" t="s">
        <v>98</v>
      </c>
      <c r="E442" t="s">
        <v>53</v>
      </c>
      <c r="F442">
        <v>2.8</v>
      </c>
      <c r="G442">
        <v>8</v>
      </c>
      <c r="H442" t="s">
        <v>14</v>
      </c>
      <c r="I442" t="s">
        <v>40</v>
      </c>
      <c r="J442" t="s">
        <v>510</v>
      </c>
      <c r="K442">
        <f>Pqp_supermarket_data[[#This Row],[Unit_Price]]*Pqp_supermarket_data[[#This Row],[Quantity]]</f>
        <v>22.4</v>
      </c>
      <c r="L442" t="str">
        <f>TEXT(Pqp_supermarket_data[[#This Row],[DateTime]],"ddd")</f>
        <v>Thu</v>
      </c>
      <c r="M442" t="str">
        <f>TEXT(Pqp_supermarket_data[[#This Row],[DateTime]],"mmm")</f>
        <v>Oct</v>
      </c>
      <c r="N442" t="str">
        <f>TEXT(Pqp_supermarket_data[[#This Row],[DateTime]],"yyy")</f>
        <v>2022</v>
      </c>
    </row>
    <row r="443" spans="1:14" x14ac:dyDescent="0.35">
      <c r="A443" t="s">
        <v>1033</v>
      </c>
      <c r="B443" s="1">
        <v>44359.962536134262</v>
      </c>
      <c r="C443" t="s">
        <v>1034</v>
      </c>
      <c r="D443" t="s">
        <v>77</v>
      </c>
      <c r="E443" t="s">
        <v>57</v>
      </c>
      <c r="F443">
        <v>4.5</v>
      </c>
      <c r="G443">
        <v>1</v>
      </c>
      <c r="H443" t="s">
        <v>14</v>
      </c>
      <c r="I443" t="s">
        <v>36</v>
      </c>
      <c r="J443" t="s">
        <v>233</v>
      </c>
      <c r="K443">
        <f>Pqp_supermarket_data[[#This Row],[Unit_Price]]*Pqp_supermarket_data[[#This Row],[Quantity]]</f>
        <v>4.5</v>
      </c>
      <c r="L443" t="str">
        <f>TEXT(Pqp_supermarket_data[[#This Row],[DateTime]],"ddd")</f>
        <v>Sat</v>
      </c>
      <c r="M443" t="str">
        <f>TEXT(Pqp_supermarket_data[[#This Row],[DateTime]],"mmm")</f>
        <v>Jun</v>
      </c>
      <c r="N443" t="str">
        <f>TEXT(Pqp_supermarket_data[[#This Row],[DateTime]],"yyy")</f>
        <v>2021</v>
      </c>
    </row>
    <row r="444" spans="1:14" x14ac:dyDescent="0.35">
      <c r="A444" t="s">
        <v>1035</v>
      </c>
      <c r="B444" s="1">
        <v>45740.114619467589</v>
      </c>
      <c r="C444" t="s">
        <v>1036</v>
      </c>
      <c r="D444" t="s">
        <v>77</v>
      </c>
      <c r="E444" t="s">
        <v>94</v>
      </c>
      <c r="F444">
        <v>0.8</v>
      </c>
      <c r="G444">
        <v>4</v>
      </c>
      <c r="H444" t="s">
        <v>14</v>
      </c>
      <c r="I444" t="s">
        <v>21</v>
      </c>
      <c r="J444" t="s">
        <v>218</v>
      </c>
      <c r="K444">
        <f>Pqp_supermarket_data[[#This Row],[Unit_Price]]*Pqp_supermarket_data[[#This Row],[Quantity]]</f>
        <v>3.2</v>
      </c>
      <c r="L444" t="str">
        <f>TEXT(Pqp_supermarket_data[[#This Row],[DateTime]],"ddd")</f>
        <v>Mon</v>
      </c>
      <c r="M444" t="str">
        <f>TEXT(Pqp_supermarket_data[[#This Row],[DateTime]],"mmm")</f>
        <v>Mar</v>
      </c>
      <c r="N444" t="str">
        <f>TEXT(Pqp_supermarket_data[[#This Row],[DateTime]],"yyy")</f>
        <v>2025</v>
      </c>
    </row>
    <row r="445" spans="1:14" x14ac:dyDescent="0.35">
      <c r="A445" t="s">
        <v>1037</v>
      </c>
      <c r="B445" s="1">
        <v>44656.336841689816</v>
      </c>
      <c r="C445" t="s">
        <v>1038</v>
      </c>
      <c r="D445" t="s">
        <v>85</v>
      </c>
      <c r="E445" t="s">
        <v>145</v>
      </c>
      <c r="F445">
        <v>1.7</v>
      </c>
      <c r="G445">
        <v>8</v>
      </c>
      <c r="H445" t="s">
        <v>14</v>
      </c>
      <c r="I445" t="s">
        <v>15</v>
      </c>
      <c r="J445" t="s">
        <v>548</v>
      </c>
      <c r="K445">
        <f>Pqp_supermarket_data[[#This Row],[Unit_Price]]*Pqp_supermarket_data[[#This Row],[Quantity]]</f>
        <v>13.6</v>
      </c>
      <c r="L445" t="str">
        <f>TEXT(Pqp_supermarket_data[[#This Row],[DateTime]],"ddd")</f>
        <v>Tue</v>
      </c>
      <c r="M445" t="str">
        <f>TEXT(Pqp_supermarket_data[[#This Row],[DateTime]],"mmm")</f>
        <v>Apr</v>
      </c>
      <c r="N445" t="str">
        <f>TEXT(Pqp_supermarket_data[[#This Row],[DateTime]],"yyy")</f>
        <v>2022</v>
      </c>
    </row>
    <row r="446" spans="1:14" x14ac:dyDescent="0.35">
      <c r="A446" t="s">
        <v>1039</v>
      </c>
      <c r="B446" s="1">
        <v>44497.343786134261</v>
      </c>
      <c r="C446" t="s">
        <v>1040</v>
      </c>
      <c r="D446" t="s">
        <v>30</v>
      </c>
      <c r="E446" t="s">
        <v>145</v>
      </c>
      <c r="F446">
        <v>1.7</v>
      </c>
      <c r="G446">
        <v>7</v>
      </c>
      <c r="H446" t="s">
        <v>14</v>
      </c>
      <c r="I446" t="s">
        <v>40</v>
      </c>
      <c r="J446" t="s">
        <v>202</v>
      </c>
      <c r="K446">
        <f>Pqp_supermarket_data[[#This Row],[Unit_Price]]*Pqp_supermarket_data[[#This Row],[Quantity]]</f>
        <v>11.9</v>
      </c>
      <c r="L446" t="str">
        <f>TEXT(Pqp_supermarket_data[[#This Row],[DateTime]],"ddd")</f>
        <v>Thu</v>
      </c>
      <c r="M446" t="str">
        <f>TEXT(Pqp_supermarket_data[[#This Row],[DateTime]],"mmm")</f>
        <v>Oct</v>
      </c>
      <c r="N446" t="str">
        <f>TEXT(Pqp_supermarket_data[[#This Row],[DateTime]],"yyy")</f>
        <v>2021</v>
      </c>
    </row>
    <row r="447" spans="1:14" x14ac:dyDescent="0.35">
      <c r="A447" t="s">
        <v>1041</v>
      </c>
      <c r="B447" s="1">
        <v>44529.290313923608</v>
      </c>
      <c r="C447" t="s">
        <v>1042</v>
      </c>
      <c r="D447" t="s">
        <v>171</v>
      </c>
      <c r="E447" t="s">
        <v>145</v>
      </c>
      <c r="F447">
        <v>1.7</v>
      </c>
      <c r="G447">
        <v>7</v>
      </c>
      <c r="H447" t="s">
        <v>14</v>
      </c>
      <c r="I447" t="s">
        <v>40</v>
      </c>
      <c r="J447" t="s">
        <v>54</v>
      </c>
      <c r="K447">
        <f>Pqp_supermarket_data[[#This Row],[Unit_Price]]*Pqp_supermarket_data[[#This Row],[Quantity]]</f>
        <v>11.9</v>
      </c>
      <c r="L447" t="str">
        <f>TEXT(Pqp_supermarket_data[[#This Row],[DateTime]],"ddd")</f>
        <v>Mon</v>
      </c>
      <c r="M447" t="str">
        <f>TEXT(Pqp_supermarket_data[[#This Row],[DateTime]],"mmm")</f>
        <v>Nov</v>
      </c>
      <c r="N447" t="str">
        <f>TEXT(Pqp_supermarket_data[[#This Row],[DateTime]],"yyy")</f>
        <v>2021</v>
      </c>
    </row>
    <row r="448" spans="1:14" x14ac:dyDescent="0.35">
      <c r="A448" t="s">
        <v>1043</v>
      </c>
      <c r="B448" s="1">
        <v>45347.2979528125</v>
      </c>
      <c r="C448" t="s">
        <v>1044</v>
      </c>
      <c r="D448" t="s">
        <v>226</v>
      </c>
      <c r="E448" t="s">
        <v>65</v>
      </c>
      <c r="F448">
        <v>3</v>
      </c>
      <c r="G448">
        <v>10</v>
      </c>
      <c r="H448" t="s">
        <v>14</v>
      </c>
      <c r="I448" t="s">
        <v>40</v>
      </c>
      <c r="J448" t="s">
        <v>183</v>
      </c>
      <c r="K448">
        <f>Pqp_supermarket_data[[#This Row],[Unit_Price]]*Pqp_supermarket_data[[#This Row],[Quantity]]</f>
        <v>30</v>
      </c>
      <c r="L448" t="str">
        <f>TEXT(Pqp_supermarket_data[[#This Row],[DateTime]],"ddd")</f>
        <v>Sun</v>
      </c>
      <c r="M448" t="str">
        <f>TEXT(Pqp_supermarket_data[[#This Row],[DateTime]],"mmm")</f>
        <v>Feb</v>
      </c>
      <c r="N448" t="str">
        <f>TEXT(Pqp_supermarket_data[[#This Row],[DateTime]],"yyy")</f>
        <v>2024</v>
      </c>
    </row>
    <row r="449" spans="1:14" x14ac:dyDescent="0.35">
      <c r="A449" t="s">
        <v>1045</v>
      </c>
      <c r="B449" s="1">
        <v>45404.087536157407</v>
      </c>
      <c r="C449" t="s">
        <v>1046</v>
      </c>
      <c r="D449" t="s">
        <v>25</v>
      </c>
      <c r="E449" t="s">
        <v>70</v>
      </c>
      <c r="F449">
        <v>5</v>
      </c>
      <c r="G449">
        <v>2</v>
      </c>
      <c r="H449" t="s">
        <v>14</v>
      </c>
      <c r="I449" t="s">
        <v>61</v>
      </c>
      <c r="J449" t="s">
        <v>178</v>
      </c>
      <c r="K449">
        <f>Pqp_supermarket_data[[#This Row],[Unit_Price]]*Pqp_supermarket_data[[#This Row],[Quantity]]</f>
        <v>10</v>
      </c>
      <c r="L449" t="str">
        <f>TEXT(Pqp_supermarket_data[[#This Row],[DateTime]],"ddd")</f>
        <v>Mon</v>
      </c>
      <c r="M449" t="str">
        <f>TEXT(Pqp_supermarket_data[[#This Row],[DateTime]],"mmm")</f>
        <v>Apr</v>
      </c>
      <c r="N449" t="str">
        <f>TEXT(Pqp_supermarket_data[[#This Row],[DateTime]],"yyy")</f>
        <v>2024</v>
      </c>
    </row>
    <row r="450" spans="1:14" x14ac:dyDescent="0.35">
      <c r="A450" t="s">
        <v>1047</v>
      </c>
      <c r="B450" s="1">
        <v>44783.865313935188</v>
      </c>
      <c r="C450" t="s">
        <v>1048</v>
      </c>
      <c r="D450" t="s">
        <v>44</v>
      </c>
      <c r="E450" t="s">
        <v>45</v>
      </c>
      <c r="F450">
        <v>1</v>
      </c>
      <c r="G450">
        <v>7</v>
      </c>
      <c r="H450" t="s">
        <v>14</v>
      </c>
      <c r="I450" t="s">
        <v>21</v>
      </c>
      <c r="J450" t="s">
        <v>662</v>
      </c>
      <c r="K450">
        <f>Pqp_supermarket_data[[#This Row],[Unit_Price]]*Pqp_supermarket_data[[#This Row],[Quantity]]</f>
        <v>7</v>
      </c>
      <c r="L450" t="str">
        <f>TEXT(Pqp_supermarket_data[[#This Row],[DateTime]],"ddd")</f>
        <v>Wed</v>
      </c>
      <c r="M450" t="str">
        <f>TEXT(Pqp_supermarket_data[[#This Row],[DateTime]],"mmm")</f>
        <v>Aug</v>
      </c>
      <c r="N450" t="str">
        <f>TEXT(Pqp_supermarket_data[[#This Row],[DateTime]],"yyy")</f>
        <v>2022</v>
      </c>
    </row>
    <row r="451" spans="1:14" x14ac:dyDescent="0.35">
      <c r="A451" t="s">
        <v>1049</v>
      </c>
      <c r="B451" s="1">
        <v>44584.419480613426</v>
      </c>
      <c r="C451" t="s">
        <v>1050</v>
      </c>
      <c r="D451" t="s">
        <v>44</v>
      </c>
      <c r="E451" t="s">
        <v>70</v>
      </c>
      <c r="F451">
        <v>5</v>
      </c>
      <c r="G451">
        <v>10</v>
      </c>
      <c r="H451" t="s">
        <v>14</v>
      </c>
      <c r="I451" t="s">
        <v>15</v>
      </c>
      <c r="J451" t="s">
        <v>255</v>
      </c>
      <c r="K451">
        <f>Pqp_supermarket_data[[#This Row],[Unit_Price]]*Pqp_supermarket_data[[#This Row],[Quantity]]</f>
        <v>50</v>
      </c>
      <c r="L451" t="str">
        <f>TEXT(Pqp_supermarket_data[[#This Row],[DateTime]],"ddd")</f>
        <v>Sun</v>
      </c>
      <c r="M451" t="str">
        <f>TEXT(Pqp_supermarket_data[[#This Row],[DateTime]],"mmm")</f>
        <v>Jan</v>
      </c>
      <c r="N451" t="str">
        <f>TEXT(Pqp_supermarket_data[[#This Row],[DateTime]],"yyy")</f>
        <v>2022</v>
      </c>
    </row>
    <row r="452" spans="1:14" x14ac:dyDescent="0.35">
      <c r="A452" t="s">
        <v>1051</v>
      </c>
      <c r="B452" s="1">
        <v>44341.144480613424</v>
      </c>
      <c r="C452" t="s">
        <v>1052</v>
      </c>
      <c r="D452" t="s">
        <v>171</v>
      </c>
      <c r="E452" t="s">
        <v>119</v>
      </c>
      <c r="F452">
        <v>4</v>
      </c>
      <c r="G452">
        <v>2</v>
      </c>
      <c r="H452" t="s">
        <v>14</v>
      </c>
      <c r="I452" t="s">
        <v>36</v>
      </c>
      <c r="J452" t="s">
        <v>16</v>
      </c>
      <c r="K452">
        <f>Pqp_supermarket_data[[#This Row],[Unit_Price]]*Pqp_supermarket_data[[#This Row],[Quantity]]</f>
        <v>8</v>
      </c>
      <c r="L452" t="str">
        <f>TEXT(Pqp_supermarket_data[[#This Row],[DateTime]],"ddd")</f>
        <v>Tue</v>
      </c>
      <c r="M452" t="str">
        <f>TEXT(Pqp_supermarket_data[[#This Row],[DateTime]],"mmm")</f>
        <v>May</v>
      </c>
      <c r="N452" t="str">
        <f>TEXT(Pqp_supermarket_data[[#This Row],[DateTime]],"yyy")</f>
        <v>2021</v>
      </c>
    </row>
    <row r="453" spans="1:14" x14ac:dyDescent="0.35">
      <c r="A453" t="s">
        <v>1053</v>
      </c>
      <c r="B453" s="1">
        <v>45145.424341736114</v>
      </c>
      <c r="C453" t="s">
        <v>1054</v>
      </c>
      <c r="D453" t="s">
        <v>127</v>
      </c>
      <c r="E453" t="s">
        <v>148</v>
      </c>
      <c r="F453">
        <v>5.5</v>
      </c>
      <c r="G453">
        <v>3</v>
      </c>
      <c r="H453" t="s">
        <v>14</v>
      </c>
      <c r="I453" t="s">
        <v>61</v>
      </c>
      <c r="J453" t="s">
        <v>320</v>
      </c>
      <c r="K453">
        <f>Pqp_supermarket_data[[#This Row],[Unit_Price]]*Pqp_supermarket_data[[#This Row],[Quantity]]</f>
        <v>16.5</v>
      </c>
      <c r="L453" t="str">
        <f>TEXT(Pqp_supermarket_data[[#This Row],[DateTime]],"ddd")</f>
        <v>Mon</v>
      </c>
      <c r="M453" t="str">
        <f>TEXT(Pqp_supermarket_data[[#This Row],[DateTime]],"mmm")</f>
        <v>Aug</v>
      </c>
      <c r="N453" t="str">
        <f>TEXT(Pqp_supermarket_data[[#This Row],[DateTime]],"yyy")</f>
        <v>2023</v>
      </c>
    </row>
    <row r="454" spans="1:14" x14ac:dyDescent="0.35">
      <c r="A454" t="s">
        <v>1055</v>
      </c>
      <c r="B454" s="1">
        <v>45496.876425069444</v>
      </c>
      <c r="C454" t="s">
        <v>1056</v>
      </c>
      <c r="D454" t="s">
        <v>82</v>
      </c>
      <c r="E454" t="s">
        <v>45</v>
      </c>
      <c r="F454">
        <v>1</v>
      </c>
      <c r="G454">
        <v>3</v>
      </c>
      <c r="H454" t="s">
        <v>14</v>
      </c>
      <c r="I454" t="s">
        <v>21</v>
      </c>
      <c r="J454" t="s">
        <v>423</v>
      </c>
      <c r="K454">
        <f>Pqp_supermarket_data[[#This Row],[Unit_Price]]*Pqp_supermarket_data[[#This Row],[Quantity]]</f>
        <v>3</v>
      </c>
      <c r="L454" t="str">
        <f>TEXT(Pqp_supermarket_data[[#This Row],[DateTime]],"ddd")</f>
        <v>Tue</v>
      </c>
      <c r="M454" t="str">
        <f>TEXT(Pqp_supermarket_data[[#This Row],[DateTime]],"mmm")</f>
        <v>Jul</v>
      </c>
      <c r="N454" t="str">
        <f>TEXT(Pqp_supermarket_data[[#This Row],[DateTime]],"yyy")</f>
        <v>2024</v>
      </c>
    </row>
    <row r="455" spans="1:14" x14ac:dyDescent="0.35">
      <c r="A455" t="s">
        <v>1057</v>
      </c>
      <c r="B455" s="1">
        <v>44920.329897291667</v>
      </c>
      <c r="C455" t="s">
        <v>1058</v>
      </c>
      <c r="D455" t="s">
        <v>30</v>
      </c>
      <c r="E455" t="s">
        <v>20</v>
      </c>
      <c r="F455">
        <v>1</v>
      </c>
      <c r="G455">
        <v>3</v>
      </c>
      <c r="H455" t="s">
        <v>14</v>
      </c>
      <c r="I455" t="s">
        <v>21</v>
      </c>
      <c r="J455" t="s">
        <v>66</v>
      </c>
      <c r="K455">
        <f>Pqp_supermarket_data[[#This Row],[Unit_Price]]*Pqp_supermarket_data[[#This Row],[Quantity]]</f>
        <v>3</v>
      </c>
      <c r="L455" t="str">
        <f>TEXT(Pqp_supermarket_data[[#This Row],[DateTime]],"ddd")</f>
        <v>Sun</v>
      </c>
      <c r="M455" t="str">
        <f>TEXT(Pqp_supermarket_data[[#This Row],[DateTime]],"mmm")</f>
        <v>Dec</v>
      </c>
      <c r="N455" t="str">
        <f>TEXT(Pqp_supermarket_data[[#This Row],[DateTime]],"yyy")</f>
        <v>2022</v>
      </c>
    </row>
    <row r="456" spans="1:14" x14ac:dyDescent="0.35">
      <c r="A456" t="s">
        <v>1059</v>
      </c>
      <c r="B456" s="1">
        <v>44784.179202847219</v>
      </c>
      <c r="C456" t="s">
        <v>1060</v>
      </c>
      <c r="D456" t="s">
        <v>69</v>
      </c>
      <c r="E456" t="s">
        <v>39</v>
      </c>
      <c r="F456">
        <v>3.2</v>
      </c>
      <c r="G456">
        <v>8</v>
      </c>
      <c r="H456" t="s">
        <v>14</v>
      </c>
      <c r="I456" t="s">
        <v>21</v>
      </c>
      <c r="J456" t="s">
        <v>166</v>
      </c>
      <c r="K456">
        <f>Pqp_supermarket_data[[#This Row],[Unit_Price]]*Pqp_supermarket_data[[#This Row],[Quantity]]</f>
        <v>25.6</v>
      </c>
      <c r="L456" t="str">
        <f>TEXT(Pqp_supermarket_data[[#This Row],[DateTime]],"ddd")</f>
        <v>Thu</v>
      </c>
      <c r="M456" t="str">
        <f>TEXT(Pqp_supermarket_data[[#This Row],[DateTime]],"mmm")</f>
        <v>Aug</v>
      </c>
      <c r="N456" t="str">
        <f>TEXT(Pqp_supermarket_data[[#This Row],[DateTime]],"yyy")</f>
        <v>2022</v>
      </c>
    </row>
    <row r="457" spans="1:14" x14ac:dyDescent="0.35">
      <c r="A457" t="s">
        <v>1061</v>
      </c>
      <c r="B457" s="1">
        <v>45051.538230636572</v>
      </c>
      <c r="C457" t="s">
        <v>1062</v>
      </c>
      <c r="D457" t="s">
        <v>69</v>
      </c>
      <c r="E457" t="s">
        <v>78</v>
      </c>
      <c r="F457">
        <v>4</v>
      </c>
      <c r="G457">
        <v>7</v>
      </c>
      <c r="H457" t="s">
        <v>14</v>
      </c>
      <c r="I457" t="s">
        <v>21</v>
      </c>
      <c r="J457" t="s">
        <v>616</v>
      </c>
      <c r="K457">
        <f>Pqp_supermarket_data[[#This Row],[Unit_Price]]*Pqp_supermarket_data[[#This Row],[Quantity]]</f>
        <v>28</v>
      </c>
      <c r="L457" t="str">
        <f>TEXT(Pqp_supermarket_data[[#This Row],[DateTime]],"ddd")</f>
        <v>Fri</v>
      </c>
      <c r="M457" t="str">
        <f>TEXT(Pqp_supermarket_data[[#This Row],[DateTime]],"mmm")</f>
        <v>May</v>
      </c>
      <c r="N457" t="str">
        <f>TEXT(Pqp_supermarket_data[[#This Row],[DateTime]],"yyy")</f>
        <v>2023</v>
      </c>
    </row>
    <row r="458" spans="1:14" x14ac:dyDescent="0.35">
      <c r="A458" t="s">
        <v>1063</v>
      </c>
      <c r="B458" s="1">
        <v>44448.916702858798</v>
      </c>
      <c r="C458" t="s">
        <v>1064</v>
      </c>
      <c r="D458" t="s">
        <v>30</v>
      </c>
      <c r="E458" t="s">
        <v>115</v>
      </c>
      <c r="F458">
        <v>1.5</v>
      </c>
      <c r="G458">
        <v>7</v>
      </c>
      <c r="H458" t="s">
        <v>14</v>
      </c>
      <c r="I458" t="s">
        <v>36</v>
      </c>
      <c r="J458" t="s">
        <v>510</v>
      </c>
      <c r="K458">
        <f>Pqp_supermarket_data[[#This Row],[Unit_Price]]*Pqp_supermarket_data[[#This Row],[Quantity]]</f>
        <v>10.5</v>
      </c>
      <c r="L458" t="str">
        <f>TEXT(Pqp_supermarket_data[[#This Row],[DateTime]],"ddd")</f>
        <v>Thu</v>
      </c>
      <c r="M458" t="str">
        <f>TEXT(Pqp_supermarket_data[[#This Row],[DateTime]],"mmm")</f>
        <v>Sep</v>
      </c>
      <c r="N458" t="str">
        <f>TEXT(Pqp_supermarket_data[[#This Row],[DateTime]],"yyy")</f>
        <v>2021</v>
      </c>
    </row>
    <row r="459" spans="1:14" x14ac:dyDescent="0.35">
      <c r="A459" t="s">
        <v>1065</v>
      </c>
      <c r="B459" s="1">
        <v>44786.3479528588</v>
      </c>
      <c r="C459" t="s">
        <v>1066</v>
      </c>
      <c r="D459" t="s">
        <v>171</v>
      </c>
      <c r="E459" t="s">
        <v>35</v>
      </c>
      <c r="F459">
        <v>1.2</v>
      </c>
      <c r="G459">
        <v>4</v>
      </c>
      <c r="H459" t="s">
        <v>14</v>
      </c>
      <c r="I459" t="s">
        <v>61</v>
      </c>
      <c r="J459" t="s">
        <v>74</v>
      </c>
      <c r="K459">
        <f>Pqp_supermarket_data[[#This Row],[Unit_Price]]*Pqp_supermarket_data[[#This Row],[Quantity]]</f>
        <v>4.8</v>
      </c>
      <c r="L459" t="str">
        <f>TEXT(Pqp_supermarket_data[[#This Row],[DateTime]],"ddd")</f>
        <v>Sat</v>
      </c>
      <c r="M459" t="str">
        <f>TEXT(Pqp_supermarket_data[[#This Row],[DateTime]],"mmm")</f>
        <v>Aug</v>
      </c>
      <c r="N459" t="str">
        <f>TEXT(Pqp_supermarket_data[[#This Row],[DateTime]],"yyy")</f>
        <v>2022</v>
      </c>
    </row>
    <row r="460" spans="1:14" x14ac:dyDescent="0.35">
      <c r="A460" t="s">
        <v>1067</v>
      </c>
      <c r="B460" s="1">
        <v>45224.244480636575</v>
      </c>
      <c r="C460" t="s">
        <v>1068</v>
      </c>
      <c r="D460" t="s">
        <v>127</v>
      </c>
      <c r="E460" t="s">
        <v>94</v>
      </c>
      <c r="F460">
        <v>0.8</v>
      </c>
      <c r="G460">
        <v>8</v>
      </c>
      <c r="H460" t="s">
        <v>14</v>
      </c>
      <c r="I460" t="s">
        <v>21</v>
      </c>
      <c r="J460" t="s">
        <v>314</v>
      </c>
      <c r="K460">
        <f>Pqp_supermarket_data[[#This Row],[Unit_Price]]*Pqp_supermarket_data[[#This Row],[Quantity]]</f>
        <v>6.4</v>
      </c>
      <c r="L460" t="str">
        <f>TEXT(Pqp_supermarket_data[[#This Row],[DateTime]],"ddd")</f>
        <v>Wed</v>
      </c>
      <c r="M460" t="str">
        <f>TEXT(Pqp_supermarket_data[[#This Row],[DateTime]],"mmm")</f>
        <v>Oct</v>
      </c>
      <c r="N460" t="str">
        <f>TEXT(Pqp_supermarket_data[[#This Row],[DateTime]],"yyy")</f>
        <v>2023</v>
      </c>
    </row>
    <row r="461" spans="1:14" x14ac:dyDescent="0.35">
      <c r="A461" t="s">
        <v>1069</v>
      </c>
      <c r="B461" s="1">
        <v>44771.829202870373</v>
      </c>
      <c r="C461" t="s">
        <v>1070</v>
      </c>
      <c r="D461" t="s">
        <v>77</v>
      </c>
      <c r="E461" t="s">
        <v>119</v>
      </c>
      <c r="F461">
        <v>4</v>
      </c>
      <c r="G461">
        <v>2</v>
      </c>
      <c r="H461" t="s">
        <v>14</v>
      </c>
      <c r="I461" t="s">
        <v>61</v>
      </c>
      <c r="J461" t="s">
        <v>267</v>
      </c>
      <c r="K461">
        <f>Pqp_supermarket_data[[#This Row],[Unit_Price]]*Pqp_supermarket_data[[#This Row],[Quantity]]</f>
        <v>8</v>
      </c>
      <c r="L461" t="str">
        <f>TEXT(Pqp_supermarket_data[[#This Row],[DateTime]],"ddd")</f>
        <v>Fri</v>
      </c>
      <c r="M461" t="str">
        <f>TEXT(Pqp_supermarket_data[[#This Row],[DateTime]],"mmm")</f>
        <v>Jul</v>
      </c>
      <c r="N461" t="str">
        <f>TEXT(Pqp_supermarket_data[[#This Row],[DateTime]],"yyy")</f>
        <v>2022</v>
      </c>
    </row>
    <row r="462" spans="1:14" x14ac:dyDescent="0.35">
      <c r="A462" t="s">
        <v>1071</v>
      </c>
      <c r="B462" s="1">
        <v>44674.077813981479</v>
      </c>
      <c r="C462" t="s">
        <v>1072</v>
      </c>
      <c r="D462" t="s">
        <v>34</v>
      </c>
      <c r="E462" t="s">
        <v>137</v>
      </c>
      <c r="F462">
        <v>2.5</v>
      </c>
      <c r="G462">
        <v>8</v>
      </c>
      <c r="H462" t="s">
        <v>14</v>
      </c>
      <c r="I462" t="s">
        <v>21</v>
      </c>
      <c r="J462" t="s">
        <v>163</v>
      </c>
      <c r="K462">
        <f>Pqp_supermarket_data[[#This Row],[Unit_Price]]*Pqp_supermarket_data[[#This Row],[Quantity]]</f>
        <v>20</v>
      </c>
      <c r="L462" t="str">
        <f>TEXT(Pqp_supermarket_data[[#This Row],[DateTime]],"ddd")</f>
        <v>Sat</v>
      </c>
      <c r="M462" t="str">
        <f>TEXT(Pqp_supermarket_data[[#This Row],[DateTime]],"mmm")</f>
        <v>Apr</v>
      </c>
      <c r="N462" t="str">
        <f>TEXT(Pqp_supermarket_data[[#This Row],[DateTime]],"yyy")</f>
        <v>2022</v>
      </c>
    </row>
    <row r="463" spans="1:14" x14ac:dyDescent="0.35">
      <c r="A463" t="s">
        <v>1073</v>
      </c>
      <c r="B463" s="1">
        <v>44916.402119537037</v>
      </c>
      <c r="C463" t="s">
        <v>1074</v>
      </c>
      <c r="D463" t="s">
        <v>34</v>
      </c>
      <c r="E463" t="s">
        <v>26</v>
      </c>
      <c r="F463">
        <v>2.5</v>
      </c>
      <c r="G463">
        <v>5</v>
      </c>
      <c r="H463" t="s">
        <v>14</v>
      </c>
      <c r="I463" t="s">
        <v>40</v>
      </c>
      <c r="J463" t="s">
        <v>31</v>
      </c>
      <c r="K463">
        <f>Pqp_supermarket_data[[#This Row],[Unit_Price]]*Pqp_supermarket_data[[#This Row],[Quantity]]</f>
        <v>12.5</v>
      </c>
      <c r="L463" t="str">
        <f>TEXT(Pqp_supermarket_data[[#This Row],[DateTime]],"ddd")</f>
        <v>Wed</v>
      </c>
      <c r="M463" t="str">
        <f>TEXT(Pqp_supermarket_data[[#This Row],[DateTime]],"mmm")</f>
        <v>Dec</v>
      </c>
      <c r="N463" t="str">
        <f>TEXT(Pqp_supermarket_data[[#This Row],[DateTime]],"yyy")</f>
        <v>2022</v>
      </c>
    </row>
    <row r="464" spans="1:14" x14ac:dyDescent="0.35">
      <c r="A464" t="s">
        <v>1075</v>
      </c>
      <c r="B464" s="1">
        <v>45248.063230648149</v>
      </c>
      <c r="C464" t="s">
        <v>1076</v>
      </c>
      <c r="D464" t="s">
        <v>34</v>
      </c>
      <c r="E464" t="s">
        <v>65</v>
      </c>
      <c r="F464">
        <v>3</v>
      </c>
      <c r="G464">
        <v>8</v>
      </c>
      <c r="H464" t="s">
        <v>14</v>
      </c>
      <c r="I464" t="s">
        <v>40</v>
      </c>
      <c r="J464" t="s">
        <v>267</v>
      </c>
      <c r="K464">
        <f>Pqp_supermarket_data[[#This Row],[Unit_Price]]*Pqp_supermarket_data[[#This Row],[Quantity]]</f>
        <v>24</v>
      </c>
      <c r="L464" t="str">
        <f>TEXT(Pqp_supermarket_data[[#This Row],[DateTime]],"ddd")</f>
        <v>Sat</v>
      </c>
      <c r="M464" t="str">
        <f>TEXT(Pqp_supermarket_data[[#This Row],[DateTime]],"mmm")</f>
        <v>Nov</v>
      </c>
      <c r="N464" t="str">
        <f>TEXT(Pqp_supermarket_data[[#This Row],[DateTime]],"yyy")</f>
        <v>2023</v>
      </c>
    </row>
    <row r="465" spans="1:14" x14ac:dyDescent="0.35">
      <c r="A465" t="s">
        <v>1077</v>
      </c>
      <c r="B465" s="1">
        <v>45301.274341759257</v>
      </c>
      <c r="C465" t="s">
        <v>1078</v>
      </c>
      <c r="D465" t="s">
        <v>12</v>
      </c>
      <c r="E465" t="s">
        <v>119</v>
      </c>
      <c r="F465">
        <v>4</v>
      </c>
      <c r="G465">
        <v>6</v>
      </c>
      <c r="H465" t="s">
        <v>14</v>
      </c>
      <c r="I465" t="s">
        <v>36</v>
      </c>
      <c r="J465" t="s">
        <v>262</v>
      </c>
      <c r="K465">
        <f>Pqp_supermarket_data[[#This Row],[Unit_Price]]*Pqp_supermarket_data[[#This Row],[Quantity]]</f>
        <v>24</v>
      </c>
      <c r="L465" t="str">
        <f>TEXT(Pqp_supermarket_data[[#This Row],[DateTime]],"ddd")</f>
        <v>Wed</v>
      </c>
      <c r="M465" t="str">
        <f>TEXT(Pqp_supermarket_data[[#This Row],[DateTime]],"mmm")</f>
        <v>Jan</v>
      </c>
      <c r="N465" t="str">
        <f>TEXT(Pqp_supermarket_data[[#This Row],[DateTime]],"yyy")</f>
        <v>2024</v>
      </c>
    </row>
    <row r="466" spans="1:14" x14ac:dyDescent="0.35">
      <c r="A466" t="s">
        <v>1079</v>
      </c>
      <c r="B466" s="1">
        <v>44491.01114732639</v>
      </c>
      <c r="C466" t="s">
        <v>1080</v>
      </c>
      <c r="D466" t="s">
        <v>171</v>
      </c>
      <c r="E466" t="s">
        <v>111</v>
      </c>
      <c r="F466">
        <v>2.2000000000000002</v>
      </c>
      <c r="G466">
        <v>4</v>
      </c>
      <c r="H466" t="s">
        <v>14</v>
      </c>
      <c r="I466" t="s">
        <v>15</v>
      </c>
      <c r="J466" t="s">
        <v>387</v>
      </c>
      <c r="K466">
        <f>Pqp_supermarket_data[[#This Row],[Unit_Price]]*Pqp_supermarket_data[[#This Row],[Quantity]]</f>
        <v>8.8000000000000007</v>
      </c>
      <c r="L466" t="str">
        <f>TEXT(Pqp_supermarket_data[[#This Row],[DateTime]],"ddd")</f>
        <v>Fri</v>
      </c>
      <c r="M466" t="str">
        <f>TEXT(Pqp_supermarket_data[[#This Row],[DateTime]],"mmm")</f>
        <v>Oct</v>
      </c>
      <c r="N466" t="str">
        <f>TEXT(Pqp_supermarket_data[[#This Row],[DateTime]],"yyy")</f>
        <v>2021</v>
      </c>
    </row>
    <row r="467" spans="1:14" x14ac:dyDescent="0.35">
      <c r="A467" t="s">
        <v>1081</v>
      </c>
      <c r="B467" s="1">
        <v>44619.077813993055</v>
      </c>
      <c r="C467" t="s">
        <v>1082</v>
      </c>
      <c r="D467" t="s">
        <v>127</v>
      </c>
      <c r="E467" t="s">
        <v>45</v>
      </c>
      <c r="F467">
        <v>1</v>
      </c>
      <c r="G467">
        <v>9</v>
      </c>
      <c r="H467" t="s">
        <v>14</v>
      </c>
      <c r="I467" t="s">
        <v>15</v>
      </c>
      <c r="J467" t="s">
        <v>394</v>
      </c>
      <c r="K467">
        <f>Pqp_supermarket_data[[#This Row],[Unit_Price]]*Pqp_supermarket_data[[#This Row],[Quantity]]</f>
        <v>9</v>
      </c>
      <c r="L467" t="str">
        <f>TEXT(Pqp_supermarket_data[[#This Row],[DateTime]],"ddd")</f>
        <v>Sun</v>
      </c>
      <c r="M467" t="str">
        <f>TEXT(Pqp_supermarket_data[[#This Row],[DateTime]],"mmm")</f>
        <v>Feb</v>
      </c>
      <c r="N467" t="str">
        <f>TEXT(Pqp_supermarket_data[[#This Row],[DateTime]],"yyy")</f>
        <v>2022</v>
      </c>
    </row>
    <row r="468" spans="1:14" x14ac:dyDescent="0.35">
      <c r="A468" t="s">
        <v>1083</v>
      </c>
      <c r="B468" s="1">
        <v>44345.172258437502</v>
      </c>
      <c r="C468" t="s">
        <v>1084</v>
      </c>
      <c r="D468" t="s">
        <v>171</v>
      </c>
      <c r="E468" t="s">
        <v>13</v>
      </c>
      <c r="F468">
        <v>3.1</v>
      </c>
      <c r="G468">
        <v>9</v>
      </c>
      <c r="H468" t="s">
        <v>14</v>
      </c>
      <c r="I468" t="s">
        <v>36</v>
      </c>
      <c r="J468" t="s">
        <v>58</v>
      </c>
      <c r="K468">
        <f>Pqp_supermarket_data[[#This Row],[Unit_Price]]*Pqp_supermarket_data[[#This Row],[Quantity]]</f>
        <v>27.900000000000002</v>
      </c>
      <c r="L468" t="str">
        <f>TEXT(Pqp_supermarket_data[[#This Row],[DateTime]],"ddd")</f>
        <v>Sat</v>
      </c>
      <c r="M468" t="str">
        <f>TEXT(Pqp_supermarket_data[[#This Row],[DateTime]],"mmm")</f>
        <v>May</v>
      </c>
      <c r="N468" t="str">
        <f>TEXT(Pqp_supermarket_data[[#This Row],[DateTime]],"yyy")</f>
        <v>2021</v>
      </c>
    </row>
    <row r="469" spans="1:14" x14ac:dyDescent="0.35">
      <c r="A469" t="s">
        <v>1085</v>
      </c>
      <c r="B469" s="1">
        <v>45508.977813993057</v>
      </c>
      <c r="C469" t="s">
        <v>1086</v>
      </c>
      <c r="D469" t="s">
        <v>208</v>
      </c>
      <c r="E469" t="s">
        <v>13</v>
      </c>
      <c r="F469">
        <v>3.1</v>
      </c>
      <c r="G469">
        <v>3</v>
      </c>
      <c r="H469" t="s">
        <v>14</v>
      </c>
      <c r="I469" t="s">
        <v>36</v>
      </c>
      <c r="J469" t="s">
        <v>295</v>
      </c>
      <c r="K469">
        <f>Pqp_supermarket_data[[#This Row],[Unit_Price]]*Pqp_supermarket_data[[#This Row],[Quantity]]</f>
        <v>9.3000000000000007</v>
      </c>
      <c r="L469" t="str">
        <f>TEXT(Pqp_supermarket_data[[#This Row],[DateTime]],"ddd")</f>
        <v>Sun</v>
      </c>
      <c r="M469" t="str">
        <f>TEXT(Pqp_supermarket_data[[#This Row],[DateTime]],"mmm")</f>
        <v>Aug</v>
      </c>
      <c r="N469" t="str">
        <f>TEXT(Pqp_supermarket_data[[#This Row],[DateTime]],"yyy")</f>
        <v>2024</v>
      </c>
    </row>
    <row r="470" spans="1:14" x14ac:dyDescent="0.35">
      <c r="A470" t="s">
        <v>1087</v>
      </c>
      <c r="B470" s="1">
        <v>45275.361841770835</v>
      </c>
      <c r="C470" t="s">
        <v>1088</v>
      </c>
      <c r="D470" t="s">
        <v>44</v>
      </c>
      <c r="E470" t="s">
        <v>26</v>
      </c>
      <c r="F470">
        <v>2.5</v>
      </c>
      <c r="G470">
        <v>7</v>
      </c>
      <c r="H470" t="s">
        <v>14</v>
      </c>
      <c r="I470" t="s">
        <v>86</v>
      </c>
      <c r="J470" t="s">
        <v>209</v>
      </c>
      <c r="K470">
        <f>Pqp_supermarket_data[[#This Row],[Unit_Price]]*Pqp_supermarket_data[[#This Row],[Quantity]]</f>
        <v>17.5</v>
      </c>
      <c r="L470" t="str">
        <f>TEXT(Pqp_supermarket_data[[#This Row],[DateTime]],"ddd")</f>
        <v>Fri</v>
      </c>
      <c r="M470" t="str">
        <f>TEXT(Pqp_supermarket_data[[#This Row],[DateTime]],"mmm")</f>
        <v>Dec</v>
      </c>
      <c r="N470" t="str">
        <f>TEXT(Pqp_supermarket_data[[#This Row],[DateTime]],"yyy")</f>
        <v>2023</v>
      </c>
    </row>
    <row r="471" spans="1:14" x14ac:dyDescent="0.35">
      <c r="A471" t="s">
        <v>1089</v>
      </c>
      <c r="B471" s="1">
        <v>44603.714619560182</v>
      </c>
      <c r="C471" t="s">
        <v>1090</v>
      </c>
      <c r="D471" t="s">
        <v>30</v>
      </c>
      <c r="E471" t="s">
        <v>145</v>
      </c>
      <c r="F471">
        <v>1.7</v>
      </c>
      <c r="G471">
        <v>7</v>
      </c>
      <c r="H471" t="s">
        <v>14</v>
      </c>
      <c r="I471" t="s">
        <v>86</v>
      </c>
      <c r="J471" t="s">
        <v>205</v>
      </c>
      <c r="K471">
        <f>Pqp_supermarket_data[[#This Row],[Unit_Price]]*Pqp_supermarket_data[[#This Row],[Quantity]]</f>
        <v>11.9</v>
      </c>
      <c r="L471" t="str">
        <f>TEXT(Pqp_supermarket_data[[#This Row],[DateTime]],"ddd")</f>
        <v>Fri</v>
      </c>
      <c r="M471" t="str">
        <f>TEXT(Pqp_supermarket_data[[#This Row],[DateTime]],"mmm")</f>
        <v>Feb</v>
      </c>
      <c r="N471" t="str">
        <f>TEXT(Pqp_supermarket_data[[#This Row],[DateTime]],"yyy")</f>
        <v>2022</v>
      </c>
    </row>
    <row r="472" spans="1:14" x14ac:dyDescent="0.35">
      <c r="A472" t="s">
        <v>1091</v>
      </c>
      <c r="B472" s="1">
        <v>44489.45906400463</v>
      </c>
      <c r="C472" t="s">
        <v>1092</v>
      </c>
      <c r="D472" t="s">
        <v>85</v>
      </c>
      <c r="E472" t="s">
        <v>13</v>
      </c>
      <c r="F472">
        <v>3.1</v>
      </c>
      <c r="G472">
        <v>6</v>
      </c>
      <c r="H472" t="s">
        <v>14</v>
      </c>
      <c r="I472" t="s">
        <v>86</v>
      </c>
      <c r="J472" t="s">
        <v>723</v>
      </c>
      <c r="K472">
        <f>Pqp_supermarket_data[[#This Row],[Unit_Price]]*Pqp_supermarket_data[[#This Row],[Quantity]]</f>
        <v>18.600000000000001</v>
      </c>
      <c r="L472" t="str">
        <f>TEXT(Pqp_supermarket_data[[#This Row],[DateTime]],"ddd")</f>
        <v>Wed</v>
      </c>
      <c r="M472" t="str">
        <f>TEXT(Pqp_supermarket_data[[#This Row],[DateTime]],"mmm")</f>
        <v>Oct</v>
      </c>
      <c r="N472" t="str">
        <f>TEXT(Pqp_supermarket_data[[#This Row],[DateTime]],"yyy")</f>
        <v>2021</v>
      </c>
    </row>
    <row r="473" spans="1:14" x14ac:dyDescent="0.35">
      <c r="A473" t="s">
        <v>1093</v>
      </c>
      <c r="B473" s="1">
        <v>45115.809758449075</v>
      </c>
      <c r="C473" t="s">
        <v>1094</v>
      </c>
      <c r="D473" t="s">
        <v>34</v>
      </c>
      <c r="E473" t="s">
        <v>65</v>
      </c>
      <c r="F473">
        <v>3</v>
      </c>
      <c r="G473">
        <v>8</v>
      </c>
      <c r="H473" t="s">
        <v>14</v>
      </c>
      <c r="I473" t="s">
        <v>36</v>
      </c>
      <c r="J473" t="s">
        <v>178</v>
      </c>
      <c r="K473">
        <f>Pqp_supermarket_data[[#This Row],[Unit_Price]]*Pqp_supermarket_data[[#This Row],[Quantity]]</f>
        <v>24</v>
      </c>
      <c r="L473" t="str">
        <f>TEXT(Pqp_supermarket_data[[#This Row],[DateTime]],"ddd")</f>
        <v>Sat</v>
      </c>
      <c r="M473" t="str">
        <f>TEXT(Pqp_supermarket_data[[#This Row],[DateTime]],"mmm")</f>
        <v>Jul</v>
      </c>
      <c r="N473" t="str">
        <f>TEXT(Pqp_supermarket_data[[#This Row],[DateTime]],"yyy")</f>
        <v>2023</v>
      </c>
    </row>
    <row r="474" spans="1:14" x14ac:dyDescent="0.35">
      <c r="A474" t="s">
        <v>1095</v>
      </c>
      <c r="B474" s="1">
        <v>44358.063925115741</v>
      </c>
      <c r="C474" t="s">
        <v>1096</v>
      </c>
      <c r="D474" t="s">
        <v>77</v>
      </c>
      <c r="E474" t="s">
        <v>20</v>
      </c>
      <c r="F474">
        <v>1</v>
      </c>
      <c r="G474">
        <v>7</v>
      </c>
      <c r="H474" t="s">
        <v>14</v>
      </c>
      <c r="I474" t="s">
        <v>15</v>
      </c>
      <c r="J474" t="s">
        <v>22</v>
      </c>
      <c r="K474">
        <f>Pqp_supermarket_data[[#This Row],[Unit_Price]]*Pqp_supermarket_data[[#This Row],[Quantity]]</f>
        <v>7</v>
      </c>
      <c r="L474" t="str">
        <f>TEXT(Pqp_supermarket_data[[#This Row],[DateTime]],"ddd")</f>
        <v>Fri</v>
      </c>
      <c r="M474" t="str">
        <f>TEXT(Pqp_supermarket_data[[#This Row],[DateTime]],"mmm")</f>
        <v>Jun</v>
      </c>
      <c r="N474" t="str">
        <f>TEXT(Pqp_supermarket_data[[#This Row],[DateTime]],"yyy")</f>
        <v>2021</v>
      </c>
    </row>
    <row r="475" spans="1:14" x14ac:dyDescent="0.35">
      <c r="A475" t="s">
        <v>1097</v>
      </c>
      <c r="B475" s="1">
        <v>45352.922952893518</v>
      </c>
      <c r="C475" t="s">
        <v>1098</v>
      </c>
      <c r="D475" t="s">
        <v>44</v>
      </c>
      <c r="E475" t="s">
        <v>57</v>
      </c>
      <c r="F475">
        <v>4.5</v>
      </c>
      <c r="G475">
        <v>6</v>
      </c>
      <c r="H475" t="s">
        <v>14</v>
      </c>
      <c r="I475" t="s">
        <v>21</v>
      </c>
      <c r="J475" t="s">
        <v>317</v>
      </c>
      <c r="K475">
        <f>Pqp_supermarket_data[[#This Row],[Unit_Price]]*Pqp_supermarket_data[[#This Row],[Quantity]]</f>
        <v>27</v>
      </c>
      <c r="L475" t="str">
        <f>TEXT(Pqp_supermarket_data[[#This Row],[DateTime]],"ddd")</f>
        <v>Fri</v>
      </c>
      <c r="M475" t="str">
        <f>TEXT(Pqp_supermarket_data[[#This Row],[DateTime]],"mmm")</f>
        <v>Mar</v>
      </c>
      <c r="N475" t="str">
        <f>TEXT(Pqp_supermarket_data[[#This Row],[DateTime]],"yyy")</f>
        <v>2024</v>
      </c>
    </row>
    <row r="476" spans="1:14" x14ac:dyDescent="0.35">
      <c r="A476" t="s">
        <v>1099</v>
      </c>
      <c r="B476" s="1">
        <v>45518.772258449077</v>
      </c>
      <c r="C476" t="s">
        <v>1100</v>
      </c>
      <c r="D476" t="s">
        <v>98</v>
      </c>
      <c r="E476" t="s">
        <v>39</v>
      </c>
      <c r="F476">
        <v>3.2</v>
      </c>
      <c r="G476">
        <v>1</v>
      </c>
      <c r="H476" t="s">
        <v>14</v>
      </c>
      <c r="I476" t="s">
        <v>40</v>
      </c>
      <c r="J476" t="s">
        <v>58</v>
      </c>
      <c r="K476">
        <f>Pqp_supermarket_data[[#This Row],[Unit_Price]]*Pqp_supermarket_data[[#This Row],[Quantity]]</f>
        <v>3.2</v>
      </c>
      <c r="L476" t="str">
        <f>TEXT(Pqp_supermarket_data[[#This Row],[DateTime]],"ddd")</f>
        <v>Wed</v>
      </c>
      <c r="M476" t="str">
        <f>TEXT(Pqp_supermarket_data[[#This Row],[DateTime]],"mmm")</f>
        <v>Aug</v>
      </c>
      <c r="N476" t="str">
        <f>TEXT(Pqp_supermarket_data[[#This Row],[DateTime]],"yyy")</f>
        <v>2024</v>
      </c>
    </row>
    <row r="477" spans="1:14" x14ac:dyDescent="0.35">
      <c r="A477" t="s">
        <v>1101</v>
      </c>
      <c r="B477" s="1">
        <v>44503.975730682869</v>
      </c>
      <c r="C477" t="s">
        <v>1102</v>
      </c>
      <c r="D477" t="s">
        <v>77</v>
      </c>
      <c r="E477" t="s">
        <v>94</v>
      </c>
      <c r="F477">
        <v>0.8</v>
      </c>
      <c r="G477">
        <v>8</v>
      </c>
      <c r="H477" t="s">
        <v>14</v>
      </c>
      <c r="I477" t="s">
        <v>86</v>
      </c>
      <c r="J477" t="s">
        <v>288</v>
      </c>
      <c r="K477">
        <f>Pqp_supermarket_data[[#This Row],[Unit_Price]]*Pqp_supermarket_data[[#This Row],[Quantity]]</f>
        <v>6.4</v>
      </c>
      <c r="L477" t="str">
        <f>TEXT(Pqp_supermarket_data[[#This Row],[DateTime]],"ddd")</f>
        <v>Wed</v>
      </c>
      <c r="M477" t="str">
        <f>TEXT(Pqp_supermarket_data[[#This Row],[DateTime]],"mmm")</f>
        <v>Nov</v>
      </c>
      <c r="N477" t="str">
        <f>TEXT(Pqp_supermarket_data[[#This Row],[DateTime]],"yyy")</f>
        <v>2021</v>
      </c>
    </row>
    <row r="478" spans="1:14" x14ac:dyDescent="0.35">
      <c r="A478" t="s">
        <v>1103</v>
      </c>
      <c r="B478" s="1">
        <v>44910.279202905091</v>
      </c>
      <c r="C478" t="s">
        <v>1104</v>
      </c>
      <c r="D478" t="s">
        <v>19</v>
      </c>
      <c r="E478" t="s">
        <v>111</v>
      </c>
      <c r="F478">
        <v>2.2000000000000002</v>
      </c>
      <c r="G478">
        <v>5</v>
      </c>
      <c r="H478" t="s">
        <v>14</v>
      </c>
      <c r="I478" t="s">
        <v>15</v>
      </c>
      <c r="J478" t="s">
        <v>339</v>
      </c>
      <c r="K478">
        <f>Pqp_supermarket_data[[#This Row],[Unit_Price]]*Pqp_supermarket_data[[#This Row],[Quantity]]</f>
        <v>11</v>
      </c>
      <c r="L478" t="str">
        <f>TEXT(Pqp_supermarket_data[[#This Row],[DateTime]],"ddd")</f>
        <v>Thu</v>
      </c>
      <c r="M478" t="str">
        <f>TEXT(Pqp_supermarket_data[[#This Row],[DateTime]],"mmm")</f>
        <v>Dec</v>
      </c>
      <c r="N478" t="str">
        <f>TEXT(Pqp_supermarket_data[[#This Row],[DateTime]],"yyy")</f>
        <v>2022</v>
      </c>
    </row>
    <row r="479" spans="1:14" x14ac:dyDescent="0.35">
      <c r="A479" t="s">
        <v>1105</v>
      </c>
      <c r="B479" s="1">
        <v>45594.710452905092</v>
      </c>
      <c r="C479" t="s">
        <v>1106</v>
      </c>
      <c r="D479" t="s">
        <v>127</v>
      </c>
      <c r="E479" t="s">
        <v>65</v>
      </c>
      <c r="F479">
        <v>3</v>
      </c>
      <c r="G479">
        <v>6</v>
      </c>
      <c r="H479" t="s">
        <v>14</v>
      </c>
      <c r="I479" t="s">
        <v>36</v>
      </c>
      <c r="J479" t="s">
        <v>189</v>
      </c>
      <c r="K479">
        <f>Pqp_supermarket_data[[#This Row],[Unit_Price]]*Pqp_supermarket_data[[#This Row],[Quantity]]</f>
        <v>18</v>
      </c>
      <c r="L479" t="str">
        <f>TEXT(Pqp_supermarket_data[[#This Row],[DateTime]],"ddd")</f>
        <v>Tue</v>
      </c>
      <c r="M479" t="str">
        <f>TEXT(Pqp_supermarket_data[[#This Row],[DateTime]],"mmm")</f>
        <v>Oct</v>
      </c>
      <c r="N479" t="str">
        <f>TEXT(Pqp_supermarket_data[[#This Row],[DateTime]],"yyy")</f>
        <v>2024</v>
      </c>
    </row>
    <row r="480" spans="1:14" x14ac:dyDescent="0.35">
      <c r="A480" t="s">
        <v>1107</v>
      </c>
      <c r="B480" s="1">
        <v>45448.50073068287</v>
      </c>
      <c r="C480" t="s">
        <v>1108</v>
      </c>
      <c r="D480" t="s">
        <v>30</v>
      </c>
      <c r="E480" t="s">
        <v>57</v>
      </c>
      <c r="F480">
        <v>4.5</v>
      </c>
      <c r="G480">
        <v>4</v>
      </c>
      <c r="H480" t="s">
        <v>14</v>
      </c>
      <c r="I480" t="s">
        <v>86</v>
      </c>
      <c r="J480" t="s">
        <v>189</v>
      </c>
      <c r="K480">
        <f>Pqp_supermarket_data[[#This Row],[Unit_Price]]*Pqp_supermarket_data[[#This Row],[Quantity]]</f>
        <v>18</v>
      </c>
      <c r="L480" t="str">
        <f>TEXT(Pqp_supermarket_data[[#This Row],[DateTime]],"ddd")</f>
        <v>Wed</v>
      </c>
      <c r="M480" t="str">
        <f>TEXT(Pqp_supermarket_data[[#This Row],[DateTime]],"mmm")</f>
        <v>Jun</v>
      </c>
      <c r="N480" t="str">
        <f>TEXT(Pqp_supermarket_data[[#This Row],[DateTime]],"yyy")</f>
        <v>2024</v>
      </c>
    </row>
    <row r="481" spans="1:14" x14ac:dyDescent="0.35">
      <c r="A481" t="s">
        <v>1109</v>
      </c>
      <c r="B481" s="1">
        <v>45599.63892513889</v>
      </c>
      <c r="C481" t="s">
        <v>1110</v>
      </c>
      <c r="D481" t="s">
        <v>208</v>
      </c>
      <c r="E481" t="s">
        <v>78</v>
      </c>
      <c r="F481">
        <v>4</v>
      </c>
      <c r="G481">
        <v>8</v>
      </c>
      <c r="H481" t="s">
        <v>14</v>
      </c>
      <c r="I481" t="s">
        <v>40</v>
      </c>
      <c r="J481" t="s">
        <v>295</v>
      </c>
      <c r="K481">
        <f>Pqp_supermarket_data[[#This Row],[Unit_Price]]*Pqp_supermarket_data[[#This Row],[Quantity]]</f>
        <v>32</v>
      </c>
      <c r="L481" t="str">
        <f>TEXT(Pqp_supermarket_data[[#This Row],[DateTime]],"ddd")</f>
        <v>Sun</v>
      </c>
      <c r="M481" t="str">
        <f>TEXT(Pqp_supermarket_data[[#This Row],[DateTime]],"mmm")</f>
        <v>Nov</v>
      </c>
      <c r="N481" t="str">
        <f>TEXT(Pqp_supermarket_data[[#This Row],[DateTime]],"yyy")</f>
        <v>2024</v>
      </c>
    </row>
    <row r="482" spans="1:14" x14ac:dyDescent="0.35">
      <c r="A482" t="s">
        <v>1111</v>
      </c>
      <c r="B482" s="1">
        <v>44571.245175138887</v>
      </c>
      <c r="C482" t="s">
        <v>1112</v>
      </c>
      <c r="D482" t="s">
        <v>30</v>
      </c>
      <c r="E482" t="s">
        <v>70</v>
      </c>
      <c r="F482">
        <v>5</v>
      </c>
      <c r="G482">
        <v>1</v>
      </c>
      <c r="H482" t="s">
        <v>14</v>
      </c>
      <c r="I482" t="s">
        <v>40</v>
      </c>
      <c r="J482" t="s">
        <v>160</v>
      </c>
      <c r="K482">
        <f>Pqp_supermarket_data[[#This Row],[Unit_Price]]*Pqp_supermarket_data[[#This Row],[Quantity]]</f>
        <v>5</v>
      </c>
      <c r="L482" t="str">
        <f>TEXT(Pqp_supermarket_data[[#This Row],[DateTime]],"ddd")</f>
        <v>Mon</v>
      </c>
      <c r="M482" t="str">
        <f>TEXT(Pqp_supermarket_data[[#This Row],[DateTime]],"mmm")</f>
        <v>Jan</v>
      </c>
      <c r="N482" t="str">
        <f>TEXT(Pqp_supermarket_data[[#This Row],[DateTime]],"yyy")</f>
        <v>2022</v>
      </c>
    </row>
    <row r="483" spans="1:14" x14ac:dyDescent="0.35">
      <c r="A483" t="s">
        <v>1113</v>
      </c>
      <c r="B483" s="1">
        <v>45083.396564027775</v>
      </c>
      <c r="C483" t="s">
        <v>1114</v>
      </c>
      <c r="D483" t="s">
        <v>82</v>
      </c>
      <c r="E483" t="s">
        <v>111</v>
      </c>
      <c r="F483">
        <v>2.2000000000000002</v>
      </c>
      <c r="G483">
        <v>8</v>
      </c>
      <c r="H483" t="s">
        <v>14</v>
      </c>
      <c r="I483" t="s">
        <v>40</v>
      </c>
      <c r="J483" t="s">
        <v>496</v>
      </c>
      <c r="K483">
        <f>Pqp_supermarket_data[[#This Row],[Unit_Price]]*Pqp_supermarket_data[[#This Row],[Quantity]]</f>
        <v>17.600000000000001</v>
      </c>
      <c r="L483" t="str">
        <f>TEXT(Pqp_supermarket_data[[#This Row],[DateTime]],"ddd")</f>
        <v>Tue</v>
      </c>
      <c r="M483" t="str">
        <f>TEXT(Pqp_supermarket_data[[#This Row],[DateTime]],"mmm")</f>
        <v>Jun</v>
      </c>
      <c r="N483" t="str">
        <f>TEXT(Pqp_supermarket_data[[#This Row],[DateTime]],"yyy")</f>
        <v>2023</v>
      </c>
    </row>
    <row r="484" spans="1:14" x14ac:dyDescent="0.35">
      <c r="A484" t="s">
        <v>1115</v>
      </c>
      <c r="B484" s="1">
        <v>45002.444480694445</v>
      </c>
      <c r="C484" t="s">
        <v>1116</v>
      </c>
      <c r="D484" t="s">
        <v>226</v>
      </c>
      <c r="E484" t="s">
        <v>148</v>
      </c>
      <c r="F484">
        <v>5.5</v>
      </c>
      <c r="G484">
        <v>2</v>
      </c>
      <c r="H484" t="s">
        <v>14</v>
      </c>
      <c r="I484" t="s">
        <v>61</v>
      </c>
      <c r="J484" t="s">
        <v>186</v>
      </c>
      <c r="K484">
        <f>Pqp_supermarket_data[[#This Row],[Unit_Price]]*Pqp_supermarket_data[[#This Row],[Quantity]]</f>
        <v>11</v>
      </c>
      <c r="L484" t="str">
        <f>TEXT(Pqp_supermarket_data[[#This Row],[DateTime]],"ddd")</f>
        <v>Fri</v>
      </c>
      <c r="M484" t="str">
        <f>TEXT(Pqp_supermarket_data[[#This Row],[DateTime]],"mmm")</f>
        <v>Mar</v>
      </c>
      <c r="N484" t="str">
        <f>TEXT(Pqp_supermarket_data[[#This Row],[DateTime]],"yyy")</f>
        <v>2023</v>
      </c>
    </row>
    <row r="485" spans="1:14" x14ac:dyDescent="0.35">
      <c r="A485" t="s">
        <v>1117</v>
      </c>
      <c r="B485" s="1">
        <v>45174.376425150462</v>
      </c>
      <c r="C485" t="s">
        <v>1118</v>
      </c>
      <c r="D485" t="s">
        <v>226</v>
      </c>
      <c r="E485" t="s">
        <v>111</v>
      </c>
      <c r="F485">
        <v>2.2000000000000002</v>
      </c>
      <c r="G485">
        <v>3</v>
      </c>
      <c r="H485" t="s">
        <v>14</v>
      </c>
      <c r="I485" t="s">
        <v>40</v>
      </c>
      <c r="J485" t="s">
        <v>716</v>
      </c>
      <c r="K485">
        <f>Pqp_supermarket_data[[#This Row],[Unit_Price]]*Pqp_supermarket_data[[#This Row],[Quantity]]</f>
        <v>6.6000000000000005</v>
      </c>
      <c r="L485" t="str">
        <f>TEXT(Pqp_supermarket_data[[#This Row],[DateTime]],"ddd")</f>
        <v>Tue</v>
      </c>
      <c r="M485" t="str">
        <f>TEXT(Pqp_supermarket_data[[#This Row],[DateTime]],"mmm")</f>
        <v>Sep</v>
      </c>
      <c r="N485" t="str">
        <f>TEXT(Pqp_supermarket_data[[#This Row],[DateTime]],"yyy")</f>
        <v>2023</v>
      </c>
    </row>
    <row r="486" spans="1:14" x14ac:dyDescent="0.35">
      <c r="A486" t="s">
        <v>1119</v>
      </c>
      <c r="B486" s="1">
        <v>44633.532675150462</v>
      </c>
      <c r="C486" t="s">
        <v>1120</v>
      </c>
      <c r="D486" t="s">
        <v>30</v>
      </c>
      <c r="E486" t="s">
        <v>94</v>
      </c>
      <c r="F486">
        <v>0.8</v>
      </c>
      <c r="G486">
        <v>8</v>
      </c>
      <c r="H486" t="s">
        <v>14</v>
      </c>
      <c r="I486" t="s">
        <v>61</v>
      </c>
      <c r="J486" t="s">
        <v>105</v>
      </c>
      <c r="K486">
        <f>Pqp_supermarket_data[[#This Row],[Unit_Price]]*Pqp_supermarket_data[[#This Row],[Quantity]]</f>
        <v>6.4</v>
      </c>
      <c r="L486" t="str">
        <f>TEXT(Pqp_supermarket_data[[#This Row],[DateTime]],"ddd")</f>
        <v>Sun</v>
      </c>
      <c r="M486" t="str">
        <f>TEXT(Pqp_supermarket_data[[#This Row],[DateTime]],"mmm")</f>
        <v>Mar</v>
      </c>
      <c r="N486" t="str">
        <f>TEXT(Pqp_supermarket_data[[#This Row],[DateTime]],"yyy")</f>
        <v>2022</v>
      </c>
    </row>
    <row r="487" spans="1:14" x14ac:dyDescent="0.35">
      <c r="A487" t="s">
        <v>1121</v>
      </c>
      <c r="B487" s="1">
        <v>45349.693786261574</v>
      </c>
      <c r="C487" t="s">
        <v>1122</v>
      </c>
      <c r="D487" t="s">
        <v>69</v>
      </c>
      <c r="E487" t="s">
        <v>145</v>
      </c>
      <c r="F487">
        <v>1.7</v>
      </c>
      <c r="G487">
        <v>10</v>
      </c>
      <c r="H487" t="s">
        <v>14</v>
      </c>
      <c r="I487" t="s">
        <v>36</v>
      </c>
      <c r="J487" t="s">
        <v>510</v>
      </c>
      <c r="K487">
        <f>Pqp_supermarket_data[[#This Row],[Unit_Price]]*Pqp_supermarket_data[[#This Row],[Quantity]]</f>
        <v>17</v>
      </c>
      <c r="L487" t="str">
        <f>TEXT(Pqp_supermarket_data[[#This Row],[DateTime]],"ddd")</f>
        <v>Tue</v>
      </c>
      <c r="M487" t="str">
        <f>TEXT(Pqp_supermarket_data[[#This Row],[DateTime]],"mmm")</f>
        <v>Feb</v>
      </c>
      <c r="N487" t="str">
        <f>TEXT(Pqp_supermarket_data[[#This Row],[DateTime]],"yyy")</f>
        <v>2024</v>
      </c>
    </row>
    <row r="488" spans="1:14" x14ac:dyDescent="0.35">
      <c r="A488" t="s">
        <v>1123</v>
      </c>
      <c r="B488" s="1">
        <v>45342.436841817129</v>
      </c>
      <c r="C488" t="s">
        <v>1124</v>
      </c>
      <c r="D488" t="s">
        <v>77</v>
      </c>
      <c r="E488" t="s">
        <v>111</v>
      </c>
      <c r="F488">
        <v>2.2000000000000002</v>
      </c>
      <c r="G488">
        <v>2</v>
      </c>
      <c r="H488" t="s">
        <v>14</v>
      </c>
      <c r="I488" t="s">
        <v>21</v>
      </c>
      <c r="J488" t="s">
        <v>46</v>
      </c>
      <c r="K488">
        <f>Pqp_supermarket_data[[#This Row],[Unit_Price]]*Pqp_supermarket_data[[#This Row],[Quantity]]</f>
        <v>4.4000000000000004</v>
      </c>
      <c r="L488" t="str">
        <f>TEXT(Pqp_supermarket_data[[#This Row],[DateTime]],"ddd")</f>
        <v>Tue</v>
      </c>
      <c r="M488" t="str">
        <f>TEXT(Pqp_supermarket_data[[#This Row],[DateTime]],"mmm")</f>
        <v>Feb</v>
      </c>
      <c r="N488" t="str">
        <f>TEXT(Pqp_supermarket_data[[#This Row],[DateTime]],"yyy")</f>
        <v>2024</v>
      </c>
    </row>
    <row r="489" spans="1:14" x14ac:dyDescent="0.35">
      <c r="A489" t="s">
        <v>1125</v>
      </c>
      <c r="B489" s="1">
        <v>45000.082675150465</v>
      </c>
      <c r="C489" t="s">
        <v>1126</v>
      </c>
      <c r="D489" t="s">
        <v>44</v>
      </c>
      <c r="E489" t="s">
        <v>111</v>
      </c>
      <c r="F489">
        <v>2.2000000000000002</v>
      </c>
      <c r="G489">
        <v>4</v>
      </c>
      <c r="H489" t="s">
        <v>14</v>
      </c>
      <c r="I489" t="s">
        <v>61</v>
      </c>
      <c r="J489" t="s">
        <v>230</v>
      </c>
      <c r="K489">
        <f>Pqp_supermarket_data[[#This Row],[Unit_Price]]*Pqp_supermarket_data[[#This Row],[Quantity]]</f>
        <v>8.8000000000000007</v>
      </c>
      <c r="L489" t="str">
        <f>TEXT(Pqp_supermarket_data[[#This Row],[DateTime]],"ddd")</f>
        <v>Wed</v>
      </c>
      <c r="M489" t="str">
        <f>TEXT(Pqp_supermarket_data[[#This Row],[DateTime]],"mmm")</f>
        <v>Mar</v>
      </c>
      <c r="N489" t="str">
        <f>TEXT(Pqp_supermarket_data[[#This Row],[DateTime]],"yyy")</f>
        <v>2023</v>
      </c>
    </row>
    <row r="490" spans="1:14" x14ac:dyDescent="0.35">
      <c r="A490" t="s">
        <v>1127</v>
      </c>
      <c r="B490" s="1">
        <v>45614.243786273146</v>
      </c>
      <c r="C490" t="s">
        <v>1128</v>
      </c>
      <c r="D490" t="s">
        <v>171</v>
      </c>
      <c r="E490" t="s">
        <v>45</v>
      </c>
      <c r="F490">
        <v>1</v>
      </c>
      <c r="G490">
        <v>10</v>
      </c>
      <c r="H490" t="s">
        <v>14</v>
      </c>
      <c r="I490" t="s">
        <v>61</v>
      </c>
      <c r="J490" t="s">
        <v>267</v>
      </c>
      <c r="K490">
        <f>Pqp_supermarket_data[[#This Row],[Unit_Price]]*Pqp_supermarket_data[[#This Row],[Quantity]]</f>
        <v>10</v>
      </c>
      <c r="L490" t="str">
        <f>TEXT(Pqp_supermarket_data[[#This Row],[DateTime]],"ddd")</f>
        <v>Mon</v>
      </c>
      <c r="M490" t="str">
        <f>TEXT(Pqp_supermarket_data[[#This Row],[DateTime]],"mmm")</f>
        <v>Nov</v>
      </c>
      <c r="N490" t="str">
        <f>TEXT(Pqp_supermarket_data[[#This Row],[DateTime]],"yyy")</f>
        <v>2024</v>
      </c>
    </row>
    <row r="491" spans="1:14" x14ac:dyDescent="0.35">
      <c r="A491" t="s">
        <v>1129</v>
      </c>
      <c r="B491" s="1">
        <v>44372.522258495374</v>
      </c>
      <c r="C491" t="s">
        <v>1130</v>
      </c>
      <c r="D491" t="s">
        <v>34</v>
      </c>
      <c r="E491" t="s">
        <v>57</v>
      </c>
      <c r="F491">
        <v>4.5</v>
      </c>
      <c r="G491">
        <v>4</v>
      </c>
      <c r="H491" t="s">
        <v>14</v>
      </c>
      <c r="I491" t="s">
        <v>21</v>
      </c>
      <c r="J491" t="s">
        <v>538</v>
      </c>
      <c r="K491">
        <f>Pqp_supermarket_data[[#This Row],[Unit_Price]]*Pqp_supermarket_data[[#This Row],[Quantity]]</f>
        <v>18</v>
      </c>
      <c r="L491" t="str">
        <f>TEXT(Pqp_supermarket_data[[#This Row],[DateTime]],"ddd")</f>
        <v>Fri</v>
      </c>
      <c r="M491" t="str">
        <f>TEXT(Pqp_supermarket_data[[#This Row],[DateTime]],"mmm")</f>
        <v>Jun</v>
      </c>
      <c r="N491" t="str">
        <f>TEXT(Pqp_supermarket_data[[#This Row],[DateTime]],"yyy")</f>
        <v>2021</v>
      </c>
    </row>
    <row r="492" spans="1:14" x14ac:dyDescent="0.35">
      <c r="A492" t="s">
        <v>1131</v>
      </c>
      <c r="B492" s="1">
        <v>44743.277119629631</v>
      </c>
      <c r="C492" t="s">
        <v>1132</v>
      </c>
      <c r="D492" t="s">
        <v>82</v>
      </c>
      <c r="E492" t="s">
        <v>57</v>
      </c>
      <c r="F492">
        <v>4.5</v>
      </c>
      <c r="G492">
        <v>1</v>
      </c>
      <c r="H492" t="s">
        <v>14</v>
      </c>
      <c r="I492" t="s">
        <v>15</v>
      </c>
      <c r="J492" t="s">
        <v>336</v>
      </c>
      <c r="K492">
        <f>Pqp_supermarket_data[[#This Row],[Unit_Price]]*Pqp_supermarket_data[[#This Row],[Quantity]]</f>
        <v>4.5</v>
      </c>
      <c r="L492" t="str">
        <f>TEXT(Pqp_supermarket_data[[#This Row],[DateTime]],"ddd")</f>
        <v>Fri</v>
      </c>
      <c r="M492" t="str">
        <f>TEXT(Pqp_supermarket_data[[#This Row],[DateTime]],"mmm")</f>
        <v>Jul</v>
      </c>
      <c r="N492" t="str">
        <f>TEXT(Pqp_supermarket_data[[#This Row],[DateTime]],"yyy")</f>
        <v>2022</v>
      </c>
    </row>
    <row r="493" spans="1:14" x14ac:dyDescent="0.35">
      <c r="A493" t="s">
        <v>1133</v>
      </c>
      <c r="B493" s="1">
        <v>44996.424341851853</v>
      </c>
      <c r="C493" t="s">
        <v>1134</v>
      </c>
      <c r="D493" t="s">
        <v>98</v>
      </c>
      <c r="E493" t="s">
        <v>45</v>
      </c>
      <c r="F493">
        <v>1</v>
      </c>
      <c r="G493">
        <v>2</v>
      </c>
      <c r="H493" t="s">
        <v>14</v>
      </c>
      <c r="I493" t="s">
        <v>21</v>
      </c>
      <c r="J493" t="s">
        <v>99</v>
      </c>
      <c r="K493">
        <f>Pqp_supermarket_data[[#This Row],[Unit_Price]]*Pqp_supermarket_data[[#This Row],[Quantity]]</f>
        <v>2</v>
      </c>
      <c r="L493" t="str">
        <f>TEXT(Pqp_supermarket_data[[#This Row],[DateTime]],"ddd")</f>
        <v>Sat</v>
      </c>
      <c r="M493" t="str">
        <f>TEXT(Pqp_supermarket_data[[#This Row],[DateTime]],"mmm")</f>
        <v>Mar</v>
      </c>
      <c r="N493" t="str">
        <f>TEXT(Pqp_supermarket_data[[#This Row],[DateTime]],"yyy")</f>
        <v>2023</v>
      </c>
    </row>
    <row r="494" spans="1:14" x14ac:dyDescent="0.35">
      <c r="A494" t="s">
        <v>1135</v>
      </c>
      <c r="B494" s="1">
        <v>45047.137536296294</v>
      </c>
      <c r="C494" t="s">
        <v>1136</v>
      </c>
      <c r="D494" t="s">
        <v>82</v>
      </c>
      <c r="E494" t="s">
        <v>119</v>
      </c>
      <c r="F494">
        <v>4</v>
      </c>
      <c r="G494">
        <v>7</v>
      </c>
      <c r="H494" t="s">
        <v>14</v>
      </c>
      <c r="I494" t="s">
        <v>61</v>
      </c>
      <c r="J494" t="s">
        <v>112</v>
      </c>
      <c r="K494">
        <f>Pqp_supermarket_data[[#This Row],[Unit_Price]]*Pqp_supermarket_data[[#This Row],[Quantity]]</f>
        <v>28</v>
      </c>
      <c r="L494" t="str">
        <f>TEXT(Pqp_supermarket_data[[#This Row],[DateTime]],"ddd")</f>
        <v>Mon</v>
      </c>
      <c r="M494" t="str">
        <f>TEXT(Pqp_supermarket_data[[#This Row],[DateTime]],"mmm")</f>
        <v>May</v>
      </c>
      <c r="N494" t="str">
        <f>TEXT(Pqp_supermarket_data[[#This Row],[DateTime]],"yyy")</f>
        <v>2023</v>
      </c>
    </row>
    <row r="495" spans="1:14" x14ac:dyDescent="0.35">
      <c r="A495" t="s">
        <v>1137</v>
      </c>
      <c r="B495" s="1">
        <v>44388.318091851848</v>
      </c>
      <c r="C495" t="s">
        <v>1138</v>
      </c>
      <c r="D495" t="s">
        <v>98</v>
      </c>
      <c r="E495" t="s">
        <v>65</v>
      </c>
      <c r="F495">
        <v>3</v>
      </c>
      <c r="G495">
        <v>1</v>
      </c>
      <c r="H495" t="s">
        <v>14</v>
      </c>
      <c r="I495" t="s">
        <v>21</v>
      </c>
      <c r="J495" t="s">
        <v>95</v>
      </c>
      <c r="K495">
        <f>Pqp_supermarket_data[[#This Row],[Unit_Price]]*Pqp_supermarket_data[[#This Row],[Quantity]]</f>
        <v>3</v>
      </c>
      <c r="L495" t="str">
        <f>TEXT(Pqp_supermarket_data[[#This Row],[DateTime]],"ddd")</f>
        <v>Sun</v>
      </c>
      <c r="M495" t="str">
        <f>TEXT(Pqp_supermarket_data[[#This Row],[DateTime]],"mmm")</f>
        <v>Jul</v>
      </c>
      <c r="N495" t="str">
        <f>TEXT(Pqp_supermarket_data[[#This Row],[DateTime]],"yyy")</f>
        <v>2021</v>
      </c>
    </row>
    <row r="496" spans="1:14" x14ac:dyDescent="0.35">
      <c r="A496" t="s">
        <v>1139</v>
      </c>
      <c r="B496" s="1">
        <v>45758.21739740741</v>
      </c>
      <c r="C496" t="s">
        <v>1140</v>
      </c>
      <c r="D496" t="s">
        <v>208</v>
      </c>
      <c r="E496" t="s">
        <v>137</v>
      </c>
      <c r="F496">
        <v>2.5</v>
      </c>
      <c r="G496">
        <v>7</v>
      </c>
      <c r="H496" t="s">
        <v>14</v>
      </c>
      <c r="I496" t="s">
        <v>21</v>
      </c>
      <c r="J496" t="s">
        <v>429</v>
      </c>
      <c r="K496">
        <f>Pqp_supermarket_data[[#This Row],[Unit_Price]]*Pqp_supermarket_data[[#This Row],[Quantity]]</f>
        <v>17.5</v>
      </c>
      <c r="L496" t="str">
        <f>TEXT(Pqp_supermarket_data[[#This Row],[DateTime]],"ddd")</f>
        <v>Fri</v>
      </c>
      <c r="M496" t="str">
        <f>TEXT(Pqp_supermarket_data[[#This Row],[DateTime]],"mmm")</f>
        <v>Apr</v>
      </c>
      <c r="N496" t="str">
        <f>TEXT(Pqp_supermarket_data[[#This Row],[DateTime]],"yyy")</f>
        <v>2025</v>
      </c>
    </row>
    <row r="497" spans="1:14" x14ac:dyDescent="0.35">
      <c r="A497" t="s">
        <v>1141</v>
      </c>
      <c r="B497" s="1">
        <v>44498.620869629631</v>
      </c>
      <c r="C497" t="s">
        <v>1142</v>
      </c>
      <c r="D497" t="s">
        <v>226</v>
      </c>
      <c r="E497" t="s">
        <v>145</v>
      </c>
      <c r="F497">
        <v>1.7</v>
      </c>
      <c r="G497">
        <v>7</v>
      </c>
      <c r="H497" t="s">
        <v>14</v>
      </c>
      <c r="I497" t="s">
        <v>36</v>
      </c>
      <c r="J497" t="s">
        <v>548</v>
      </c>
      <c r="K497">
        <f>Pqp_supermarket_data[[#This Row],[Unit_Price]]*Pqp_supermarket_data[[#This Row],[Quantity]]</f>
        <v>11.9</v>
      </c>
      <c r="L497" t="str">
        <f>TEXT(Pqp_supermarket_data[[#This Row],[DateTime]],"ddd")</f>
        <v>Fri</v>
      </c>
      <c r="M497" t="str">
        <f>TEXT(Pqp_supermarket_data[[#This Row],[DateTime]],"mmm")</f>
        <v>Oct</v>
      </c>
      <c r="N497" t="str">
        <f>TEXT(Pqp_supermarket_data[[#This Row],[DateTime]],"yyy")</f>
        <v>2021</v>
      </c>
    </row>
    <row r="498" spans="1:14" x14ac:dyDescent="0.35">
      <c r="A498" t="s">
        <v>1143</v>
      </c>
      <c r="B498" s="1">
        <v>45617.702814074073</v>
      </c>
      <c r="C498" t="s">
        <v>1144</v>
      </c>
      <c r="D498" t="s">
        <v>85</v>
      </c>
      <c r="E498" t="s">
        <v>45</v>
      </c>
      <c r="F498">
        <v>1</v>
      </c>
      <c r="G498">
        <v>3</v>
      </c>
      <c r="H498" t="s">
        <v>14</v>
      </c>
      <c r="I498" t="s">
        <v>61</v>
      </c>
      <c r="J498" t="s">
        <v>369</v>
      </c>
      <c r="K498">
        <f>Pqp_supermarket_data[[#This Row],[Unit_Price]]*Pqp_supermarket_data[[#This Row],[Quantity]]</f>
        <v>3</v>
      </c>
      <c r="L498" t="str">
        <f>TEXT(Pqp_supermarket_data[[#This Row],[DateTime]],"ddd")</f>
        <v>Thu</v>
      </c>
      <c r="M498" t="str">
        <f>TEXT(Pqp_supermarket_data[[#This Row],[DateTime]],"mmm")</f>
        <v>Nov</v>
      </c>
      <c r="N498" t="str">
        <f>TEXT(Pqp_supermarket_data[[#This Row],[DateTime]],"yyy")</f>
        <v>2024</v>
      </c>
    </row>
    <row r="499" spans="1:14" x14ac:dyDescent="0.35">
      <c r="A499" t="s">
        <v>1145</v>
      </c>
      <c r="B499" s="1">
        <v>45152.454202986111</v>
      </c>
      <c r="C499" t="s">
        <v>1146</v>
      </c>
      <c r="D499" t="s">
        <v>19</v>
      </c>
      <c r="E499" t="s">
        <v>78</v>
      </c>
      <c r="F499">
        <v>4</v>
      </c>
      <c r="G499">
        <v>3</v>
      </c>
      <c r="H499" t="s">
        <v>14</v>
      </c>
      <c r="I499" t="s">
        <v>21</v>
      </c>
      <c r="J499" t="s">
        <v>394</v>
      </c>
      <c r="K499">
        <f>Pqp_supermarket_data[[#This Row],[Unit_Price]]*Pqp_supermarket_data[[#This Row],[Quantity]]</f>
        <v>12</v>
      </c>
      <c r="L499" t="str">
        <f>TEXT(Pqp_supermarket_data[[#This Row],[DateTime]],"ddd")</f>
        <v>Mon</v>
      </c>
      <c r="M499" t="str">
        <f>TEXT(Pqp_supermarket_data[[#This Row],[DateTime]],"mmm")</f>
        <v>Aug</v>
      </c>
      <c r="N499" t="str">
        <f>TEXT(Pqp_supermarket_data[[#This Row],[DateTime]],"yyy")</f>
        <v>2023</v>
      </c>
    </row>
    <row r="500" spans="1:14" x14ac:dyDescent="0.35">
      <c r="A500" t="s">
        <v>1147</v>
      </c>
      <c r="B500" s="1">
        <v>44985.781980775464</v>
      </c>
      <c r="C500" t="s">
        <v>1148</v>
      </c>
      <c r="D500" t="s">
        <v>226</v>
      </c>
      <c r="E500" t="s">
        <v>65</v>
      </c>
      <c r="F500">
        <v>3</v>
      </c>
      <c r="G500">
        <v>5</v>
      </c>
      <c r="H500" t="s">
        <v>14</v>
      </c>
      <c r="I500" t="s">
        <v>36</v>
      </c>
      <c r="J500" t="s">
        <v>236</v>
      </c>
      <c r="K500">
        <f>Pqp_supermarket_data[[#This Row],[Unit_Price]]*Pqp_supermarket_data[[#This Row],[Quantity]]</f>
        <v>15</v>
      </c>
      <c r="L500" t="str">
        <f>TEXT(Pqp_supermarket_data[[#This Row],[DateTime]],"ddd")</f>
        <v>Tue</v>
      </c>
      <c r="M500" t="str">
        <f>TEXT(Pqp_supermarket_data[[#This Row],[DateTime]],"mmm")</f>
        <v>Feb</v>
      </c>
      <c r="N500" t="str">
        <f>TEXT(Pqp_supermarket_data[[#This Row],[DateTime]],"yyy")</f>
        <v>2023</v>
      </c>
    </row>
    <row r="501" spans="1:14" x14ac:dyDescent="0.35">
      <c r="A501" t="s">
        <v>1149</v>
      </c>
      <c r="B501" s="1">
        <v>45298.507675219909</v>
      </c>
      <c r="C501" t="s">
        <v>1150</v>
      </c>
      <c r="D501" t="s">
        <v>77</v>
      </c>
      <c r="E501" t="s">
        <v>145</v>
      </c>
      <c r="F501">
        <v>1.7</v>
      </c>
      <c r="G501">
        <v>2</v>
      </c>
      <c r="H501" t="s">
        <v>14</v>
      </c>
      <c r="I501" t="s">
        <v>86</v>
      </c>
      <c r="J501" t="s">
        <v>262</v>
      </c>
      <c r="K501">
        <f>Pqp_supermarket_data[[#This Row],[Unit_Price]]*Pqp_supermarket_data[[#This Row],[Quantity]]</f>
        <v>3.4</v>
      </c>
      <c r="L501" t="str">
        <f>TEXT(Pqp_supermarket_data[[#This Row],[DateTime]],"ddd")</f>
        <v>Sun</v>
      </c>
      <c r="M501" t="str">
        <f>TEXT(Pqp_supermarket_data[[#This Row],[DateTime]],"mmm")</f>
        <v>Jan</v>
      </c>
      <c r="N501" t="str">
        <f>TEXT(Pqp_supermarket_data[[#This Row],[DateTime]],"yyy")</f>
        <v>2024</v>
      </c>
    </row>
    <row r="502" spans="1:14" x14ac:dyDescent="0.35">
      <c r="A502" t="s">
        <v>1151</v>
      </c>
      <c r="B502" s="1">
        <v>44540.50489744213</v>
      </c>
      <c r="C502" t="s">
        <v>1152</v>
      </c>
      <c r="D502" t="s">
        <v>30</v>
      </c>
      <c r="E502" t="s">
        <v>94</v>
      </c>
      <c r="F502">
        <v>0.8</v>
      </c>
      <c r="G502">
        <v>2</v>
      </c>
      <c r="H502" t="s">
        <v>14</v>
      </c>
      <c r="I502" t="s">
        <v>40</v>
      </c>
      <c r="J502" t="s">
        <v>54</v>
      </c>
      <c r="K502">
        <f>Pqp_supermarket_data[[#This Row],[Unit_Price]]*Pqp_supermarket_data[[#This Row],[Quantity]]</f>
        <v>1.6</v>
      </c>
      <c r="L502" t="str">
        <f>TEXT(Pqp_supermarket_data[[#This Row],[DateTime]],"ddd")</f>
        <v>Fri</v>
      </c>
      <c r="M502" t="str">
        <f>TEXT(Pqp_supermarket_data[[#This Row],[DateTime]],"mmm")</f>
        <v>Dec</v>
      </c>
      <c r="N502" t="str">
        <f>TEXT(Pqp_supermarket_data[[#This Row],[DateTime]],"yyy")</f>
        <v>2021</v>
      </c>
    </row>
    <row r="503" spans="1:14" x14ac:dyDescent="0.35">
      <c r="A503" t="s">
        <v>1153</v>
      </c>
      <c r="B503" s="1">
        <v>45504.64309189815</v>
      </c>
      <c r="C503" t="s">
        <v>1154</v>
      </c>
      <c r="D503" t="s">
        <v>69</v>
      </c>
      <c r="E503" t="s">
        <v>115</v>
      </c>
      <c r="F503">
        <v>1.5</v>
      </c>
      <c r="G503">
        <v>6</v>
      </c>
      <c r="H503" t="s">
        <v>14</v>
      </c>
      <c r="I503" t="s">
        <v>21</v>
      </c>
      <c r="J503" t="s">
        <v>128</v>
      </c>
      <c r="K503">
        <f>Pqp_supermarket_data[[#This Row],[Unit_Price]]*Pqp_supermarket_data[[#This Row],[Quantity]]</f>
        <v>9</v>
      </c>
      <c r="L503" t="str">
        <f>TEXT(Pqp_supermarket_data[[#This Row],[DateTime]],"ddd")</f>
        <v>Wed</v>
      </c>
      <c r="M503" t="str">
        <f>TEXT(Pqp_supermarket_data[[#This Row],[DateTime]],"mmm")</f>
        <v>Jul</v>
      </c>
      <c r="N503" t="str">
        <f>TEXT(Pqp_supermarket_data[[#This Row],[DateTime]],"yyy")</f>
        <v>2024</v>
      </c>
    </row>
    <row r="504" spans="1:14" x14ac:dyDescent="0.35">
      <c r="A504" t="s">
        <v>1155</v>
      </c>
      <c r="B504" s="1">
        <v>45256.335453009262</v>
      </c>
      <c r="C504" t="s">
        <v>1156</v>
      </c>
      <c r="D504" t="s">
        <v>69</v>
      </c>
      <c r="E504" t="s">
        <v>13</v>
      </c>
      <c r="F504">
        <v>3.1</v>
      </c>
      <c r="G504">
        <v>2</v>
      </c>
      <c r="H504" t="s">
        <v>14</v>
      </c>
      <c r="I504" t="s">
        <v>40</v>
      </c>
      <c r="J504" t="s">
        <v>517</v>
      </c>
      <c r="K504">
        <f>Pqp_supermarket_data[[#This Row],[Unit_Price]]*Pqp_supermarket_data[[#This Row],[Quantity]]</f>
        <v>6.2</v>
      </c>
      <c r="L504" t="str">
        <f>TEXT(Pqp_supermarket_data[[#This Row],[DateTime]],"ddd")</f>
        <v>Sun</v>
      </c>
      <c r="M504" t="str">
        <f>TEXT(Pqp_supermarket_data[[#This Row],[DateTime]],"mmm")</f>
        <v>Nov</v>
      </c>
      <c r="N504" t="str">
        <f>TEXT(Pqp_supermarket_data[[#This Row],[DateTime]],"yyy")</f>
        <v>2023</v>
      </c>
    </row>
    <row r="505" spans="1:14" x14ac:dyDescent="0.35">
      <c r="A505" t="s">
        <v>1157</v>
      </c>
      <c r="B505" s="1">
        <v>44907.203508564817</v>
      </c>
      <c r="C505" t="s">
        <v>1158</v>
      </c>
      <c r="D505" t="s">
        <v>77</v>
      </c>
      <c r="E505" t="s">
        <v>13</v>
      </c>
      <c r="F505">
        <v>3.1</v>
      </c>
      <c r="G505">
        <v>10</v>
      </c>
      <c r="H505" t="s">
        <v>14</v>
      </c>
      <c r="I505" t="s">
        <v>36</v>
      </c>
      <c r="J505" t="s">
        <v>205</v>
      </c>
      <c r="K505">
        <f>Pqp_supermarket_data[[#This Row],[Unit_Price]]*Pqp_supermarket_data[[#This Row],[Quantity]]</f>
        <v>31</v>
      </c>
      <c r="L505" t="str">
        <f>TEXT(Pqp_supermarket_data[[#This Row],[DateTime]],"ddd")</f>
        <v>Mon</v>
      </c>
      <c r="M505" t="str">
        <f>TEXT(Pqp_supermarket_data[[#This Row],[DateTime]],"mmm")</f>
        <v>Dec</v>
      </c>
      <c r="N505" t="str">
        <f>TEXT(Pqp_supermarket_data[[#This Row],[DateTime]],"yyy")</f>
        <v>2022</v>
      </c>
    </row>
    <row r="506" spans="1:14" x14ac:dyDescent="0.35">
      <c r="A506" t="s">
        <v>1159</v>
      </c>
      <c r="B506" s="1">
        <v>44769.954203009256</v>
      </c>
      <c r="C506" t="s">
        <v>1160</v>
      </c>
      <c r="D506" t="s">
        <v>44</v>
      </c>
      <c r="E506" t="s">
        <v>137</v>
      </c>
      <c r="F506">
        <v>2.5</v>
      </c>
      <c r="G506">
        <v>8</v>
      </c>
      <c r="H506" t="s">
        <v>14</v>
      </c>
      <c r="I506" t="s">
        <v>21</v>
      </c>
      <c r="J506" t="s">
        <v>66</v>
      </c>
      <c r="K506">
        <f>Pqp_supermarket_data[[#This Row],[Unit_Price]]*Pqp_supermarket_data[[#This Row],[Quantity]]</f>
        <v>20</v>
      </c>
      <c r="L506" t="str">
        <f>TEXT(Pqp_supermarket_data[[#This Row],[DateTime]],"ddd")</f>
        <v>Wed</v>
      </c>
      <c r="M506" t="str">
        <f>TEXT(Pqp_supermarket_data[[#This Row],[DateTime]],"mmm")</f>
        <v>Jul</v>
      </c>
      <c r="N506" t="str">
        <f>TEXT(Pqp_supermarket_data[[#This Row],[DateTime]],"yyy")</f>
        <v>2022</v>
      </c>
    </row>
    <row r="507" spans="1:14" x14ac:dyDescent="0.35">
      <c r="A507" t="s">
        <v>1161</v>
      </c>
      <c r="B507" s="1">
        <v>45033.340314131943</v>
      </c>
      <c r="C507" t="s">
        <v>1162</v>
      </c>
      <c r="D507" t="s">
        <v>226</v>
      </c>
      <c r="E507" t="s">
        <v>148</v>
      </c>
      <c r="F507">
        <v>5.5</v>
      </c>
      <c r="G507">
        <v>10</v>
      </c>
      <c r="H507" t="s">
        <v>14</v>
      </c>
      <c r="I507" t="s">
        <v>36</v>
      </c>
      <c r="J507" t="s">
        <v>105</v>
      </c>
      <c r="K507">
        <f>Pqp_supermarket_data[[#This Row],[Unit_Price]]*Pqp_supermarket_data[[#This Row],[Quantity]]</f>
        <v>55</v>
      </c>
      <c r="L507" t="str">
        <f>TEXT(Pqp_supermarket_data[[#This Row],[DateTime]],"ddd")</f>
        <v>Mon</v>
      </c>
      <c r="M507" t="str">
        <f>TEXT(Pqp_supermarket_data[[#This Row],[DateTime]],"mmm")</f>
        <v>Apr</v>
      </c>
      <c r="N507" t="str">
        <f>TEXT(Pqp_supermarket_data[[#This Row],[DateTime]],"yyy")</f>
        <v>2023</v>
      </c>
    </row>
    <row r="508" spans="1:14" x14ac:dyDescent="0.35">
      <c r="A508" t="s">
        <v>1163</v>
      </c>
      <c r="B508" s="1">
        <v>45550.235453020832</v>
      </c>
      <c r="C508" t="s">
        <v>1164</v>
      </c>
      <c r="D508" t="s">
        <v>85</v>
      </c>
      <c r="E508" t="s">
        <v>35</v>
      </c>
      <c r="F508">
        <v>1.2</v>
      </c>
      <c r="G508">
        <v>1</v>
      </c>
      <c r="H508" t="s">
        <v>14</v>
      </c>
      <c r="I508" t="s">
        <v>40</v>
      </c>
      <c r="J508" t="s">
        <v>623</v>
      </c>
      <c r="K508">
        <f>Pqp_supermarket_data[[#This Row],[Unit_Price]]*Pqp_supermarket_data[[#This Row],[Quantity]]</f>
        <v>1.2</v>
      </c>
      <c r="L508" t="str">
        <f>TEXT(Pqp_supermarket_data[[#This Row],[DateTime]],"ddd")</f>
        <v>Sun</v>
      </c>
      <c r="M508" t="str">
        <f>TEXT(Pqp_supermarket_data[[#This Row],[DateTime]],"mmm")</f>
        <v>Sep</v>
      </c>
      <c r="N508" t="str">
        <f>TEXT(Pqp_supermarket_data[[#This Row],[DateTime]],"yyy")</f>
        <v>2024</v>
      </c>
    </row>
    <row r="509" spans="1:14" x14ac:dyDescent="0.35">
      <c r="A509" t="s">
        <v>1165</v>
      </c>
      <c r="B509" s="1">
        <v>45691.918786365743</v>
      </c>
      <c r="C509" t="s">
        <v>1166</v>
      </c>
      <c r="D509" t="s">
        <v>82</v>
      </c>
      <c r="E509" t="s">
        <v>111</v>
      </c>
      <c r="F509">
        <v>2.2000000000000002</v>
      </c>
      <c r="G509">
        <v>3</v>
      </c>
      <c r="H509" t="s">
        <v>14</v>
      </c>
      <c r="I509" t="s">
        <v>40</v>
      </c>
      <c r="J509" t="s">
        <v>153</v>
      </c>
      <c r="K509">
        <f>Pqp_supermarket_data[[#This Row],[Unit_Price]]*Pqp_supermarket_data[[#This Row],[Quantity]]</f>
        <v>6.6000000000000005</v>
      </c>
      <c r="L509" t="str">
        <f>TEXT(Pqp_supermarket_data[[#This Row],[DateTime]],"ddd")</f>
        <v>Mon</v>
      </c>
      <c r="M509" t="str">
        <f>TEXT(Pqp_supermarket_data[[#This Row],[DateTime]],"mmm")</f>
        <v>Feb</v>
      </c>
      <c r="N509" t="str">
        <f>TEXT(Pqp_supermarket_data[[#This Row],[DateTime]],"yyy")</f>
        <v>2025</v>
      </c>
    </row>
    <row r="510" spans="1:14" x14ac:dyDescent="0.35">
      <c r="A510" t="s">
        <v>1167</v>
      </c>
      <c r="B510" s="1">
        <v>44444.008369710646</v>
      </c>
      <c r="C510" t="s">
        <v>1168</v>
      </c>
      <c r="D510" t="s">
        <v>44</v>
      </c>
      <c r="E510" t="s">
        <v>26</v>
      </c>
      <c r="F510">
        <v>2.5</v>
      </c>
      <c r="G510">
        <v>7</v>
      </c>
      <c r="H510" t="s">
        <v>14</v>
      </c>
      <c r="I510" t="s">
        <v>36</v>
      </c>
      <c r="J510" t="s">
        <v>79</v>
      </c>
      <c r="K510">
        <f>Pqp_supermarket_data[[#This Row],[Unit_Price]]*Pqp_supermarket_data[[#This Row],[Quantity]]</f>
        <v>17.5</v>
      </c>
      <c r="L510" t="str">
        <f>TEXT(Pqp_supermarket_data[[#This Row],[DateTime]],"ddd")</f>
        <v>Sun</v>
      </c>
      <c r="M510" t="str">
        <f>TEXT(Pqp_supermarket_data[[#This Row],[DateTime]],"mmm")</f>
        <v>Sep</v>
      </c>
      <c r="N510" t="str">
        <f>TEXT(Pqp_supermarket_data[[#This Row],[DateTime]],"yyy")</f>
        <v>2021</v>
      </c>
    </row>
    <row r="511" spans="1:14" x14ac:dyDescent="0.35">
      <c r="A511" t="s">
        <v>1169</v>
      </c>
      <c r="B511" s="1">
        <v>45231.451425277781</v>
      </c>
      <c r="C511" t="s">
        <v>1170</v>
      </c>
      <c r="D511" t="s">
        <v>44</v>
      </c>
      <c r="E511" t="s">
        <v>148</v>
      </c>
      <c r="F511">
        <v>5.5</v>
      </c>
      <c r="G511">
        <v>9</v>
      </c>
      <c r="H511" t="s">
        <v>14</v>
      </c>
      <c r="I511" t="s">
        <v>36</v>
      </c>
      <c r="J511" t="s">
        <v>166</v>
      </c>
      <c r="K511">
        <f>Pqp_supermarket_data[[#This Row],[Unit_Price]]*Pqp_supermarket_data[[#This Row],[Quantity]]</f>
        <v>49.5</v>
      </c>
      <c r="L511" t="str">
        <f>TEXT(Pqp_supermarket_data[[#This Row],[DateTime]],"ddd")</f>
        <v>Wed</v>
      </c>
      <c r="M511" t="str">
        <f>TEXT(Pqp_supermarket_data[[#This Row],[DateTime]],"mmm")</f>
        <v>Nov</v>
      </c>
      <c r="N511" t="str">
        <f>TEXT(Pqp_supermarket_data[[#This Row],[DateTime]],"yyy")</f>
        <v>2023</v>
      </c>
    </row>
    <row r="512" spans="1:14" x14ac:dyDescent="0.35">
      <c r="A512" t="s">
        <v>1171</v>
      </c>
      <c r="B512" s="1">
        <v>45419.23267528935</v>
      </c>
      <c r="C512" t="s">
        <v>1172</v>
      </c>
      <c r="D512" t="s">
        <v>85</v>
      </c>
      <c r="E512" t="s">
        <v>137</v>
      </c>
      <c r="F512">
        <v>2.5</v>
      </c>
      <c r="G512">
        <v>7</v>
      </c>
      <c r="H512" t="s">
        <v>14</v>
      </c>
      <c r="I512" t="s">
        <v>40</v>
      </c>
      <c r="J512" t="s">
        <v>311</v>
      </c>
      <c r="K512">
        <f>Pqp_supermarket_data[[#This Row],[Unit_Price]]*Pqp_supermarket_data[[#This Row],[Quantity]]</f>
        <v>17.5</v>
      </c>
      <c r="L512" t="str">
        <f>TEXT(Pqp_supermarket_data[[#This Row],[DateTime]],"ddd")</f>
        <v>Tue</v>
      </c>
      <c r="M512" t="str">
        <f>TEXT(Pqp_supermarket_data[[#This Row],[DateTime]],"mmm")</f>
        <v>May</v>
      </c>
      <c r="N512" t="str">
        <f>TEXT(Pqp_supermarket_data[[#This Row],[DateTime]],"yyy")</f>
        <v>2024</v>
      </c>
    </row>
    <row r="513" spans="1:14" x14ac:dyDescent="0.35">
      <c r="A513" t="s">
        <v>1173</v>
      </c>
      <c r="B513" s="1">
        <v>45208.170869733796</v>
      </c>
      <c r="C513" t="s">
        <v>1174</v>
      </c>
      <c r="D513" t="s">
        <v>77</v>
      </c>
      <c r="E513" t="s">
        <v>20</v>
      </c>
      <c r="F513">
        <v>1</v>
      </c>
      <c r="G513">
        <v>8</v>
      </c>
      <c r="H513" t="s">
        <v>14</v>
      </c>
      <c r="I513" t="s">
        <v>40</v>
      </c>
      <c r="J513" t="s">
        <v>186</v>
      </c>
      <c r="K513">
        <f>Pqp_supermarket_data[[#This Row],[Unit_Price]]*Pqp_supermarket_data[[#This Row],[Quantity]]</f>
        <v>8</v>
      </c>
      <c r="L513" t="str">
        <f>TEXT(Pqp_supermarket_data[[#This Row],[DateTime]],"ddd")</f>
        <v>Mon</v>
      </c>
      <c r="M513" t="str">
        <f>TEXT(Pqp_supermarket_data[[#This Row],[DateTime]],"mmm")</f>
        <v>Oct</v>
      </c>
      <c r="N513" t="str">
        <f>TEXT(Pqp_supermarket_data[[#This Row],[DateTime]],"yyy")</f>
        <v>2023</v>
      </c>
    </row>
    <row r="514" spans="1:14" x14ac:dyDescent="0.35">
      <c r="A514" t="s">
        <v>1175</v>
      </c>
      <c r="B514" s="1">
        <v>45376.159758622685</v>
      </c>
      <c r="C514" t="s">
        <v>1176</v>
      </c>
      <c r="D514" t="s">
        <v>226</v>
      </c>
      <c r="E514" t="s">
        <v>57</v>
      </c>
      <c r="F514">
        <v>4.5</v>
      </c>
      <c r="G514">
        <v>10</v>
      </c>
      <c r="H514" t="s">
        <v>14</v>
      </c>
      <c r="I514" t="s">
        <v>15</v>
      </c>
      <c r="J514" t="s">
        <v>311</v>
      </c>
      <c r="K514">
        <f>Pqp_supermarket_data[[#This Row],[Unit_Price]]*Pqp_supermarket_data[[#This Row],[Quantity]]</f>
        <v>45</v>
      </c>
      <c r="L514" t="str">
        <f>TEXT(Pqp_supermarket_data[[#This Row],[DateTime]],"ddd")</f>
        <v>Mon</v>
      </c>
      <c r="M514" t="str">
        <f>TEXT(Pqp_supermarket_data[[#This Row],[DateTime]],"mmm")</f>
        <v>Mar</v>
      </c>
      <c r="N514" t="str">
        <f>TEXT(Pqp_supermarket_data[[#This Row],[DateTime]],"yyy")</f>
        <v>2024</v>
      </c>
    </row>
    <row r="515" spans="1:14" x14ac:dyDescent="0.35">
      <c r="A515" t="s">
        <v>1177</v>
      </c>
      <c r="B515" s="1">
        <v>45031.78823085648</v>
      </c>
      <c r="C515" t="s">
        <v>1178</v>
      </c>
      <c r="D515" t="s">
        <v>226</v>
      </c>
      <c r="E515" t="s">
        <v>78</v>
      </c>
      <c r="F515">
        <v>4</v>
      </c>
      <c r="G515">
        <v>9</v>
      </c>
      <c r="H515" t="s">
        <v>14</v>
      </c>
      <c r="I515" t="s">
        <v>15</v>
      </c>
      <c r="J515" t="s">
        <v>744</v>
      </c>
      <c r="K515">
        <f>Pqp_supermarket_data[[#This Row],[Unit_Price]]*Pqp_supermarket_data[[#This Row],[Quantity]]</f>
        <v>36</v>
      </c>
      <c r="L515" t="str">
        <f>TEXT(Pqp_supermarket_data[[#This Row],[DateTime]],"ddd")</f>
        <v>Sat</v>
      </c>
      <c r="M515" t="str">
        <f>TEXT(Pqp_supermarket_data[[#This Row],[DateTime]],"mmm")</f>
        <v>Apr</v>
      </c>
      <c r="N515" t="str">
        <f>TEXT(Pqp_supermarket_data[[#This Row],[DateTime]],"yyy")</f>
        <v>2023</v>
      </c>
    </row>
    <row r="516" spans="1:14" x14ac:dyDescent="0.35">
      <c r="A516" t="s">
        <v>1179</v>
      </c>
      <c r="B516" s="1">
        <v>45773.017397523145</v>
      </c>
      <c r="C516" t="s">
        <v>1180</v>
      </c>
      <c r="D516" t="s">
        <v>25</v>
      </c>
      <c r="E516" t="s">
        <v>20</v>
      </c>
      <c r="F516">
        <v>1</v>
      </c>
      <c r="G516">
        <v>6</v>
      </c>
      <c r="H516" t="s">
        <v>14</v>
      </c>
      <c r="I516" t="s">
        <v>36</v>
      </c>
      <c r="J516" t="s">
        <v>320</v>
      </c>
      <c r="K516">
        <f>Pqp_supermarket_data[[#This Row],[Unit_Price]]*Pqp_supermarket_data[[#This Row],[Quantity]]</f>
        <v>6</v>
      </c>
      <c r="L516" t="str">
        <f>TEXT(Pqp_supermarket_data[[#This Row],[DateTime]],"ddd")</f>
        <v>Sat</v>
      </c>
      <c r="M516" t="str">
        <f>TEXT(Pqp_supermarket_data[[#This Row],[DateTime]],"mmm")</f>
        <v>Apr</v>
      </c>
      <c r="N516" t="str">
        <f>TEXT(Pqp_supermarket_data[[#This Row],[DateTime]],"yyy")</f>
        <v>2025</v>
      </c>
    </row>
    <row r="517" spans="1:14" x14ac:dyDescent="0.35">
      <c r="A517" t="s">
        <v>1181</v>
      </c>
      <c r="B517" s="1">
        <v>45767.143091967591</v>
      </c>
      <c r="C517" t="s">
        <v>1182</v>
      </c>
      <c r="D517" t="s">
        <v>226</v>
      </c>
      <c r="E517" t="s">
        <v>49</v>
      </c>
      <c r="F517">
        <v>7</v>
      </c>
      <c r="G517">
        <v>5</v>
      </c>
      <c r="H517" t="s">
        <v>14</v>
      </c>
      <c r="I517" t="s">
        <v>40</v>
      </c>
      <c r="J517" t="s">
        <v>212</v>
      </c>
      <c r="K517">
        <f>Pqp_supermarket_data[[#This Row],[Unit_Price]]*Pqp_supermarket_data[[#This Row],[Quantity]]</f>
        <v>35</v>
      </c>
      <c r="L517" t="str">
        <f>TEXT(Pqp_supermarket_data[[#This Row],[DateTime]],"ddd")</f>
        <v>Sun</v>
      </c>
      <c r="M517" t="str">
        <f>TEXT(Pqp_supermarket_data[[#This Row],[DateTime]],"mmm")</f>
        <v>Apr</v>
      </c>
      <c r="N517" t="str">
        <f>TEXT(Pqp_supermarket_data[[#This Row],[DateTime]],"yyy")</f>
        <v>2025</v>
      </c>
    </row>
    <row r="518" spans="1:14" x14ac:dyDescent="0.35">
      <c r="A518" t="s">
        <v>1183</v>
      </c>
      <c r="B518" s="1">
        <v>44701.250036412035</v>
      </c>
      <c r="C518" t="s">
        <v>1184</v>
      </c>
      <c r="D518" t="s">
        <v>98</v>
      </c>
      <c r="E518" t="s">
        <v>137</v>
      </c>
      <c r="F518">
        <v>2.5</v>
      </c>
      <c r="G518">
        <v>3</v>
      </c>
      <c r="H518" t="s">
        <v>14</v>
      </c>
      <c r="I518" t="s">
        <v>36</v>
      </c>
      <c r="J518" t="s">
        <v>339</v>
      </c>
      <c r="K518">
        <f>Pqp_supermarket_data[[#This Row],[Unit_Price]]*Pqp_supermarket_data[[#This Row],[Quantity]]</f>
        <v>7.5</v>
      </c>
      <c r="L518" t="str">
        <f>TEXT(Pqp_supermarket_data[[#This Row],[DateTime]],"ddd")</f>
        <v>Fri</v>
      </c>
      <c r="M518" t="str">
        <f>TEXT(Pqp_supermarket_data[[#This Row],[DateTime]],"mmm")</f>
        <v>May</v>
      </c>
      <c r="N518" t="str">
        <f>TEXT(Pqp_supermarket_data[[#This Row],[DateTime]],"yyy")</f>
        <v>2022</v>
      </c>
    </row>
    <row r="519" spans="1:14" x14ac:dyDescent="0.35">
      <c r="A519" t="s">
        <v>1185</v>
      </c>
      <c r="B519" s="1">
        <v>45596.477814189813</v>
      </c>
      <c r="C519" t="s">
        <v>1186</v>
      </c>
      <c r="D519" t="s">
        <v>25</v>
      </c>
      <c r="E519" t="s">
        <v>90</v>
      </c>
      <c r="F519">
        <v>1.8</v>
      </c>
      <c r="G519">
        <v>7</v>
      </c>
      <c r="H519" t="s">
        <v>14</v>
      </c>
      <c r="I519" t="s">
        <v>36</v>
      </c>
      <c r="J519" t="s">
        <v>186</v>
      </c>
      <c r="K519">
        <f>Pqp_supermarket_data[[#This Row],[Unit_Price]]*Pqp_supermarket_data[[#This Row],[Quantity]]</f>
        <v>12.6</v>
      </c>
      <c r="L519" t="str">
        <f>TEXT(Pqp_supermarket_data[[#This Row],[DateTime]],"ddd")</f>
        <v>Thu</v>
      </c>
      <c r="M519" t="str">
        <f>TEXT(Pqp_supermarket_data[[#This Row],[DateTime]],"mmm")</f>
        <v>Oct</v>
      </c>
      <c r="N519" t="str">
        <f>TEXT(Pqp_supermarket_data[[#This Row],[DateTime]],"yyy")</f>
        <v>2024</v>
      </c>
    </row>
    <row r="520" spans="1:14" x14ac:dyDescent="0.35">
      <c r="A520" t="s">
        <v>1187</v>
      </c>
      <c r="B520" s="1">
        <v>44847.597953078701</v>
      </c>
      <c r="C520" t="s">
        <v>1188</v>
      </c>
      <c r="D520" t="s">
        <v>171</v>
      </c>
      <c r="E520" t="s">
        <v>148</v>
      </c>
      <c r="F520">
        <v>5.5</v>
      </c>
      <c r="G520">
        <v>9</v>
      </c>
      <c r="H520" t="s">
        <v>14</v>
      </c>
      <c r="I520" t="s">
        <v>15</v>
      </c>
      <c r="J520" t="s">
        <v>71</v>
      </c>
      <c r="K520">
        <f>Pqp_supermarket_data[[#This Row],[Unit_Price]]*Pqp_supermarket_data[[#This Row],[Quantity]]</f>
        <v>49.5</v>
      </c>
      <c r="L520" t="str">
        <f>TEXT(Pqp_supermarket_data[[#This Row],[DateTime]],"ddd")</f>
        <v>Thu</v>
      </c>
      <c r="M520" t="str">
        <f>TEXT(Pqp_supermarket_data[[#This Row],[DateTime]],"mmm")</f>
        <v>Oct</v>
      </c>
      <c r="N520" t="str">
        <f>TEXT(Pqp_supermarket_data[[#This Row],[DateTime]],"yyy")</f>
        <v>2022</v>
      </c>
    </row>
    <row r="521" spans="1:14" x14ac:dyDescent="0.35">
      <c r="A521" t="s">
        <v>1189</v>
      </c>
      <c r="B521" s="1">
        <v>44979.450730856479</v>
      </c>
      <c r="C521" t="s">
        <v>1190</v>
      </c>
      <c r="D521" t="s">
        <v>171</v>
      </c>
      <c r="E521" t="s">
        <v>137</v>
      </c>
      <c r="F521">
        <v>2.5</v>
      </c>
      <c r="G521">
        <v>7</v>
      </c>
      <c r="H521" t="s">
        <v>14</v>
      </c>
      <c r="I521" t="s">
        <v>36</v>
      </c>
      <c r="J521" t="s">
        <v>295</v>
      </c>
      <c r="K521">
        <f>Pqp_supermarket_data[[#This Row],[Unit_Price]]*Pqp_supermarket_data[[#This Row],[Quantity]]</f>
        <v>17.5</v>
      </c>
      <c r="L521" t="str">
        <f>TEXT(Pqp_supermarket_data[[#This Row],[DateTime]],"ddd")</f>
        <v>Wed</v>
      </c>
      <c r="M521" t="str">
        <f>TEXT(Pqp_supermarket_data[[#This Row],[DateTime]],"mmm")</f>
        <v>Feb</v>
      </c>
      <c r="N521" t="str">
        <f>TEXT(Pqp_supermarket_data[[#This Row],[DateTime]],"yyy")</f>
        <v>2023</v>
      </c>
    </row>
    <row r="522" spans="1:14" x14ac:dyDescent="0.35">
      <c r="A522" t="s">
        <v>1191</v>
      </c>
      <c r="B522" s="1">
        <v>45302.173647534721</v>
      </c>
      <c r="C522" t="s">
        <v>1192</v>
      </c>
      <c r="D522" t="s">
        <v>34</v>
      </c>
      <c r="E522" t="s">
        <v>39</v>
      </c>
      <c r="F522">
        <v>3.2</v>
      </c>
      <c r="G522">
        <v>7</v>
      </c>
      <c r="H522" t="s">
        <v>14</v>
      </c>
      <c r="I522" t="s">
        <v>36</v>
      </c>
      <c r="J522" t="s">
        <v>202</v>
      </c>
      <c r="K522">
        <f>Pqp_supermarket_data[[#This Row],[Unit_Price]]*Pqp_supermarket_data[[#This Row],[Quantity]]</f>
        <v>22.400000000000002</v>
      </c>
      <c r="L522" t="str">
        <f>TEXT(Pqp_supermarket_data[[#This Row],[DateTime]],"ddd")</f>
        <v>Thu</v>
      </c>
      <c r="M522" t="str">
        <f>TEXT(Pqp_supermarket_data[[#This Row],[DateTime]],"mmm")</f>
        <v>Jan</v>
      </c>
      <c r="N522" t="str">
        <f>TEXT(Pqp_supermarket_data[[#This Row],[DateTime]],"yyy")</f>
        <v>2024</v>
      </c>
    </row>
    <row r="523" spans="1:14" x14ac:dyDescent="0.35">
      <c r="A523" t="s">
        <v>1193</v>
      </c>
      <c r="B523" s="1">
        <v>45118.123647534725</v>
      </c>
      <c r="C523" t="s">
        <v>1194</v>
      </c>
      <c r="D523" t="s">
        <v>127</v>
      </c>
      <c r="E523" t="s">
        <v>26</v>
      </c>
      <c r="F523">
        <v>2.5</v>
      </c>
      <c r="G523">
        <v>2</v>
      </c>
      <c r="H523" t="s">
        <v>14</v>
      </c>
      <c r="I523" t="s">
        <v>15</v>
      </c>
      <c r="J523" t="s">
        <v>16</v>
      </c>
      <c r="K523">
        <f>Pqp_supermarket_data[[#This Row],[Unit_Price]]*Pqp_supermarket_data[[#This Row],[Quantity]]</f>
        <v>5</v>
      </c>
      <c r="L523" t="str">
        <f>TEXT(Pqp_supermarket_data[[#This Row],[DateTime]],"ddd")</f>
        <v>Tue</v>
      </c>
      <c r="M523" t="str">
        <f>TEXT(Pqp_supermarket_data[[#This Row],[DateTime]],"mmm")</f>
        <v>Jul</v>
      </c>
      <c r="N523" t="str">
        <f>TEXT(Pqp_supermarket_data[[#This Row],[DateTime]],"yyy")</f>
        <v>2023</v>
      </c>
    </row>
    <row r="524" spans="1:14" x14ac:dyDescent="0.35">
      <c r="A524" t="s">
        <v>1195</v>
      </c>
      <c r="B524" s="1">
        <v>44589.428508645833</v>
      </c>
      <c r="C524" t="s">
        <v>1196</v>
      </c>
      <c r="D524" t="s">
        <v>77</v>
      </c>
      <c r="E524" t="s">
        <v>94</v>
      </c>
      <c r="F524">
        <v>0.8</v>
      </c>
      <c r="G524">
        <v>8</v>
      </c>
      <c r="H524" t="s">
        <v>14</v>
      </c>
      <c r="I524" t="s">
        <v>86</v>
      </c>
      <c r="J524" t="s">
        <v>79</v>
      </c>
      <c r="K524">
        <f>Pqp_supermarket_data[[#This Row],[Unit_Price]]*Pqp_supermarket_data[[#This Row],[Quantity]]</f>
        <v>6.4</v>
      </c>
      <c r="L524" t="str">
        <f>TEXT(Pqp_supermarket_data[[#This Row],[DateTime]],"ddd")</f>
        <v>Fri</v>
      </c>
      <c r="M524" t="str">
        <f>TEXT(Pqp_supermarket_data[[#This Row],[DateTime]],"mmm")</f>
        <v>Jan</v>
      </c>
      <c r="N524" t="str">
        <f>TEXT(Pqp_supermarket_data[[#This Row],[DateTime]],"yyy")</f>
        <v>2022</v>
      </c>
    </row>
    <row r="525" spans="1:14" x14ac:dyDescent="0.35">
      <c r="A525" t="s">
        <v>1197</v>
      </c>
      <c r="B525" s="1">
        <v>44954.411147534724</v>
      </c>
      <c r="C525" t="s">
        <v>1198</v>
      </c>
      <c r="D525" t="s">
        <v>44</v>
      </c>
      <c r="E525" t="s">
        <v>78</v>
      </c>
      <c r="F525">
        <v>4</v>
      </c>
      <c r="G525">
        <v>8</v>
      </c>
      <c r="H525" t="s">
        <v>14</v>
      </c>
      <c r="I525" t="s">
        <v>61</v>
      </c>
      <c r="J525" t="s">
        <v>311</v>
      </c>
      <c r="K525">
        <f>Pqp_supermarket_data[[#This Row],[Unit_Price]]*Pqp_supermarket_data[[#This Row],[Quantity]]</f>
        <v>32</v>
      </c>
      <c r="L525" t="str">
        <f>TEXT(Pqp_supermarket_data[[#This Row],[DateTime]],"ddd")</f>
        <v>Sat</v>
      </c>
      <c r="M525" t="str">
        <f>TEXT(Pqp_supermarket_data[[#This Row],[DateTime]],"mmm")</f>
        <v>Jan</v>
      </c>
      <c r="N525" t="str">
        <f>TEXT(Pqp_supermarket_data[[#This Row],[DateTime]],"yyy")</f>
        <v>2023</v>
      </c>
    </row>
    <row r="526" spans="1:14" x14ac:dyDescent="0.35">
      <c r="A526" t="s">
        <v>1199</v>
      </c>
      <c r="B526" s="1">
        <v>45244.431286423613</v>
      </c>
      <c r="C526" t="s">
        <v>1200</v>
      </c>
      <c r="D526" t="s">
        <v>69</v>
      </c>
      <c r="E526" t="s">
        <v>57</v>
      </c>
      <c r="F526">
        <v>4.5</v>
      </c>
      <c r="G526">
        <v>10</v>
      </c>
      <c r="H526" t="s">
        <v>14</v>
      </c>
      <c r="I526" t="s">
        <v>40</v>
      </c>
      <c r="J526" t="s">
        <v>163</v>
      </c>
      <c r="K526">
        <f>Pqp_supermarket_data[[#This Row],[Unit_Price]]*Pqp_supermarket_data[[#This Row],[Quantity]]</f>
        <v>45</v>
      </c>
      <c r="L526" t="str">
        <f>TEXT(Pqp_supermarket_data[[#This Row],[DateTime]],"ddd")</f>
        <v>Tue</v>
      </c>
      <c r="M526" t="str">
        <f>TEXT(Pqp_supermarket_data[[#This Row],[DateTime]],"mmm")</f>
        <v>Nov</v>
      </c>
      <c r="N526" t="str">
        <f>TEXT(Pqp_supermarket_data[[#This Row],[DateTime]],"yyy")</f>
        <v>2023</v>
      </c>
    </row>
    <row r="527" spans="1:14" x14ac:dyDescent="0.35">
      <c r="A527" t="s">
        <v>1201</v>
      </c>
      <c r="B527" s="1">
        <v>45115.389619768517</v>
      </c>
      <c r="C527" t="s">
        <v>1202</v>
      </c>
      <c r="D527" t="s">
        <v>12</v>
      </c>
      <c r="E527" t="s">
        <v>26</v>
      </c>
      <c r="F527">
        <v>2.5</v>
      </c>
      <c r="G527">
        <v>6</v>
      </c>
      <c r="H527" t="s">
        <v>14</v>
      </c>
      <c r="I527" t="s">
        <v>86</v>
      </c>
      <c r="J527" t="s">
        <v>138</v>
      </c>
      <c r="K527">
        <f>Pqp_supermarket_data[[#This Row],[Unit_Price]]*Pqp_supermarket_data[[#This Row],[Quantity]]</f>
        <v>15</v>
      </c>
      <c r="L527" t="str">
        <f>TEXT(Pqp_supermarket_data[[#This Row],[DateTime]],"ddd")</f>
        <v>Sat</v>
      </c>
      <c r="M527" t="str">
        <f>TEXT(Pqp_supermarket_data[[#This Row],[DateTime]],"mmm")</f>
        <v>Jul</v>
      </c>
      <c r="N527" t="str">
        <f>TEXT(Pqp_supermarket_data[[#This Row],[DateTime]],"yyy")</f>
        <v>2023</v>
      </c>
    </row>
    <row r="528" spans="1:14" x14ac:dyDescent="0.35">
      <c r="A528" t="s">
        <v>1203</v>
      </c>
      <c r="B528" s="1">
        <v>45685.671564212964</v>
      </c>
      <c r="C528" t="s">
        <v>1204</v>
      </c>
      <c r="D528" t="s">
        <v>127</v>
      </c>
      <c r="E528" t="s">
        <v>94</v>
      </c>
      <c r="F528">
        <v>0.8</v>
      </c>
      <c r="G528">
        <v>1</v>
      </c>
      <c r="H528" t="s">
        <v>14</v>
      </c>
      <c r="I528" t="s">
        <v>86</v>
      </c>
      <c r="J528" t="s">
        <v>31</v>
      </c>
      <c r="K528">
        <f>Pqp_supermarket_data[[#This Row],[Unit_Price]]*Pqp_supermarket_data[[#This Row],[Quantity]]</f>
        <v>0.8</v>
      </c>
      <c r="L528" t="str">
        <f>TEXT(Pqp_supermarket_data[[#This Row],[DateTime]],"ddd")</f>
        <v>Tue</v>
      </c>
      <c r="M528" t="str">
        <f>TEXT(Pqp_supermarket_data[[#This Row],[DateTime]],"mmm")</f>
        <v>Jan</v>
      </c>
      <c r="N528" t="str">
        <f>TEXT(Pqp_supermarket_data[[#This Row],[DateTime]],"yyy")</f>
        <v>2025</v>
      </c>
    </row>
    <row r="529" spans="1:14" x14ac:dyDescent="0.35">
      <c r="A529" t="s">
        <v>1205</v>
      </c>
      <c r="B529" s="1">
        <v>44647.577119768517</v>
      </c>
      <c r="C529" t="s">
        <v>1206</v>
      </c>
      <c r="D529" t="s">
        <v>25</v>
      </c>
      <c r="E529" t="s">
        <v>148</v>
      </c>
      <c r="F529">
        <v>5.5</v>
      </c>
      <c r="G529">
        <v>8</v>
      </c>
      <c r="H529" t="s">
        <v>14</v>
      </c>
      <c r="I529" t="s">
        <v>40</v>
      </c>
      <c r="J529" t="s">
        <v>16</v>
      </c>
      <c r="K529">
        <f>Pqp_supermarket_data[[#This Row],[Unit_Price]]*Pqp_supermarket_data[[#This Row],[Quantity]]</f>
        <v>44</v>
      </c>
      <c r="L529" t="str">
        <f>TEXT(Pqp_supermarket_data[[#This Row],[DateTime]],"ddd")</f>
        <v>Sun</v>
      </c>
      <c r="M529" t="str">
        <f>TEXT(Pqp_supermarket_data[[#This Row],[DateTime]],"mmm")</f>
        <v>Mar</v>
      </c>
      <c r="N529" t="str">
        <f>TEXT(Pqp_supermarket_data[[#This Row],[DateTime]],"yyy")</f>
        <v>2022</v>
      </c>
    </row>
    <row r="530" spans="1:14" x14ac:dyDescent="0.35">
      <c r="A530" t="s">
        <v>1207</v>
      </c>
      <c r="B530" s="1">
        <v>45538.557675324075</v>
      </c>
      <c r="C530" t="s">
        <v>1208</v>
      </c>
      <c r="D530" t="s">
        <v>34</v>
      </c>
      <c r="E530" t="s">
        <v>26</v>
      </c>
      <c r="F530">
        <v>2.5</v>
      </c>
      <c r="G530">
        <v>3</v>
      </c>
      <c r="H530" t="s">
        <v>14</v>
      </c>
      <c r="I530" t="s">
        <v>15</v>
      </c>
      <c r="J530" t="s">
        <v>548</v>
      </c>
      <c r="K530">
        <f>Pqp_supermarket_data[[#This Row],[Unit_Price]]*Pqp_supermarket_data[[#This Row],[Quantity]]</f>
        <v>7.5</v>
      </c>
      <c r="L530" t="str">
        <f>TEXT(Pqp_supermarket_data[[#This Row],[DateTime]],"ddd")</f>
        <v>Tue</v>
      </c>
      <c r="M530" t="str">
        <f>TEXT(Pqp_supermarket_data[[#This Row],[DateTime]],"mmm")</f>
        <v>Sep</v>
      </c>
      <c r="N530" t="str">
        <f>TEXT(Pqp_supermarket_data[[#This Row],[DateTime]],"yyy")</f>
        <v>2024</v>
      </c>
    </row>
    <row r="531" spans="1:14" x14ac:dyDescent="0.35">
      <c r="A531" t="s">
        <v>1209</v>
      </c>
      <c r="B531" s="1">
        <v>45023.656980891203</v>
      </c>
      <c r="C531" t="s">
        <v>1210</v>
      </c>
      <c r="D531" t="s">
        <v>30</v>
      </c>
      <c r="E531" t="s">
        <v>65</v>
      </c>
      <c r="F531">
        <v>3</v>
      </c>
      <c r="G531">
        <v>10</v>
      </c>
      <c r="H531" t="s">
        <v>14</v>
      </c>
      <c r="I531" t="s">
        <v>21</v>
      </c>
      <c r="J531" t="s">
        <v>924</v>
      </c>
      <c r="K531">
        <f>Pqp_supermarket_data[[#This Row],[Unit_Price]]*Pqp_supermarket_data[[#This Row],[Quantity]]</f>
        <v>30</v>
      </c>
      <c r="L531" t="str">
        <f>TEXT(Pqp_supermarket_data[[#This Row],[DateTime]],"ddd")</f>
        <v>Fri</v>
      </c>
      <c r="M531" t="str">
        <f>TEXT(Pqp_supermarket_data[[#This Row],[DateTime]],"mmm")</f>
        <v>Apr</v>
      </c>
      <c r="N531" t="str">
        <f>TEXT(Pqp_supermarket_data[[#This Row],[DateTime]],"yyy")</f>
        <v>2023</v>
      </c>
    </row>
    <row r="532" spans="1:14" x14ac:dyDescent="0.35">
      <c r="A532" t="s">
        <v>1211</v>
      </c>
      <c r="B532" s="1">
        <v>45633.556980891204</v>
      </c>
      <c r="C532" t="s">
        <v>1212</v>
      </c>
      <c r="D532" t="s">
        <v>25</v>
      </c>
      <c r="E532" t="s">
        <v>70</v>
      </c>
      <c r="F532">
        <v>5</v>
      </c>
      <c r="G532">
        <v>3</v>
      </c>
      <c r="H532" t="s">
        <v>14</v>
      </c>
      <c r="I532" t="s">
        <v>40</v>
      </c>
      <c r="J532" t="s">
        <v>517</v>
      </c>
      <c r="K532">
        <f>Pqp_supermarket_data[[#This Row],[Unit_Price]]*Pqp_supermarket_data[[#This Row],[Quantity]]</f>
        <v>15</v>
      </c>
      <c r="L532" t="str">
        <f>TEXT(Pqp_supermarket_data[[#This Row],[DateTime]],"ddd")</f>
        <v>Sat</v>
      </c>
      <c r="M532" t="str">
        <f>TEXT(Pqp_supermarket_data[[#This Row],[DateTime]],"mmm")</f>
        <v>Dec</v>
      </c>
      <c r="N532" t="str">
        <f>TEXT(Pqp_supermarket_data[[#This Row],[DateTime]],"yyy")</f>
        <v>2024</v>
      </c>
    </row>
    <row r="533" spans="1:14" x14ac:dyDescent="0.35">
      <c r="A533" t="s">
        <v>1213</v>
      </c>
      <c r="B533" s="1">
        <v>45536.497953113423</v>
      </c>
      <c r="C533" t="s">
        <v>1214</v>
      </c>
      <c r="D533" t="s">
        <v>208</v>
      </c>
      <c r="E533" t="s">
        <v>94</v>
      </c>
      <c r="F533">
        <v>0.8</v>
      </c>
      <c r="G533">
        <v>10</v>
      </c>
      <c r="H533" t="s">
        <v>14</v>
      </c>
      <c r="I533" t="s">
        <v>86</v>
      </c>
      <c r="J533" t="s">
        <v>105</v>
      </c>
      <c r="K533">
        <f>Pqp_supermarket_data[[#This Row],[Unit_Price]]*Pqp_supermarket_data[[#This Row],[Quantity]]</f>
        <v>8</v>
      </c>
      <c r="L533" t="str">
        <f>TEXT(Pqp_supermarket_data[[#This Row],[DateTime]],"ddd")</f>
        <v>Sun</v>
      </c>
      <c r="M533" t="str">
        <f>TEXT(Pqp_supermarket_data[[#This Row],[DateTime]],"mmm")</f>
        <v>Sep</v>
      </c>
      <c r="N533" t="str">
        <f>TEXT(Pqp_supermarket_data[[#This Row],[DateTime]],"yyy")</f>
        <v>2024</v>
      </c>
    </row>
    <row r="534" spans="1:14" x14ac:dyDescent="0.35">
      <c r="A534" t="s">
        <v>1215</v>
      </c>
      <c r="B534" s="1">
        <v>44977.934064224537</v>
      </c>
      <c r="C534" t="s">
        <v>1216</v>
      </c>
      <c r="D534" t="s">
        <v>82</v>
      </c>
      <c r="E534" t="s">
        <v>145</v>
      </c>
      <c r="F534">
        <v>1.7</v>
      </c>
      <c r="G534">
        <v>3</v>
      </c>
      <c r="H534" t="s">
        <v>14</v>
      </c>
      <c r="I534" t="s">
        <v>61</v>
      </c>
      <c r="J534" t="s">
        <v>163</v>
      </c>
      <c r="K534">
        <f>Pqp_supermarket_data[[#This Row],[Unit_Price]]*Pqp_supermarket_data[[#This Row],[Quantity]]</f>
        <v>5.0999999999999996</v>
      </c>
      <c r="L534" t="str">
        <f>TEXT(Pqp_supermarket_data[[#This Row],[DateTime]],"ddd")</f>
        <v>Mon</v>
      </c>
      <c r="M534" t="str">
        <f>TEXT(Pqp_supermarket_data[[#This Row],[DateTime]],"mmm")</f>
        <v>Feb</v>
      </c>
      <c r="N534" t="str">
        <f>TEXT(Pqp_supermarket_data[[#This Row],[DateTime]],"yyy")</f>
        <v>2023</v>
      </c>
    </row>
    <row r="535" spans="1:14" x14ac:dyDescent="0.35">
      <c r="A535" t="s">
        <v>1217</v>
      </c>
      <c r="B535" s="1">
        <v>45403.21461978009</v>
      </c>
      <c r="C535" t="s">
        <v>1218</v>
      </c>
      <c r="D535" t="s">
        <v>98</v>
      </c>
      <c r="E535" t="s">
        <v>111</v>
      </c>
      <c r="F535">
        <v>2.2000000000000002</v>
      </c>
      <c r="G535">
        <v>1</v>
      </c>
      <c r="H535" t="s">
        <v>14</v>
      </c>
      <c r="I535" t="s">
        <v>21</v>
      </c>
      <c r="J535" t="s">
        <v>215</v>
      </c>
      <c r="K535">
        <f>Pqp_supermarket_data[[#This Row],[Unit_Price]]*Pqp_supermarket_data[[#This Row],[Quantity]]</f>
        <v>2.2000000000000002</v>
      </c>
      <c r="L535" t="str">
        <f>TEXT(Pqp_supermarket_data[[#This Row],[DateTime]],"ddd")</f>
        <v>Sun</v>
      </c>
      <c r="M535" t="str">
        <f>TEXT(Pqp_supermarket_data[[#This Row],[DateTime]],"mmm")</f>
        <v>Apr</v>
      </c>
      <c r="N535" t="str">
        <f>TEXT(Pqp_supermarket_data[[#This Row],[DateTime]],"yyy")</f>
        <v>2024</v>
      </c>
    </row>
    <row r="536" spans="1:14" x14ac:dyDescent="0.35">
      <c r="A536" t="s">
        <v>1219</v>
      </c>
      <c r="B536" s="1">
        <v>44523.239619791668</v>
      </c>
      <c r="C536" t="s">
        <v>1220</v>
      </c>
      <c r="D536" t="s">
        <v>127</v>
      </c>
      <c r="E536" t="s">
        <v>115</v>
      </c>
      <c r="F536">
        <v>1.5</v>
      </c>
      <c r="G536">
        <v>7</v>
      </c>
      <c r="H536" t="s">
        <v>14</v>
      </c>
      <c r="I536" t="s">
        <v>21</v>
      </c>
      <c r="J536" t="s">
        <v>470</v>
      </c>
      <c r="K536">
        <f>Pqp_supermarket_data[[#This Row],[Unit_Price]]*Pqp_supermarket_data[[#This Row],[Quantity]]</f>
        <v>10.5</v>
      </c>
      <c r="L536" t="str">
        <f>TEXT(Pqp_supermarket_data[[#This Row],[DateTime]],"ddd")</f>
        <v>Tue</v>
      </c>
      <c r="M536" t="str">
        <f>TEXT(Pqp_supermarket_data[[#This Row],[DateTime]],"mmm")</f>
        <v>Nov</v>
      </c>
      <c r="N536" t="str">
        <f>TEXT(Pqp_supermarket_data[[#This Row],[DateTime]],"yyy")</f>
        <v>2021</v>
      </c>
    </row>
    <row r="537" spans="1:14" x14ac:dyDescent="0.35">
      <c r="A537" t="s">
        <v>1221</v>
      </c>
      <c r="B537" s="1">
        <v>45662.464619791666</v>
      </c>
      <c r="C537" t="s">
        <v>1222</v>
      </c>
      <c r="D537" t="s">
        <v>82</v>
      </c>
      <c r="E537" t="s">
        <v>111</v>
      </c>
      <c r="F537">
        <v>2.2000000000000002</v>
      </c>
      <c r="G537">
        <v>7</v>
      </c>
      <c r="H537" t="s">
        <v>14</v>
      </c>
      <c r="I537" t="s">
        <v>15</v>
      </c>
      <c r="J537" t="s">
        <v>230</v>
      </c>
      <c r="K537">
        <f>Pqp_supermarket_data[[#This Row],[Unit_Price]]*Pqp_supermarket_data[[#This Row],[Quantity]]</f>
        <v>15.400000000000002</v>
      </c>
      <c r="L537" t="str">
        <f>TEXT(Pqp_supermarket_data[[#This Row],[DateTime]],"ddd")</f>
        <v>Sun</v>
      </c>
      <c r="M537" t="str">
        <f>TEXT(Pqp_supermarket_data[[#This Row],[DateTime]],"mmm")</f>
        <v>Jan</v>
      </c>
      <c r="N537" t="str">
        <f>TEXT(Pqp_supermarket_data[[#This Row],[DateTime]],"yyy")</f>
        <v>2025</v>
      </c>
    </row>
    <row r="538" spans="1:14" x14ac:dyDescent="0.35">
      <c r="A538" t="s">
        <v>1223</v>
      </c>
      <c r="B538" s="1">
        <v>44710.240314247683</v>
      </c>
      <c r="C538" t="s">
        <v>1224</v>
      </c>
      <c r="D538" t="s">
        <v>226</v>
      </c>
      <c r="E538" t="s">
        <v>20</v>
      </c>
      <c r="F538">
        <v>1</v>
      </c>
      <c r="G538">
        <v>1</v>
      </c>
      <c r="H538" t="s">
        <v>14</v>
      </c>
      <c r="I538" t="s">
        <v>86</v>
      </c>
      <c r="J538" t="s">
        <v>541</v>
      </c>
      <c r="K538">
        <f>Pqp_supermarket_data[[#This Row],[Unit_Price]]*Pqp_supermarket_data[[#This Row],[Quantity]]</f>
        <v>1</v>
      </c>
      <c r="L538" t="str">
        <f>TEXT(Pqp_supermarket_data[[#This Row],[DateTime]],"ddd")</f>
        <v>Sun</v>
      </c>
      <c r="M538" t="str">
        <f>TEXT(Pqp_supermarket_data[[#This Row],[DateTime]],"mmm")</f>
        <v>May</v>
      </c>
      <c r="N538" t="str">
        <f>TEXT(Pqp_supermarket_data[[#This Row],[DateTime]],"yyy")</f>
        <v>2022</v>
      </c>
    </row>
    <row r="539" spans="1:14" x14ac:dyDescent="0.35">
      <c r="A539" t="s">
        <v>1225</v>
      </c>
      <c r="B539" s="1">
        <v>45050.91114758102</v>
      </c>
      <c r="C539" t="s">
        <v>1226</v>
      </c>
      <c r="D539" t="s">
        <v>226</v>
      </c>
      <c r="E539" t="s">
        <v>115</v>
      </c>
      <c r="F539">
        <v>1.5</v>
      </c>
      <c r="G539">
        <v>6</v>
      </c>
      <c r="H539" t="s">
        <v>14</v>
      </c>
      <c r="I539" t="s">
        <v>21</v>
      </c>
      <c r="J539" t="s">
        <v>616</v>
      </c>
      <c r="K539">
        <f>Pqp_supermarket_data[[#This Row],[Unit_Price]]*Pqp_supermarket_data[[#This Row],[Quantity]]</f>
        <v>9</v>
      </c>
      <c r="L539" t="str">
        <f>TEXT(Pqp_supermarket_data[[#This Row],[DateTime]],"ddd")</f>
        <v>Thu</v>
      </c>
      <c r="M539" t="str">
        <f>TEXT(Pqp_supermarket_data[[#This Row],[DateTime]],"mmm")</f>
        <v>May</v>
      </c>
      <c r="N539" t="str">
        <f>TEXT(Pqp_supermarket_data[[#This Row],[DateTime]],"yyy")</f>
        <v>2023</v>
      </c>
    </row>
    <row r="540" spans="1:14" x14ac:dyDescent="0.35">
      <c r="A540" t="s">
        <v>1227</v>
      </c>
      <c r="B540" s="1">
        <v>45128.047953136571</v>
      </c>
      <c r="C540" t="s">
        <v>1228</v>
      </c>
      <c r="D540" t="s">
        <v>69</v>
      </c>
      <c r="E540" t="s">
        <v>35</v>
      </c>
      <c r="F540">
        <v>1.2</v>
      </c>
      <c r="G540">
        <v>6</v>
      </c>
      <c r="H540" t="s">
        <v>14</v>
      </c>
      <c r="I540" t="s">
        <v>21</v>
      </c>
      <c r="J540" t="s">
        <v>499</v>
      </c>
      <c r="K540">
        <f>Pqp_supermarket_data[[#This Row],[Unit_Price]]*Pqp_supermarket_data[[#This Row],[Quantity]]</f>
        <v>7.1999999999999993</v>
      </c>
      <c r="L540" t="str">
        <f>TEXT(Pqp_supermarket_data[[#This Row],[DateTime]],"ddd")</f>
        <v>Fri</v>
      </c>
      <c r="M540" t="str">
        <f>TEXT(Pqp_supermarket_data[[#This Row],[DateTime]],"mmm")</f>
        <v>Jul</v>
      </c>
      <c r="N540" t="str">
        <f>TEXT(Pqp_supermarket_data[[#This Row],[DateTime]],"yyy")</f>
        <v>2023</v>
      </c>
    </row>
    <row r="541" spans="1:14" x14ac:dyDescent="0.35">
      <c r="A541" t="s">
        <v>1229</v>
      </c>
      <c r="B541" s="1">
        <v>45726.22434202546</v>
      </c>
      <c r="C541" t="s">
        <v>620</v>
      </c>
      <c r="D541" t="s">
        <v>226</v>
      </c>
      <c r="E541" t="s">
        <v>115</v>
      </c>
      <c r="F541">
        <v>1.5</v>
      </c>
      <c r="G541">
        <v>9</v>
      </c>
      <c r="H541" t="s">
        <v>14</v>
      </c>
      <c r="I541" t="s">
        <v>61</v>
      </c>
      <c r="J541" t="s">
        <v>426</v>
      </c>
      <c r="K541">
        <f>Pqp_supermarket_data[[#This Row],[Unit_Price]]*Pqp_supermarket_data[[#This Row],[Quantity]]</f>
        <v>13.5</v>
      </c>
      <c r="L541" t="str">
        <f>TEXT(Pqp_supermarket_data[[#This Row],[DateTime]],"ddd")</f>
        <v>Mon</v>
      </c>
      <c r="M541" t="str">
        <f>TEXT(Pqp_supermarket_data[[#This Row],[DateTime]],"mmm")</f>
        <v>Mar</v>
      </c>
      <c r="N541" t="str">
        <f>TEXT(Pqp_supermarket_data[[#This Row],[DateTime]],"yyy")</f>
        <v>2025</v>
      </c>
    </row>
    <row r="542" spans="1:14" x14ac:dyDescent="0.35">
      <c r="A542" t="s">
        <v>1230</v>
      </c>
      <c r="B542" s="1">
        <v>44590.261147592595</v>
      </c>
      <c r="C542" t="s">
        <v>1231</v>
      </c>
      <c r="D542" t="s">
        <v>77</v>
      </c>
      <c r="E542" t="s">
        <v>26</v>
      </c>
      <c r="F542">
        <v>2.5</v>
      </c>
      <c r="G542">
        <v>4</v>
      </c>
      <c r="H542" t="s">
        <v>14</v>
      </c>
      <c r="I542" t="s">
        <v>61</v>
      </c>
      <c r="J542" t="s">
        <v>183</v>
      </c>
      <c r="K542">
        <f>Pqp_supermarket_data[[#This Row],[Unit_Price]]*Pqp_supermarket_data[[#This Row],[Quantity]]</f>
        <v>10</v>
      </c>
      <c r="L542" t="str">
        <f>TEXT(Pqp_supermarket_data[[#This Row],[DateTime]],"ddd")</f>
        <v>Sat</v>
      </c>
      <c r="M542" t="str">
        <f>TEXT(Pqp_supermarket_data[[#This Row],[DateTime]],"mmm")</f>
        <v>Jan</v>
      </c>
      <c r="N542" t="str">
        <f>TEXT(Pqp_supermarket_data[[#This Row],[DateTime]],"yyy")</f>
        <v>2022</v>
      </c>
    </row>
    <row r="543" spans="1:14" x14ac:dyDescent="0.35">
      <c r="A543" t="s">
        <v>1232</v>
      </c>
      <c r="B543" s="1">
        <v>45672.243092037039</v>
      </c>
      <c r="C543" t="s">
        <v>1233</v>
      </c>
      <c r="D543" t="s">
        <v>34</v>
      </c>
      <c r="E543" t="s">
        <v>49</v>
      </c>
      <c r="F543">
        <v>7</v>
      </c>
      <c r="G543">
        <v>6</v>
      </c>
      <c r="H543" t="s">
        <v>14</v>
      </c>
      <c r="I543" t="s">
        <v>15</v>
      </c>
      <c r="J543" t="s">
        <v>218</v>
      </c>
      <c r="K543">
        <f>Pqp_supermarket_data[[#This Row],[Unit_Price]]*Pqp_supermarket_data[[#This Row],[Quantity]]</f>
        <v>42</v>
      </c>
      <c r="L543" t="str">
        <f>TEXT(Pqp_supermarket_data[[#This Row],[DateTime]],"ddd")</f>
        <v>Wed</v>
      </c>
      <c r="M543" t="str">
        <f>TEXT(Pqp_supermarket_data[[#This Row],[DateTime]],"mmm")</f>
        <v>Jan</v>
      </c>
      <c r="N543" t="str">
        <f>TEXT(Pqp_supermarket_data[[#This Row],[DateTime]],"yyy")</f>
        <v>2025</v>
      </c>
    </row>
    <row r="544" spans="1:14" x14ac:dyDescent="0.35">
      <c r="A544" t="s">
        <v>1234</v>
      </c>
      <c r="B544" s="1">
        <v>45301.79586982639</v>
      </c>
      <c r="C544" t="s">
        <v>1235</v>
      </c>
      <c r="D544" t="s">
        <v>226</v>
      </c>
      <c r="E544" t="s">
        <v>53</v>
      </c>
      <c r="F544">
        <v>2.8</v>
      </c>
      <c r="G544">
        <v>10</v>
      </c>
      <c r="H544" t="s">
        <v>14</v>
      </c>
      <c r="I544" t="s">
        <v>40</v>
      </c>
      <c r="J544" t="s">
        <v>54</v>
      </c>
      <c r="K544">
        <f>Pqp_supermarket_data[[#This Row],[Unit_Price]]*Pqp_supermarket_data[[#This Row],[Quantity]]</f>
        <v>28</v>
      </c>
      <c r="L544" t="str">
        <f>TEXT(Pqp_supermarket_data[[#This Row],[DateTime]],"ddd")</f>
        <v>Wed</v>
      </c>
      <c r="M544" t="str">
        <f>TEXT(Pqp_supermarket_data[[#This Row],[DateTime]],"mmm")</f>
        <v>Jan</v>
      </c>
      <c r="N544" t="str">
        <f>TEXT(Pqp_supermarket_data[[#This Row],[DateTime]],"yyy")</f>
        <v>2024</v>
      </c>
    </row>
    <row r="545" spans="1:14" x14ac:dyDescent="0.35">
      <c r="A545" t="s">
        <v>1236</v>
      </c>
      <c r="B545" s="1">
        <v>44352.076425381943</v>
      </c>
      <c r="C545" t="s">
        <v>1237</v>
      </c>
      <c r="D545" t="s">
        <v>171</v>
      </c>
      <c r="E545" t="s">
        <v>111</v>
      </c>
      <c r="F545">
        <v>2.2000000000000002</v>
      </c>
      <c r="G545">
        <v>10</v>
      </c>
      <c r="H545" t="s">
        <v>14</v>
      </c>
      <c r="I545" t="s">
        <v>15</v>
      </c>
      <c r="J545" t="s">
        <v>336</v>
      </c>
      <c r="K545">
        <f>Pqp_supermarket_data[[#This Row],[Unit_Price]]*Pqp_supermarket_data[[#This Row],[Quantity]]</f>
        <v>22</v>
      </c>
      <c r="L545" t="str">
        <f>TEXT(Pqp_supermarket_data[[#This Row],[DateTime]],"ddd")</f>
        <v>Sat</v>
      </c>
      <c r="M545" t="str">
        <f>TEXT(Pqp_supermarket_data[[#This Row],[DateTime]],"mmm")</f>
        <v>Jun</v>
      </c>
      <c r="N545" t="str">
        <f>TEXT(Pqp_supermarket_data[[#This Row],[DateTime]],"yyy")</f>
        <v>2021</v>
      </c>
    </row>
    <row r="546" spans="1:14" x14ac:dyDescent="0.35">
      <c r="A546" t="s">
        <v>1238</v>
      </c>
      <c r="B546" s="1">
        <v>44676.177119849533</v>
      </c>
      <c r="C546" t="s">
        <v>1239</v>
      </c>
      <c r="D546" t="s">
        <v>98</v>
      </c>
      <c r="E546" t="s">
        <v>137</v>
      </c>
      <c r="F546">
        <v>2.5</v>
      </c>
      <c r="G546">
        <v>2</v>
      </c>
      <c r="H546" t="s">
        <v>14</v>
      </c>
      <c r="I546" t="s">
        <v>40</v>
      </c>
      <c r="J546" t="s">
        <v>496</v>
      </c>
      <c r="K546">
        <f>Pqp_supermarket_data[[#This Row],[Unit_Price]]*Pqp_supermarket_data[[#This Row],[Quantity]]</f>
        <v>5</v>
      </c>
      <c r="L546" t="str">
        <f>TEXT(Pqp_supermarket_data[[#This Row],[DateTime]],"ddd")</f>
        <v>Mon</v>
      </c>
      <c r="M546" t="str">
        <f>TEXT(Pqp_supermarket_data[[#This Row],[DateTime]],"mmm")</f>
        <v>Apr</v>
      </c>
      <c r="N546" t="str">
        <f>TEXT(Pqp_supermarket_data[[#This Row],[DateTime]],"yyy")</f>
        <v>2022</v>
      </c>
    </row>
    <row r="547" spans="1:14" x14ac:dyDescent="0.35">
      <c r="A547" t="s">
        <v>1240</v>
      </c>
      <c r="B547" s="1">
        <v>44554.267397627314</v>
      </c>
      <c r="C547" t="s">
        <v>1241</v>
      </c>
      <c r="D547" t="s">
        <v>85</v>
      </c>
      <c r="E547" t="s">
        <v>115</v>
      </c>
      <c r="F547">
        <v>1.5</v>
      </c>
      <c r="G547">
        <v>1</v>
      </c>
      <c r="H547" t="s">
        <v>14</v>
      </c>
      <c r="I547" t="s">
        <v>61</v>
      </c>
      <c r="J547" t="s">
        <v>262</v>
      </c>
      <c r="K547">
        <f>Pqp_supermarket_data[[#This Row],[Unit_Price]]*Pqp_supermarket_data[[#This Row],[Quantity]]</f>
        <v>1.5</v>
      </c>
      <c r="L547" t="str">
        <f>TEXT(Pqp_supermarket_data[[#This Row],[DateTime]],"ddd")</f>
        <v>Fri</v>
      </c>
      <c r="M547" t="str">
        <f>TEXT(Pqp_supermarket_data[[#This Row],[DateTime]],"mmm")</f>
        <v>Dec</v>
      </c>
      <c r="N547" t="str">
        <f>TEXT(Pqp_supermarket_data[[#This Row],[DateTime]],"yyy")</f>
        <v>2021</v>
      </c>
    </row>
    <row r="548" spans="1:14" x14ac:dyDescent="0.35">
      <c r="A548" t="s">
        <v>1242</v>
      </c>
      <c r="B548" s="1">
        <v>45374.378508738424</v>
      </c>
      <c r="C548" t="s">
        <v>1243</v>
      </c>
      <c r="D548" t="s">
        <v>12</v>
      </c>
      <c r="E548" t="s">
        <v>94</v>
      </c>
      <c r="F548">
        <v>0.8</v>
      </c>
      <c r="G548">
        <v>6</v>
      </c>
      <c r="H548" t="s">
        <v>14</v>
      </c>
      <c r="I548" t="s">
        <v>40</v>
      </c>
      <c r="J548" t="s">
        <v>397</v>
      </c>
      <c r="K548">
        <f>Pqp_supermarket_data[[#This Row],[Unit_Price]]*Pqp_supermarket_data[[#This Row],[Quantity]]</f>
        <v>4.8000000000000007</v>
      </c>
      <c r="L548" t="str">
        <f>TEXT(Pqp_supermarket_data[[#This Row],[DateTime]],"ddd")</f>
        <v>Sat</v>
      </c>
      <c r="M548" t="str">
        <f>TEXT(Pqp_supermarket_data[[#This Row],[DateTime]],"mmm")</f>
        <v>Mar</v>
      </c>
      <c r="N548" t="str">
        <f>TEXT(Pqp_supermarket_data[[#This Row],[DateTime]],"yyy")</f>
        <v>2024</v>
      </c>
    </row>
    <row r="549" spans="1:14" x14ac:dyDescent="0.35">
      <c r="A549" t="s">
        <v>1244</v>
      </c>
      <c r="B549" s="1">
        <v>45483.778508738425</v>
      </c>
      <c r="C549" t="s">
        <v>1245</v>
      </c>
      <c r="D549" t="s">
        <v>19</v>
      </c>
      <c r="E549" t="s">
        <v>111</v>
      </c>
      <c r="F549">
        <v>2.2000000000000002</v>
      </c>
      <c r="G549">
        <v>2</v>
      </c>
      <c r="H549" t="s">
        <v>14</v>
      </c>
      <c r="I549" t="s">
        <v>21</v>
      </c>
      <c r="J549" t="s">
        <v>116</v>
      </c>
      <c r="K549">
        <f>Pqp_supermarket_data[[#This Row],[Unit_Price]]*Pqp_supermarket_data[[#This Row],[Quantity]]</f>
        <v>4.4000000000000004</v>
      </c>
      <c r="L549" t="str">
        <f>TEXT(Pqp_supermarket_data[[#This Row],[DateTime]],"ddd")</f>
        <v>Wed</v>
      </c>
      <c r="M549" t="str">
        <f>TEXT(Pqp_supermarket_data[[#This Row],[DateTime]],"mmm")</f>
        <v>Jul</v>
      </c>
      <c r="N549" t="str">
        <f>TEXT(Pqp_supermarket_data[[#This Row],[DateTime]],"yyy")</f>
        <v>2024</v>
      </c>
    </row>
    <row r="550" spans="1:14" x14ac:dyDescent="0.35">
      <c r="A550" t="s">
        <v>1246</v>
      </c>
      <c r="B550" s="1">
        <v>45638.070175416666</v>
      </c>
      <c r="C550" t="s">
        <v>1247</v>
      </c>
      <c r="D550" t="s">
        <v>30</v>
      </c>
      <c r="E550" t="s">
        <v>49</v>
      </c>
      <c r="F550">
        <v>7</v>
      </c>
      <c r="G550">
        <v>10</v>
      </c>
      <c r="H550" t="s">
        <v>14</v>
      </c>
      <c r="I550" t="s">
        <v>40</v>
      </c>
      <c r="J550" t="s">
        <v>102</v>
      </c>
      <c r="K550">
        <f>Pqp_supermarket_data[[#This Row],[Unit_Price]]*Pqp_supermarket_data[[#This Row],[Quantity]]</f>
        <v>70</v>
      </c>
      <c r="L550" t="str">
        <f>TEXT(Pqp_supermarket_data[[#This Row],[DateTime]],"ddd")</f>
        <v>Thu</v>
      </c>
      <c r="M550" t="str">
        <f>TEXT(Pqp_supermarket_data[[#This Row],[DateTime]],"mmm")</f>
        <v>Dec</v>
      </c>
      <c r="N550" t="str">
        <f>TEXT(Pqp_supermarket_data[[#This Row],[DateTime]],"yyy")</f>
        <v>2024</v>
      </c>
    </row>
    <row r="551" spans="1:14" x14ac:dyDescent="0.35">
      <c r="A551" t="s">
        <v>1248</v>
      </c>
      <c r="B551" s="1">
        <v>45168.137536527778</v>
      </c>
      <c r="C551" t="s">
        <v>1249</v>
      </c>
      <c r="D551" t="s">
        <v>69</v>
      </c>
      <c r="E551" t="s">
        <v>145</v>
      </c>
      <c r="F551">
        <v>1.7</v>
      </c>
      <c r="G551">
        <v>8</v>
      </c>
      <c r="H551" t="s">
        <v>14</v>
      </c>
      <c r="I551" t="s">
        <v>36</v>
      </c>
      <c r="J551" t="s">
        <v>79</v>
      </c>
      <c r="K551">
        <f>Pqp_supermarket_data[[#This Row],[Unit_Price]]*Pqp_supermarket_data[[#This Row],[Quantity]]</f>
        <v>13.6</v>
      </c>
      <c r="L551" t="str">
        <f>TEXT(Pqp_supermarket_data[[#This Row],[DateTime]],"ddd")</f>
        <v>Wed</v>
      </c>
      <c r="M551" t="str">
        <f>TEXT(Pqp_supermarket_data[[#This Row],[DateTime]],"mmm")</f>
        <v>Aug</v>
      </c>
      <c r="N551" t="str">
        <f>TEXT(Pqp_supermarket_data[[#This Row],[DateTime]],"yyy")</f>
        <v>2023</v>
      </c>
    </row>
    <row r="552" spans="1:14" x14ac:dyDescent="0.35">
      <c r="A552" t="s">
        <v>1250</v>
      </c>
      <c r="B552" s="1">
        <v>45429.618786527775</v>
      </c>
      <c r="C552" t="s">
        <v>1251</v>
      </c>
      <c r="D552" t="s">
        <v>12</v>
      </c>
      <c r="E552" t="s">
        <v>45</v>
      </c>
      <c r="F552">
        <v>1</v>
      </c>
      <c r="G552">
        <v>6</v>
      </c>
      <c r="H552" t="s">
        <v>14</v>
      </c>
      <c r="I552" t="s">
        <v>15</v>
      </c>
      <c r="J552" t="s">
        <v>178</v>
      </c>
      <c r="K552">
        <f>Pqp_supermarket_data[[#This Row],[Unit_Price]]*Pqp_supermarket_data[[#This Row],[Quantity]]</f>
        <v>6</v>
      </c>
      <c r="L552" t="str">
        <f>TEXT(Pqp_supermarket_data[[#This Row],[DateTime]],"ddd")</f>
        <v>Fri</v>
      </c>
      <c r="M552" t="str">
        <f>TEXT(Pqp_supermarket_data[[#This Row],[DateTime]],"mmm")</f>
        <v>May</v>
      </c>
      <c r="N552" t="str">
        <f>TEXT(Pqp_supermarket_data[[#This Row],[DateTime]],"yyy")</f>
        <v>2024</v>
      </c>
    </row>
    <row r="553" spans="1:14" x14ac:dyDescent="0.35">
      <c r="A553" t="s">
        <v>1252</v>
      </c>
      <c r="B553" s="1">
        <v>44580.334758750003</v>
      </c>
      <c r="C553" t="s">
        <v>1253</v>
      </c>
      <c r="D553" t="s">
        <v>127</v>
      </c>
      <c r="E553" t="s">
        <v>57</v>
      </c>
      <c r="F553">
        <v>4.5</v>
      </c>
      <c r="G553">
        <v>3</v>
      </c>
      <c r="H553" t="s">
        <v>14</v>
      </c>
      <c r="I553" t="s">
        <v>15</v>
      </c>
      <c r="J553" t="s">
        <v>46</v>
      </c>
      <c r="K553">
        <f>Pqp_supermarket_data[[#This Row],[Unit_Price]]*Pqp_supermarket_data[[#This Row],[Quantity]]</f>
        <v>13.5</v>
      </c>
      <c r="L553" t="str">
        <f>TEXT(Pqp_supermarket_data[[#This Row],[DateTime]],"ddd")</f>
        <v>Wed</v>
      </c>
      <c r="M553" t="str">
        <f>TEXT(Pqp_supermarket_data[[#This Row],[DateTime]],"mmm")</f>
        <v>Jan</v>
      </c>
      <c r="N553" t="str">
        <f>TEXT(Pqp_supermarket_data[[#This Row],[DateTime]],"yyy")</f>
        <v>2022</v>
      </c>
    </row>
    <row r="554" spans="1:14" x14ac:dyDescent="0.35">
      <c r="A554" t="s">
        <v>1254</v>
      </c>
      <c r="B554" s="1">
        <v>45782.618092094905</v>
      </c>
      <c r="C554" t="s">
        <v>1255</v>
      </c>
      <c r="D554" t="s">
        <v>82</v>
      </c>
      <c r="E554" t="s">
        <v>119</v>
      </c>
      <c r="F554">
        <v>4</v>
      </c>
      <c r="G554">
        <v>1</v>
      </c>
      <c r="H554" t="s">
        <v>14</v>
      </c>
      <c r="I554" t="s">
        <v>15</v>
      </c>
      <c r="J554" t="s">
        <v>538</v>
      </c>
      <c r="K554">
        <f>Pqp_supermarket_data[[#This Row],[Unit_Price]]*Pqp_supermarket_data[[#This Row],[Quantity]]</f>
        <v>4</v>
      </c>
      <c r="L554" t="str">
        <f>TEXT(Pqp_supermarket_data[[#This Row],[DateTime]],"ddd")</f>
        <v>Mon</v>
      </c>
      <c r="M554" t="str">
        <f>TEXT(Pqp_supermarket_data[[#This Row],[DateTime]],"mmm")</f>
        <v>May</v>
      </c>
      <c r="N554" t="str">
        <f>TEXT(Pqp_supermarket_data[[#This Row],[DateTime]],"yyy")</f>
        <v>2025</v>
      </c>
    </row>
    <row r="555" spans="1:14" x14ac:dyDescent="0.35">
      <c r="A555" t="s">
        <v>1256</v>
      </c>
      <c r="B555" s="1">
        <v>45134.758369872688</v>
      </c>
      <c r="C555" t="s">
        <v>1257</v>
      </c>
      <c r="D555" t="s">
        <v>30</v>
      </c>
      <c r="E555" t="s">
        <v>119</v>
      </c>
      <c r="F555">
        <v>4</v>
      </c>
      <c r="G555">
        <v>2</v>
      </c>
      <c r="H555" t="s">
        <v>14</v>
      </c>
      <c r="I555" t="s">
        <v>86</v>
      </c>
      <c r="J555" t="s">
        <v>209</v>
      </c>
      <c r="K555">
        <f>Pqp_supermarket_data[[#This Row],[Unit_Price]]*Pqp_supermarket_data[[#This Row],[Quantity]]</f>
        <v>8</v>
      </c>
      <c r="L555" t="str">
        <f>TEXT(Pqp_supermarket_data[[#This Row],[DateTime]],"ddd")</f>
        <v>Thu</v>
      </c>
      <c r="M555" t="str">
        <f>TEXT(Pqp_supermarket_data[[#This Row],[DateTime]],"mmm")</f>
        <v>Jul</v>
      </c>
      <c r="N555" t="str">
        <f>TEXT(Pqp_supermarket_data[[#This Row],[DateTime]],"yyy")</f>
        <v>2023</v>
      </c>
    </row>
    <row r="556" spans="1:14" x14ac:dyDescent="0.35">
      <c r="A556" t="s">
        <v>1258</v>
      </c>
      <c r="B556" s="1">
        <v>45107.598647650462</v>
      </c>
      <c r="C556" t="s">
        <v>1259</v>
      </c>
      <c r="D556" t="s">
        <v>25</v>
      </c>
      <c r="E556" t="s">
        <v>53</v>
      </c>
      <c r="F556">
        <v>2.8</v>
      </c>
      <c r="G556">
        <v>6</v>
      </c>
      <c r="H556" t="s">
        <v>14</v>
      </c>
      <c r="I556" t="s">
        <v>15</v>
      </c>
      <c r="J556" t="s">
        <v>71</v>
      </c>
      <c r="K556">
        <f>Pqp_supermarket_data[[#This Row],[Unit_Price]]*Pqp_supermarket_data[[#This Row],[Quantity]]</f>
        <v>16.799999999999997</v>
      </c>
      <c r="L556" t="str">
        <f>TEXT(Pqp_supermarket_data[[#This Row],[DateTime]],"ddd")</f>
        <v>Fri</v>
      </c>
      <c r="M556" t="str">
        <f>TEXT(Pqp_supermarket_data[[#This Row],[DateTime]],"mmm")</f>
        <v>Jun</v>
      </c>
      <c r="N556" t="str">
        <f>TEXT(Pqp_supermarket_data[[#This Row],[DateTime]],"yyy")</f>
        <v>2023</v>
      </c>
    </row>
    <row r="557" spans="1:14" x14ac:dyDescent="0.35">
      <c r="A557" t="s">
        <v>1260</v>
      </c>
      <c r="B557" s="1">
        <v>45604.613925428239</v>
      </c>
      <c r="C557" t="s">
        <v>1261</v>
      </c>
      <c r="D557" t="s">
        <v>30</v>
      </c>
      <c r="E557" t="s">
        <v>39</v>
      </c>
      <c r="F557">
        <v>3.2</v>
      </c>
      <c r="G557">
        <v>8</v>
      </c>
      <c r="H557" t="s">
        <v>14</v>
      </c>
      <c r="I557" t="s">
        <v>40</v>
      </c>
      <c r="J557" t="s">
        <v>924</v>
      </c>
      <c r="K557">
        <f>Pqp_supermarket_data[[#This Row],[Unit_Price]]*Pqp_supermarket_data[[#This Row],[Quantity]]</f>
        <v>25.6</v>
      </c>
      <c r="L557" t="str">
        <f>TEXT(Pqp_supermarket_data[[#This Row],[DateTime]],"ddd")</f>
        <v>Fri</v>
      </c>
      <c r="M557" t="str">
        <f>TEXT(Pqp_supermarket_data[[#This Row],[DateTime]],"mmm")</f>
        <v>Nov</v>
      </c>
      <c r="N557" t="str">
        <f>TEXT(Pqp_supermarket_data[[#This Row],[DateTime]],"yyy")</f>
        <v>2024</v>
      </c>
    </row>
    <row r="558" spans="1:14" x14ac:dyDescent="0.35">
      <c r="A558" t="s">
        <v>1262</v>
      </c>
      <c r="B558" s="1">
        <v>45357.23753658565</v>
      </c>
      <c r="C558" t="s">
        <v>1263</v>
      </c>
      <c r="D558" t="s">
        <v>77</v>
      </c>
      <c r="E558" t="s">
        <v>53</v>
      </c>
      <c r="F558">
        <v>2.8</v>
      </c>
      <c r="G558">
        <v>5</v>
      </c>
      <c r="H558" t="s">
        <v>14</v>
      </c>
      <c r="I558" t="s">
        <v>40</v>
      </c>
      <c r="J558" t="s">
        <v>105</v>
      </c>
      <c r="K558">
        <f>Pqp_supermarket_data[[#This Row],[Unit_Price]]*Pqp_supermarket_data[[#This Row],[Quantity]]</f>
        <v>14</v>
      </c>
      <c r="L558" t="str">
        <f>TEXT(Pqp_supermarket_data[[#This Row],[DateTime]],"ddd")</f>
        <v>Wed</v>
      </c>
      <c r="M558" t="str">
        <f>TEXT(Pqp_supermarket_data[[#This Row],[DateTime]],"mmm")</f>
        <v>Mar</v>
      </c>
      <c r="N558" t="str">
        <f>TEXT(Pqp_supermarket_data[[#This Row],[DateTime]],"yyy")</f>
        <v>2024</v>
      </c>
    </row>
    <row r="559" spans="1:14" x14ac:dyDescent="0.35">
      <c r="A559" t="s">
        <v>1264</v>
      </c>
      <c r="B559" s="1">
        <v>45784.501425509261</v>
      </c>
      <c r="C559" t="s">
        <v>1265</v>
      </c>
      <c r="D559" t="s">
        <v>98</v>
      </c>
      <c r="E559" t="s">
        <v>145</v>
      </c>
      <c r="F559">
        <v>1.7</v>
      </c>
      <c r="G559">
        <v>3</v>
      </c>
      <c r="H559" t="s">
        <v>14</v>
      </c>
      <c r="I559" t="s">
        <v>86</v>
      </c>
      <c r="J559" t="s">
        <v>336</v>
      </c>
      <c r="K559">
        <f>Pqp_supermarket_data[[#This Row],[Unit_Price]]*Pqp_supermarket_data[[#This Row],[Quantity]]</f>
        <v>5.0999999999999996</v>
      </c>
      <c r="L559" t="str">
        <f>TEXT(Pqp_supermarket_data[[#This Row],[DateTime]],"ddd")</f>
        <v>Wed</v>
      </c>
      <c r="M559" t="str">
        <f>TEXT(Pqp_supermarket_data[[#This Row],[DateTime]],"mmm")</f>
        <v>May</v>
      </c>
      <c r="N559" t="str">
        <f>TEXT(Pqp_supermarket_data[[#This Row],[DateTime]],"yyy")</f>
        <v>2025</v>
      </c>
    </row>
    <row r="560" spans="1:14" x14ac:dyDescent="0.35">
      <c r="A560" t="s">
        <v>1266</v>
      </c>
      <c r="B560" s="1">
        <v>45011.07781440972</v>
      </c>
      <c r="C560" t="s">
        <v>1267</v>
      </c>
      <c r="D560" t="s">
        <v>82</v>
      </c>
      <c r="E560" t="s">
        <v>148</v>
      </c>
      <c r="F560">
        <v>5.5</v>
      </c>
      <c r="G560">
        <v>8</v>
      </c>
      <c r="H560" t="s">
        <v>14</v>
      </c>
      <c r="I560" t="s">
        <v>21</v>
      </c>
      <c r="J560" t="s">
        <v>189</v>
      </c>
      <c r="K560">
        <f>Pqp_supermarket_data[[#This Row],[Unit_Price]]*Pqp_supermarket_data[[#This Row],[Quantity]]</f>
        <v>44</v>
      </c>
      <c r="L560" t="str">
        <f>TEXT(Pqp_supermarket_data[[#This Row],[DateTime]],"ddd")</f>
        <v>Sun</v>
      </c>
      <c r="M560" t="str">
        <f>TEXT(Pqp_supermarket_data[[#This Row],[DateTime]],"mmm")</f>
        <v>Mar</v>
      </c>
      <c r="N560" t="str">
        <f>TEXT(Pqp_supermarket_data[[#This Row],[DateTime]],"yyy")</f>
        <v>2023</v>
      </c>
    </row>
    <row r="561" spans="1:14" x14ac:dyDescent="0.35">
      <c r="A561" t="s">
        <v>1268</v>
      </c>
      <c r="B561" s="1">
        <v>44379.261147743055</v>
      </c>
      <c r="C561" t="s">
        <v>1269</v>
      </c>
      <c r="D561" t="s">
        <v>98</v>
      </c>
      <c r="E561" t="s">
        <v>65</v>
      </c>
      <c r="F561">
        <v>3</v>
      </c>
      <c r="G561">
        <v>1</v>
      </c>
      <c r="H561" t="s">
        <v>14</v>
      </c>
      <c r="I561" t="s">
        <v>61</v>
      </c>
      <c r="J561" t="s">
        <v>397</v>
      </c>
      <c r="K561">
        <f>Pqp_supermarket_data[[#This Row],[Unit_Price]]*Pqp_supermarket_data[[#This Row],[Quantity]]</f>
        <v>3</v>
      </c>
      <c r="L561" t="str">
        <f>TEXT(Pqp_supermarket_data[[#This Row],[DateTime]],"ddd")</f>
        <v>Fri</v>
      </c>
      <c r="M561" t="str">
        <f>TEXT(Pqp_supermarket_data[[#This Row],[DateTime]],"mmm")</f>
        <v>Jul</v>
      </c>
      <c r="N561" t="str">
        <f>TEXT(Pqp_supermarket_data[[#This Row],[DateTime]],"yyy")</f>
        <v>2021</v>
      </c>
    </row>
    <row r="562" spans="1:14" x14ac:dyDescent="0.35">
      <c r="A562" t="s">
        <v>1270</v>
      </c>
      <c r="B562" s="1">
        <v>45134.222258865739</v>
      </c>
      <c r="C562" t="s">
        <v>1271</v>
      </c>
      <c r="D562" t="s">
        <v>77</v>
      </c>
      <c r="E562" t="s">
        <v>39</v>
      </c>
      <c r="F562">
        <v>3.2</v>
      </c>
      <c r="G562">
        <v>3</v>
      </c>
      <c r="H562" t="s">
        <v>14</v>
      </c>
      <c r="I562" t="s">
        <v>86</v>
      </c>
      <c r="J562" t="s">
        <v>769</v>
      </c>
      <c r="K562">
        <f>Pqp_supermarket_data[[#This Row],[Unit_Price]]*Pqp_supermarket_data[[#This Row],[Quantity]]</f>
        <v>9.6000000000000014</v>
      </c>
      <c r="L562" t="str">
        <f>TEXT(Pqp_supermarket_data[[#This Row],[DateTime]],"ddd")</f>
        <v>Thu</v>
      </c>
      <c r="M562" t="str">
        <f>TEXT(Pqp_supermarket_data[[#This Row],[DateTime]],"mmm")</f>
        <v>Jul</v>
      </c>
      <c r="N562" t="str">
        <f>TEXT(Pqp_supermarket_data[[#This Row],[DateTime]],"yyy")</f>
        <v>2023</v>
      </c>
    </row>
    <row r="563" spans="1:14" x14ac:dyDescent="0.35">
      <c r="A563" t="s">
        <v>1272</v>
      </c>
      <c r="B563" s="1">
        <v>45632.811842199073</v>
      </c>
      <c r="C563" t="s">
        <v>1273</v>
      </c>
      <c r="D563" t="s">
        <v>77</v>
      </c>
      <c r="E563" t="s">
        <v>39</v>
      </c>
      <c r="F563">
        <v>3.2</v>
      </c>
      <c r="G563">
        <v>10</v>
      </c>
      <c r="H563" t="s">
        <v>14</v>
      </c>
      <c r="I563" t="s">
        <v>21</v>
      </c>
      <c r="J563" t="s">
        <v>470</v>
      </c>
      <c r="K563">
        <f>Pqp_supermarket_data[[#This Row],[Unit_Price]]*Pqp_supermarket_data[[#This Row],[Quantity]]</f>
        <v>32</v>
      </c>
      <c r="L563" t="str">
        <f>TEXT(Pqp_supermarket_data[[#This Row],[DateTime]],"ddd")</f>
        <v>Fri</v>
      </c>
      <c r="M563" t="str">
        <f>TEXT(Pqp_supermarket_data[[#This Row],[DateTime]],"mmm")</f>
        <v>Dec</v>
      </c>
      <c r="N563" t="str">
        <f>TEXT(Pqp_supermarket_data[[#This Row],[DateTime]],"yyy")</f>
        <v>2024</v>
      </c>
    </row>
    <row r="564" spans="1:14" x14ac:dyDescent="0.35">
      <c r="A564" t="s">
        <v>1274</v>
      </c>
      <c r="B564" s="1">
        <v>44344.541008877313</v>
      </c>
      <c r="C564" t="s">
        <v>1275</v>
      </c>
      <c r="D564" t="s">
        <v>30</v>
      </c>
      <c r="E564" t="s">
        <v>94</v>
      </c>
      <c r="F564">
        <v>0.8</v>
      </c>
      <c r="G564">
        <v>10</v>
      </c>
      <c r="H564" t="s">
        <v>14</v>
      </c>
      <c r="I564" t="s">
        <v>86</v>
      </c>
      <c r="J564" t="s">
        <v>769</v>
      </c>
      <c r="K564">
        <f>Pqp_supermarket_data[[#This Row],[Unit_Price]]*Pqp_supermarket_data[[#This Row],[Quantity]]</f>
        <v>8</v>
      </c>
      <c r="L564" t="str">
        <f>TEXT(Pqp_supermarket_data[[#This Row],[DateTime]],"ddd")</f>
        <v>Fri</v>
      </c>
      <c r="M564" t="str">
        <f>TEXT(Pqp_supermarket_data[[#This Row],[DateTime]],"mmm")</f>
        <v>May</v>
      </c>
      <c r="N564" t="str">
        <f>TEXT(Pqp_supermarket_data[[#This Row],[DateTime]],"yyy")</f>
        <v>2021</v>
      </c>
    </row>
    <row r="565" spans="1:14" x14ac:dyDescent="0.35">
      <c r="A565" t="s">
        <v>1276</v>
      </c>
      <c r="B565" s="1">
        <v>45677.420175543979</v>
      </c>
      <c r="C565" t="s">
        <v>1277</v>
      </c>
      <c r="D565" t="s">
        <v>25</v>
      </c>
      <c r="E565" t="s">
        <v>78</v>
      </c>
      <c r="F565">
        <v>4</v>
      </c>
      <c r="G565">
        <v>7</v>
      </c>
      <c r="H565" t="s">
        <v>14</v>
      </c>
      <c r="I565" t="s">
        <v>36</v>
      </c>
      <c r="J565" t="s">
        <v>153</v>
      </c>
      <c r="K565">
        <f>Pqp_supermarket_data[[#This Row],[Unit_Price]]*Pqp_supermarket_data[[#This Row],[Quantity]]</f>
        <v>28</v>
      </c>
      <c r="L565" t="str">
        <f>TEXT(Pqp_supermarket_data[[#This Row],[DateTime]],"ddd")</f>
        <v>Mon</v>
      </c>
      <c r="M565" t="str">
        <f>TEXT(Pqp_supermarket_data[[#This Row],[DateTime]],"mmm")</f>
        <v>Jan</v>
      </c>
      <c r="N565" t="str">
        <f>TEXT(Pqp_supermarket_data[[#This Row],[DateTime]],"yyy")</f>
        <v>2025</v>
      </c>
    </row>
    <row r="566" spans="1:14" x14ac:dyDescent="0.35">
      <c r="A566" t="s">
        <v>1278</v>
      </c>
      <c r="B566" s="1">
        <v>44680.197258888889</v>
      </c>
      <c r="C566" t="s">
        <v>1279</v>
      </c>
      <c r="D566" t="s">
        <v>127</v>
      </c>
      <c r="E566" t="s">
        <v>57</v>
      </c>
      <c r="F566">
        <v>4.5</v>
      </c>
      <c r="G566">
        <v>4</v>
      </c>
      <c r="H566" t="s">
        <v>14</v>
      </c>
      <c r="I566" t="s">
        <v>40</v>
      </c>
      <c r="J566" t="s">
        <v>166</v>
      </c>
      <c r="K566">
        <f>Pqp_supermarket_data[[#This Row],[Unit_Price]]*Pqp_supermarket_data[[#This Row],[Quantity]]</f>
        <v>18</v>
      </c>
      <c r="L566" t="str">
        <f>TEXT(Pqp_supermarket_data[[#This Row],[DateTime]],"ddd")</f>
        <v>Fri</v>
      </c>
      <c r="M566" t="str">
        <f>TEXT(Pqp_supermarket_data[[#This Row],[DateTime]],"mmm")</f>
        <v>Apr</v>
      </c>
      <c r="N566" t="str">
        <f>TEXT(Pqp_supermarket_data[[#This Row],[DateTime]],"yyy")</f>
        <v>2022</v>
      </c>
    </row>
    <row r="567" spans="1:14" x14ac:dyDescent="0.35">
      <c r="A567" t="s">
        <v>1280</v>
      </c>
      <c r="B567" s="1">
        <v>44981.78545333333</v>
      </c>
      <c r="C567" t="s">
        <v>1281</v>
      </c>
      <c r="D567" t="s">
        <v>34</v>
      </c>
      <c r="E567" t="s">
        <v>115</v>
      </c>
      <c r="F567">
        <v>1.5</v>
      </c>
      <c r="G567">
        <v>3</v>
      </c>
      <c r="H567" t="s">
        <v>14</v>
      </c>
      <c r="I567" t="s">
        <v>40</v>
      </c>
      <c r="J567" t="s">
        <v>116</v>
      </c>
      <c r="K567">
        <f>Pqp_supermarket_data[[#This Row],[Unit_Price]]*Pqp_supermarket_data[[#This Row],[Quantity]]</f>
        <v>4.5</v>
      </c>
      <c r="L567" t="str">
        <f>TEXT(Pqp_supermarket_data[[#This Row],[DateTime]],"ddd")</f>
        <v>Fri</v>
      </c>
      <c r="M567" t="str">
        <f>TEXT(Pqp_supermarket_data[[#This Row],[DateTime]],"mmm")</f>
        <v>Feb</v>
      </c>
      <c r="N567" t="str">
        <f>TEXT(Pqp_supermarket_data[[#This Row],[DateTime]],"yyy")</f>
        <v>2023</v>
      </c>
    </row>
    <row r="568" spans="1:14" x14ac:dyDescent="0.35">
      <c r="A568" t="s">
        <v>1282</v>
      </c>
      <c r="B568" s="1">
        <v>45779.014620011571</v>
      </c>
      <c r="C568" t="s">
        <v>1283</v>
      </c>
      <c r="D568" t="s">
        <v>127</v>
      </c>
      <c r="E568" t="s">
        <v>45</v>
      </c>
      <c r="F568">
        <v>1</v>
      </c>
      <c r="G568">
        <v>8</v>
      </c>
      <c r="H568" t="s">
        <v>14</v>
      </c>
      <c r="I568" t="s">
        <v>15</v>
      </c>
      <c r="J568" t="s">
        <v>58</v>
      </c>
      <c r="K568">
        <f>Pqp_supermarket_data[[#This Row],[Unit_Price]]*Pqp_supermarket_data[[#This Row],[Quantity]]</f>
        <v>8</v>
      </c>
      <c r="L568" t="str">
        <f>TEXT(Pqp_supermarket_data[[#This Row],[DateTime]],"ddd")</f>
        <v>Fri</v>
      </c>
      <c r="M568" t="str">
        <f>TEXT(Pqp_supermarket_data[[#This Row],[DateTime]],"mmm")</f>
        <v>May</v>
      </c>
      <c r="N568" t="str">
        <f>TEXT(Pqp_supermarket_data[[#This Row],[DateTime]],"yyy")</f>
        <v>2025</v>
      </c>
    </row>
    <row r="569" spans="1:14" x14ac:dyDescent="0.35">
      <c r="A569" t="s">
        <v>1284</v>
      </c>
      <c r="B569" s="1">
        <v>45734.302814456016</v>
      </c>
      <c r="C569" t="s">
        <v>1285</v>
      </c>
      <c r="D569" t="s">
        <v>30</v>
      </c>
      <c r="E569" t="s">
        <v>57</v>
      </c>
      <c r="F569">
        <v>4.5</v>
      </c>
      <c r="G569">
        <v>2</v>
      </c>
      <c r="H569" t="s">
        <v>14</v>
      </c>
      <c r="I569" t="s">
        <v>86</v>
      </c>
      <c r="J569" t="s">
        <v>233</v>
      </c>
      <c r="K569">
        <f>Pqp_supermarket_data[[#This Row],[Unit_Price]]*Pqp_supermarket_data[[#This Row],[Quantity]]</f>
        <v>9</v>
      </c>
      <c r="L569" t="str">
        <f>TEXT(Pqp_supermarket_data[[#This Row],[DateTime]],"ddd")</f>
        <v>Tue</v>
      </c>
      <c r="M569" t="str">
        <f>TEXT(Pqp_supermarket_data[[#This Row],[DateTime]],"mmm")</f>
        <v>Mar</v>
      </c>
      <c r="N569" t="str">
        <f>TEXT(Pqp_supermarket_data[[#This Row],[DateTime]],"yyy")</f>
        <v>2025</v>
      </c>
    </row>
    <row r="570" spans="1:14" x14ac:dyDescent="0.35">
      <c r="A570" t="s">
        <v>1286</v>
      </c>
      <c r="B570" s="1">
        <v>45155.038925578701</v>
      </c>
      <c r="C570" t="s">
        <v>1287</v>
      </c>
      <c r="D570" t="s">
        <v>98</v>
      </c>
      <c r="E570" t="s">
        <v>13</v>
      </c>
      <c r="F570">
        <v>3.1</v>
      </c>
      <c r="G570">
        <v>2</v>
      </c>
      <c r="H570" t="s">
        <v>14</v>
      </c>
      <c r="I570" t="s">
        <v>36</v>
      </c>
      <c r="J570" t="s">
        <v>112</v>
      </c>
      <c r="K570">
        <f>Pqp_supermarket_data[[#This Row],[Unit_Price]]*Pqp_supermarket_data[[#This Row],[Quantity]]</f>
        <v>6.2</v>
      </c>
      <c r="L570" t="str">
        <f>TEXT(Pqp_supermarket_data[[#This Row],[DateTime]],"ddd")</f>
        <v>Thu</v>
      </c>
      <c r="M570" t="str">
        <f>TEXT(Pqp_supermarket_data[[#This Row],[DateTime]],"mmm")</f>
        <v>Aug</v>
      </c>
      <c r="N570" t="str">
        <f>TEXT(Pqp_supermarket_data[[#This Row],[DateTime]],"yyy")</f>
        <v>2023</v>
      </c>
    </row>
    <row r="571" spans="1:14" x14ac:dyDescent="0.35">
      <c r="A571" t="s">
        <v>1288</v>
      </c>
      <c r="B571" s="1">
        <v>44993.335453356478</v>
      </c>
      <c r="C571" t="s">
        <v>1289</v>
      </c>
      <c r="D571" t="s">
        <v>19</v>
      </c>
      <c r="E571" t="s">
        <v>49</v>
      </c>
      <c r="F571">
        <v>7</v>
      </c>
      <c r="G571">
        <v>6</v>
      </c>
      <c r="H571" t="s">
        <v>14</v>
      </c>
      <c r="I571" t="s">
        <v>15</v>
      </c>
      <c r="J571" t="s">
        <v>31</v>
      </c>
      <c r="K571">
        <f>Pqp_supermarket_data[[#This Row],[Unit_Price]]*Pqp_supermarket_data[[#This Row],[Quantity]]</f>
        <v>42</v>
      </c>
      <c r="L571" t="str">
        <f>TEXT(Pqp_supermarket_data[[#This Row],[DateTime]],"ddd")</f>
        <v>Wed</v>
      </c>
      <c r="M571" t="str">
        <f>TEXT(Pqp_supermarket_data[[#This Row],[DateTime]],"mmm")</f>
        <v>Mar</v>
      </c>
      <c r="N571" t="str">
        <f>TEXT(Pqp_supermarket_data[[#This Row],[DateTime]],"yyy")</f>
        <v>2023</v>
      </c>
    </row>
    <row r="572" spans="1:14" x14ac:dyDescent="0.35">
      <c r="A572" t="s">
        <v>1290</v>
      </c>
      <c r="B572" s="1">
        <v>45695.206981145835</v>
      </c>
      <c r="C572" t="s">
        <v>1291</v>
      </c>
      <c r="D572" t="s">
        <v>98</v>
      </c>
      <c r="E572" t="s">
        <v>13</v>
      </c>
      <c r="F572">
        <v>3.1</v>
      </c>
      <c r="G572">
        <v>4</v>
      </c>
      <c r="H572" t="s">
        <v>14</v>
      </c>
      <c r="I572" t="s">
        <v>61</v>
      </c>
      <c r="J572" t="s">
        <v>323</v>
      </c>
      <c r="K572">
        <f>Pqp_supermarket_data[[#This Row],[Unit_Price]]*Pqp_supermarket_data[[#This Row],[Quantity]]</f>
        <v>12.4</v>
      </c>
      <c r="L572" t="str">
        <f>TEXT(Pqp_supermarket_data[[#This Row],[DateTime]],"ddd")</f>
        <v>Fri</v>
      </c>
      <c r="M572" t="str">
        <f>TEXT(Pqp_supermarket_data[[#This Row],[DateTime]],"mmm")</f>
        <v>Feb</v>
      </c>
      <c r="N572" t="str">
        <f>TEXT(Pqp_supermarket_data[[#This Row],[DateTime]],"yyy")</f>
        <v>2025</v>
      </c>
    </row>
    <row r="573" spans="1:14" x14ac:dyDescent="0.35">
      <c r="A573" t="s">
        <v>1292</v>
      </c>
      <c r="B573" s="1">
        <v>45660.359758923609</v>
      </c>
      <c r="C573" t="s">
        <v>1293</v>
      </c>
      <c r="D573" t="s">
        <v>12</v>
      </c>
      <c r="E573" t="s">
        <v>148</v>
      </c>
      <c r="F573">
        <v>5.5</v>
      </c>
      <c r="G573">
        <v>2</v>
      </c>
      <c r="H573" t="s">
        <v>14</v>
      </c>
      <c r="I573" t="s">
        <v>36</v>
      </c>
      <c r="J573" t="s">
        <v>561</v>
      </c>
      <c r="K573">
        <f>Pqp_supermarket_data[[#This Row],[Unit_Price]]*Pqp_supermarket_data[[#This Row],[Quantity]]</f>
        <v>11</v>
      </c>
      <c r="L573" t="str">
        <f>TEXT(Pqp_supermarket_data[[#This Row],[DateTime]],"ddd")</f>
        <v>Fri</v>
      </c>
      <c r="M573" t="str">
        <f>TEXT(Pqp_supermarket_data[[#This Row],[DateTime]],"mmm")</f>
        <v>Jan</v>
      </c>
      <c r="N573" t="str">
        <f>TEXT(Pqp_supermarket_data[[#This Row],[DateTime]],"yyy")</f>
        <v>2025</v>
      </c>
    </row>
    <row r="574" spans="1:14" x14ac:dyDescent="0.35">
      <c r="A574" t="s">
        <v>1294</v>
      </c>
      <c r="B574" s="1">
        <v>44677.984758935185</v>
      </c>
      <c r="C574" t="s">
        <v>1295</v>
      </c>
      <c r="D574" t="s">
        <v>171</v>
      </c>
      <c r="E574" t="s">
        <v>26</v>
      </c>
      <c r="F574">
        <v>2.5</v>
      </c>
      <c r="G574">
        <v>9</v>
      </c>
      <c r="H574" t="s">
        <v>14</v>
      </c>
      <c r="I574" t="s">
        <v>40</v>
      </c>
      <c r="J574" t="s">
        <v>423</v>
      </c>
      <c r="K574">
        <f>Pqp_supermarket_data[[#This Row],[Unit_Price]]*Pqp_supermarket_data[[#This Row],[Quantity]]</f>
        <v>22.5</v>
      </c>
      <c r="L574" t="str">
        <f>TEXT(Pqp_supermarket_data[[#This Row],[DateTime]],"ddd")</f>
        <v>Tue</v>
      </c>
      <c r="M574" t="str">
        <f>TEXT(Pqp_supermarket_data[[#This Row],[DateTime]],"mmm")</f>
        <v>Apr</v>
      </c>
      <c r="N574" t="str">
        <f>TEXT(Pqp_supermarket_data[[#This Row],[DateTime]],"yyy")</f>
        <v>2022</v>
      </c>
    </row>
    <row r="575" spans="1:14" x14ac:dyDescent="0.35">
      <c r="A575" t="s">
        <v>1296</v>
      </c>
      <c r="B575" s="1">
        <v>44715.99448115741</v>
      </c>
      <c r="C575" t="s">
        <v>1297</v>
      </c>
      <c r="D575" t="s">
        <v>30</v>
      </c>
      <c r="E575" t="s">
        <v>115</v>
      </c>
      <c r="F575">
        <v>1.5</v>
      </c>
      <c r="G575">
        <v>10</v>
      </c>
      <c r="H575" t="s">
        <v>14</v>
      </c>
      <c r="I575" t="s">
        <v>15</v>
      </c>
      <c r="J575" t="s">
        <v>122</v>
      </c>
      <c r="K575">
        <f>Pqp_supermarket_data[[#This Row],[Unit_Price]]*Pqp_supermarket_data[[#This Row],[Quantity]]</f>
        <v>15</v>
      </c>
      <c r="L575" t="str">
        <f>TEXT(Pqp_supermarket_data[[#This Row],[DateTime]],"ddd")</f>
        <v>Fri</v>
      </c>
      <c r="M575" t="str">
        <f>TEXT(Pqp_supermarket_data[[#This Row],[DateTime]],"mmm")</f>
        <v>Jun</v>
      </c>
      <c r="N575" t="str">
        <f>TEXT(Pqp_supermarket_data[[#This Row],[DateTime]],"yyy")</f>
        <v>2022</v>
      </c>
    </row>
    <row r="576" spans="1:14" x14ac:dyDescent="0.35">
      <c r="A576" t="s">
        <v>1298</v>
      </c>
      <c r="B576" s="1">
        <v>45174.459064490744</v>
      </c>
      <c r="C576" t="s">
        <v>1299</v>
      </c>
      <c r="D576" t="s">
        <v>19</v>
      </c>
      <c r="E576" t="s">
        <v>137</v>
      </c>
      <c r="F576">
        <v>2.5</v>
      </c>
      <c r="G576">
        <v>9</v>
      </c>
      <c r="H576" t="s">
        <v>14</v>
      </c>
      <c r="I576" t="s">
        <v>21</v>
      </c>
      <c r="J576" t="s">
        <v>128</v>
      </c>
      <c r="K576">
        <f>Pqp_supermarket_data[[#This Row],[Unit_Price]]*Pqp_supermarket_data[[#This Row],[Quantity]]</f>
        <v>22.5</v>
      </c>
      <c r="L576" t="str">
        <f>TEXT(Pqp_supermarket_data[[#This Row],[DateTime]],"ddd")</f>
        <v>Tue</v>
      </c>
      <c r="M576" t="str">
        <f>TEXT(Pqp_supermarket_data[[#This Row],[DateTime]],"mmm")</f>
        <v>Sep</v>
      </c>
      <c r="N576" t="str">
        <f>TEXT(Pqp_supermarket_data[[#This Row],[DateTime]],"yyy")</f>
        <v>2023</v>
      </c>
    </row>
    <row r="577" spans="1:14" x14ac:dyDescent="0.35">
      <c r="A577" t="s">
        <v>1300</v>
      </c>
      <c r="B577" s="1">
        <v>44615.657675601855</v>
      </c>
      <c r="C577" t="s">
        <v>1301</v>
      </c>
      <c r="D577" t="s">
        <v>69</v>
      </c>
      <c r="E577" t="s">
        <v>148</v>
      </c>
      <c r="F577">
        <v>5.5</v>
      </c>
      <c r="G577">
        <v>8</v>
      </c>
      <c r="H577" t="s">
        <v>14</v>
      </c>
      <c r="I577" t="s">
        <v>15</v>
      </c>
      <c r="J577" t="s">
        <v>66</v>
      </c>
      <c r="K577">
        <f>Pqp_supermarket_data[[#This Row],[Unit_Price]]*Pqp_supermarket_data[[#This Row],[Quantity]]</f>
        <v>44</v>
      </c>
      <c r="L577" t="str">
        <f>TEXT(Pqp_supermarket_data[[#This Row],[DateTime]],"ddd")</f>
        <v>Wed</v>
      </c>
      <c r="M577" t="str">
        <f>TEXT(Pqp_supermarket_data[[#This Row],[DateTime]],"mmm")</f>
        <v>Feb</v>
      </c>
      <c r="N577" t="str">
        <f>TEXT(Pqp_supermarket_data[[#This Row],[DateTime]],"yyy")</f>
        <v>2022</v>
      </c>
    </row>
    <row r="578" spans="1:14" x14ac:dyDescent="0.35">
      <c r="A578" t="s">
        <v>1302</v>
      </c>
      <c r="B578" s="1">
        <v>45353.304203414351</v>
      </c>
      <c r="C578" t="s">
        <v>1303</v>
      </c>
      <c r="D578" t="s">
        <v>208</v>
      </c>
      <c r="E578" t="s">
        <v>145</v>
      </c>
      <c r="F578">
        <v>1.7</v>
      </c>
      <c r="G578">
        <v>2</v>
      </c>
      <c r="H578" t="s">
        <v>14</v>
      </c>
      <c r="I578" t="s">
        <v>36</v>
      </c>
      <c r="J578" t="s">
        <v>236</v>
      </c>
      <c r="K578">
        <f>Pqp_supermarket_data[[#This Row],[Unit_Price]]*Pqp_supermarket_data[[#This Row],[Quantity]]</f>
        <v>3.4</v>
      </c>
      <c r="L578" t="str">
        <f>TEXT(Pqp_supermarket_data[[#This Row],[DateTime]],"ddd")</f>
        <v>Sat</v>
      </c>
      <c r="M578" t="str">
        <f>TEXT(Pqp_supermarket_data[[#This Row],[DateTime]],"mmm")</f>
        <v>Mar</v>
      </c>
      <c r="N578" t="str">
        <f>TEXT(Pqp_supermarket_data[[#This Row],[DateTime]],"yyy")</f>
        <v>2024</v>
      </c>
    </row>
    <row r="579" spans="1:14" x14ac:dyDescent="0.35">
      <c r="A579" t="s">
        <v>1304</v>
      </c>
      <c r="B579" s="1">
        <v>45372.720175682873</v>
      </c>
      <c r="C579" t="s">
        <v>1305</v>
      </c>
      <c r="D579" t="s">
        <v>34</v>
      </c>
      <c r="E579" t="s">
        <v>45</v>
      </c>
      <c r="F579">
        <v>1</v>
      </c>
      <c r="G579">
        <v>5</v>
      </c>
      <c r="H579" t="s">
        <v>14</v>
      </c>
      <c r="I579" t="s">
        <v>61</v>
      </c>
      <c r="J579" t="s">
        <v>46</v>
      </c>
      <c r="K579">
        <f>Pqp_supermarket_data[[#This Row],[Unit_Price]]*Pqp_supermarket_data[[#This Row],[Quantity]]</f>
        <v>5</v>
      </c>
      <c r="L579" t="str">
        <f>TEXT(Pqp_supermarket_data[[#This Row],[DateTime]],"ddd")</f>
        <v>Thu</v>
      </c>
      <c r="M579" t="str">
        <f>TEXT(Pqp_supermarket_data[[#This Row],[DateTime]],"mmm")</f>
        <v>Mar</v>
      </c>
      <c r="N579" t="str">
        <f>TEXT(Pqp_supermarket_data[[#This Row],[DateTime]],"yyy")</f>
        <v>2024</v>
      </c>
    </row>
    <row r="580" spans="1:14" x14ac:dyDescent="0.35">
      <c r="A580" t="s">
        <v>1306</v>
      </c>
      <c r="B580" s="1">
        <v>45649.459759016201</v>
      </c>
      <c r="C580" t="s">
        <v>1307</v>
      </c>
      <c r="D580" t="s">
        <v>85</v>
      </c>
      <c r="E580" t="s">
        <v>49</v>
      </c>
      <c r="F580">
        <v>7</v>
      </c>
      <c r="G580">
        <v>9</v>
      </c>
      <c r="H580" t="s">
        <v>14</v>
      </c>
      <c r="I580" t="s">
        <v>61</v>
      </c>
      <c r="J580" t="s">
        <v>339</v>
      </c>
      <c r="K580">
        <f>Pqp_supermarket_data[[#This Row],[Unit_Price]]*Pqp_supermarket_data[[#This Row],[Quantity]]</f>
        <v>63</v>
      </c>
      <c r="L580" t="str">
        <f>TEXT(Pqp_supermarket_data[[#This Row],[DateTime]],"ddd")</f>
        <v>Mon</v>
      </c>
      <c r="M580" t="str">
        <f>TEXT(Pqp_supermarket_data[[#This Row],[DateTime]],"mmm")</f>
        <v>Dec</v>
      </c>
      <c r="N580" t="str">
        <f>TEXT(Pqp_supermarket_data[[#This Row],[DateTime]],"yyy")</f>
        <v>2024</v>
      </c>
    </row>
    <row r="581" spans="1:14" x14ac:dyDescent="0.35">
      <c r="A581" t="s">
        <v>1308</v>
      </c>
      <c r="B581" s="1">
        <v>44721.936147916669</v>
      </c>
      <c r="C581" t="s">
        <v>1309</v>
      </c>
      <c r="D581" t="s">
        <v>34</v>
      </c>
      <c r="E581" t="s">
        <v>35</v>
      </c>
      <c r="F581">
        <v>1.2</v>
      </c>
      <c r="G581">
        <v>10</v>
      </c>
      <c r="H581" t="s">
        <v>14</v>
      </c>
      <c r="I581" t="s">
        <v>21</v>
      </c>
      <c r="J581" t="s">
        <v>128</v>
      </c>
      <c r="K581">
        <f>Pqp_supermarket_data[[#This Row],[Unit_Price]]*Pqp_supermarket_data[[#This Row],[Quantity]]</f>
        <v>12</v>
      </c>
      <c r="L581" t="str">
        <f>TEXT(Pqp_supermarket_data[[#This Row],[DateTime]],"ddd")</f>
        <v>Thu</v>
      </c>
      <c r="M581" t="str">
        <f>TEXT(Pqp_supermarket_data[[#This Row],[DateTime]],"mmm")</f>
        <v>Jun</v>
      </c>
      <c r="N581" t="str">
        <f>TEXT(Pqp_supermarket_data[[#This Row],[DateTime]],"yyy")</f>
        <v>2022</v>
      </c>
    </row>
    <row r="582" spans="1:14" x14ac:dyDescent="0.35">
      <c r="A582" t="s">
        <v>1310</v>
      </c>
      <c r="B582" s="1">
        <v>44927.41670347222</v>
      </c>
      <c r="C582" t="s">
        <v>1311</v>
      </c>
      <c r="D582" t="s">
        <v>69</v>
      </c>
      <c r="E582" t="s">
        <v>111</v>
      </c>
      <c r="F582">
        <v>2.2000000000000002</v>
      </c>
      <c r="G582">
        <v>10</v>
      </c>
      <c r="H582" t="s">
        <v>14</v>
      </c>
      <c r="I582" t="s">
        <v>21</v>
      </c>
      <c r="J582" t="s">
        <v>87</v>
      </c>
      <c r="K582">
        <f>Pqp_supermarket_data[[#This Row],[Unit_Price]]*Pqp_supermarket_data[[#This Row],[Quantity]]</f>
        <v>22</v>
      </c>
      <c r="L582" t="str">
        <f>TEXT(Pqp_supermarket_data[[#This Row],[DateTime]],"ddd")</f>
        <v>Sun</v>
      </c>
      <c r="M582" t="str">
        <f>TEXT(Pqp_supermarket_data[[#This Row],[DateTime]],"mmm")</f>
        <v>Jan</v>
      </c>
      <c r="N582" t="str">
        <f>TEXT(Pqp_supermarket_data[[#This Row],[DateTime]],"yyy")</f>
        <v>2023</v>
      </c>
    </row>
    <row r="583" spans="1:14" x14ac:dyDescent="0.35">
      <c r="A583" t="s">
        <v>1312</v>
      </c>
      <c r="B583" s="1">
        <v>45581.409759027774</v>
      </c>
      <c r="C583" t="s">
        <v>1313</v>
      </c>
      <c r="D583" t="s">
        <v>226</v>
      </c>
      <c r="E583" t="s">
        <v>148</v>
      </c>
      <c r="F583">
        <v>5.5</v>
      </c>
      <c r="G583">
        <v>5</v>
      </c>
      <c r="H583" t="s">
        <v>14</v>
      </c>
      <c r="I583" t="s">
        <v>21</v>
      </c>
      <c r="J583" t="s">
        <v>561</v>
      </c>
      <c r="K583">
        <f>Pqp_supermarket_data[[#This Row],[Unit_Price]]*Pqp_supermarket_data[[#This Row],[Quantity]]</f>
        <v>27.5</v>
      </c>
      <c r="L583" t="str">
        <f>TEXT(Pqp_supermarket_data[[#This Row],[DateTime]],"ddd")</f>
        <v>Wed</v>
      </c>
      <c r="M583" t="str">
        <f>TEXT(Pqp_supermarket_data[[#This Row],[DateTime]],"mmm")</f>
        <v>Oct</v>
      </c>
      <c r="N583" t="str">
        <f>TEXT(Pqp_supermarket_data[[#This Row],[DateTime]],"yyy")</f>
        <v>2024</v>
      </c>
    </row>
    <row r="584" spans="1:14" x14ac:dyDescent="0.35">
      <c r="A584" t="s">
        <v>1314</v>
      </c>
      <c r="B584" s="1">
        <v>44945.209759039353</v>
      </c>
      <c r="C584" t="s">
        <v>1315</v>
      </c>
      <c r="D584" t="s">
        <v>30</v>
      </c>
      <c r="E584" t="s">
        <v>115</v>
      </c>
      <c r="F584">
        <v>1.5</v>
      </c>
      <c r="G584">
        <v>10</v>
      </c>
      <c r="H584" t="s">
        <v>14</v>
      </c>
      <c r="I584" t="s">
        <v>21</v>
      </c>
      <c r="J584" t="s">
        <v>122</v>
      </c>
      <c r="K584">
        <f>Pqp_supermarket_data[[#This Row],[Unit_Price]]*Pqp_supermarket_data[[#This Row],[Quantity]]</f>
        <v>15</v>
      </c>
      <c r="L584" t="str">
        <f>TEXT(Pqp_supermarket_data[[#This Row],[DateTime]],"ddd")</f>
        <v>Thu</v>
      </c>
      <c r="M584" t="str">
        <f>TEXT(Pqp_supermarket_data[[#This Row],[DateTime]],"mmm")</f>
        <v>Jan</v>
      </c>
      <c r="N584" t="str">
        <f>TEXT(Pqp_supermarket_data[[#This Row],[DateTime]],"yyy")</f>
        <v>2023</v>
      </c>
    </row>
    <row r="585" spans="1:14" x14ac:dyDescent="0.35">
      <c r="A585" t="s">
        <v>1316</v>
      </c>
      <c r="B585" s="1">
        <v>45710.339620150466</v>
      </c>
      <c r="C585" t="s">
        <v>1317</v>
      </c>
      <c r="D585" t="s">
        <v>82</v>
      </c>
      <c r="E585" t="s">
        <v>111</v>
      </c>
      <c r="F585">
        <v>2.2000000000000002</v>
      </c>
      <c r="G585">
        <v>10</v>
      </c>
      <c r="H585" t="s">
        <v>14</v>
      </c>
      <c r="I585" t="s">
        <v>21</v>
      </c>
      <c r="J585" t="s">
        <v>382</v>
      </c>
      <c r="K585">
        <f>Pqp_supermarket_data[[#This Row],[Unit_Price]]*Pqp_supermarket_data[[#This Row],[Quantity]]</f>
        <v>22</v>
      </c>
      <c r="L585" t="str">
        <f>TEXT(Pqp_supermarket_data[[#This Row],[DateTime]],"ddd")</f>
        <v>Sat</v>
      </c>
      <c r="M585" t="str">
        <f>TEXT(Pqp_supermarket_data[[#This Row],[DateTime]],"mmm")</f>
        <v>Feb</v>
      </c>
      <c r="N585" t="str">
        <f>TEXT(Pqp_supermarket_data[[#This Row],[DateTime]],"yyy")</f>
        <v>2025</v>
      </c>
    </row>
    <row r="586" spans="1:14" x14ac:dyDescent="0.35">
      <c r="A586" t="s">
        <v>1318</v>
      </c>
      <c r="B586" s="1">
        <v>44366.058370150466</v>
      </c>
      <c r="C586" t="s">
        <v>1319</v>
      </c>
      <c r="D586" t="s">
        <v>82</v>
      </c>
      <c r="E586" t="s">
        <v>39</v>
      </c>
      <c r="F586">
        <v>3.2</v>
      </c>
      <c r="G586">
        <v>4</v>
      </c>
      <c r="H586" t="s">
        <v>14</v>
      </c>
      <c r="I586" t="s">
        <v>40</v>
      </c>
      <c r="J586" t="s">
        <v>314</v>
      </c>
      <c r="K586">
        <f>Pqp_supermarket_data[[#This Row],[Unit_Price]]*Pqp_supermarket_data[[#This Row],[Quantity]]</f>
        <v>12.8</v>
      </c>
      <c r="L586" t="str">
        <f>TEXT(Pqp_supermarket_data[[#This Row],[DateTime]],"ddd")</f>
        <v>Sat</v>
      </c>
      <c r="M586" t="str">
        <f>TEXT(Pqp_supermarket_data[[#This Row],[DateTime]],"mmm")</f>
        <v>Jun</v>
      </c>
      <c r="N586" t="str">
        <f>TEXT(Pqp_supermarket_data[[#This Row],[DateTime]],"yyy")</f>
        <v>2021</v>
      </c>
    </row>
    <row r="587" spans="1:14" x14ac:dyDescent="0.35">
      <c r="A587" t="s">
        <v>1320</v>
      </c>
      <c r="B587" s="1">
        <v>44813.186842384261</v>
      </c>
      <c r="C587" t="s">
        <v>1321</v>
      </c>
      <c r="D587" t="s">
        <v>44</v>
      </c>
      <c r="E587" t="s">
        <v>35</v>
      </c>
      <c r="F587">
        <v>1.2</v>
      </c>
      <c r="G587">
        <v>6</v>
      </c>
      <c r="H587" t="s">
        <v>14</v>
      </c>
      <c r="I587" t="s">
        <v>61</v>
      </c>
      <c r="J587" t="s">
        <v>245</v>
      </c>
      <c r="K587">
        <f>Pqp_supermarket_data[[#This Row],[Unit_Price]]*Pqp_supermarket_data[[#This Row],[Quantity]]</f>
        <v>7.1999999999999993</v>
      </c>
      <c r="L587" t="str">
        <f>TEXT(Pqp_supermarket_data[[#This Row],[DateTime]],"ddd")</f>
        <v>Fri</v>
      </c>
      <c r="M587" t="str">
        <f>TEXT(Pqp_supermarket_data[[#This Row],[DateTime]],"mmm")</f>
        <v>Sep</v>
      </c>
      <c r="N587" t="str">
        <f>TEXT(Pqp_supermarket_data[[#This Row],[DateTime]],"yyy")</f>
        <v>2022</v>
      </c>
    </row>
    <row r="588" spans="1:14" x14ac:dyDescent="0.35">
      <c r="A588" t="s">
        <v>1322</v>
      </c>
      <c r="B588" s="1">
        <v>45211.897259062498</v>
      </c>
      <c r="C588" t="s">
        <v>1323</v>
      </c>
      <c r="D588" t="s">
        <v>12</v>
      </c>
      <c r="E588" t="s">
        <v>148</v>
      </c>
      <c r="F588">
        <v>5.5</v>
      </c>
      <c r="G588">
        <v>4</v>
      </c>
      <c r="H588" t="s">
        <v>14</v>
      </c>
      <c r="I588" t="s">
        <v>15</v>
      </c>
      <c r="J588" t="s">
        <v>108</v>
      </c>
      <c r="K588">
        <f>Pqp_supermarket_data[[#This Row],[Unit_Price]]*Pqp_supermarket_data[[#This Row],[Quantity]]</f>
        <v>22</v>
      </c>
      <c r="L588" t="str">
        <f>TEXT(Pqp_supermarket_data[[#This Row],[DateTime]],"ddd")</f>
        <v>Thu</v>
      </c>
      <c r="M588" t="str">
        <f>TEXT(Pqp_supermarket_data[[#This Row],[DateTime]],"mmm")</f>
        <v>Oct</v>
      </c>
      <c r="N588" t="str">
        <f>TEXT(Pqp_supermarket_data[[#This Row],[DateTime]],"yyy")</f>
        <v>2023</v>
      </c>
    </row>
    <row r="589" spans="1:14" x14ac:dyDescent="0.35">
      <c r="A589" t="s">
        <v>1324</v>
      </c>
      <c r="B589" s="1">
        <v>44879.131286840275</v>
      </c>
      <c r="C589" t="s">
        <v>1325</v>
      </c>
      <c r="D589" t="s">
        <v>12</v>
      </c>
      <c r="E589" t="s">
        <v>145</v>
      </c>
      <c r="F589">
        <v>1.7</v>
      </c>
      <c r="G589">
        <v>10</v>
      </c>
      <c r="H589" t="s">
        <v>14</v>
      </c>
      <c r="I589" t="s">
        <v>36</v>
      </c>
      <c r="J589" t="s">
        <v>451</v>
      </c>
      <c r="K589">
        <f>Pqp_supermarket_data[[#This Row],[Unit_Price]]*Pqp_supermarket_data[[#This Row],[Quantity]]</f>
        <v>17</v>
      </c>
      <c r="L589" t="str">
        <f>TEXT(Pqp_supermarket_data[[#This Row],[DateTime]],"ddd")</f>
        <v>Mon</v>
      </c>
      <c r="M589" t="str">
        <f>TEXT(Pqp_supermarket_data[[#This Row],[DateTime]],"mmm")</f>
        <v>Nov</v>
      </c>
      <c r="N589" t="str">
        <f>TEXT(Pqp_supermarket_data[[#This Row],[DateTime]],"yyy")</f>
        <v>2022</v>
      </c>
    </row>
    <row r="590" spans="1:14" x14ac:dyDescent="0.35">
      <c r="A590" t="s">
        <v>1326</v>
      </c>
      <c r="B590" s="1">
        <v>45401.967397962966</v>
      </c>
      <c r="C590" t="s">
        <v>1327</v>
      </c>
      <c r="D590" t="s">
        <v>19</v>
      </c>
      <c r="E590" t="s">
        <v>145</v>
      </c>
      <c r="F590">
        <v>1.7</v>
      </c>
      <c r="G590">
        <v>8</v>
      </c>
      <c r="H590" t="s">
        <v>14</v>
      </c>
      <c r="I590" t="s">
        <v>21</v>
      </c>
      <c r="J590" t="s">
        <v>186</v>
      </c>
      <c r="K590">
        <f>Pqp_supermarket_data[[#This Row],[Unit_Price]]*Pqp_supermarket_data[[#This Row],[Quantity]]</f>
        <v>13.6</v>
      </c>
      <c r="L590" t="str">
        <f>TEXT(Pqp_supermarket_data[[#This Row],[DateTime]],"ddd")</f>
        <v>Fri</v>
      </c>
      <c r="M590" t="str">
        <f>TEXT(Pqp_supermarket_data[[#This Row],[DateTime]],"mmm")</f>
        <v>Apr</v>
      </c>
      <c r="N590" t="str">
        <f>TEXT(Pqp_supermarket_data[[#This Row],[DateTime]],"yyy")</f>
        <v>2024</v>
      </c>
    </row>
    <row r="591" spans="1:14" x14ac:dyDescent="0.35">
      <c r="A591" t="s">
        <v>1328</v>
      </c>
      <c r="B591" s="1">
        <v>45670.858370196758</v>
      </c>
      <c r="C591" t="s">
        <v>1329</v>
      </c>
      <c r="D591" t="s">
        <v>69</v>
      </c>
      <c r="E591" t="s">
        <v>65</v>
      </c>
      <c r="F591">
        <v>3</v>
      </c>
      <c r="G591">
        <v>5</v>
      </c>
      <c r="H591" t="s">
        <v>14</v>
      </c>
      <c r="I591" t="s">
        <v>36</v>
      </c>
      <c r="J591" t="s">
        <v>616</v>
      </c>
      <c r="K591">
        <f>Pqp_supermarket_data[[#This Row],[Unit_Price]]*Pqp_supermarket_data[[#This Row],[Quantity]]</f>
        <v>15</v>
      </c>
      <c r="L591" t="str">
        <f>TEXT(Pqp_supermarket_data[[#This Row],[DateTime]],"ddd")</f>
        <v>Mon</v>
      </c>
      <c r="M591" t="str">
        <f>TEXT(Pqp_supermarket_data[[#This Row],[DateTime]],"mmm")</f>
        <v>Jan</v>
      </c>
      <c r="N591" t="str">
        <f>TEXT(Pqp_supermarket_data[[#This Row],[DateTime]],"yyy")</f>
        <v>2025</v>
      </c>
    </row>
    <row r="592" spans="1:14" x14ac:dyDescent="0.35">
      <c r="A592" t="s">
        <v>1330</v>
      </c>
      <c r="B592" s="1">
        <v>44960.359064641205</v>
      </c>
      <c r="C592" t="s">
        <v>1331</v>
      </c>
      <c r="D592" t="s">
        <v>34</v>
      </c>
      <c r="E592" t="s">
        <v>90</v>
      </c>
      <c r="F592">
        <v>1.8</v>
      </c>
      <c r="G592">
        <v>10</v>
      </c>
      <c r="H592" t="s">
        <v>14</v>
      </c>
      <c r="I592" t="s">
        <v>40</v>
      </c>
      <c r="J592" t="s">
        <v>218</v>
      </c>
      <c r="K592">
        <f>Pqp_supermarket_data[[#This Row],[Unit_Price]]*Pqp_supermarket_data[[#This Row],[Quantity]]</f>
        <v>18</v>
      </c>
      <c r="L592" t="str">
        <f>TEXT(Pqp_supermarket_data[[#This Row],[DateTime]],"ddd")</f>
        <v>Fri</v>
      </c>
      <c r="M592" t="str">
        <f>TEXT(Pqp_supermarket_data[[#This Row],[DateTime]],"mmm")</f>
        <v>Feb</v>
      </c>
      <c r="N592" t="str">
        <f>TEXT(Pqp_supermarket_data[[#This Row],[DateTime]],"yyy")</f>
        <v>2023</v>
      </c>
    </row>
    <row r="593" spans="1:14" x14ac:dyDescent="0.35">
      <c r="A593" t="s">
        <v>1332</v>
      </c>
      <c r="B593" s="1">
        <v>45392.27295353009</v>
      </c>
      <c r="C593" t="s">
        <v>1333</v>
      </c>
      <c r="D593" t="s">
        <v>208</v>
      </c>
      <c r="E593" t="s">
        <v>26</v>
      </c>
      <c r="F593">
        <v>2.5</v>
      </c>
      <c r="G593">
        <v>1</v>
      </c>
      <c r="H593" t="s">
        <v>14</v>
      </c>
      <c r="I593" t="s">
        <v>86</v>
      </c>
      <c r="J593" t="s">
        <v>166</v>
      </c>
      <c r="K593">
        <f>Pqp_supermarket_data[[#This Row],[Unit_Price]]*Pqp_supermarket_data[[#This Row],[Quantity]]</f>
        <v>2.5</v>
      </c>
      <c r="L593" t="str">
        <f>TEXT(Pqp_supermarket_data[[#This Row],[DateTime]],"ddd")</f>
        <v>Wed</v>
      </c>
      <c r="M593" t="str">
        <f>TEXT(Pqp_supermarket_data[[#This Row],[DateTime]],"mmm")</f>
        <v>Apr</v>
      </c>
      <c r="N593" t="str">
        <f>TEXT(Pqp_supermarket_data[[#This Row],[DateTime]],"yyy")</f>
        <v>2024</v>
      </c>
    </row>
    <row r="594" spans="1:14" x14ac:dyDescent="0.35">
      <c r="A594" t="s">
        <v>1334</v>
      </c>
      <c r="B594" s="1">
        <v>45047.634759097222</v>
      </c>
      <c r="C594" t="s">
        <v>1335</v>
      </c>
      <c r="D594" t="s">
        <v>127</v>
      </c>
      <c r="E594" t="s">
        <v>53</v>
      </c>
      <c r="F594">
        <v>2.8</v>
      </c>
      <c r="G594">
        <v>8</v>
      </c>
      <c r="H594" t="s">
        <v>14</v>
      </c>
      <c r="I594" t="s">
        <v>21</v>
      </c>
      <c r="J594" t="s">
        <v>662</v>
      </c>
      <c r="K594">
        <f>Pqp_supermarket_data[[#This Row],[Unit_Price]]*Pqp_supermarket_data[[#This Row],[Quantity]]</f>
        <v>22.4</v>
      </c>
      <c r="L594" t="str">
        <f>TEXT(Pqp_supermarket_data[[#This Row],[DateTime]],"ddd")</f>
        <v>Mon</v>
      </c>
      <c r="M594" t="str">
        <f>TEXT(Pqp_supermarket_data[[#This Row],[DateTime]],"mmm")</f>
        <v>May</v>
      </c>
      <c r="N594" t="str">
        <f>TEXT(Pqp_supermarket_data[[#This Row],[DateTime]],"yyy")</f>
        <v>2023</v>
      </c>
    </row>
    <row r="595" spans="1:14" x14ac:dyDescent="0.35">
      <c r="A595" t="s">
        <v>1336</v>
      </c>
      <c r="B595" s="1">
        <v>44485.404897997687</v>
      </c>
      <c r="C595" t="s">
        <v>1337</v>
      </c>
      <c r="D595" t="s">
        <v>208</v>
      </c>
      <c r="E595" t="s">
        <v>26</v>
      </c>
      <c r="F595">
        <v>2.5</v>
      </c>
      <c r="G595">
        <v>6</v>
      </c>
      <c r="H595" t="s">
        <v>14</v>
      </c>
      <c r="I595" t="s">
        <v>86</v>
      </c>
      <c r="J595" t="s">
        <v>273</v>
      </c>
      <c r="K595">
        <f>Pqp_supermarket_data[[#This Row],[Unit_Price]]*Pqp_supermarket_data[[#This Row],[Quantity]]</f>
        <v>15</v>
      </c>
      <c r="L595" t="str">
        <f>TEXT(Pqp_supermarket_data[[#This Row],[DateTime]],"ddd")</f>
        <v>Sat</v>
      </c>
      <c r="M595" t="str">
        <f>TEXT(Pqp_supermarket_data[[#This Row],[DateTime]],"mmm")</f>
        <v>Oct</v>
      </c>
      <c r="N595" t="str">
        <f>TEXT(Pqp_supermarket_data[[#This Row],[DateTime]],"yyy")</f>
        <v>2021</v>
      </c>
    </row>
    <row r="596" spans="1:14" x14ac:dyDescent="0.35">
      <c r="A596" t="s">
        <v>1338</v>
      </c>
      <c r="B596" s="1">
        <v>44873.31323133102</v>
      </c>
      <c r="C596" t="s">
        <v>1339</v>
      </c>
      <c r="D596" t="s">
        <v>98</v>
      </c>
      <c r="E596" t="s">
        <v>119</v>
      </c>
      <c r="F596">
        <v>4</v>
      </c>
      <c r="G596">
        <v>9</v>
      </c>
      <c r="H596" t="s">
        <v>14</v>
      </c>
      <c r="I596" t="s">
        <v>61</v>
      </c>
      <c r="J596" t="s">
        <v>561</v>
      </c>
      <c r="K596">
        <f>Pqp_supermarket_data[[#This Row],[Unit_Price]]*Pqp_supermarket_data[[#This Row],[Quantity]]</f>
        <v>36</v>
      </c>
      <c r="L596" t="str">
        <f>TEXT(Pqp_supermarket_data[[#This Row],[DateTime]],"ddd")</f>
        <v>Tue</v>
      </c>
      <c r="M596" t="str">
        <f>TEXT(Pqp_supermarket_data[[#This Row],[DateTime]],"mmm")</f>
        <v>Nov</v>
      </c>
      <c r="N596" t="str">
        <f>TEXT(Pqp_supermarket_data[[#This Row],[DateTime]],"yyy")</f>
        <v>2022</v>
      </c>
    </row>
    <row r="597" spans="1:14" x14ac:dyDescent="0.35">
      <c r="A597" t="s">
        <v>1340</v>
      </c>
      <c r="B597" s="1">
        <v>45452.193786898148</v>
      </c>
      <c r="C597" t="s">
        <v>1341</v>
      </c>
      <c r="D597" t="s">
        <v>34</v>
      </c>
      <c r="E597" t="s">
        <v>65</v>
      </c>
      <c r="F597">
        <v>3</v>
      </c>
      <c r="G597">
        <v>5</v>
      </c>
      <c r="H597" t="s">
        <v>14</v>
      </c>
      <c r="I597" t="s">
        <v>40</v>
      </c>
      <c r="J597" t="s">
        <v>423</v>
      </c>
      <c r="K597">
        <f>Pqp_supermarket_data[[#This Row],[Unit_Price]]*Pqp_supermarket_data[[#This Row],[Quantity]]</f>
        <v>15</v>
      </c>
      <c r="L597" t="str">
        <f>TEXT(Pqp_supermarket_data[[#This Row],[DateTime]],"ddd")</f>
        <v>Sun</v>
      </c>
      <c r="M597" t="str">
        <f>TEXT(Pqp_supermarket_data[[#This Row],[DateTime]],"mmm")</f>
        <v>Jun</v>
      </c>
      <c r="N597" t="str">
        <f>TEXT(Pqp_supermarket_data[[#This Row],[DateTime]],"yyy")</f>
        <v>2024</v>
      </c>
    </row>
    <row r="598" spans="1:14" x14ac:dyDescent="0.35">
      <c r="A598" t="s">
        <v>1342</v>
      </c>
      <c r="B598" s="1">
        <v>45685.313925798611</v>
      </c>
      <c r="C598" t="s">
        <v>1343</v>
      </c>
      <c r="D598" t="s">
        <v>171</v>
      </c>
      <c r="E598" t="s">
        <v>78</v>
      </c>
      <c r="F598">
        <v>4</v>
      </c>
      <c r="G598">
        <v>4</v>
      </c>
      <c r="H598" t="s">
        <v>14</v>
      </c>
      <c r="I598" t="s">
        <v>36</v>
      </c>
      <c r="J598" t="s">
        <v>499</v>
      </c>
      <c r="K598">
        <f>Pqp_supermarket_data[[#This Row],[Unit_Price]]*Pqp_supermarket_data[[#This Row],[Quantity]]</f>
        <v>16</v>
      </c>
      <c r="L598" t="str">
        <f>TEXT(Pqp_supermarket_data[[#This Row],[DateTime]],"ddd")</f>
        <v>Tue</v>
      </c>
      <c r="M598" t="str">
        <f>TEXT(Pqp_supermarket_data[[#This Row],[DateTime]],"mmm")</f>
        <v>Jan</v>
      </c>
      <c r="N598" t="str">
        <f>TEXT(Pqp_supermarket_data[[#This Row],[DateTime]],"yyy")</f>
        <v>2025</v>
      </c>
    </row>
    <row r="599" spans="1:14" x14ac:dyDescent="0.35">
      <c r="A599" t="s">
        <v>1344</v>
      </c>
      <c r="B599" s="1">
        <v>44399.297953587964</v>
      </c>
      <c r="C599" t="s">
        <v>1345</v>
      </c>
      <c r="D599" t="s">
        <v>30</v>
      </c>
      <c r="E599" t="s">
        <v>145</v>
      </c>
      <c r="F599">
        <v>1.7</v>
      </c>
      <c r="G599">
        <v>9</v>
      </c>
      <c r="H599" t="s">
        <v>14</v>
      </c>
      <c r="I599" t="s">
        <v>40</v>
      </c>
      <c r="J599" t="s">
        <v>267</v>
      </c>
      <c r="K599">
        <f>Pqp_supermarket_data[[#This Row],[Unit_Price]]*Pqp_supermarket_data[[#This Row],[Quantity]]</f>
        <v>15.299999999999999</v>
      </c>
      <c r="L599" t="str">
        <f>TEXT(Pqp_supermarket_data[[#This Row],[DateTime]],"ddd")</f>
        <v>Thu</v>
      </c>
      <c r="M599" t="str">
        <f>TEXT(Pqp_supermarket_data[[#This Row],[DateTime]],"mmm")</f>
        <v>Jul</v>
      </c>
      <c r="N599" t="str">
        <f>TEXT(Pqp_supermarket_data[[#This Row],[DateTime]],"yyy")</f>
        <v>2021</v>
      </c>
    </row>
    <row r="600" spans="1:14" x14ac:dyDescent="0.35">
      <c r="A600" t="s">
        <v>1346</v>
      </c>
      <c r="B600" s="1">
        <v>44389.538925821762</v>
      </c>
      <c r="C600" t="s">
        <v>1347</v>
      </c>
      <c r="D600" t="s">
        <v>19</v>
      </c>
      <c r="E600" t="s">
        <v>111</v>
      </c>
      <c r="F600">
        <v>2.2000000000000002</v>
      </c>
      <c r="G600">
        <v>3</v>
      </c>
      <c r="H600" t="s">
        <v>14</v>
      </c>
      <c r="I600" t="s">
        <v>21</v>
      </c>
      <c r="J600" t="s">
        <v>99</v>
      </c>
      <c r="K600">
        <f>Pqp_supermarket_data[[#This Row],[Unit_Price]]*Pqp_supermarket_data[[#This Row],[Quantity]]</f>
        <v>6.6000000000000005</v>
      </c>
      <c r="L600" t="str">
        <f>TEXT(Pqp_supermarket_data[[#This Row],[DateTime]],"ddd")</f>
        <v>Mon</v>
      </c>
      <c r="M600" t="str">
        <f>TEXT(Pqp_supermarket_data[[#This Row],[DateTime]],"mmm")</f>
        <v>Jul</v>
      </c>
      <c r="N600" t="str">
        <f>TEXT(Pqp_supermarket_data[[#This Row],[DateTime]],"yyy")</f>
        <v>2021</v>
      </c>
    </row>
    <row r="601" spans="1:14" x14ac:dyDescent="0.35">
      <c r="A601" t="s">
        <v>1348</v>
      </c>
      <c r="B601" s="1">
        <v>45328.200036956019</v>
      </c>
      <c r="C601" t="s">
        <v>1349</v>
      </c>
      <c r="D601" t="s">
        <v>226</v>
      </c>
      <c r="E601" t="s">
        <v>57</v>
      </c>
      <c r="F601">
        <v>4.5</v>
      </c>
      <c r="G601">
        <v>5</v>
      </c>
      <c r="H601" t="s">
        <v>14</v>
      </c>
      <c r="I601" t="s">
        <v>86</v>
      </c>
      <c r="J601" t="s">
        <v>41</v>
      </c>
      <c r="K601">
        <f>Pqp_supermarket_data[[#This Row],[Unit_Price]]*Pqp_supermarket_data[[#This Row],[Quantity]]</f>
        <v>22.5</v>
      </c>
      <c r="L601" t="str">
        <f>TEXT(Pqp_supermarket_data[[#This Row],[DateTime]],"ddd")</f>
        <v>Tue</v>
      </c>
      <c r="M601" t="str">
        <f>TEXT(Pqp_supermarket_data[[#This Row],[DateTime]],"mmm")</f>
        <v>Feb</v>
      </c>
      <c r="N601" t="str">
        <f>TEXT(Pqp_supermarket_data[[#This Row],[DateTime]],"yyy")</f>
        <v>2024</v>
      </c>
    </row>
    <row r="602" spans="1:14" x14ac:dyDescent="0.35">
      <c r="A602" t="s">
        <v>1350</v>
      </c>
      <c r="B602" s="1">
        <v>45071.965314733796</v>
      </c>
      <c r="C602" t="s">
        <v>1351</v>
      </c>
      <c r="D602" t="s">
        <v>25</v>
      </c>
      <c r="E602" t="s">
        <v>70</v>
      </c>
      <c r="F602">
        <v>5</v>
      </c>
      <c r="G602">
        <v>5</v>
      </c>
      <c r="H602" t="s">
        <v>14</v>
      </c>
      <c r="I602" t="s">
        <v>36</v>
      </c>
      <c r="J602" t="s">
        <v>128</v>
      </c>
      <c r="K602">
        <f>Pqp_supermarket_data[[#This Row],[Unit_Price]]*Pqp_supermarket_data[[#This Row],[Quantity]]</f>
        <v>25</v>
      </c>
      <c r="L602" t="str">
        <f>TEXT(Pqp_supermarket_data[[#This Row],[DateTime]],"ddd")</f>
        <v>Thu</v>
      </c>
      <c r="M602" t="str">
        <f>TEXT(Pqp_supermarket_data[[#This Row],[DateTime]],"mmm")</f>
        <v>May</v>
      </c>
      <c r="N602" t="str">
        <f>TEXT(Pqp_supermarket_data[[#This Row],[DateTime]],"yyy")</f>
        <v>2023</v>
      </c>
    </row>
    <row r="603" spans="1:14" x14ac:dyDescent="0.35">
      <c r="A603" t="s">
        <v>1352</v>
      </c>
      <c r="B603" s="1">
        <v>44509.03406474537</v>
      </c>
      <c r="C603" t="s">
        <v>1353</v>
      </c>
      <c r="D603" t="s">
        <v>77</v>
      </c>
      <c r="E603" t="s">
        <v>35</v>
      </c>
      <c r="F603">
        <v>1.2</v>
      </c>
      <c r="G603">
        <v>9</v>
      </c>
      <c r="H603" t="s">
        <v>14</v>
      </c>
      <c r="I603" t="s">
        <v>36</v>
      </c>
      <c r="J603" t="s">
        <v>186</v>
      </c>
      <c r="K603">
        <f>Pqp_supermarket_data[[#This Row],[Unit_Price]]*Pqp_supermarket_data[[#This Row],[Quantity]]</f>
        <v>10.799999999999999</v>
      </c>
      <c r="L603" t="str">
        <f>TEXT(Pqp_supermarket_data[[#This Row],[DateTime]],"ddd")</f>
        <v>Tue</v>
      </c>
      <c r="M603" t="str">
        <f>TEXT(Pqp_supermarket_data[[#This Row],[DateTime]],"mmm")</f>
        <v>Nov</v>
      </c>
      <c r="N603" t="str">
        <f>TEXT(Pqp_supermarket_data[[#This Row],[DateTime]],"yyy")</f>
        <v>2021</v>
      </c>
    </row>
    <row r="604" spans="1:14" x14ac:dyDescent="0.35">
      <c r="A604" t="s">
        <v>1354</v>
      </c>
      <c r="B604" s="1">
        <v>44636.700036967595</v>
      </c>
      <c r="C604" t="s">
        <v>1355</v>
      </c>
      <c r="D604" t="s">
        <v>171</v>
      </c>
      <c r="E604" t="s">
        <v>57</v>
      </c>
      <c r="F604">
        <v>4.5</v>
      </c>
      <c r="G604">
        <v>5</v>
      </c>
      <c r="H604" t="s">
        <v>14</v>
      </c>
      <c r="I604" t="s">
        <v>36</v>
      </c>
      <c r="J604" t="s">
        <v>192</v>
      </c>
      <c r="K604">
        <f>Pqp_supermarket_data[[#This Row],[Unit_Price]]*Pqp_supermarket_data[[#This Row],[Quantity]]</f>
        <v>22.5</v>
      </c>
      <c r="L604" t="str">
        <f>TEXT(Pqp_supermarket_data[[#This Row],[DateTime]],"ddd")</f>
        <v>Wed</v>
      </c>
      <c r="M604" t="str">
        <f>TEXT(Pqp_supermarket_data[[#This Row],[DateTime]],"mmm")</f>
        <v>Mar</v>
      </c>
      <c r="N604" t="str">
        <f>TEXT(Pqp_supermarket_data[[#This Row],[DateTime]],"yyy")</f>
        <v>2022</v>
      </c>
    </row>
    <row r="605" spans="1:14" x14ac:dyDescent="0.35">
      <c r="A605" t="s">
        <v>1356</v>
      </c>
      <c r="B605" s="1">
        <v>44800.461842523146</v>
      </c>
      <c r="C605" t="s">
        <v>1357</v>
      </c>
      <c r="D605" t="s">
        <v>127</v>
      </c>
      <c r="E605" t="s">
        <v>39</v>
      </c>
      <c r="F605">
        <v>3.2</v>
      </c>
      <c r="G605">
        <v>5</v>
      </c>
      <c r="H605" t="s">
        <v>14</v>
      </c>
      <c r="I605" t="s">
        <v>61</v>
      </c>
      <c r="J605" t="s">
        <v>189</v>
      </c>
      <c r="K605">
        <f>Pqp_supermarket_data[[#This Row],[Unit_Price]]*Pqp_supermarket_data[[#This Row],[Quantity]]</f>
        <v>16</v>
      </c>
      <c r="L605" t="str">
        <f>TEXT(Pqp_supermarket_data[[#This Row],[DateTime]],"ddd")</f>
        <v>Sat</v>
      </c>
      <c r="M605" t="str">
        <f>TEXT(Pqp_supermarket_data[[#This Row],[DateTime]],"mmm")</f>
        <v>Aug</v>
      </c>
      <c r="N605" t="str">
        <f>TEXT(Pqp_supermarket_data[[#This Row],[DateTime]],"yyy")</f>
        <v>2022</v>
      </c>
    </row>
    <row r="606" spans="1:14" x14ac:dyDescent="0.35">
      <c r="A606" t="s">
        <v>1358</v>
      </c>
      <c r="B606" s="1">
        <v>44329.713231412039</v>
      </c>
      <c r="C606" t="s">
        <v>1359</v>
      </c>
      <c r="D606" t="s">
        <v>25</v>
      </c>
      <c r="E606" t="s">
        <v>111</v>
      </c>
      <c r="F606">
        <v>2.2000000000000002</v>
      </c>
      <c r="G606">
        <v>9</v>
      </c>
      <c r="H606" t="s">
        <v>14</v>
      </c>
      <c r="I606" t="s">
        <v>15</v>
      </c>
      <c r="J606" t="s">
        <v>387</v>
      </c>
      <c r="K606">
        <f>Pqp_supermarket_data[[#This Row],[Unit_Price]]*Pqp_supermarket_data[[#This Row],[Quantity]]</f>
        <v>19.8</v>
      </c>
      <c r="L606" t="str">
        <f>TEXT(Pqp_supermarket_data[[#This Row],[DateTime]],"ddd")</f>
        <v>Thu</v>
      </c>
      <c r="M606" t="str">
        <f>TEXT(Pqp_supermarket_data[[#This Row],[DateTime]],"mmm")</f>
        <v>May</v>
      </c>
      <c r="N606" t="str">
        <f>TEXT(Pqp_supermarket_data[[#This Row],[DateTime]],"yyy")</f>
        <v>2021</v>
      </c>
    </row>
    <row r="607" spans="1:14" x14ac:dyDescent="0.35">
      <c r="A607" t="s">
        <v>1360</v>
      </c>
      <c r="B607" s="1">
        <v>44558.03059253472</v>
      </c>
      <c r="C607" t="s">
        <v>1361</v>
      </c>
      <c r="D607" t="s">
        <v>44</v>
      </c>
      <c r="E607" t="s">
        <v>111</v>
      </c>
      <c r="F607">
        <v>2.2000000000000002</v>
      </c>
      <c r="G607">
        <v>1</v>
      </c>
      <c r="H607" t="s">
        <v>14</v>
      </c>
      <c r="I607" t="s">
        <v>36</v>
      </c>
      <c r="J607" t="s">
        <v>336</v>
      </c>
      <c r="K607">
        <f>Pqp_supermarket_data[[#This Row],[Unit_Price]]*Pqp_supermarket_data[[#This Row],[Quantity]]</f>
        <v>2.2000000000000002</v>
      </c>
      <c r="L607" t="str">
        <f>TEXT(Pqp_supermarket_data[[#This Row],[DateTime]],"ddd")</f>
        <v>Tue</v>
      </c>
      <c r="M607" t="str">
        <f>TEXT(Pqp_supermarket_data[[#This Row],[DateTime]],"mmm")</f>
        <v>Dec</v>
      </c>
      <c r="N607" t="str">
        <f>TEXT(Pqp_supermarket_data[[#This Row],[DateTime]],"yyy")</f>
        <v>2021</v>
      </c>
    </row>
    <row r="608" spans="1:14" x14ac:dyDescent="0.35">
      <c r="A608" t="s">
        <v>1362</v>
      </c>
      <c r="B608" s="1">
        <v>45181.186148090281</v>
      </c>
      <c r="C608" t="s">
        <v>1363</v>
      </c>
      <c r="D608" t="s">
        <v>82</v>
      </c>
      <c r="E608" t="s">
        <v>49</v>
      </c>
      <c r="F608">
        <v>7</v>
      </c>
      <c r="G608">
        <v>7</v>
      </c>
      <c r="H608" t="s">
        <v>14</v>
      </c>
      <c r="I608" t="s">
        <v>36</v>
      </c>
      <c r="J608" t="s">
        <v>74</v>
      </c>
      <c r="K608">
        <f>Pqp_supermarket_data[[#This Row],[Unit_Price]]*Pqp_supermarket_data[[#This Row],[Quantity]]</f>
        <v>49</v>
      </c>
      <c r="L608" t="str">
        <f>TEXT(Pqp_supermarket_data[[#This Row],[DateTime]],"ddd")</f>
        <v>Tue</v>
      </c>
      <c r="M608" t="str">
        <f>TEXT(Pqp_supermarket_data[[#This Row],[DateTime]],"mmm")</f>
        <v>Sep</v>
      </c>
      <c r="N608" t="str">
        <f>TEXT(Pqp_supermarket_data[[#This Row],[DateTime]],"yyy")</f>
        <v>2023</v>
      </c>
    </row>
    <row r="609" spans="1:14" x14ac:dyDescent="0.35">
      <c r="A609" t="s">
        <v>1364</v>
      </c>
      <c r="B609" s="1">
        <v>44591.618092534722</v>
      </c>
      <c r="C609" t="s">
        <v>1365</v>
      </c>
      <c r="D609" t="s">
        <v>34</v>
      </c>
      <c r="E609" t="s">
        <v>78</v>
      </c>
      <c r="F609">
        <v>4</v>
      </c>
      <c r="G609">
        <v>6</v>
      </c>
      <c r="H609" t="s">
        <v>14</v>
      </c>
      <c r="I609" t="s">
        <v>36</v>
      </c>
      <c r="J609" t="s">
        <v>541</v>
      </c>
      <c r="K609">
        <f>Pqp_supermarket_data[[#This Row],[Unit_Price]]*Pqp_supermarket_data[[#This Row],[Quantity]]</f>
        <v>24</v>
      </c>
      <c r="L609" t="str">
        <f>TEXT(Pqp_supermarket_data[[#This Row],[DateTime]],"ddd")</f>
        <v>Sun</v>
      </c>
      <c r="M609" t="str">
        <f>TEXT(Pqp_supermarket_data[[#This Row],[DateTime]],"mmm")</f>
        <v>Jan</v>
      </c>
      <c r="N609" t="str">
        <f>TEXT(Pqp_supermarket_data[[#This Row],[DateTime]],"yyy")</f>
        <v>2022</v>
      </c>
    </row>
    <row r="610" spans="1:14" x14ac:dyDescent="0.35">
      <c r="A610" t="s">
        <v>1366</v>
      </c>
      <c r="B610" s="1">
        <v>45330.661148090279</v>
      </c>
      <c r="C610" t="s">
        <v>1367</v>
      </c>
      <c r="D610" t="s">
        <v>30</v>
      </c>
      <c r="E610" t="s">
        <v>115</v>
      </c>
      <c r="F610">
        <v>1.5</v>
      </c>
      <c r="G610">
        <v>6</v>
      </c>
      <c r="H610" t="s">
        <v>14</v>
      </c>
      <c r="I610" t="s">
        <v>21</v>
      </c>
      <c r="J610" t="s">
        <v>108</v>
      </c>
      <c r="K610">
        <f>Pqp_supermarket_data[[#This Row],[Unit_Price]]*Pqp_supermarket_data[[#This Row],[Quantity]]</f>
        <v>9</v>
      </c>
      <c r="L610" t="str">
        <f>TEXT(Pqp_supermarket_data[[#This Row],[DateTime]],"ddd")</f>
        <v>Thu</v>
      </c>
      <c r="M610" t="str">
        <f>TEXT(Pqp_supermarket_data[[#This Row],[DateTime]],"mmm")</f>
        <v>Feb</v>
      </c>
      <c r="N610" t="str">
        <f>TEXT(Pqp_supermarket_data[[#This Row],[DateTime]],"yyy")</f>
        <v>2024</v>
      </c>
    </row>
    <row r="611" spans="1:14" x14ac:dyDescent="0.35">
      <c r="A611" t="s">
        <v>1368</v>
      </c>
      <c r="B611" s="1">
        <v>45437.645870324071</v>
      </c>
      <c r="C611" t="s">
        <v>1369</v>
      </c>
      <c r="D611" t="s">
        <v>85</v>
      </c>
      <c r="E611" t="s">
        <v>94</v>
      </c>
      <c r="F611">
        <v>0.8</v>
      </c>
      <c r="G611">
        <v>5</v>
      </c>
      <c r="H611" t="s">
        <v>14</v>
      </c>
      <c r="I611" t="s">
        <v>40</v>
      </c>
      <c r="J611" t="s">
        <v>122</v>
      </c>
      <c r="K611">
        <f>Pqp_supermarket_data[[#This Row],[Unit_Price]]*Pqp_supermarket_data[[#This Row],[Quantity]]</f>
        <v>4</v>
      </c>
      <c r="L611" t="str">
        <f>TEXT(Pqp_supermarket_data[[#This Row],[DateTime]],"ddd")</f>
        <v>Sat</v>
      </c>
      <c r="M611" t="str">
        <f>TEXT(Pqp_supermarket_data[[#This Row],[DateTime]],"mmm")</f>
        <v>May</v>
      </c>
      <c r="N611" t="str">
        <f>TEXT(Pqp_supermarket_data[[#This Row],[DateTime]],"yyy")</f>
        <v>2024</v>
      </c>
    </row>
    <row r="612" spans="1:14" x14ac:dyDescent="0.35">
      <c r="A612" t="s">
        <v>1370</v>
      </c>
      <c r="B612" s="1">
        <v>45523.590314768517</v>
      </c>
      <c r="C612" t="s">
        <v>1371</v>
      </c>
      <c r="D612" t="s">
        <v>12</v>
      </c>
      <c r="E612" t="s">
        <v>20</v>
      </c>
      <c r="F612">
        <v>1</v>
      </c>
      <c r="G612">
        <v>3</v>
      </c>
      <c r="H612" t="s">
        <v>14</v>
      </c>
      <c r="I612" t="s">
        <v>36</v>
      </c>
      <c r="J612" t="s">
        <v>517</v>
      </c>
      <c r="K612">
        <f>Pqp_supermarket_data[[#This Row],[Unit_Price]]*Pqp_supermarket_data[[#This Row],[Quantity]]</f>
        <v>3</v>
      </c>
      <c r="L612" t="str">
        <f>TEXT(Pqp_supermarket_data[[#This Row],[DateTime]],"ddd")</f>
        <v>Mon</v>
      </c>
      <c r="M612" t="str">
        <f>TEXT(Pqp_supermarket_data[[#This Row],[DateTime]],"mmm")</f>
        <v>Aug</v>
      </c>
      <c r="N612" t="str">
        <f>TEXT(Pqp_supermarket_data[[#This Row],[DateTime]],"yyy")</f>
        <v>2024</v>
      </c>
    </row>
    <row r="613" spans="1:14" x14ac:dyDescent="0.35">
      <c r="A613" t="s">
        <v>1372</v>
      </c>
      <c r="B613" s="1">
        <v>44446.46670365741</v>
      </c>
      <c r="C613" t="s">
        <v>1373</v>
      </c>
      <c r="D613" t="s">
        <v>44</v>
      </c>
      <c r="E613" t="s">
        <v>26</v>
      </c>
      <c r="F613">
        <v>2.5</v>
      </c>
      <c r="G613">
        <v>5</v>
      </c>
      <c r="H613" t="s">
        <v>14</v>
      </c>
      <c r="I613" t="s">
        <v>86</v>
      </c>
      <c r="J613" t="s">
        <v>517</v>
      </c>
      <c r="K613">
        <f>Pqp_supermarket_data[[#This Row],[Unit_Price]]*Pqp_supermarket_data[[#This Row],[Quantity]]</f>
        <v>12.5</v>
      </c>
      <c r="L613" t="str">
        <f>TEXT(Pqp_supermarket_data[[#This Row],[DateTime]],"ddd")</f>
        <v>Tue</v>
      </c>
      <c r="M613" t="str">
        <f>TEXT(Pqp_supermarket_data[[#This Row],[DateTime]],"mmm")</f>
        <v>Sep</v>
      </c>
      <c r="N613" t="str">
        <f>TEXT(Pqp_supermarket_data[[#This Row],[DateTime]],"yyy")</f>
        <v>2021</v>
      </c>
    </row>
    <row r="614" spans="1:14" x14ac:dyDescent="0.35">
      <c r="A614" t="s">
        <v>1374</v>
      </c>
      <c r="B614" s="1">
        <v>45025.200731446763</v>
      </c>
      <c r="C614" t="s">
        <v>1375</v>
      </c>
      <c r="D614" t="s">
        <v>127</v>
      </c>
      <c r="E614" t="s">
        <v>70</v>
      </c>
      <c r="F614">
        <v>5</v>
      </c>
      <c r="G614">
        <v>2</v>
      </c>
      <c r="H614" t="s">
        <v>14</v>
      </c>
      <c r="I614" t="s">
        <v>86</v>
      </c>
      <c r="J614" t="s">
        <v>166</v>
      </c>
      <c r="K614">
        <f>Pqp_supermarket_data[[#This Row],[Unit_Price]]*Pqp_supermarket_data[[#This Row],[Quantity]]</f>
        <v>10</v>
      </c>
      <c r="L614" t="str">
        <f>TEXT(Pqp_supermarket_data[[#This Row],[DateTime]],"ddd")</f>
        <v>Sun</v>
      </c>
      <c r="M614" t="str">
        <f>TEXT(Pqp_supermarket_data[[#This Row],[DateTime]],"mmm")</f>
        <v>Apr</v>
      </c>
      <c r="N614" t="str">
        <f>TEXT(Pqp_supermarket_data[[#This Row],[DateTime]],"yyy")</f>
        <v>2023</v>
      </c>
    </row>
    <row r="615" spans="1:14" x14ac:dyDescent="0.35">
      <c r="A615" t="s">
        <v>1376</v>
      </c>
      <c r="B615" s="1">
        <v>44486.784064780091</v>
      </c>
      <c r="C615" t="s">
        <v>1377</v>
      </c>
      <c r="D615" t="s">
        <v>171</v>
      </c>
      <c r="E615" t="s">
        <v>65</v>
      </c>
      <c r="F615">
        <v>3</v>
      </c>
      <c r="G615">
        <v>8</v>
      </c>
      <c r="H615" t="s">
        <v>14</v>
      </c>
      <c r="I615" t="s">
        <v>15</v>
      </c>
      <c r="J615" t="s">
        <v>616</v>
      </c>
      <c r="K615">
        <f>Pqp_supermarket_data[[#This Row],[Unit_Price]]*Pqp_supermarket_data[[#This Row],[Quantity]]</f>
        <v>24</v>
      </c>
      <c r="L615" t="str">
        <f>TEXT(Pqp_supermarket_data[[#This Row],[DateTime]],"ddd")</f>
        <v>Sun</v>
      </c>
      <c r="M615" t="str">
        <f>TEXT(Pqp_supermarket_data[[#This Row],[DateTime]],"mmm")</f>
        <v>Oct</v>
      </c>
      <c r="N615" t="str">
        <f>TEXT(Pqp_supermarket_data[[#This Row],[DateTime]],"yyy")</f>
        <v>2021</v>
      </c>
    </row>
    <row r="616" spans="1:14" x14ac:dyDescent="0.35">
      <c r="A616" t="s">
        <v>1378</v>
      </c>
      <c r="B616" s="1">
        <v>45540.668092557869</v>
      </c>
      <c r="C616" t="s">
        <v>1379</v>
      </c>
      <c r="D616" t="s">
        <v>85</v>
      </c>
      <c r="E616" t="s">
        <v>57</v>
      </c>
      <c r="F616">
        <v>4.5</v>
      </c>
      <c r="G616">
        <v>7</v>
      </c>
      <c r="H616" t="s">
        <v>14</v>
      </c>
      <c r="I616" t="s">
        <v>40</v>
      </c>
      <c r="J616" t="s">
        <v>744</v>
      </c>
      <c r="K616">
        <f>Pqp_supermarket_data[[#This Row],[Unit_Price]]*Pqp_supermarket_data[[#This Row],[Quantity]]</f>
        <v>31.5</v>
      </c>
      <c r="L616" t="str">
        <f>TEXT(Pqp_supermarket_data[[#This Row],[DateTime]],"ddd")</f>
        <v>Thu</v>
      </c>
      <c r="M616" t="str">
        <f>TEXT(Pqp_supermarket_data[[#This Row],[DateTime]],"mmm")</f>
        <v>Sep</v>
      </c>
      <c r="N616" t="str">
        <f>TEXT(Pqp_supermarket_data[[#This Row],[DateTime]],"yyy")</f>
        <v>2024</v>
      </c>
    </row>
    <row r="617" spans="1:14" x14ac:dyDescent="0.35">
      <c r="A617" t="s">
        <v>1380</v>
      </c>
      <c r="B617" s="1">
        <v>45505.295175891202</v>
      </c>
      <c r="C617" t="s">
        <v>1381</v>
      </c>
      <c r="D617" t="s">
        <v>82</v>
      </c>
      <c r="E617" t="s">
        <v>119</v>
      </c>
      <c r="F617">
        <v>4</v>
      </c>
      <c r="G617">
        <v>8</v>
      </c>
      <c r="H617" t="s">
        <v>14</v>
      </c>
      <c r="I617" t="s">
        <v>15</v>
      </c>
      <c r="J617" t="s">
        <v>79</v>
      </c>
      <c r="K617">
        <f>Pqp_supermarket_data[[#This Row],[Unit_Price]]*Pqp_supermarket_data[[#This Row],[Quantity]]</f>
        <v>32</v>
      </c>
      <c r="L617" t="str">
        <f>TEXT(Pqp_supermarket_data[[#This Row],[DateTime]],"ddd")</f>
        <v>Thu</v>
      </c>
      <c r="M617" t="str">
        <f>TEXT(Pqp_supermarket_data[[#This Row],[DateTime]],"mmm")</f>
        <v>Aug</v>
      </c>
      <c r="N617" t="str">
        <f>TEXT(Pqp_supermarket_data[[#This Row],[DateTime]],"yyy")</f>
        <v>2024</v>
      </c>
    </row>
    <row r="618" spans="1:14" x14ac:dyDescent="0.35">
      <c r="A618" t="s">
        <v>1382</v>
      </c>
      <c r="B618" s="1">
        <v>45417.454898124997</v>
      </c>
      <c r="C618" t="s">
        <v>1383</v>
      </c>
      <c r="D618" t="s">
        <v>44</v>
      </c>
      <c r="E618" t="s">
        <v>94</v>
      </c>
      <c r="F618">
        <v>0.8</v>
      </c>
      <c r="G618">
        <v>6</v>
      </c>
      <c r="H618" t="s">
        <v>14</v>
      </c>
      <c r="I618" t="s">
        <v>36</v>
      </c>
      <c r="J618" t="s">
        <v>387</v>
      </c>
      <c r="K618">
        <f>Pqp_supermarket_data[[#This Row],[Unit_Price]]*Pqp_supermarket_data[[#This Row],[Quantity]]</f>
        <v>4.8000000000000007</v>
      </c>
      <c r="L618" t="str">
        <f>TEXT(Pqp_supermarket_data[[#This Row],[DateTime]],"ddd")</f>
        <v>Sun</v>
      </c>
      <c r="M618" t="str">
        <f>TEXT(Pqp_supermarket_data[[#This Row],[DateTime]],"mmm")</f>
        <v>May</v>
      </c>
      <c r="N618" t="str">
        <f>TEXT(Pqp_supermarket_data[[#This Row],[DateTime]],"yyy")</f>
        <v>2024</v>
      </c>
    </row>
    <row r="619" spans="1:14" x14ac:dyDescent="0.35">
      <c r="A619" t="s">
        <v>1384</v>
      </c>
      <c r="B619" s="1">
        <v>45776.964620358798</v>
      </c>
      <c r="C619" t="s">
        <v>1385</v>
      </c>
      <c r="D619" t="s">
        <v>25</v>
      </c>
      <c r="E619" t="s">
        <v>94</v>
      </c>
      <c r="F619">
        <v>0.8</v>
      </c>
      <c r="G619">
        <v>10</v>
      </c>
      <c r="H619" t="s">
        <v>14</v>
      </c>
      <c r="I619" t="s">
        <v>15</v>
      </c>
      <c r="J619" t="s">
        <v>723</v>
      </c>
      <c r="K619">
        <f>Pqp_supermarket_data[[#This Row],[Unit_Price]]*Pqp_supermarket_data[[#This Row],[Quantity]]</f>
        <v>8</v>
      </c>
      <c r="L619" t="str">
        <f>TEXT(Pqp_supermarket_data[[#This Row],[DateTime]],"ddd")</f>
        <v>Tue</v>
      </c>
      <c r="M619" t="str">
        <f>TEXT(Pqp_supermarket_data[[#This Row],[DateTime]],"mmm")</f>
        <v>Apr</v>
      </c>
      <c r="N619" t="str">
        <f>TEXT(Pqp_supermarket_data[[#This Row],[DateTime]],"yyy")</f>
        <v>2025</v>
      </c>
    </row>
    <row r="620" spans="1:14" x14ac:dyDescent="0.35">
      <c r="A620" t="s">
        <v>1386</v>
      </c>
      <c r="B620" s="1">
        <v>45606.366009247686</v>
      </c>
      <c r="C620" t="s">
        <v>1387</v>
      </c>
      <c r="D620" t="s">
        <v>82</v>
      </c>
      <c r="E620" t="s">
        <v>145</v>
      </c>
      <c r="F620">
        <v>1.7</v>
      </c>
      <c r="G620">
        <v>7</v>
      </c>
      <c r="H620" t="s">
        <v>14</v>
      </c>
      <c r="I620" t="s">
        <v>86</v>
      </c>
      <c r="J620" t="s">
        <v>470</v>
      </c>
      <c r="K620">
        <f>Pqp_supermarket_data[[#This Row],[Unit_Price]]*Pqp_supermarket_data[[#This Row],[Quantity]]</f>
        <v>11.9</v>
      </c>
      <c r="L620" t="str">
        <f>TEXT(Pqp_supermarket_data[[#This Row],[DateTime]],"ddd")</f>
        <v>Sun</v>
      </c>
      <c r="M620" t="str">
        <f>TEXT(Pqp_supermarket_data[[#This Row],[DateTime]],"mmm")</f>
        <v>Nov</v>
      </c>
      <c r="N620" t="str">
        <f>TEXT(Pqp_supermarket_data[[#This Row],[DateTime]],"yyy")</f>
        <v>2024</v>
      </c>
    </row>
    <row r="621" spans="1:14" x14ac:dyDescent="0.35">
      <c r="A621" t="s">
        <v>1388</v>
      </c>
      <c r="B621" s="1">
        <v>45001.558370358798</v>
      </c>
      <c r="C621" t="s">
        <v>1389</v>
      </c>
      <c r="D621" t="s">
        <v>85</v>
      </c>
      <c r="E621" t="s">
        <v>78</v>
      </c>
      <c r="F621">
        <v>4</v>
      </c>
      <c r="G621">
        <v>6</v>
      </c>
      <c r="H621" t="s">
        <v>14</v>
      </c>
      <c r="I621" t="s">
        <v>40</v>
      </c>
      <c r="J621" t="s">
        <v>394</v>
      </c>
      <c r="K621">
        <f>Pqp_supermarket_data[[#This Row],[Unit_Price]]*Pqp_supermarket_data[[#This Row],[Quantity]]</f>
        <v>24</v>
      </c>
      <c r="L621" t="str">
        <f>TEXT(Pqp_supermarket_data[[#This Row],[DateTime]],"ddd")</f>
        <v>Thu</v>
      </c>
      <c r="M621" t="str">
        <f>TEXT(Pqp_supermarket_data[[#This Row],[DateTime]],"mmm")</f>
        <v>Mar</v>
      </c>
      <c r="N621" t="str">
        <f>TEXT(Pqp_supermarket_data[[#This Row],[DateTime]],"yyy")</f>
        <v>2023</v>
      </c>
    </row>
    <row r="622" spans="1:14" x14ac:dyDescent="0.35">
      <c r="A622" t="s">
        <v>1390</v>
      </c>
      <c r="B622" s="1">
        <v>44699.309064803238</v>
      </c>
      <c r="C622" t="s">
        <v>1391</v>
      </c>
      <c r="D622" t="s">
        <v>30</v>
      </c>
      <c r="E622" t="s">
        <v>35</v>
      </c>
      <c r="F622">
        <v>1.2</v>
      </c>
      <c r="G622">
        <v>4</v>
      </c>
      <c r="H622" t="s">
        <v>14</v>
      </c>
      <c r="I622" t="s">
        <v>15</v>
      </c>
      <c r="J622" t="s">
        <v>320</v>
      </c>
      <c r="K622">
        <f>Pqp_supermarket_data[[#This Row],[Unit_Price]]*Pqp_supermarket_data[[#This Row],[Quantity]]</f>
        <v>4.8</v>
      </c>
      <c r="L622" t="str">
        <f>TEXT(Pqp_supermarket_data[[#This Row],[DateTime]],"ddd")</f>
        <v>Wed</v>
      </c>
      <c r="M622" t="str">
        <f>TEXT(Pqp_supermarket_data[[#This Row],[DateTime]],"mmm")</f>
        <v>May</v>
      </c>
      <c r="N622" t="str">
        <f>TEXT(Pqp_supermarket_data[[#This Row],[DateTime]],"yyy")</f>
        <v>2022</v>
      </c>
    </row>
    <row r="623" spans="1:14" x14ac:dyDescent="0.35">
      <c r="A623" t="s">
        <v>1392</v>
      </c>
      <c r="B623" s="1">
        <v>45081.179203715277</v>
      </c>
      <c r="C623" t="s">
        <v>1393</v>
      </c>
      <c r="D623" t="s">
        <v>77</v>
      </c>
      <c r="E623" t="s">
        <v>49</v>
      </c>
      <c r="F623">
        <v>7</v>
      </c>
      <c r="G623">
        <v>9</v>
      </c>
      <c r="H623" t="s">
        <v>14</v>
      </c>
      <c r="I623" t="s">
        <v>21</v>
      </c>
      <c r="J623" t="s">
        <v>245</v>
      </c>
      <c r="K623">
        <f>Pqp_supermarket_data[[#This Row],[Unit_Price]]*Pqp_supermarket_data[[#This Row],[Quantity]]</f>
        <v>63</v>
      </c>
      <c r="L623" t="str">
        <f>TEXT(Pqp_supermarket_data[[#This Row],[DateTime]],"ddd")</f>
        <v>Sun</v>
      </c>
      <c r="M623" t="str">
        <f>TEXT(Pqp_supermarket_data[[#This Row],[DateTime]],"mmm")</f>
        <v>Jun</v>
      </c>
      <c r="N623" t="str">
        <f>TEXT(Pqp_supermarket_data[[#This Row],[DateTime]],"yyy")</f>
        <v>2023</v>
      </c>
    </row>
    <row r="624" spans="1:14" x14ac:dyDescent="0.35">
      <c r="A624" t="s">
        <v>1394</v>
      </c>
      <c r="B624" s="1">
        <v>45444.440314826388</v>
      </c>
      <c r="C624" t="s">
        <v>1395</v>
      </c>
      <c r="D624" t="s">
        <v>208</v>
      </c>
      <c r="E624" t="s">
        <v>57</v>
      </c>
      <c r="F624">
        <v>4.5</v>
      </c>
      <c r="G624">
        <v>5</v>
      </c>
      <c r="H624" t="s">
        <v>14</v>
      </c>
      <c r="I624" t="s">
        <v>86</v>
      </c>
      <c r="J624" t="s">
        <v>46</v>
      </c>
      <c r="K624">
        <f>Pqp_supermarket_data[[#This Row],[Unit_Price]]*Pqp_supermarket_data[[#This Row],[Quantity]]</f>
        <v>22.5</v>
      </c>
      <c r="L624" t="str">
        <f>TEXT(Pqp_supermarket_data[[#This Row],[DateTime]],"ddd")</f>
        <v>Sat</v>
      </c>
      <c r="M624" t="str">
        <f>TEXT(Pqp_supermarket_data[[#This Row],[DateTime]],"mmm")</f>
        <v>Jun</v>
      </c>
      <c r="N624" t="str">
        <f>TEXT(Pqp_supermarket_data[[#This Row],[DateTime]],"yyy")</f>
        <v>2024</v>
      </c>
    </row>
    <row r="625" spans="1:14" x14ac:dyDescent="0.35">
      <c r="A625" t="s">
        <v>1396</v>
      </c>
      <c r="B625" s="1">
        <v>44720.745175937504</v>
      </c>
      <c r="C625" t="s">
        <v>1397</v>
      </c>
      <c r="D625" t="s">
        <v>44</v>
      </c>
      <c r="E625" t="s">
        <v>145</v>
      </c>
      <c r="F625">
        <v>1.7</v>
      </c>
      <c r="G625">
        <v>3</v>
      </c>
      <c r="H625" t="s">
        <v>14</v>
      </c>
      <c r="I625" t="s">
        <v>61</v>
      </c>
      <c r="J625" t="s">
        <v>723</v>
      </c>
      <c r="K625">
        <f>Pqp_supermarket_data[[#This Row],[Unit_Price]]*Pqp_supermarket_data[[#This Row],[Quantity]]</f>
        <v>5.0999999999999996</v>
      </c>
      <c r="L625" t="str">
        <f>TEXT(Pqp_supermarket_data[[#This Row],[DateTime]],"ddd")</f>
        <v>Wed</v>
      </c>
      <c r="M625" t="str">
        <f>TEXT(Pqp_supermarket_data[[#This Row],[DateTime]],"mmm")</f>
        <v>Jun</v>
      </c>
      <c r="N625" t="str">
        <f>TEXT(Pqp_supermarket_data[[#This Row],[DateTime]],"yyy")</f>
        <v>2022</v>
      </c>
    </row>
    <row r="626" spans="1:14" x14ac:dyDescent="0.35">
      <c r="A626" t="s">
        <v>1398</v>
      </c>
      <c r="B626" s="1">
        <v>45051.302814826391</v>
      </c>
      <c r="C626" t="s">
        <v>1399</v>
      </c>
      <c r="D626" t="s">
        <v>19</v>
      </c>
      <c r="E626" t="s">
        <v>49</v>
      </c>
      <c r="F626">
        <v>7</v>
      </c>
      <c r="G626">
        <v>1</v>
      </c>
      <c r="H626" t="s">
        <v>14</v>
      </c>
      <c r="I626" t="s">
        <v>15</v>
      </c>
      <c r="J626" t="s">
        <v>499</v>
      </c>
      <c r="K626">
        <f>Pqp_supermarket_data[[#This Row],[Unit_Price]]*Pqp_supermarket_data[[#This Row],[Quantity]]</f>
        <v>7</v>
      </c>
      <c r="L626" t="str">
        <f>TEXT(Pqp_supermarket_data[[#This Row],[DateTime]],"ddd")</f>
        <v>Fri</v>
      </c>
      <c r="M626" t="str">
        <f>TEXT(Pqp_supermarket_data[[#This Row],[DateTime]],"mmm")</f>
        <v>May</v>
      </c>
      <c r="N626" t="str">
        <f>TEXT(Pqp_supermarket_data[[#This Row],[DateTime]],"yyy")</f>
        <v>2023</v>
      </c>
    </row>
    <row r="627" spans="1:14" x14ac:dyDescent="0.35">
      <c r="A627" t="s">
        <v>1400</v>
      </c>
      <c r="B627" s="1">
        <v>45518.277814837966</v>
      </c>
      <c r="C627" t="s">
        <v>1401</v>
      </c>
      <c r="D627" t="s">
        <v>208</v>
      </c>
      <c r="E627" t="s">
        <v>119</v>
      </c>
      <c r="F627">
        <v>4</v>
      </c>
      <c r="G627">
        <v>9</v>
      </c>
      <c r="H627" t="s">
        <v>14</v>
      </c>
      <c r="I627" t="s">
        <v>15</v>
      </c>
      <c r="J627" t="s">
        <v>172</v>
      </c>
      <c r="K627">
        <f>Pqp_supermarket_data[[#This Row],[Unit_Price]]*Pqp_supermarket_data[[#This Row],[Quantity]]</f>
        <v>36</v>
      </c>
      <c r="L627" t="str">
        <f>TEXT(Pqp_supermarket_data[[#This Row],[DateTime]],"ddd")</f>
        <v>Wed</v>
      </c>
      <c r="M627" t="str">
        <f>TEXT(Pqp_supermarket_data[[#This Row],[DateTime]],"mmm")</f>
        <v>Aug</v>
      </c>
      <c r="N627" t="str">
        <f>TEXT(Pqp_supermarket_data[[#This Row],[DateTime]],"yyy")</f>
        <v>2024</v>
      </c>
    </row>
    <row r="628" spans="1:14" x14ac:dyDescent="0.35">
      <c r="A628" t="s">
        <v>1402</v>
      </c>
      <c r="B628" s="1">
        <v>45035.61462039352</v>
      </c>
      <c r="C628" t="s">
        <v>1403</v>
      </c>
      <c r="D628" t="s">
        <v>226</v>
      </c>
      <c r="E628" t="s">
        <v>137</v>
      </c>
      <c r="F628">
        <v>2.5</v>
      </c>
      <c r="G628">
        <v>7</v>
      </c>
      <c r="H628" t="s">
        <v>14</v>
      </c>
      <c r="I628" t="s">
        <v>36</v>
      </c>
      <c r="J628" t="s">
        <v>364</v>
      </c>
      <c r="K628">
        <f>Pqp_supermarket_data[[#This Row],[Unit_Price]]*Pqp_supermarket_data[[#This Row],[Quantity]]</f>
        <v>17.5</v>
      </c>
      <c r="L628" t="str">
        <f>TEXT(Pqp_supermarket_data[[#This Row],[DateTime]],"ddd")</f>
        <v>Wed</v>
      </c>
      <c r="M628" t="str">
        <f>TEXT(Pqp_supermarket_data[[#This Row],[DateTime]],"mmm")</f>
        <v>Apr</v>
      </c>
      <c r="N628" t="str">
        <f>TEXT(Pqp_supermarket_data[[#This Row],[DateTime]],"yyy")</f>
        <v>2023</v>
      </c>
    </row>
    <row r="629" spans="1:14" x14ac:dyDescent="0.35">
      <c r="A629" t="s">
        <v>1404</v>
      </c>
      <c r="B629" s="1">
        <v>44690.766009293984</v>
      </c>
      <c r="C629" t="s">
        <v>1405</v>
      </c>
      <c r="D629" t="s">
        <v>171</v>
      </c>
      <c r="E629" t="s">
        <v>137</v>
      </c>
      <c r="F629">
        <v>2.5</v>
      </c>
      <c r="G629">
        <v>2</v>
      </c>
      <c r="H629" t="s">
        <v>14</v>
      </c>
      <c r="I629" t="s">
        <v>36</v>
      </c>
      <c r="J629" t="s">
        <v>397</v>
      </c>
      <c r="K629">
        <f>Pqp_supermarket_data[[#This Row],[Unit_Price]]*Pqp_supermarket_data[[#This Row],[Quantity]]</f>
        <v>5</v>
      </c>
      <c r="L629" t="str">
        <f>TEXT(Pqp_supermarket_data[[#This Row],[DateTime]],"ddd")</f>
        <v>Mon</v>
      </c>
      <c r="M629" t="str">
        <f>TEXT(Pqp_supermarket_data[[#This Row],[DateTime]],"mmm")</f>
        <v>May</v>
      </c>
      <c r="N629" t="str">
        <f>TEXT(Pqp_supermarket_data[[#This Row],[DateTime]],"yyy")</f>
        <v>2022</v>
      </c>
    </row>
    <row r="630" spans="1:14" x14ac:dyDescent="0.35">
      <c r="A630" t="s">
        <v>1406</v>
      </c>
      <c r="B630" s="1">
        <v>45687.638231527781</v>
      </c>
      <c r="C630" t="s">
        <v>1407</v>
      </c>
      <c r="D630" t="s">
        <v>82</v>
      </c>
      <c r="E630" t="s">
        <v>70</v>
      </c>
      <c r="F630">
        <v>5</v>
      </c>
      <c r="G630">
        <v>7</v>
      </c>
      <c r="H630" t="s">
        <v>14</v>
      </c>
      <c r="I630" t="s">
        <v>40</v>
      </c>
      <c r="J630" t="s">
        <v>153</v>
      </c>
      <c r="K630">
        <f>Pqp_supermarket_data[[#This Row],[Unit_Price]]*Pqp_supermarket_data[[#This Row],[Quantity]]</f>
        <v>35</v>
      </c>
      <c r="L630" t="str">
        <f>TEXT(Pqp_supermarket_data[[#This Row],[DateTime]],"ddd")</f>
        <v>Thu</v>
      </c>
      <c r="M630" t="str">
        <f>TEXT(Pqp_supermarket_data[[#This Row],[DateTime]],"mmm")</f>
        <v>Jan</v>
      </c>
      <c r="N630" t="str">
        <f>TEXT(Pqp_supermarket_data[[#This Row],[DateTime]],"yyy")</f>
        <v>2025</v>
      </c>
    </row>
    <row r="631" spans="1:14" x14ac:dyDescent="0.35">
      <c r="A631" t="s">
        <v>1408</v>
      </c>
      <c r="B631" s="1">
        <v>45268.904203749997</v>
      </c>
      <c r="C631" t="s">
        <v>1409</v>
      </c>
      <c r="D631" t="s">
        <v>69</v>
      </c>
      <c r="E631" t="s">
        <v>78</v>
      </c>
      <c r="F631">
        <v>4</v>
      </c>
      <c r="G631">
        <v>1</v>
      </c>
      <c r="H631" t="s">
        <v>14</v>
      </c>
      <c r="I631" t="s">
        <v>61</v>
      </c>
      <c r="J631" t="s">
        <v>175</v>
      </c>
      <c r="K631">
        <f>Pqp_supermarket_data[[#This Row],[Unit_Price]]*Pqp_supermarket_data[[#This Row],[Quantity]]</f>
        <v>4</v>
      </c>
      <c r="L631" t="str">
        <f>TEXT(Pqp_supermarket_data[[#This Row],[DateTime]],"ddd")</f>
        <v>Fri</v>
      </c>
      <c r="M631" t="str">
        <f>TEXT(Pqp_supermarket_data[[#This Row],[DateTime]],"mmm")</f>
        <v>Dec</v>
      </c>
      <c r="N631" t="str">
        <f>TEXT(Pqp_supermarket_data[[#This Row],[DateTime]],"yyy")</f>
        <v>2023</v>
      </c>
    </row>
    <row r="632" spans="1:14" x14ac:dyDescent="0.35">
      <c r="A632" t="s">
        <v>1410</v>
      </c>
      <c r="B632" s="1">
        <v>44431.405592650466</v>
      </c>
      <c r="C632" t="s">
        <v>1411</v>
      </c>
      <c r="D632" t="s">
        <v>85</v>
      </c>
      <c r="E632" t="s">
        <v>13</v>
      </c>
      <c r="F632">
        <v>3.1</v>
      </c>
      <c r="G632">
        <v>10</v>
      </c>
      <c r="H632" t="s">
        <v>14</v>
      </c>
      <c r="I632" t="s">
        <v>21</v>
      </c>
      <c r="J632" t="s">
        <v>160</v>
      </c>
      <c r="K632">
        <f>Pqp_supermarket_data[[#This Row],[Unit_Price]]*Pqp_supermarket_data[[#This Row],[Quantity]]</f>
        <v>31</v>
      </c>
      <c r="L632" t="str">
        <f>TEXT(Pqp_supermarket_data[[#This Row],[DateTime]],"ddd")</f>
        <v>Mon</v>
      </c>
      <c r="M632" t="str">
        <f>TEXT(Pqp_supermarket_data[[#This Row],[DateTime]],"mmm")</f>
        <v>Aug</v>
      </c>
      <c r="N632" t="str">
        <f>TEXT(Pqp_supermarket_data[[#This Row],[DateTime]],"yyy")</f>
        <v>2021</v>
      </c>
    </row>
    <row r="633" spans="1:14" x14ac:dyDescent="0.35">
      <c r="A633" t="s">
        <v>1412</v>
      </c>
      <c r="B633" s="1">
        <v>45505.981287106479</v>
      </c>
      <c r="C633" t="s">
        <v>1413</v>
      </c>
      <c r="D633" t="s">
        <v>19</v>
      </c>
      <c r="E633" t="s">
        <v>148</v>
      </c>
      <c r="F633">
        <v>5.5</v>
      </c>
      <c r="G633">
        <v>9</v>
      </c>
      <c r="H633" t="s">
        <v>14</v>
      </c>
      <c r="I633" t="s">
        <v>36</v>
      </c>
      <c r="J633" t="s">
        <v>215</v>
      </c>
      <c r="K633">
        <f>Pqp_supermarket_data[[#This Row],[Unit_Price]]*Pqp_supermarket_data[[#This Row],[Quantity]]</f>
        <v>49.5</v>
      </c>
      <c r="L633" t="str">
        <f>TEXT(Pqp_supermarket_data[[#This Row],[DateTime]],"ddd")</f>
        <v>Thu</v>
      </c>
      <c r="M633" t="str">
        <f>TEXT(Pqp_supermarket_data[[#This Row],[DateTime]],"mmm")</f>
        <v>Aug</v>
      </c>
      <c r="N633" t="str">
        <f>TEXT(Pqp_supermarket_data[[#This Row],[DateTime]],"yyy")</f>
        <v>2024</v>
      </c>
    </row>
    <row r="634" spans="1:14" x14ac:dyDescent="0.35">
      <c r="A634" t="s">
        <v>1414</v>
      </c>
      <c r="B634" s="1">
        <v>45545.179898229166</v>
      </c>
      <c r="C634" t="s">
        <v>1415</v>
      </c>
      <c r="D634" t="s">
        <v>226</v>
      </c>
      <c r="E634" t="s">
        <v>148</v>
      </c>
      <c r="F634">
        <v>5.5</v>
      </c>
      <c r="G634">
        <v>8</v>
      </c>
      <c r="H634" t="s">
        <v>14</v>
      </c>
      <c r="I634" t="s">
        <v>15</v>
      </c>
      <c r="J634" t="s">
        <v>538</v>
      </c>
      <c r="K634">
        <f>Pqp_supermarket_data[[#This Row],[Unit_Price]]*Pqp_supermarket_data[[#This Row],[Quantity]]</f>
        <v>44</v>
      </c>
      <c r="L634" t="str">
        <f>TEXT(Pqp_supermarket_data[[#This Row],[DateTime]],"ddd")</f>
        <v>Tue</v>
      </c>
      <c r="M634" t="str">
        <f>TEXT(Pqp_supermarket_data[[#This Row],[DateTime]],"mmm")</f>
        <v>Sep</v>
      </c>
      <c r="N634" t="str">
        <f>TEXT(Pqp_supermarket_data[[#This Row],[DateTime]],"yyy")</f>
        <v>2024</v>
      </c>
    </row>
    <row r="635" spans="1:14" x14ac:dyDescent="0.35">
      <c r="A635" t="s">
        <v>1416</v>
      </c>
      <c r="B635" s="1">
        <v>45377.189620451391</v>
      </c>
      <c r="C635" t="s">
        <v>1417</v>
      </c>
      <c r="D635" t="s">
        <v>85</v>
      </c>
      <c r="E635" t="s">
        <v>78</v>
      </c>
      <c r="F635">
        <v>4</v>
      </c>
      <c r="G635">
        <v>6</v>
      </c>
      <c r="H635" t="s">
        <v>14</v>
      </c>
      <c r="I635" t="s">
        <v>36</v>
      </c>
      <c r="J635" t="s">
        <v>404</v>
      </c>
      <c r="K635">
        <f>Pqp_supermarket_data[[#This Row],[Unit_Price]]*Pqp_supermarket_data[[#This Row],[Quantity]]</f>
        <v>24</v>
      </c>
      <c r="L635" t="str">
        <f>TEXT(Pqp_supermarket_data[[#This Row],[DateTime]],"ddd")</f>
        <v>Tue</v>
      </c>
      <c r="M635" t="str">
        <f>TEXT(Pqp_supermarket_data[[#This Row],[DateTime]],"mmm")</f>
        <v>Mar</v>
      </c>
      <c r="N635" t="str">
        <f>TEXT(Pqp_supermarket_data[[#This Row],[DateTime]],"yyy")</f>
        <v>2024</v>
      </c>
    </row>
    <row r="636" spans="1:14" x14ac:dyDescent="0.35">
      <c r="A636" t="s">
        <v>1418</v>
      </c>
      <c r="B636" s="1">
        <v>45182.350037129632</v>
      </c>
      <c r="C636" t="s">
        <v>1419</v>
      </c>
      <c r="D636" t="s">
        <v>85</v>
      </c>
      <c r="E636" t="s">
        <v>115</v>
      </c>
      <c r="F636">
        <v>1.5</v>
      </c>
      <c r="G636">
        <v>4</v>
      </c>
      <c r="H636" t="s">
        <v>14</v>
      </c>
      <c r="I636" t="s">
        <v>36</v>
      </c>
      <c r="J636" t="s">
        <v>470</v>
      </c>
      <c r="K636">
        <f>Pqp_supermarket_data[[#This Row],[Unit_Price]]*Pqp_supermarket_data[[#This Row],[Quantity]]</f>
        <v>6</v>
      </c>
      <c r="L636" t="str">
        <f>TEXT(Pqp_supermarket_data[[#This Row],[DateTime]],"ddd")</f>
        <v>Wed</v>
      </c>
      <c r="M636" t="str">
        <f>TEXT(Pqp_supermarket_data[[#This Row],[DateTime]],"mmm")</f>
        <v>Sep</v>
      </c>
      <c r="N636" t="str">
        <f>TEXT(Pqp_supermarket_data[[#This Row],[DateTime]],"yyy")</f>
        <v>2023</v>
      </c>
    </row>
    <row r="637" spans="1:14" x14ac:dyDescent="0.35">
      <c r="A637" t="s">
        <v>1420</v>
      </c>
      <c r="B637" s="1">
        <v>45109.268092685183</v>
      </c>
      <c r="C637" t="s">
        <v>1421</v>
      </c>
      <c r="D637" t="s">
        <v>208</v>
      </c>
      <c r="E637" t="s">
        <v>65</v>
      </c>
      <c r="F637">
        <v>3</v>
      </c>
      <c r="G637">
        <v>2</v>
      </c>
      <c r="H637" t="s">
        <v>14</v>
      </c>
      <c r="I637" t="s">
        <v>21</v>
      </c>
      <c r="J637" t="s">
        <v>178</v>
      </c>
      <c r="K637">
        <f>Pqp_supermarket_data[[#This Row],[Unit_Price]]*Pqp_supermarket_data[[#This Row],[Quantity]]</f>
        <v>6</v>
      </c>
      <c r="L637" t="str">
        <f>TEXT(Pqp_supermarket_data[[#This Row],[DateTime]],"ddd")</f>
        <v>Sun</v>
      </c>
      <c r="M637" t="str">
        <f>TEXT(Pqp_supermarket_data[[#This Row],[DateTime]],"mmm")</f>
        <v>Jul</v>
      </c>
      <c r="N637" t="str">
        <f>TEXT(Pqp_supermarket_data[[#This Row],[DateTime]],"yyy")</f>
        <v>2023</v>
      </c>
    </row>
    <row r="638" spans="1:14" x14ac:dyDescent="0.35">
      <c r="A638" t="s">
        <v>1422</v>
      </c>
      <c r="B638" s="1">
        <v>44775.389620486108</v>
      </c>
      <c r="C638" t="s">
        <v>1423</v>
      </c>
      <c r="D638" t="s">
        <v>226</v>
      </c>
      <c r="E638" t="s">
        <v>90</v>
      </c>
      <c r="F638">
        <v>1.8</v>
      </c>
      <c r="G638">
        <v>2</v>
      </c>
      <c r="H638" t="s">
        <v>14</v>
      </c>
      <c r="I638" t="s">
        <v>36</v>
      </c>
      <c r="J638" t="s">
        <v>105</v>
      </c>
      <c r="K638">
        <f>Pqp_supermarket_data[[#This Row],[Unit_Price]]*Pqp_supermarket_data[[#This Row],[Quantity]]</f>
        <v>3.6</v>
      </c>
      <c r="L638" t="str">
        <f>TEXT(Pqp_supermarket_data[[#This Row],[DateTime]],"ddd")</f>
        <v>Tue</v>
      </c>
      <c r="M638" t="str">
        <f>TEXT(Pqp_supermarket_data[[#This Row],[DateTime]],"mmm")</f>
        <v>Aug</v>
      </c>
      <c r="N638" t="str">
        <f>TEXT(Pqp_supermarket_data[[#This Row],[DateTime]],"yyy")</f>
        <v>2022</v>
      </c>
    </row>
    <row r="639" spans="1:14" x14ac:dyDescent="0.35">
      <c r="A639" t="s">
        <v>1424</v>
      </c>
      <c r="B639" s="1">
        <v>45579.197953819443</v>
      </c>
      <c r="C639" t="s">
        <v>1425</v>
      </c>
      <c r="D639" t="s">
        <v>25</v>
      </c>
      <c r="E639" t="s">
        <v>70</v>
      </c>
      <c r="F639">
        <v>5</v>
      </c>
      <c r="G639">
        <v>5</v>
      </c>
      <c r="H639" t="s">
        <v>14</v>
      </c>
      <c r="I639" t="s">
        <v>61</v>
      </c>
      <c r="J639" t="s">
        <v>311</v>
      </c>
      <c r="K639">
        <f>Pqp_supermarket_data[[#This Row],[Unit_Price]]*Pqp_supermarket_data[[#This Row],[Quantity]]</f>
        <v>25</v>
      </c>
      <c r="L639" t="str">
        <f>TEXT(Pqp_supermarket_data[[#This Row],[DateTime]],"ddd")</f>
        <v>Mon</v>
      </c>
      <c r="M639" t="str">
        <f>TEXT(Pqp_supermarket_data[[#This Row],[DateTime]],"mmm")</f>
        <v>Oct</v>
      </c>
      <c r="N639" t="str">
        <f>TEXT(Pqp_supermarket_data[[#This Row],[DateTime]],"yyy")</f>
        <v>2024</v>
      </c>
    </row>
    <row r="640" spans="1:14" x14ac:dyDescent="0.35">
      <c r="A640" t="s">
        <v>1426</v>
      </c>
      <c r="B640" s="1">
        <v>45684.398648275463</v>
      </c>
      <c r="C640" t="s">
        <v>1427</v>
      </c>
      <c r="D640" t="s">
        <v>69</v>
      </c>
      <c r="E640" t="s">
        <v>137</v>
      </c>
      <c r="F640">
        <v>2.5</v>
      </c>
      <c r="G640">
        <v>5</v>
      </c>
      <c r="H640" t="s">
        <v>14</v>
      </c>
      <c r="I640" t="s">
        <v>61</v>
      </c>
      <c r="J640" t="s">
        <v>255</v>
      </c>
      <c r="K640">
        <f>Pqp_supermarket_data[[#This Row],[Unit_Price]]*Pqp_supermarket_data[[#This Row],[Quantity]]</f>
        <v>12.5</v>
      </c>
      <c r="L640" t="str">
        <f>TEXT(Pqp_supermarket_data[[#This Row],[DateTime]],"ddd")</f>
        <v>Mon</v>
      </c>
      <c r="M640" t="str">
        <f>TEXT(Pqp_supermarket_data[[#This Row],[DateTime]],"mmm")</f>
        <v>Jan</v>
      </c>
      <c r="N640" t="str">
        <f>TEXT(Pqp_supermarket_data[[#This Row],[DateTime]],"yyy")</f>
        <v>2025</v>
      </c>
    </row>
    <row r="641" spans="1:14" x14ac:dyDescent="0.35">
      <c r="A641" t="s">
        <v>1428</v>
      </c>
      <c r="B641" s="1">
        <v>45145.985453831017</v>
      </c>
      <c r="C641" t="s">
        <v>1429</v>
      </c>
      <c r="D641" t="s">
        <v>77</v>
      </c>
      <c r="E641" t="s">
        <v>148</v>
      </c>
      <c r="F641">
        <v>5.5</v>
      </c>
      <c r="G641">
        <v>1</v>
      </c>
      <c r="H641" t="s">
        <v>14</v>
      </c>
      <c r="I641" t="s">
        <v>40</v>
      </c>
      <c r="J641" t="s">
        <v>16</v>
      </c>
      <c r="K641">
        <f>Pqp_supermarket_data[[#This Row],[Unit_Price]]*Pqp_supermarket_data[[#This Row],[Quantity]]</f>
        <v>5.5</v>
      </c>
      <c r="L641" t="str">
        <f>TEXT(Pqp_supermarket_data[[#This Row],[DateTime]],"ddd")</f>
        <v>Mon</v>
      </c>
      <c r="M641" t="str">
        <f>TEXT(Pqp_supermarket_data[[#This Row],[DateTime]],"mmm")</f>
        <v>Aug</v>
      </c>
      <c r="N641" t="str">
        <f>TEXT(Pqp_supermarket_data[[#This Row],[DateTime]],"yyy")</f>
        <v>2023</v>
      </c>
    </row>
    <row r="642" spans="1:14" x14ac:dyDescent="0.35">
      <c r="A642" t="s">
        <v>1430</v>
      </c>
      <c r="B642" s="1">
        <v>44427.719481608794</v>
      </c>
      <c r="C642" t="s">
        <v>1431</v>
      </c>
      <c r="D642" t="s">
        <v>44</v>
      </c>
      <c r="E642" t="s">
        <v>53</v>
      </c>
      <c r="F642">
        <v>2.8</v>
      </c>
      <c r="G642">
        <v>8</v>
      </c>
      <c r="H642" t="s">
        <v>14</v>
      </c>
      <c r="I642" t="s">
        <v>21</v>
      </c>
      <c r="J642" t="s">
        <v>195</v>
      </c>
      <c r="K642">
        <f>Pqp_supermarket_data[[#This Row],[Unit_Price]]*Pqp_supermarket_data[[#This Row],[Quantity]]</f>
        <v>22.4</v>
      </c>
      <c r="L642" t="str">
        <f>TEXT(Pqp_supermarket_data[[#This Row],[DateTime]],"ddd")</f>
        <v>Thu</v>
      </c>
      <c r="M642" t="str">
        <f>TEXT(Pqp_supermarket_data[[#This Row],[DateTime]],"mmm")</f>
        <v>Aug</v>
      </c>
      <c r="N642" t="str">
        <f>TEXT(Pqp_supermarket_data[[#This Row],[DateTime]],"yyy")</f>
        <v>2021</v>
      </c>
    </row>
    <row r="643" spans="1:14" x14ac:dyDescent="0.35">
      <c r="A643" t="s">
        <v>1432</v>
      </c>
      <c r="B643" s="1">
        <v>45596.065314953703</v>
      </c>
      <c r="C643" t="s">
        <v>1433</v>
      </c>
      <c r="D643" t="s">
        <v>44</v>
      </c>
      <c r="E643" t="s">
        <v>94</v>
      </c>
      <c r="F643">
        <v>0.8</v>
      </c>
      <c r="G643">
        <v>2</v>
      </c>
      <c r="H643" t="s">
        <v>14</v>
      </c>
      <c r="I643" t="s">
        <v>86</v>
      </c>
      <c r="J643" t="s">
        <v>548</v>
      </c>
      <c r="K643">
        <f>Pqp_supermarket_data[[#This Row],[Unit_Price]]*Pqp_supermarket_data[[#This Row],[Quantity]]</f>
        <v>1.6</v>
      </c>
      <c r="L643" t="str">
        <f>TEXT(Pqp_supermarket_data[[#This Row],[DateTime]],"ddd")</f>
        <v>Thu</v>
      </c>
      <c r="M643" t="str">
        <f>TEXT(Pqp_supermarket_data[[#This Row],[DateTime]],"mmm")</f>
        <v>Oct</v>
      </c>
      <c r="N643" t="str">
        <f>TEXT(Pqp_supermarket_data[[#This Row],[DateTime]],"yyy")</f>
        <v>2024</v>
      </c>
    </row>
    <row r="644" spans="1:14" x14ac:dyDescent="0.35">
      <c r="A644" t="s">
        <v>1434</v>
      </c>
      <c r="B644" s="1">
        <v>44852.189620509256</v>
      </c>
      <c r="C644" t="s">
        <v>1435</v>
      </c>
      <c r="D644" t="s">
        <v>82</v>
      </c>
      <c r="E644" t="s">
        <v>115</v>
      </c>
      <c r="F644">
        <v>1.5</v>
      </c>
      <c r="G644">
        <v>7</v>
      </c>
      <c r="H644" t="s">
        <v>14</v>
      </c>
      <c r="I644" t="s">
        <v>36</v>
      </c>
      <c r="J644" t="s">
        <v>66</v>
      </c>
      <c r="K644">
        <f>Pqp_supermarket_data[[#This Row],[Unit_Price]]*Pqp_supermarket_data[[#This Row],[Quantity]]</f>
        <v>10.5</v>
      </c>
      <c r="L644" t="str">
        <f>TEXT(Pqp_supermarket_data[[#This Row],[DateTime]],"ddd")</f>
        <v>Tue</v>
      </c>
      <c r="M644" t="str">
        <f>TEXT(Pqp_supermarket_data[[#This Row],[DateTime]],"mmm")</f>
        <v>Oct</v>
      </c>
      <c r="N644" t="str">
        <f>TEXT(Pqp_supermarket_data[[#This Row],[DateTime]],"yyy")</f>
        <v>2022</v>
      </c>
    </row>
    <row r="645" spans="1:14" x14ac:dyDescent="0.35">
      <c r="A645" t="s">
        <v>1436</v>
      </c>
      <c r="B645" s="1">
        <v>45555.362537175926</v>
      </c>
      <c r="C645" t="s">
        <v>1437</v>
      </c>
      <c r="D645" t="s">
        <v>12</v>
      </c>
      <c r="E645" t="s">
        <v>137</v>
      </c>
      <c r="F645">
        <v>2.5</v>
      </c>
      <c r="G645">
        <v>3</v>
      </c>
      <c r="H645" t="s">
        <v>14</v>
      </c>
      <c r="I645" t="s">
        <v>40</v>
      </c>
      <c r="J645" t="s">
        <v>175</v>
      </c>
      <c r="K645">
        <f>Pqp_supermarket_data[[#This Row],[Unit_Price]]*Pqp_supermarket_data[[#This Row],[Quantity]]</f>
        <v>7.5</v>
      </c>
      <c r="L645" t="str">
        <f>TEXT(Pqp_supermarket_data[[#This Row],[DateTime]],"ddd")</f>
        <v>Fri</v>
      </c>
      <c r="M645" t="str">
        <f>TEXT(Pqp_supermarket_data[[#This Row],[DateTime]],"mmm")</f>
        <v>Sep</v>
      </c>
      <c r="N645" t="str">
        <f>TEXT(Pqp_supermarket_data[[#This Row],[DateTime]],"yyy")</f>
        <v>2024</v>
      </c>
    </row>
    <row r="646" spans="1:14" x14ac:dyDescent="0.35">
      <c r="A646" t="s">
        <v>1438</v>
      </c>
      <c r="B646" s="1">
        <v>44576.899342743054</v>
      </c>
      <c r="C646" t="s">
        <v>1439</v>
      </c>
      <c r="D646" t="s">
        <v>171</v>
      </c>
      <c r="E646" t="s">
        <v>70</v>
      </c>
      <c r="F646">
        <v>5</v>
      </c>
      <c r="G646">
        <v>3</v>
      </c>
      <c r="H646" t="s">
        <v>14</v>
      </c>
      <c r="I646" t="s">
        <v>21</v>
      </c>
      <c r="J646" t="s">
        <v>41</v>
      </c>
      <c r="K646">
        <f>Pqp_supermarket_data[[#This Row],[Unit_Price]]*Pqp_supermarket_data[[#This Row],[Quantity]]</f>
        <v>15</v>
      </c>
      <c r="L646" t="str">
        <f>TEXT(Pqp_supermarket_data[[#This Row],[DateTime]],"ddd")</f>
        <v>Sat</v>
      </c>
      <c r="M646" t="str">
        <f>TEXT(Pqp_supermarket_data[[#This Row],[DateTime]],"mmm")</f>
        <v>Jan</v>
      </c>
      <c r="N646" t="str">
        <f>TEXT(Pqp_supermarket_data[[#This Row],[DateTime]],"yyy")</f>
        <v>2022</v>
      </c>
    </row>
    <row r="647" spans="1:14" x14ac:dyDescent="0.35">
      <c r="A647" t="s">
        <v>1440</v>
      </c>
      <c r="B647" s="1">
        <v>45051.767398310185</v>
      </c>
      <c r="C647" t="s">
        <v>1441</v>
      </c>
      <c r="D647" t="s">
        <v>34</v>
      </c>
      <c r="E647" t="s">
        <v>111</v>
      </c>
      <c r="F647">
        <v>2.2000000000000002</v>
      </c>
      <c r="G647">
        <v>8</v>
      </c>
      <c r="H647" t="s">
        <v>14</v>
      </c>
      <c r="I647" t="s">
        <v>86</v>
      </c>
      <c r="J647" t="s">
        <v>233</v>
      </c>
      <c r="K647">
        <f>Pqp_supermarket_data[[#This Row],[Unit_Price]]*Pqp_supermarket_data[[#This Row],[Quantity]]</f>
        <v>17.600000000000001</v>
      </c>
      <c r="L647" t="str">
        <f>TEXT(Pqp_supermarket_data[[#This Row],[DateTime]],"ddd")</f>
        <v>Fri</v>
      </c>
      <c r="M647" t="str">
        <f>TEXT(Pqp_supermarket_data[[#This Row],[DateTime]],"mmm")</f>
        <v>May</v>
      </c>
      <c r="N647" t="str">
        <f>TEXT(Pqp_supermarket_data[[#This Row],[DateTime]],"yyy")</f>
        <v>2023</v>
      </c>
    </row>
    <row r="648" spans="1:14" x14ac:dyDescent="0.35">
      <c r="A648" t="s">
        <v>1442</v>
      </c>
      <c r="B648" s="1">
        <v>44943.975037199074</v>
      </c>
      <c r="C648" t="s">
        <v>1443</v>
      </c>
      <c r="D648" t="s">
        <v>77</v>
      </c>
      <c r="E648" t="s">
        <v>13</v>
      </c>
      <c r="F648">
        <v>3.1</v>
      </c>
      <c r="G648">
        <v>6</v>
      </c>
      <c r="H648" t="s">
        <v>14</v>
      </c>
      <c r="I648" t="s">
        <v>40</v>
      </c>
      <c r="J648" t="s">
        <v>54</v>
      </c>
      <c r="K648">
        <f>Pqp_supermarket_data[[#This Row],[Unit_Price]]*Pqp_supermarket_data[[#This Row],[Quantity]]</f>
        <v>18.600000000000001</v>
      </c>
      <c r="L648" t="str">
        <f>TEXT(Pqp_supermarket_data[[#This Row],[DateTime]],"ddd")</f>
        <v>Tue</v>
      </c>
      <c r="M648" t="str">
        <f>TEXT(Pqp_supermarket_data[[#This Row],[DateTime]],"mmm")</f>
        <v>Jan</v>
      </c>
      <c r="N648" t="str">
        <f>TEXT(Pqp_supermarket_data[[#This Row],[DateTime]],"yyy")</f>
        <v>2023</v>
      </c>
    </row>
    <row r="649" spans="1:14" x14ac:dyDescent="0.35">
      <c r="A649" t="s">
        <v>1444</v>
      </c>
      <c r="B649" s="1">
        <v>44397.859064988428</v>
      </c>
      <c r="C649" t="s">
        <v>1445</v>
      </c>
      <c r="D649" t="s">
        <v>12</v>
      </c>
      <c r="E649" t="s">
        <v>119</v>
      </c>
      <c r="F649">
        <v>4</v>
      </c>
      <c r="G649">
        <v>10</v>
      </c>
      <c r="H649" t="s">
        <v>14</v>
      </c>
      <c r="I649" t="s">
        <v>15</v>
      </c>
      <c r="J649" t="s">
        <v>178</v>
      </c>
      <c r="K649">
        <f>Pqp_supermarket_data[[#This Row],[Unit_Price]]*Pqp_supermarket_data[[#This Row],[Quantity]]</f>
        <v>40</v>
      </c>
      <c r="L649" t="str">
        <f>TEXT(Pqp_supermarket_data[[#This Row],[DateTime]],"ddd")</f>
        <v>Tue</v>
      </c>
      <c r="M649" t="str">
        <f>TEXT(Pqp_supermarket_data[[#This Row],[DateTime]],"mmm")</f>
        <v>Jul</v>
      </c>
      <c r="N649" t="str">
        <f>TEXT(Pqp_supermarket_data[[#This Row],[DateTime]],"yyy")</f>
        <v>2021</v>
      </c>
    </row>
    <row r="650" spans="1:14" x14ac:dyDescent="0.35">
      <c r="A650" t="s">
        <v>1446</v>
      </c>
      <c r="B650" s="1">
        <v>45093.870176099539</v>
      </c>
      <c r="C650" t="s">
        <v>1447</v>
      </c>
      <c r="D650" t="s">
        <v>12</v>
      </c>
      <c r="E650" t="s">
        <v>45</v>
      </c>
      <c r="F650">
        <v>1</v>
      </c>
      <c r="G650">
        <v>2</v>
      </c>
      <c r="H650" t="s">
        <v>14</v>
      </c>
      <c r="I650" t="s">
        <v>86</v>
      </c>
      <c r="J650" t="s">
        <v>227</v>
      </c>
      <c r="K650">
        <f>Pqp_supermarket_data[[#This Row],[Unit_Price]]*Pqp_supermarket_data[[#This Row],[Quantity]]</f>
        <v>2</v>
      </c>
      <c r="L650" t="str">
        <f>TEXT(Pqp_supermarket_data[[#This Row],[DateTime]],"ddd")</f>
        <v>Fri</v>
      </c>
      <c r="M650" t="str">
        <f>TEXT(Pqp_supermarket_data[[#This Row],[DateTime]],"mmm")</f>
        <v>Jun</v>
      </c>
      <c r="N650" t="str">
        <f>TEXT(Pqp_supermarket_data[[#This Row],[DateTime]],"yyy")</f>
        <v>2023</v>
      </c>
    </row>
    <row r="651" spans="1:14" x14ac:dyDescent="0.35">
      <c r="A651" t="s">
        <v>1448</v>
      </c>
      <c r="B651" s="1">
        <v>45276.919481655095</v>
      </c>
      <c r="C651" t="s">
        <v>1449</v>
      </c>
      <c r="D651" t="s">
        <v>30</v>
      </c>
      <c r="E651" t="s">
        <v>49</v>
      </c>
      <c r="F651">
        <v>7</v>
      </c>
      <c r="G651">
        <v>3</v>
      </c>
      <c r="H651" t="s">
        <v>14</v>
      </c>
      <c r="I651" t="s">
        <v>21</v>
      </c>
      <c r="J651" t="s">
        <v>262</v>
      </c>
      <c r="K651">
        <f>Pqp_supermarket_data[[#This Row],[Unit_Price]]*Pqp_supermarket_data[[#This Row],[Quantity]]</f>
        <v>21</v>
      </c>
      <c r="L651" t="str">
        <f>TEXT(Pqp_supermarket_data[[#This Row],[DateTime]],"ddd")</f>
        <v>Sat</v>
      </c>
      <c r="M651" t="str">
        <f>TEXT(Pqp_supermarket_data[[#This Row],[DateTime]],"mmm")</f>
        <v>Dec</v>
      </c>
      <c r="N651" t="str">
        <f>TEXT(Pqp_supermarket_data[[#This Row],[DateTime]],"yyy")</f>
        <v>2023</v>
      </c>
    </row>
    <row r="652" spans="1:14" x14ac:dyDescent="0.35">
      <c r="A652" t="s">
        <v>1450</v>
      </c>
      <c r="B652" s="1">
        <v>45675.53128722222</v>
      </c>
      <c r="C652" t="s">
        <v>1451</v>
      </c>
      <c r="D652" t="s">
        <v>19</v>
      </c>
      <c r="E652" t="s">
        <v>94</v>
      </c>
      <c r="F652">
        <v>0.8</v>
      </c>
      <c r="G652">
        <v>9</v>
      </c>
      <c r="H652" t="s">
        <v>14</v>
      </c>
      <c r="I652" t="s">
        <v>86</v>
      </c>
      <c r="J652" t="s">
        <v>336</v>
      </c>
      <c r="K652">
        <f>Pqp_supermarket_data[[#This Row],[Unit_Price]]*Pqp_supermarket_data[[#This Row],[Quantity]]</f>
        <v>7.2</v>
      </c>
      <c r="L652" t="str">
        <f>TEXT(Pqp_supermarket_data[[#This Row],[DateTime]],"ddd")</f>
        <v>Sat</v>
      </c>
      <c r="M652" t="str">
        <f>TEXT(Pqp_supermarket_data[[#This Row],[DateTime]],"mmm")</f>
        <v>Jan</v>
      </c>
      <c r="N652" t="str">
        <f>TEXT(Pqp_supermarket_data[[#This Row],[DateTime]],"yyy")</f>
        <v>2025</v>
      </c>
    </row>
    <row r="653" spans="1:14" x14ac:dyDescent="0.35">
      <c r="A653" t="s">
        <v>1452</v>
      </c>
      <c r="B653" s="1">
        <v>45448.443092777779</v>
      </c>
      <c r="C653" t="s">
        <v>1453</v>
      </c>
      <c r="D653" t="s">
        <v>98</v>
      </c>
      <c r="E653" t="s">
        <v>39</v>
      </c>
      <c r="F653">
        <v>3.2</v>
      </c>
      <c r="G653">
        <v>4</v>
      </c>
      <c r="H653" t="s">
        <v>14</v>
      </c>
      <c r="I653" t="s">
        <v>61</v>
      </c>
      <c r="J653" t="s">
        <v>339</v>
      </c>
      <c r="K653">
        <f>Pqp_supermarket_data[[#This Row],[Unit_Price]]*Pqp_supermarket_data[[#This Row],[Quantity]]</f>
        <v>12.8</v>
      </c>
      <c r="L653" t="str">
        <f>TEXT(Pqp_supermarket_data[[#This Row],[DateTime]],"ddd")</f>
        <v>Wed</v>
      </c>
      <c r="M653" t="str">
        <f>TEXT(Pqp_supermarket_data[[#This Row],[DateTime]],"mmm")</f>
        <v>Jun</v>
      </c>
      <c r="N653" t="str">
        <f>TEXT(Pqp_supermarket_data[[#This Row],[DateTime]],"yyy")</f>
        <v>2024</v>
      </c>
    </row>
    <row r="654" spans="1:14" x14ac:dyDescent="0.35">
      <c r="A654" t="s">
        <v>1454</v>
      </c>
      <c r="B654" s="1">
        <v>45682.883370555559</v>
      </c>
      <c r="C654" t="s">
        <v>1455</v>
      </c>
      <c r="D654" t="s">
        <v>85</v>
      </c>
      <c r="E654" t="s">
        <v>49</v>
      </c>
      <c r="F654">
        <v>7</v>
      </c>
      <c r="G654">
        <v>7</v>
      </c>
      <c r="H654" t="s">
        <v>14</v>
      </c>
      <c r="I654" t="s">
        <v>15</v>
      </c>
      <c r="J654" t="s">
        <v>369</v>
      </c>
      <c r="K654">
        <f>Pqp_supermarket_data[[#This Row],[Unit_Price]]*Pqp_supermarket_data[[#This Row],[Quantity]]</f>
        <v>49</v>
      </c>
      <c r="L654" t="str">
        <f>TEXT(Pqp_supermarket_data[[#This Row],[DateTime]],"ddd")</f>
        <v>Sat</v>
      </c>
      <c r="M654" t="str">
        <f>TEXT(Pqp_supermarket_data[[#This Row],[DateTime]],"mmm")</f>
        <v>Jan</v>
      </c>
      <c r="N654" t="str">
        <f>TEXT(Pqp_supermarket_data[[#This Row],[DateTime]],"yyy")</f>
        <v>2025</v>
      </c>
    </row>
    <row r="655" spans="1:14" x14ac:dyDescent="0.35">
      <c r="A655" t="s">
        <v>1456</v>
      </c>
      <c r="B655" s="1">
        <v>44845.941009456015</v>
      </c>
      <c r="C655" t="s">
        <v>1457</v>
      </c>
      <c r="D655" t="s">
        <v>171</v>
      </c>
      <c r="E655" t="s">
        <v>70</v>
      </c>
      <c r="F655">
        <v>5</v>
      </c>
      <c r="G655">
        <v>2</v>
      </c>
      <c r="H655" t="s">
        <v>14</v>
      </c>
      <c r="I655" t="s">
        <v>86</v>
      </c>
      <c r="J655" t="s">
        <v>31</v>
      </c>
      <c r="K655">
        <f>Pqp_supermarket_data[[#This Row],[Unit_Price]]*Pqp_supermarket_data[[#This Row],[Quantity]]</f>
        <v>10</v>
      </c>
      <c r="L655" t="str">
        <f>TEXT(Pqp_supermarket_data[[#This Row],[DateTime]],"ddd")</f>
        <v>Tue</v>
      </c>
      <c r="M655" t="str">
        <f>TEXT(Pqp_supermarket_data[[#This Row],[DateTime]],"mmm")</f>
        <v>Oct</v>
      </c>
      <c r="N655" t="str">
        <f>TEXT(Pqp_supermarket_data[[#This Row],[DateTime]],"yyy")</f>
        <v>2022</v>
      </c>
    </row>
    <row r="656" spans="1:14" x14ac:dyDescent="0.35">
      <c r="A656" t="s">
        <v>1458</v>
      </c>
      <c r="B656" s="1">
        <v>45139.413231678242</v>
      </c>
      <c r="C656" t="s">
        <v>1459</v>
      </c>
      <c r="D656" t="s">
        <v>12</v>
      </c>
      <c r="E656" t="s">
        <v>35</v>
      </c>
      <c r="F656">
        <v>1.2</v>
      </c>
      <c r="G656">
        <v>2</v>
      </c>
      <c r="H656" t="s">
        <v>14</v>
      </c>
      <c r="I656" t="s">
        <v>86</v>
      </c>
      <c r="J656" t="s">
        <v>404</v>
      </c>
      <c r="K656">
        <f>Pqp_supermarket_data[[#This Row],[Unit_Price]]*Pqp_supermarket_data[[#This Row],[Quantity]]</f>
        <v>2.4</v>
      </c>
      <c r="L656" t="str">
        <f>TEXT(Pqp_supermarket_data[[#This Row],[DateTime]],"ddd")</f>
        <v>Tue</v>
      </c>
      <c r="M656" t="str">
        <f>TEXT(Pqp_supermarket_data[[#This Row],[DateTime]],"mmm")</f>
        <v>Aug</v>
      </c>
      <c r="N656" t="str">
        <f>TEXT(Pqp_supermarket_data[[#This Row],[DateTime]],"yyy")</f>
        <v>2023</v>
      </c>
    </row>
    <row r="657" spans="1:14" x14ac:dyDescent="0.35">
      <c r="A657" t="s">
        <v>1460</v>
      </c>
      <c r="B657" s="1">
        <v>45712.827120567126</v>
      </c>
      <c r="C657" t="s">
        <v>1461</v>
      </c>
      <c r="D657" t="s">
        <v>208</v>
      </c>
      <c r="E657" t="s">
        <v>65</v>
      </c>
      <c r="F657">
        <v>3</v>
      </c>
      <c r="G657">
        <v>10</v>
      </c>
      <c r="H657" t="s">
        <v>14</v>
      </c>
      <c r="I657" t="s">
        <v>21</v>
      </c>
      <c r="J657" t="s">
        <v>71</v>
      </c>
      <c r="K657">
        <f>Pqp_supermarket_data[[#This Row],[Unit_Price]]*Pqp_supermarket_data[[#This Row],[Quantity]]</f>
        <v>30</v>
      </c>
      <c r="L657" t="str">
        <f>TEXT(Pqp_supermarket_data[[#This Row],[DateTime]],"ddd")</f>
        <v>Mon</v>
      </c>
      <c r="M657" t="str">
        <f>TEXT(Pqp_supermarket_data[[#This Row],[DateTime]],"mmm")</f>
        <v>Feb</v>
      </c>
      <c r="N657" t="str">
        <f>TEXT(Pqp_supermarket_data[[#This Row],[DateTime]],"yyy")</f>
        <v>2025</v>
      </c>
    </row>
    <row r="658" spans="1:14" x14ac:dyDescent="0.35">
      <c r="A658" t="s">
        <v>1462</v>
      </c>
      <c r="B658" s="1">
        <v>45162.868787233798</v>
      </c>
      <c r="C658" t="s">
        <v>1463</v>
      </c>
      <c r="D658" t="s">
        <v>25</v>
      </c>
      <c r="E658" t="s">
        <v>70</v>
      </c>
      <c r="F658">
        <v>5</v>
      </c>
      <c r="G658">
        <v>6</v>
      </c>
      <c r="H658" t="s">
        <v>14</v>
      </c>
      <c r="I658" t="s">
        <v>61</v>
      </c>
      <c r="J658" t="s">
        <v>166</v>
      </c>
      <c r="K658">
        <f>Pqp_supermarket_data[[#This Row],[Unit_Price]]*Pqp_supermarket_data[[#This Row],[Quantity]]</f>
        <v>30</v>
      </c>
      <c r="L658" t="str">
        <f>TEXT(Pqp_supermarket_data[[#This Row],[DateTime]],"ddd")</f>
        <v>Thu</v>
      </c>
      <c r="M658" t="str">
        <f>TEXT(Pqp_supermarket_data[[#This Row],[DateTime]],"mmm")</f>
        <v>Aug</v>
      </c>
      <c r="N658" t="str">
        <f>TEXT(Pqp_supermarket_data[[#This Row],[DateTime]],"yyy")</f>
        <v>2023</v>
      </c>
    </row>
    <row r="659" spans="1:14" x14ac:dyDescent="0.35">
      <c r="A659" t="s">
        <v>1464</v>
      </c>
      <c r="B659" s="1">
        <v>45329.961842789351</v>
      </c>
      <c r="C659" t="s">
        <v>1465</v>
      </c>
      <c r="D659" t="s">
        <v>85</v>
      </c>
      <c r="E659" t="s">
        <v>45</v>
      </c>
      <c r="F659">
        <v>1</v>
      </c>
      <c r="G659">
        <v>10</v>
      </c>
      <c r="H659" t="s">
        <v>14</v>
      </c>
      <c r="I659" t="s">
        <v>86</v>
      </c>
      <c r="J659" t="s">
        <v>541</v>
      </c>
      <c r="K659">
        <f>Pqp_supermarket_data[[#This Row],[Unit_Price]]*Pqp_supermarket_data[[#This Row],[Quantity]]</f>
        <v>10</v>
      </c>
      <c r="L659" t="str">
        <f>TEXT(Pqp_supermarket_data[[#This Row],[DateTime]],"ddd")</f>
        <v>Wed</v>
      </c>
      <c r="M659" t="str">
        <f>TEXT(Pqp_supermarket_data[[#This Row],[DateTime]],"mmm")</f>
        <v>Feb</v>
      </c>
      <c r="N659" t="str">
        <f>TEXT(Pqp_supermarket_data[[#This Row],[DateTime]],"yyy")</f>
        <v>2024</v>
      </c>
    </row>
    <row r="660" spans="1:14" x14ac:dyDescent="0.35">
      <c r="A660" t="s">
        <v>1466</v>
      </c>
      <c r="B660" s="1">
        <v>44441.070176134257</v>
      </c>
      <c r="C660" t="s">
        <v>1467</v>
      </c>
      <c r="D660" t="s">
        <v>98</v>
      </c>
      <c r="E660" t="s">
        <v>148</v>
      </c>
      <c r="F660">
        <v>5.5</v>
      </c>
      <c r="G660">
        <v>2</v>
      </c>
      <c r="H660" t="s">
        <v>14</v>
      </c>
      <c r="I660" t="s">
        <v>36</v>
      </c>
      <c r="J660" t="s">
        <v>499</v>
      </c>
      <c r="K660">
        <f>Pqp_supermarket_data[[#This Row],[Unit_Price]]*Pqp_supermarket_data[[#This Row],[Quantity]]</f>
        <v>11</v>
      </c>
      <c r="L660" t="str">
        <f>TEXT(Pqp_supermarket_data[[#This Row],[DateTime]],"ddd")</f>
        <v>Thu</v>
      </c>
      <c r="M660" t="str">
        <f>TEXT(Pqp_supermarket_data[[#This Row],[DateTime]],"mmm")</f>
        <v>Sep</v>
      </c>
      <c r="N660" t="str">
        <f>TEXT(Pqp_supermarket_data[[#This Row],[DateTime]],"yyy")</f>
        <v>2021</v>
      </c>
    </row>
    <row r="661" spans="1:14" x14ac:dyDescent="0.35">
      <c r="A661" t="s">
        <v>1468</v>
      </c>
      <c r="B661" s="1">
        <v>45782.127815023145</v>
      </c>
      <c r="C661" t="s">
        <v>1469</v>
      </c>
      <c r="D661" t="s">
        <v>34</v>
      </c>
      <c r="E661" t="s">
        <v>57</v>
      </c>
      <c r="F661">
        <v>4.5</v>
      </c>
      <c r="G661">
        <v>9</v>
      </c>
      <c r="H661" t="s">
        <v>14</v>
      </c>
      <c r="I661" t="s">
        <v>21</v>
      </c>
      <c r="J661" t="s">
        <v>186</v>
      </c>
      <c r="K661">
        <f>Pqp_supermarket_data[[#This Row],[Unit_Price]]*Pqp_supermarket_data[[#This Row],[Quantity]]</f>
        <v>40.5</v>
      </c>
      <c r="L661" t="str">
        <f>TEXT(Pqp_supermarket_data[[#This Row],[DateTime]],"ddd")</f>
        <v>Mon</v>
      </c>
      <c r="M661" t="str">
        <f>TEXT(Pqp_supermarket_data[[#This Row],[DateTime]],"mmm")</f>
        <v>May</v>
      </c>
      <c r="N661" t="str">
        <f>TEXT(Pqp_supermarket_data[[#This Row],[DateTime]],"yyy")</f>
        <v>2025</v>
      </c>
    </row>
    <row r="662" spans="1:14" x14ac:dyDescent="0.35">
      <c r="A662" t="s">
        <v>1470</v>
      </c>
      <c r="B662" s="1">
        <v>44349.433370578707</v>
      </c>
      <c r="C662" t="s">
        <v>1471</v>
      </c>
      <c r="D662" t="s">
        <v>19</v>
      </c>
      <c r="E662" t="s">
        <v>94</v>
      </c>
      <c r="F662">
        <v>0.8</v>
      </c>
      <c r="G662">
        <v>8</v>
      </c>
      <c r="H662" t="s">
        <v>14</v>
      </c>
      <c r="I662" t="s">
        <v>15</v>
      </c>
      <c r="J662" t="s">
        <v>541</v>
      </c>
      <c r="K662">
        <f>Pqp_supermarket_data[[#This Row],[Unit_Price]]*Pqp_supermarket_data[[#This Row],[Quantity]]</f>
        <v>6.4</v>
      </c>
      <c r="L662" t="str">
        <f>TEXT(Pqp_supermarket_data[[#This Row],[DateTime]],"ddd")</f>
        <v>Wed</v>
      </c>
      <c r="M662" t="str">
        <f>TEXT(Pqp_supermarket_data[[#This Row],[DateTime]],"mmm")</f>
        <v>Jun</v>
      </c>
      <c r="N662" t="str">
        <f>TEXT(Pqp_supermarket_data[[#This Row],[DateTime]],"yyy")</f>
        <v>2021</v>
      </c>
    </row>
    <row r="663" spans="1:14" x14ac:dyDescent="0.35">
      <c r="A663" t="s">
        <v>1472</v>
      </c>
      <c r="B663" s="1">
        <v>44948.423648356482</v>
      </c>
      <c r="C663" t="s">
        <v>1473</v>
      </c>
      <c r="D663" t="s">
        <v>171</v>
      </c>
      <c r="E663" t="s">
        <v>78</v>
      </c>
      <c r="F663">
        <v>4</v>
      </c>
      <c r="G663">
        <v>4</v>
      </c>
      <c r="H663" t="s">
        <v>14</v>
      </c>
      <c r="I663" t="s">
        <v>40</v>
      </c>
      <c r="J663" t="s">
        <v>662</v>
      </c>
      <c r="K663">
        <f>Pqp_supermarket_data[[#This Row],[Unit_Price]]*Pqp_supermarket_data[[#This Row],[Quantity]]</f>
        <v>16</v>
      </c>
      <c r="L663" t="str">
        <f>TEXT(Pqp_supermarket_data[[#This Row],[DateTime]],"ddd")</f>
        <v>Sun</v>
      </c>
      <c r="M663" t="str">
        <f>TEXT(Pqp_supermarket_data[[#This Row],[DateTime]],"mmm")</f>
        <v>Jan</v>
      </c>
      <c r="N663" t="str">
        <f>TEXT(Pqp_supermarket_data[[#This Row],[DateTime]],"yyy")</f>
        <v>2023</v>
      </c>
    </row>
    <row r="664" spans="1:14" x14ac:dyDescent="0.35">
      <c r="A664" t="s">
        <v>1474</v>
      </c>
      <c r="B664" s="1">
        <v>45344.940315034721</v>
      </c>
      <c r="C664" t="s">
        <v>1475</v>
      </c>
      <c r="D664" t="s">
        <v>226</v>
      </c>
      <c r="E664" t="s">
        <v>78</v>
      </c>
      <c r="F664">
        <v>4</v>
      </c>
      <c r="G664">
        <v>6</v>
      </c>
      <c r="H664" t="s">
        <v>14</v>
      </c>
      <c r="I664" t="s">
        <v>40</v>
      </c>
      <c r="J664" t="s">
        <v>91</v>
      </c>
      <c r="K664">
        <f>Pqp_supermarket_data[[#This Row],[Unit_Price]]*Pqp_supermarket_data[[#This Row],[Quantity]]</f>
        <v>24</v>
      </c>
      <c r="L664" t="str">
        <f>TEXT(Pqp_supermarket_data[[#This Row],[DateTime]],"ddd")</f>
        <v>Thu</v>
      </c>
      <c r="M664" t="str">
        <f>TEXT(Pqp_supermarket_data[[#This Row],[DateTime]],"mmm")</f>
        <v>Feb</v>
      </c>
      <c r="N664" t="str">
        <f>TEXT(Pqp_supermarket_data[[#This Row],[DateTime]],"yyy")</f>
        <v>2024</v>
      </c>
    </row>
    <row r="665" spans="1:14" x14ac:dyDescent="0.35">
      <c r="A665" t="s">
        <v>1476</v>
      </c>
      <c r="B665" s="1">
        <v>44938.47712059028</v>
      </c>
      <c r="C665" t="s">
        <v>1477</v>
      </c>
      <c r="D665" t="s">
        <v>30</v>
      </c>
      <c r="E665" t="s">
        <v>119</v>
      </c>
      <c r="F665">
        <v>4</v>
      </c>
      <c r="G665">
        <v>2</v>
      </c>
      <c r="H665" t="s">
        <v>14</v>
      </c>
      <c r="I665" t="s">
        <v>86</v>
      </c>
      <c r="J665" t="s">
        <v>223</v>
      </c>
      <c r="K665">
        <f>Pqp_supermarket_data[[#This Row],[Unit_Price]]*Pqp_supermarket_data[[#This Row],[Quantity]]</f>
        <v>8</v>
      </c>
      <c r="L665" t="str">
        <f>TEXT(Pqp_supermarket_data[[#This Row],[DateTime]],"ddd")</f>
        <v>Thu</v>
      </c>
      <c r="M665" t="str">
        <f>TEXT(Pqp_supermarket_data[[#This Row],[DateTime]],"mmm")</f>
        <v>Jan</v>
      </c>
      <c r="N665" t="str">
        <f>TEXT(Pqp_supermarket_data[[#This Row],[DateTime]],"yyy")</f>
        <v>2023</v>
      </c>
    </row>
    <row r="666" spans="1:14" x14ac:dyDescent="0.35">
      <c r="A666" t="s">
        <v>1478</v>
      </c>
      <c r="B666" s="1">
        <v>44437.787537256947</v>
      </c>
      <c r="C666" t="s">
        <v>1479</v>
      </c>
      <c r="D666" t="s">
        <v>69</v>
      </c>
      <c r="E666" t="s">
        <v>115</v>
      </c>
      <c r="F666">
        <v>1.5</v>
      </c>
      <c r="G666">
        <v>1</v>
      </c>
      <c r="H666" t="s">
        <v>14</v>
      </c>
      <c r="I666" t="s">
        <v>21</v>
      </c>
      <c r="J666" t="s">
        <v>202</v>
      </c>
      <c r="K666">
        <f>Pqp_supermarket_data[[#This Row],[Unit_Price]]*Pqp_supermarket_data[[#This Row],[Quantity]]</f>
        <v>1.5</v>
      </c>
      <c r="L666" t="str">
        <f>TEXT(Pqp_supermarket_data[[#This Row],[DateTime]],"ddd")</f>
        <v>Sun</v>
      </c>
      <c r="M666" t="str">
        <f>TEXT(Pqp_supermarket_data[[#This Row],[DateTime]],"mmm")</f>
        <v>Aug</v>
      </c>
      <c r="N666" t="str">
        <f>TEXT(Pqp_supermarket_data[[#This Row],[DateTime]],"yyy")</f>
        <v>2021</v>
      </c>
    </row>
    <row r="667" spans="1:14" x14ac:dyDescent="0.35">
      <c r="A667" t="s">
        <v>1480</v>
      </c>
      <c r="B667" s="1">
        <v>45686.810453923608</v>
      </c>
      <c r="C667" t="s">
        <v>1481</v>
      </c>
      <c r="D667" t="s">
        <v>82</v>
      </c>
      <c r="E667" t="s">
        <v>119</v>
      </c>
      <c r="F667">
        <v>4</v>
      </c>
      <c r="G667">
        <v>8</v>
      </c>
      <c r="H667" t="s">
        <v>14</v>
      </c>
      <c r="I667" t="s">
        <v>21</v>
      </c>
      <c r="J667" t="s">
        <v>267</v>
      </c>
      <c r="K667">
        <f>Pqp_supermarket_data[[#This Row],[Unit_Price]]*Pqp_supermarket_data[[#This Row],[Quantity]]</f>
        <v>32</v>
      </c>
      <c r="L667" t="str">
        <f>TEXT(Pqp_supermarket_data[[#This Row],[DateTime]],"ddd")</f>
        <v>Wed</v>
      </c>
      <c r="M667" t="str">
        <f>TEXT(Pqp_supermarket_data[[#This Row],[DateTime]],"mmm")</f>
        <v>Jan</v>
      </c>
      <c r="N667" t="str">
        <f>TEXT(Pqp_supermarket_data[[#This Row],[DateTime]],"yyy")</f>
        <v>2025</v>
      </c>
    </row>
    <row r="668" spans="1:14" x14ac:dyDescent="0.35">
      <c r="A668" t="s">
        <v>1482</v>
      </c>
      <c r="B668" s="1">
        <v>45423.617398379633</v>
      </c>
      <c r="C668" t="s">
        <v>1483</v>
      </c>
      <c r="D668" t="s">
        <v>69</v>
      </c>
      <c r="E668" t="s">
        <v>111</v>
      </c>
      <c r="F668">
        <v>2.2000000000000002</v>
      </c>
      <c r="G668">
        <v>2</v>
      </c>
      <c r="H668" t="s">
        <v>14</v>
      </c>
      <c r="I668" t="s">
        <v>86</v>
      </c>
      <c r="J668" t="s">
        <v>227</v>
      </c>
      <c r="K668">
        <f>Pqp_supermarket_data[[#This Row],[Unit_Price]]*Pqp_supermarket_data[[#This Row],[Quantity]]</f>
        <v>4.4000000000000004</v>
      </c>
      <c r="L668" t="str">
        <f>TEXT(Pqp_supermarket_data[[#This Row],[DateTime]],"ddd")</f>
        <v>Sat</v>
      </c>
      <c r="M668" t="str">
        <f>TEXT(Pqp_supermarket_data[[#This Row],[DateTime]],"mmm")</f>
        <v>May</v>
      </c>
      <c r="N668" t="str">
        <f>TEXT(Pqp_supermarket_data[[#This Row],[DateTime]],"yyy")</f>
        <v>2024</v>
      </c>
    </row>
    <row r="669" spans="1:14" x14ac:dyDescent="0.35">
      <c r="A669" t="s">
        <v>1484</v>
      </c>
      <c r="B669" s="1">
        <v>44556.729203935189</v>
      </c>
      <c r="C669" t="s">
        <v>1485</v>
      </c>
      <c r="D669" t="s">
        <v>44</v>
      </c>
      <c r="E669" t="s">
        <v>90</v>
      </c>
      <c r="F669">
        <v>1.8</v>
      </c>
      <c r="G669">
        <v>7</v>
      </c>
      <c r="H669" t="s">
        <v>14</v>
      </c>
      <c r="I669" t="s">
        <v>86</v>
      </c>
      <c r="J669" t="s">
        <v>538</v>
      </c>
      <c r="K669">
        <f>Pqp_supermarket_data[[#This Row],[Unit_Price]]*Pqp_supermarket_data[[#This Row],[Quantity]]</f>
        <v>12.6</v>
      </c>
      <c r="L669" t="str">
        <f>TEXT(Pqp_supermarket_data[[#This Row],[DateTime]],"ddd")</f>
        <v>Sun</v>
      </c>
      <c r="M669" t="str">
        <f>TEXT(Pqp_supermarket_data[[#This Row],[DateTime]],"mmm")</f>
        <v>Dec</v>
      </c>
      <c r="N669" t="str">
        <f>TEXT(Pqp_supermarket_data[[#This Row],[DateTime]],"yyy")</f>
        <v>2021</v>
      </c>
    </row>
    <row r="670" spans="1:14" x14ac:dyDescent="0.35">
      <c r="A670" t="s">
        <v>1486</v>
      </c>
      <c r="B670" s="1">
        <v>44368.256287268516</v>
      </c>
      <c r="C670" t="s">
        <v>1487</v>
      </c>
      <c r="D670" t="s">
        <v>82</v>
      </c>
      <c r="E670" t="s">
        <v>39</v>
      </c>
      <c r="F670">
        <v>3.2</v>
      </c>
      <c r="G670">
        <v>5</v>
      </c>
      <c r="H670" t="s">
        <v>14</v>
      </c>
      <c r="I670" t="s">
        <v>86</v>
      </c>
      <c r="J670" t="s">
        <v>16</v>
      </c>
      <c r="K670">
        <f>Pqp_supermarket_data[[#This Row],[Unit_Price]]*Pqp_supermarket_data[[#This Row],[Quantity]]</f>
        <v>16</v>
      </c>
      <c r="L670" t="str">
        <f>TEXT(Pqp_supermarket_data[[#This Row],[DateTime]],"ddd")</f>
        <v>Mon</v>
      </c>
      <c r="M670" t="str">
        <f>TEXT(Pqp_supermarket_data[[#This Row],[DateTime]],"mmm")</f>
        <v>Jun</v>
      </c>
      <c r="N670" t="str">
        <f>TEXT(Pqp_supermarket_data[[#This Row],[DateTime]],"yyy")</f>
        <v>2021</v>
      </c>
    </row>
    <row r="671" spans="1:14" x14ac:dyDescent="0.35">
      <c r="A671" t="s">
        <v>1488</v>
      </c>
      <c r="B671" s="1">
        <v>45503.991703935186</v>
      </c>
      <c r="C671" t="s">
        <v>1489</v>
      </c>
      <c r="D671" t="s">
        <v>12</v>
      </c>
      <c r="E671" t="s">
        <v>90</v>
      </c>
      <c r="F671">
        <v>1.8</v>
      </c>
      <c r="G671">
        <v>5</v>
      </c>
      <c r="H671" t="s">
        <v>14</v>
      </c>
      <c r="I671" t="s">
        <v>36</v>
      </c>
      <c r="J671" t="s">
        <v>153</v>
      </c>
      <c r="K671">
        <f>Pqp_supermarket_data[[#This Row],[Unit_Price]]*Pqp_supermarket_data[[#This Row],[Quantity]]</f>
        <v>9</v>
      </c>
      <c r="L671" t="str">
        <f>TEXT(Pqp_supermarket_data[[#This Row],[DateTime]],"ddd")</f>
        <v>Tue</v>
      </c>
      <c r="M671" t="str">
        <f>TEXT(Pqp_supermarket_data[[#This Row],[DateTime]],"mmm")</f>
        <v>Jul</v>
      </c>
      <c r="N671" t="str">
        <f>TEXT(Pqp_supermarket_data[[#This Row],[DateTime]],"yyy")</f>
        <v>2024</v>
      </c>
    </row>
    <row r="672" spans="1:14" x14ac:dyDescent="0.35">
      <c r="A672" t="s">
        <v>1490</v>
      </c>
      <c r="B672" s="1">
        <v>45143.610453946756</v>
      </c>
      <c r="C672" t="s">
        <v>1491</v>
      </c>
      <c r="D672" t="s">
        <v>19</v>
      </c>
      <c r="E672" t="s">
        <v>20</v>
      </c>
      <c r="F672">
        <v>1</v>
      </c>
      <c r="G672">
        <v>4</v>
      </c>
      <c r="H672" t="s">
        <v>14</v>
      </c>
      <c r="I672" t="s">
        <v>15</v>
      </c>
      <c r="J672" t="s">
        <v>212</v>
      </c>
      <c r="K672">
        <f>Pqp_supermarket_data[[#This Row],[Unit_Price]]*Pqp_supermarket_data[[#This Row],[Quantity]]</f>
        <v>4</v>
      </c>
      <c r="L672" t="str">
        <f>TEXT(Pqp_supermarket_data[[#This Row],[DateTime]],"ddd")</f>
        <v>Sat</v>
      </c>
      <c r="M672" t="str">
        <f>TEXT(Pqp_supermarket_data[[#This Row],[DateTime]],"mmm")</f>
        <v>Aug</v>
      </c>
      <c r="N672" t="str">
        <f>TEXT(Pqp_supermarket_data[[#This Row],[DateTime]],"yyy")</f>
        <v>2023</v>
      </c>
    </row>
    <row r="673" spans="1:14" x14ac:dyDescent="0.35">
      <c r="A673" t="s">
        <v>1492</v>
      </c>
      <c r="B673" s="1">
        <v>44507.630592835645</v>
      </c>
      <c r="C673" t="s">
        <v>1493</v>
      </c>
      <c r="D673" t="s">
        <v>30</v>
      </c>
      <c r="E673" t="s">
        <v>53</v>
      </c>
      <c r="F673">
        <v>2.8</v>
      </c>
      <c r="G673">
        <v>3</v>
      </c>
      <c r="H673" t="s">
        <v>14</v>
      </c>
      <c r="I673" t="s">
        <v>36</v>
      </c>
      <c r="J673" t="s">
        <v>189</v>
      </c>
      <c r="K673">
        <f>Pqp_supermarket_data[[#This Row],[Unit_Price]]*Pqp_supermarket_data[[#This Row],[Quantity]]</f>
        <v>8.3999999999999986</v>
      </c>
      <c r="L673" t="str">
        <f>TEXT(Pqp_supermarket_data[[#This Row],[DateTime]],"ddd")</f>
        <v>Sun</v>
      </c>
      <c r="M673" t="str">
        <f>TEXT(Pqp_supermarket_data[[#This Row],[DateTime]],"mmm")</f>
        <v>Nov</v>
      </c>
      <c r="N673" t="str">
        <f>TEXT(Pqp_supermarket_data[[#This Row],[DateTime]],"yyy")</f>
        <v>2021</v>
      </c>
    </row>
    <row r="674" spans="1:14" x14ac:dyDescent="0.35">
      <c r="A674" t="s">
        <v>1494</v>
      </c>
      <c r="B674" s="1">
        <v>45421.869481724534</v>
      </c>
      <c r="C674" t="s">
        <v>1495</v>
      </c>
      <c r="D674" t="s">
        <v>12</v>
      </c>
      <c r="E674" t="s">
        <v>39</v>
      </c>
      <c r="F674">
        <v>3.2</v>
      </c>
      <c r="G674">
        <v>2</v>
      </c>
      <c r="H674" t="s">
        <v>14</v>
      </c>
      <c r="I674" t="s">
        <v>61</v>
      </c>
      <c r="J674" t="s">
        <v>270</v>
      </c>
      <c r="K674">
        <f>Pqp_supermarket_data[[#This Row],[Unit_Price]]*Pqp_supermarket_data[[#This Row],[Quantity]]</f>
        <v>6.4</v>
      </c>
      <c r="L674" t="str">
        <f>TEXT(Pqp_supermarket_data[[#This Row],[DateTime]],"ddd")</f>
        <v>Thu</v>
      </c>
      <c r="M674" t="str">
        <f>TEXT(Pqp_supermarket_data[[#This Row],[DateTime]],"mmm")</f>
        <v>May</v>
      </c>
      <c r="N674" t="str">
        <f>TEXT(Pqp_supermarket_data[[#This Row],[DateTime]],"yyy")</f>
        <v>2024</v>
      </c>
    </row>
    <row r="675" spans="1:14" x14ac:dyDescent="0.35">
      <c r="A675" t="s">
        <v>1496</v>
      </c>
      <c r="B675" s="1">
        <v>44802.784759502312</v>
      </c>
      <c r="C675" t="s">
        <v>1497</v>
      </c>
      <c r="D675" t="s">
        <v>30</v>
      </c>
      <c r="E675" t="s">
        <v>145</v>
      </c>
      <c r="F675">
        <v>1.7</v>
      </c>
      <c r="G675">
        <v>9</v>
      </c>
      <c r="H675" t="s">
        <v>14</v>
      </c>
      <c r="I675" t="s">
        <v>61</v>
      </c>
      <c r="J675" t="s">
        <v>22</v>
      </c>
      <c r="K675">
        <f>Pqp_supermarket_data[[#This Row],[Unit_Price]]*Pqp_supermarket_data[[#This Row],[Quantity]]</f>
        <v>15.299999999999999</v>
      </c>
      <c r="L675" t="str">
        <f>TEXT(Pqp_supermarket_data[[#This Row],[DateTime]],"ddd")</f>
        <v>Mon</v>
      </c>
      <c r="M675" t="str">
        <f>TEXT(Pqp_supermarket_data[[#This Row],[DateTime]],"mmm")</f>
        <v>Aug</v>
      </c>
      <c r="N675" t="str">
        <f>TEXT(Pqp_supermarket_data[[#This Row],[DateTime]],"yyy")</f>
        <v>2022</v>
      </c>
    </row>
    <row r="676" spans="1:14" x14ac:dyDescent="0.35">
      <c r="A676" t="s">
        <v>1498</v>
      </c>
      <c r="B676" s="1">
        <v>45759.888926180553</v>
      </c>
      <c r="C676" t="s">
        <v>1499</v>
      </c>
      <c r="D676" t="s">
        <v>208</v>
      </c>
      <c r="E676" t="s">
        <v>49</v>
      </c>
      <c r="F676">
        <v>7</v>
      </c>
      <c r="G676">
        <v>3</v>
      </c>
      <c r="H676" t="s">
        <v>14</v>
      </c>
      <c r="I676" t="s">
        <v>40</v>
      </c>
      <c r="J676" t="s">
        <v>178</v>
      </c>
      <c r="K676">
        <f>Pqp_supermarket_data[[#This Row],[Unit_Price]]*Pqp_supermarket_data[[#This Row],[Quantity]]</f>
        <v>21</v>
      </c>
      <c r="L676" t="str">
        <f>TEXT(Pqp_supermarket_data[[#This Row],[DateTime]],"ddd")</f>
        <v>Sat</v>
      </c>
      <c r="M676" t="str">
        <f>TEXT(Pqp_supermarket_data[[#This Row],[DateTime]],"mmm")</f>
        <v>Apr</v>
      </c>
      <c r="N676" t="str">
        <f>TEXT(Pqp_supermarket_data[[#This Row],[DateTime]],"yyy")</f>
        <v>2025</v>
      </c>
    </row>
    <row r="677" spans="1:14" x14ac:dyDescent="0.35">
      <c r="A677" t="s">
        <v>1500</v>
      </c>
      <c r="B677" s="1">
        <v>45671.297953958332</v>
      </c>
      <c r="C677" t="s">
        <v>1501</v>
      </c>
      <c r="D677" t="s">
        <v>226</v>
      </c>
      <c r="E677" t="s">
        <v>94</v>
      </c>
      <c r="F677">
        <v>0.8</v>
      </c>
      <c r="G677">
        <v>5</v>
      </c>
      <c r="H677" t="s">
        <v>14</v>
      </c>
      <c r="I677" t="s">
        <v>36</v>
      </c>
      <c r="J677" t="s">
        <v>364</v>
      </c>
      <c r="K677">
        <f>Pqp_supermarket_data[[#This Row],[Unit_Price]]*Pqp_supermarket_data[[#This Row],[Quantity]]</f>
        <v>4</v>
      </c>
      <c r="L677" t="str">
        <f>TEXT(Pqp_supermarket_data[[#This Row],[DateTime]],"ddd")</f>
        <v>Tue</v>
      </c>
      <c r="M677" t="str">
        <f>TEXT(Pqp_supermarket_data[[#This Row],[DateTime]],"mmm")</f>
        <v>Jan</v>
      </c>
      <c r="N677" t="str">
        <f>TEXT(Pqp_supermarket_data[[#This Row],[DateTime]],"yyy")</f>
        <v>2025</v>
      </c>
    </row>
    <row r="678" spans="1:14" x14ac:dyDescent="0.35">
      <c r="A678" t="s">
        <v>1502</v>
      </c>
      <c r="B678" s="1">
        <v>45487.487537291665</v>
      </c>
      <c r="C678" t="s">
        <v>1503</v>
      </c>
      <c r="D678" t="s">
        <v>226</v>
      </c>
      <c r="E678" t="s">
        <v>57</v>
      </c>
      <c r="F678">
        <v>4.5</v>
      </c>
      <c r="G678">
        <v>4</v>
      </c>
      <c r="H678" t="s">
        <v>14</v>
      </c>
      <c r="I678" t="s">
        <v>21</v>
      </c>
      <c r="J678" t="s">
        <v>74</v>
      </c>
      <c r="K678">
        <f>Pqp_supermarket_data[[#This Row],[Unit_Price]]*Pqp_supermarket_data[[#This Row],[Quantity]]</f>
        <v>18</v>
      </c>
      <c r="L678" t="str">
        <f>TEXT(Pqp_supermarket_data[[#This Row],[DateTime]],"ddd")</f>
        <v>Sun</v>
      </c>
      <c r="M678" t="str">
        <f>TEXT(Pqp_supermarket_data[[#This Row],[DateTime]],"mmm")</f>
        <v>Jul</v>
      </c>
      <c r="N678" t="str">
        <f>TEXT(Pqp_supermarket_data[[#This Row],[DateTime]],"yyy")</f>
        <v>2024</v>
      </c>
    </row>
    <row r="679" spans="1:14" x14ac:dyDescent="0.35">
      <c r="A679" t="s">
        <v>1504</v>
      </c>
      <c r="B679" s="1">
        <v>45051.972259513888</v>
      </c>
      <c r="C679" t="s">
        <v>1505</v>
      </c>
      <c r="D679" t="s">
        <v>171</v>
      </c>
      <c r="E679" t="s">
        <v>20</v>
      </c>
      <c r="F679">
        <v>1</v>
      </c>
      <c r="G679">
        <v>4</v>
      </c>
      <c r="H679" t="s">
        <v>14</v>
      </c>
      <c r="I679" t="s">
        <v>36</v>
      </c>
      <c r="J679" t="s">
        <v>230</v>
      </c>
      <c r="K679">
        <f>Pqp_supermarket_data[[#This Row],[Unit_Price]]*Pqp_supermarket_data[[#This Row],[Quantity]]</f>
        <v>4</v>
      </c>
      <c r="L679" t="str">
        <f>TEXT(Pqp_supermarket_data[[#This Row],[DateTime]],"ddd")</f>
        <v>Fri</v>
      </c>
      <c r="M679" t="str">
        <f>TEXT(Pqp_supermarket_data[[#This Row],[DateTime]],"mmm")</f>
        <v>May</v>
      </c>
      <c r="N679" t="str">
        <f>TEXT(Pqp_supermarket_data[[#This Row],[DateTime]],"yyy")</f>
        <v>2023</v>
      </c>
    </row>
    <row r="680" spans="1:14" x14ac:dyDescent="0.35">
      <c r="A680" t="s">
        <v>1506</v>
      </c>
      <c r="B680" s="1">
        <v>44637.049342847225</v>
      </c>
      <c r="C680" t="s">
        <v>1507</v>
      </c>
      <c r="D680" t="s">
        <v>85</v>
      </c>
      <c r="E680" t="s">
        <v>57</v>
      </c>
      <c r="F680">
        <v>4.5</v>
      </c>
      <c r="G680">
        <v>1</v>
      </c>
      <c r="H680" t="s">
        <v>14</v>
      </c>
      <c r="I680" t="s">
        <v>86</v>
      </c>
      <c r="J680" t="s">
        <v>423</v>
      </c>
      <c r="K680">
        <f>Pqp_supermarket_data[[#This Row],[Unit_Price]]*Pqp_supermarket_data[[#This Row],[Quantity]]</f>
        <v>4.5</v>
      </c>
      <c r="L680" t="str">
        <f>TEXT(Pqp_supermarket_data[[#This Row],[DateTime]],"ddd")</f>
        <v>Thu</v>
      </c>
      <c r="M680" t="str">
        <f>TEXT(Pqp_supermarket_data[[#This Row],[DateTime]],"mmm")</f>
        <v>Mar</v>
      </c>
      <c r="N680" t="str">
        <f>TEXT(Pqp_supermarket_data[[#This Row],[DateTime]],"yyy")</f>
        <v>2022</v>
      </c>
    </row>
    <row r="681" spans="1:14" x14ac:dyDescent="0.35">
      <c r="A681" t="s">
        <v>1508</v>
      </c>
      <c r="B681" s="1">
        <v>44932.670870636575</v>
      </c>
      <c r="C681" t="s">
        <v>1509</v>
      </c>
      <c r="D681" t="s">
        <v>85</v>
      </c>
      <c r="E681" t="s">
        <v>137</v>
      </c>
      <c r="F681">
        <v>2.5</v>
      </c>
      <c r="G681">
        <v>1</v>
      </c>
      <c r="H681" t="s">
        <v>14</v>
      </c>
      <c r="I681" t="s">
        <v>36</v>
      </c>
      <c r="J681" t="s">
        <v>364</v>
      </c>
      <c r="K681">
        <f>Pqp_supermarket_data[[#This Row],[Unit_Price]]*Pqp_supermarket_data[[#This Row],[Quantity]]</f>
        <v>2.5</v>
      </c>
      <c r="L681" t="str">
        <f>TEXT(Pqp_supermarket_data[[#This Row],[DateTime]],"ddd")</f>
        <v>Fri</v>
      </c>
      <c r="M681" t="str">
        <f>TEXT(Pqp_supermarket_data[[#This Row],[DateTime]],"mmm")</f>
        <v>Jan</v>
      </c>
      <c r="N681" t="str">
        <f>TEXT(Pqp_supermarket_data[[#This Row],[DateTime]],"yyy")</f>
        <v>2023</v>
      </c>
    </row>
    <row r="682" spans="1:14" x14ac:dyDescent="0.35">
      <c r="A682" t="s">
        <v>1510</v>
      </c>
      <c r="B682" s="1">
        <v>45370.729898414349</v>
      </c>
      <c r="C682" t="s">
        <v>1511</v>
      </c>
      <c r="D682" t="s">
        <v>226</v>
      </c>
      <c r="E682" t="s">
        <v>70</v>
      </c>
      <c r="F682">
        <v>5</v>
      </c>
      <c r="G682">
        <v>4</v>
      </c>
      <c r="H682" t="s">
        <v>14</v>
      </c>
      <c r="I682" t="s">
        <v>36</v>
      </c>
      <c r="J682" t="s">
        <v>54</v>
      </c>
      <c r="K682">
        <f>Pqp_supermarket_data[[#This Row],[Unit_Price]]*Pqp_supermarket_data[[#This Row],[Quantity]]</f>
        <v>20</v>
      </c>
      <c r="L682" t="str">
        <f>TEXT(Pqp_supermarket_data[[#This Row],[DateTime]],"ddd")</f>
        <v>Tue</v>
      </c>
      <c r="M682" t="str">
        <f>TEXT(Pqp_supermarket_data[[#This Row],[DateTime]],"mmm")</f>
        <v>Mar</v>
      </c>
      <c r="N682" t="str">
        <f>TEXT(Pqp_supermarket_data[[#This Row],[DateTime]],"yyy")</f>
        <v>2024</v>
      </c>
    </row>
    <row r="683" spans="1:14" x14ac:dyDescent="0.35">
      <c r="A683" t="s">
        <v>1512</v>
      </c>
      <c r="B683" s="1">
        <v>44332.710453969907</v>
      </c>
      <c r="C683" t="s">
        <v>1513</v>
      </c>
      <c r="D683" t="s">
        <v>226</v>
      </c>
      <c r="E683" t="s">
        <v>119</v>
      </c>
      <c r="F683">
        <v>4</v>
      </c>
      <c r="G683">
        <v>9</v>
      </c>
      <c r="H683" t="s">
        <v>14</v>
      </c>
      <c r="I683" t="s">
        <v>36</v>
      </c>
      <c r="J683" t="s">
        <v>538</v>
      </c>
      <c r="K683">
        <f>Pqp_supermarket_data[[#This Row],[Unit_Price]]*Pqp_supermarket_data[[#This Row],[Quantity]]</f>
        <v>36</v>
      </c>
      <c r="L683" t="str">
        <f>TEXT(Pqp_supermarket_data[[#This Row],[DateTime]],"ddd")</f>
        <v>Sun</v>
      </c>
      <c r="M683" t="str">
        <f>TEXT(Pqp_supermarket_data[[#This Row],[DateTime]],"mmm")</f>
        <v>May</v>
      </c>
      <c r="N683" t="str">
        <f>TEXT(Pqp_supermarket_data[[#This Row],[DateTime]],"yyy")</f>
        <v>2021</v>
      </c>
    </row>
    <row r="684" spans="1:14" x14ac:dyDescent="0.35">
      <c r="A684" t="s">
        <v>1514</v>
      </c>
      <c r="B684" s="1">
        <v>45383.593092870367</v>
      </c>
      <c r="C684" t="s">
        <v>1515</v>
      </c>
      <c r="D684" t="s">
        <v>127</v>
      </c>
      <c r="E684" t="s">
        <v>70</v>
      </c>
      <c r="F684">
        <v>5</v>
      </c>
      <c r="G684">
        <v>3</v>
      </c>
      <c r="H684" t="s">
        <v>14</v>
      </c>
      <c r="I684" t="s">
        <v>36</v>
      </c>
      <c r="J684" t="s">
        <v>205</v>
      </c>
      <c r="K684">
        <f>Pqp_supermarket_data[[#This Row],[Unit_Price]]*Pqp_supermarket_data[[#This Row],[Quantity]]</f>
        <v>15</v>
      </c>
      <c r="L684" t="str">
        <f>TEXT(Pqp_supermarket_data[[#This Row],[DateTime]],"ddd")</f>
        <v>Mon</v>
      </c>
      <c r="M684" t="str">
        <f>TEXT(Pqp_supermarket_data[[#This Row],[DateTime]],"mmm")</f>
        <v>Apr</v>
      </c>
      <c r="N684" t="str">
        <f>TEXT(Pqp_supermarket_data[[#This Row],[DateTime]],"yyy")</f>
        <v>2024</v>
      </c>
    </row>
    <row r="685" spans="1:14" x14ac:dyDescent="0.35">
      <c r="A685" t="s">
        <v>1516</v>
      </c>
      <c r="B685" s="1">
        <v>45404.318787326389</v>
      </c>
      <c r="C685" t="s">
        <v>1517</v>
      </c>
      <c r="D685" t="s">
        <v>85</v>
      </c>
      <c r="E685" t="s">
        <v>148</v>
      </c>
      <c r="F685">
        <v>5.5</v>
      </c>
      <c r="G685">
        <v>7</v>
      </c>
      <c r="H685" t="s">
        <v>14</v>
      </c>
      <c r="I685" t="s">
        <v>40</v>
      </c>
      <c r="J685" t="s">
        <v>22</v>
      </c>
      <c r="K685">
        <f>Pqp_supermarket_data[[#This Row],[Unit_Price]]*Pqp_supermarket_data[[#This Row],[Quantity]]</f>
        <v>38.5</v>
      </c>
      <c r="L685" t="str">
        <f>TEXT(Pqp_supermarket_data[[#This Row],[DateTime]],"ddd")</f>
        <v>Mon</v>
      </c>
      <c r="M685" t="str">
        <f>TEXT(Pqp_supermarket_data[[#This Row],[DateTime]],"mmm")</f>
        <v>Apr</v>
      </c>
      <c r="N685" t="str">
        <f>TEXT(Pqp_supermarket_data[[#This Row],[DateTime]],"yyy")</f>
        <v>2024</v>
      </c>
    </row>
    <row r="686" spans="1:14" x14ac:dyDescent="0.35">
      <c r="A686" t="s">
        <v>1518</v>
      </c>
      <c r="B686" s="1">
        <v>45214.840315127316</v>
      </c>
      <c r="C686" t="s">
        <v>1519</v>
      </c>
      <c r="D686" t="s">
        <v>69</v>
      </c>
      <c r="E686" t="s">
        <v>94</v>
      </c>
      <c r="F686">
        <v>0.8</v>
      </c>
      <c r="G686">
        <v>10</v>
      </c>
      <c r="H686" t="s">
        <v>14</v>
      </c>
      <c r="I686" t="s">
        <v>61</v>
      </c>
      <c r="J686" t="s">
        <v>288</v>
      </c>
      <c r="K686">
        <f>Pqp_supermarket_data[[#This Row],[Unit_Price]]*Pqp_supermarket_data[[#This Row],[Quantity]]</f>
        <v>8</v>
      </c>
      <c r="L686" t="str">
        <f>TEXT(Pqp_supermarket_data[[#This Row],[DateTime]],"ddd")</f>
        <v>Sun</v>
      </c>
      <c r="M686" t="str">
        <f>TEXT(Pqp_supermarket_data[[#This Row],[DateTime]],"mmm")</f>
        <v>Oct</v>
      </c>
      <c r="N686" t="str">
        <f>TEXT(Pqp_supermarket_data[[#This Row],[DateTime]],"yyy")</f>
        <v>2023</v>
      </c>
    </row>
    <row r="687" spans="1:14" x14ac:dyDescent="0.35">
      <c r="A687" t="s">
        <v>1520</v>
      </c>
      <c r="B687" s="1">
        <v>45109.945176238427</v>
      </c>
      <c r="C687" t="s">
        <v>1521</v>
      </c>
      <c r="D687" t="s">
        <v>19</v>
      </c>
      <c r="E687" t="s">
        <v>111</v>
      </c>
      <c r="F687">
        <v>2.2000000000000002</v>
      </c>
      <c r="G687">
        <v>1</v>
      </c>
      <c r="H687" t="s">
        <v>14</v>
      </c>
      <c r="I687" t="s">
        <v>15</v>
      </c>
      <c r="J687" t="s">
        <v>394</v>
      </c>
      <c r="K687">
        <f>Pqp_supermarket_data[[#This Row],[Unit_Price]]*Pqp_supermarket_data[[#This Row],[Quantity]]</f>
        <v>2.2000000000000002</v>
      </c>
      <c r="L687" t="str">
        <f>TEXT(Pqp_supermarket_data[[#This Row],[DateTime]],"ddd")</f>
        <v>Sun</v>
      </c>
      <c r="M687" t="str">
        <f>TEXT(Pqp_supermarket_data[[#This Row],[DateTime]],"mmm")</f>
        <v>Jul</v>
      </c>
      <c r="N687" t="str">
        <f>TEXT(Pqp_supermarket_data[[#This Row],[DateTime]],"yyy")</f>
        <v>2023</v>
      </c>
    </row>
    <row r="688" spans="1:14" x14ac:dyDescent="0.35">
      <c r="A688" t="s">
        <v>1522</v>
      </c>
      <c r="B688" s="1">
        <v>44564.484065127312</v>
      </c>
      <c r="C688" t="s">
        <v>1523</v>
      </c>
      <c r="D688" t="s">
        <v>19</v>
      </c>
      <c r="E688" t="s">
        <v>45</v>
      </c>
      <c r="F688">
        <v>1</v>
      </c>
      <c r="G688">
        <v>5</v>
      </c>
      <c r="H688" t="s">
        <v>14</v>
      </c>
      <c r="I688" t="s">
        <v>86</v>
      </c>
      <c r="J688" t="s">
        <v>317</v>
      </c>
      <c r="K688">
        <f>Pqp_supermarket_data[[#This Row],[Unit_Price]]*Pqp_supermarket_data[[#This Row],[Quantity]]</f>
        <v>5</v>
      </c>
      <c r="L688" t="str">
        <f>TEXT(Pqp_supermarket_data[[#This Row],[DateTime]],"ddd")</f>
        <v>Mon</v>
      </c>
      <c r="M688" t="str">
        <f>TEXT(Pqp_supermarket_data[[#This Row],[DateTime]],"mmm")</f>
        <v>Jan</v>
      </c>
      <c r="N688" t="str">
        <f>TEXT(Pqp_supermarket_data[[#This Row],[DateTime]],"yyy")</f>
        <v>2022</v>
      </c>
    </row>
    <row r="689" spans="1:14" x14ac:dyDescent="0.35">
      <c r="A689" t="s">
        <v>1524</v>
      </c>
      <c r="B689" s="1">
        <v>44660.098648472223</v>
      </c>
      <c r="C689" t="s">
        <v>1525</v>
      </c>
      <c r="D689" t="s">
        <v>226</v>
      </c>
      <c r="E689" t="s">
        <v>39</v>
      </c>
      <c r="F689">
        <v>3.2</v>
      </c>
      <c r="G689">
        <v>9</v>
      </c>
      <c r="H689" t="s">
        <v>14</v>
      </c>
      <c r="I689" t="s">
        <v>15</v>
      </c>
      <c r="J689" t="s">
        <v>458</v>
      </c>
      <c r="K689">
        <f>Pqp_supermarket_data[[#This Row],[Unit_Price]]*Pqp_supermarket_data[[#This Row],[Quantity]]</f>
        <v>28.8</v>
      </c>
      <c r="L689" t="str">
        <f>TEXT(Pqp_supermarket_data[[#This Row],[DateTime]],"ddd")</f>
        <v>Sat</v>
      </c>
      <c r="M689" t="str">
        <f>TEXT(Pqp_supermarket_data[[#This Row],[DateTime]],"mmm")</f>
        <v>Apr</v>
      </c>
      <c r="N689" t="str">
        <f>TEXT(Pqp_supermarket_data[[#This Row],[DateTime]],"yyy")</f>
        <v>2022</v>
      </c>
    </row>
    <row r="690" spans="1:14" x14ac:dyDescent="0.35">
      <c r="A690" t="s">
        <v>1526</v>
      </c>
      <c r="B690" s="1">
        <v>44720.441704027777</v>
      </c>
      <c r="C690" t="s">
        <v>1527</v>
      </c>
      <c r="D690" t="s">
        <v>85</v>
      </c>
      <c r="E690" t="s">
        <v>94</v>
      </c>
      <c r="F690">
        <v>0.8</v>
      </c>
      <c r="G690">
        <v>7</v>
      </c>
      <c r="H690" t="s">
        <v>14</v>
      </c>
      <c r="I690" t="s">
        <v>21</v>
      </c>
      <c r="J690" t="s">
        <v>183</v>
      </c>
      <c r="K690">
        <f>Pqp_supermarket_data[[#This Row],[Unit_Price]]*Pqp_supermarket_data[[#This Row],[Quantity]]</f>
        <v>5.6000000000000005</v>
      </c>
      <c r="L690" t="str">
        <f>TEXT(Pqp_supermarket_data[[#This Row],[DateTime]],"ddd")</f>
        <v>Wed</v>
      </c>
      <c r="M690" t="str">
        <f>TEXT(Pqp_supermarket_data[[#This Row],[DateTime]],"mmm")</f>
        <v>Jun</v>
      </c>
      <c r="N690" t="str">
        <f>TEXT(Pqp_supermarket_data[[#This Row],[DateTime]],"yyy")</f>
        <v>2022</v>
      </c>
    </row>
    <row r="691" spans="1:14" x14ac:dyDescent="0.35">
      <c r="A691" t="s">
        <v>1528</v>
      </c>
      <c r="B691" s="1">
        <v>44960.461148472219</v>
      </c>
      <c r="C691" t="s">
        <v>1529</v>
      </c>
      <c r="D691" t="s">
        <v>25</v>
      </c>
      <c r="E691" t="s">
        <v>78</v>
      </c>
      <c r="F691">
        <v>4</v>
      </c>
      <c r="G691">
        <v>6</v>
      </c>
      <c r="H691" t="s">
        <v>14</v>
      </c>
      <c r="I691" t="s">
        <v>61</v>
      </c>
      <c r="J691" t="s">
        <v>116</v>
      </c>
      <c r="K691">
        <f>Pqp_supermarket_data[[#This Row],[Unit_Price]]*Pqp_supermarket_data[[#This Row],[Quantity]]</f>
        <v>24</v>
      </c>
      <c r="L691" t="str">
        <f>TEXT(Pqp_supermarket_data[[#This Row],[DateTime]],"ddd")</f>
        <v>Fri</v>
      </c>
      <c r="M691" t="str">
        <f>TEXT(Pqp_supermarket_data[[#This Row],[DateTime]],"mmm")</f>
        <v>Feb</v>
      </c>
      <c r="N691" t="str">
        <f>TEXT(Pqp_supermarket_data[[#This Row],[DateTime]],"yyy")</f>
        <v>2023</v>
      </c>
    </row>
    <row r="692" spans="1:14" x14ac:dyDescent="0.35">
      <c r="A692" t="s">
        <v>1530</v>
      </c>
      <c r="B692" s="1">
        <v>45185.276426249999</v>
      </c>
      <c r="C692" t="s">
        <v>1531</v>
      </c>
      <c r="D692" t="s">
        <v>171</v>
      </c>
      <c r="E692" t="s">
        <v>90</v>
      </c>
      <c r="F692">
        <v>1.8</v>
      </c>
      <c r="G692">
        <v>8</v>
      </c>
      <c r="H692" t="s">
        <v>14</v>
      </c>
      <c r="I692" t="s">
        <v>21</v>
      </c>
      <c r="J692" t="s">
        <v>91</v>
      </c>
      <c r="K692">
        <f>Pqp_supermarket_data[[#This Row],[Unit_Price]]*Pqp_supermarket_data[[#This Row],[Quantity]]</f>
        <v>14.4</v>
      </c>
      <c r="L692" t="str">
        <f>TEXT(Pqp_supermarket_data[[#This Row],[DateTime]],"ddd")</f>
        <v>Sat</v>
      </c>
      <c r="M692" t="str">
        <f>TEXT(Pqp_supermarket_data[[#This Row],[DateTime]],"mmm")</f>
        <v>Sep</v>
      </c>
      <c r="N692" t="str">
        <f>TEXT(Pqp_supermarket_data[[#This Row],[DateTime]],"yyy")</f>
        <v>2023</v>
      </c>
    </row>
    <row r="693" spans="1:14" x14ac:dyDescent="0.35">
      <c r="A693" t="s">
        <v>1532</v>
      </c>
      <c r="B693" s="1">
        <v>44457.554898483795</v>
      </c>
      <c r="C693" t="s">
        <v>1533</v>
      </c>
      <c r="D693" t="s">
        <v>30</v>
      </c>
      <c r="E693" t="s">
        <v>53</v>
      </c>
      <c r="F693">
        <v>2.8</v>
      </c>
      <c r="G693">
        <v>8</v>
      </c>
      <c r="H693" t="s">
        <v>14</v>
      </c>
      <c r="I693" t="s">
        <v>15</v>
      </c>
      <c r="J693" t="s">
        <v>230</v>
      </c>
      <c r="K693">
        <f>Pqp_supermarket_data[[#This Row],[Unit_Price]]*Pqp_supermarket_data[[#This Row],[Quantity]]</f>
        <v>22.4</v>
      </c>
      <c r="L693" t="str">
        <f>TEXT(Pqp_supermarket_data[[#This Row],[DateTime]],"ddd")</f>
        <v>Sat</v>
      </c>
      <c r="M693" t="str">
        <f>TEXT(Pqp_supermarket_data[[#This Row],[DateTime]],"mmm")</f>
        <v>Sep</v>
      </c>
      <c r="N693" t="str">
        <f>TEXT(Pqp_supermarket_data[[#This Row],[DateTime]],"yyy")</f>
        <v>2021</v>
      </c>
    </row>
    <row r="694" spans="1:14" x14ac:dyDescent="0.35">
      <c r="A694" t="s">
        <v>1534</v>
      </c>
      <c r="B694" s="1">
        <v>44529.757676261572</v>
      </c>
      <c r="C694" t="s">
        <v>1535</v>
      </c>
      <c r="D694" t="s">
        <v>208</v>
      </c>
      <c r="E694" t="s">
        <v>39</v>
      </c>
      <c r="F694">
        <v>3.2</v>
      </c>
      <c r="G694">
        <v>7</v>
      </c>
      <c r="H694" t="s">
        <v>14</v>
      </c>
      <c r="I694" t="s">
        <v>40</v>
      </c>
      <c r="J694" t="s">
        <v>423</v>
      </c>
      <c r="K694">
        <f>Pqp_supermarket_data[[#This Row],[Unit_Price]]*Pqp_supermarket_data[[#This Row],[Quantity]]</f>
        <v>22.400000000000002</v>
      </c>
      <c r="L694" t="str">
        <f>TEXT(Pqp_supermarket_data[[#This Row],[DateTime]],"ddd")</f>
        <v>Mon</v>
      </c>
      <c r="M694" t="str">
        <f>TEXT(Pqp_supermarket_data[[#This Row],[DateTime]],"mmm")</f>
        <v>Nov</v>
      </c>
      <c r="N694" t="str">
        <f>TEXT(Pqp_supermarket_data[[#This Row],[DateTime]],"yyy")</f>
        <v>2021</v>
      </c>
    </row>
    <row r="695" spans="1:14" x14ac:dyDescent="0.35">
      <c r="A695" t="s">
        <v>1536</v>
      </c>
      <c r="B695" s="1">
        <v>45260.819481817132</v>
      </c>
      <c r="C695" t="s">
        <v>1537</v>
      </c>
      <c r="D695" t="s">
        <v>127</v>
      </c>
      <c r="E695" t="s">
        <v>35</v>
      </c>
      <c r="F695">
        <v>1.2</v>
      </c>
      <c r="G695">
        <v>9</v>
      </c>
      <c r="H695" t="s">
        <v>14</v>
      </c>
      <c r="I695" t="s">
        <v>61</v>
      </c>
      <c r="J695" t="s">
        <v>138</v>
      </c>
      <c r="K695">
        <f>Pqp_supermarket_data[[#This Row],[Unit_Price]]*Pqp_supermarket_data[[#This Row],[Quantity]]</f>
        <v>10.799999999999999</v>
      </c>
      <c r="L695" t="str">
        <f>TEXT(Pqp_supermarket_data[[#This Row],[DateTime]],"ddd")</f>
        <v>Thu</v>
      </c>
      <c r="M695" t="str">
        <f>TEXT(Pqp_supermarket_data[[#This Row],[DateTime]],"mmm")</f>
        <v>Nov</v>
      </c>
      <c r="N695" t="str">
        <f>TEXT(Pqp_supermarket_data[[#This Row],[DateTime]],"yyy")</f>
        <v>2023</v>
      </c>
    </row>
    <row r="696" spans="1:14" x14ac:dyDescent="0.35">
      <c r="A696" t="s">
        <v>1538</v>
      </c>
      <c r="B696" s="1">
        <v>44744.954898495373</v>
      </c>
      <c r="C696" t="s">
        <v>1539</v>
      </c>
      <c r="D696" t="s">
        <v>208</v>
      </c>
      <c r="E696" t="s">
        <v>57</v>
      </c>
      <c r="F696">
        <v>4.5</v>
      </c>
      <c r="G696">
        <v>4</v>
      </c>
      <c r="H696" t="s">
        <v>14</v>
      </c>
      <c r="I696" t="s">
        <v>61</v>
      </c>
      <c r="J696" t="s">
        <v>138</v>
      </c>
      <c r="K696">
        <f>Pqp_supermarket_data[[#This Row],[Unit_Price]]*Pqp_supermarket_data[[#This Row],[Quantity]]</f>
        <v>18</v>
      </c>
      <c r="L696" t="str">
        <f>TEXT(Pqp_supermarket_data[[#This Row],[DateTime]],"ddd")</f>
        <v>Sat</v>
      </c>
      <c r="M696" t="str">
        <f>TEXT(Pqp_supermarket_data[[#This Row],[DateTime]],"mmm")</f>
        <v>Jul</v>
      </c>
      <c r="N696" t="str">
        <f>TEXT(Pqp_supermarket_data[[#This Row],[DateTime]],"yyy")</f>
        <v>2022</v>
      </c>
    </row>
    <row r="697" spans="1:14" x14ac:dyDescent="0.35">
      <c r="A697" t="s">
        <v>1540</v>
      </c>
      <c r="B697" s="1">
        <v>45618.427815162038</v>
      </c>
      <c r="C697" t="s">
        <v>1541</v>
      </c>
      <c r="D697" t="s">
        <v>226</v>
      </c>
      <c r="E697" t="s">
        <v>20</v>
      </c>
      <c r="F697">
        <v>1</v>
      </c>
      <c r="G697">
        <v>9</v>
      </c>
      <c r="H697" t="s">
        <v>14</v>
      </c>
      <c r="I697" t="s">
        <v>40</v>
      </c>
      <c r="J697" t="s">
        <v>134</v>
      </c>
      <c r="K697">
        <f>Pqp_supermarket_data[[#This Row],[Unit_Price]]*Pqp_supermarket_data[[#This Row],[Quantity]]</f>
        <v>9</v>
      </c>
      <c r="L697" t="str">
        <f>TEXT(Pqp_supermarket_data[[#This Row],[DateTime]],"ddd")</f>
        <v>Fri</v>
      </c>
      <c r="M697" t="str">
        <f>TEXT(Pqp_supermarket_data[[#This Row],[DateTime]],"mmm")</f>
        <v>Nov</v>
      </c>
      <c r="N697" t="str">
        <f>TEXT(Pqp_supermarket_data[[#This Row],[DateTime]],"yyy")</f>
        <v>2024</v>
      </c>
    </row>
    <row r="698" spans="1:14" x14ac:dyDescent="0.35">
      <c r="A698" t="s">
        <v>1542</v>
      </c>
      <c r="B698" s="1">
        <v>45652.280592939816</v>
      </c>
      <c r="C698" t="s">
        <v>1543</v>
      </c>
      <c r="D698" t="s">
        <v>30</v>
      </c>
      <c r="E698" t="s">
        <v>78</v>
      </c>
      <c r="F698">
        <v>4</v>
      </c>
      <c r="G698">
        <v>7</v>
      </c>
      <c r="H698" t="s">
        <v>14</v>
      </c>
      <c r="I698" t="s">
        <v>40</v>
      </c>
      <c r="J698" t="s">
        <v>212</v>
      </c>
      <c r="K698">
        <f>Pqp_supermarket_data[[#This Row],[Unit_Price]]*Pqp_supermarket_data[[#This Row],[Quantity]]</f>
        <v>28</v>
      </c>
      <c r="L698" t="str">
        <f>TEXT(Pqp_supermarket_data[[#This Row],[DateTime]],"ddd")</f>
        <v>Thu</v>
      </c>
      <c r="M698" t="str">
        <f>TEXT(Pqp_supermarket_data[[#This Row],[DateTime]],"mmm")</f>
        <v>Dec</v>
      </c>
      <c r="N698" t="str">
        <f>TEXT(Pqp_supermarket_data[[#This Row],[DateTime]],"yyy")</f>
        <v>2024</v>
      </c>
    </row>
    <row r="699" spans="1:14" x14ac:dyDescent="0.35">
      <c r="A699" t="s">
        <v>1544</v>
      </c>
      <c r="B699" s="1">
        <v>44684.604204050927</v>
      </c>
      <c r="C699" t="s">
        <v>1545</v>
      </c>
      <c r="D699" t="s">
        <v>12</v>
      </c>
      <c r="E699" t="s">
        <v>145</v>
      </c>
      <c r="F699">
        <v>1.7</v>
      </c>
      <c r="G699">
        <v>2</v>
      </c>
      <c r="H699" t="s">
        <v>14</v>
      </c>
      <c r="I699" t="s">
        <v>36</v>
      </c>
      <c r="J699" t="s">
        <v>382</v>
      </c>
      <c r="K699">
        <f>Pqp_supermarket_data[[#This Row],[Unit_Price]]*Pqp_supermarket_data[[#This Row],[Quantity]]</f>
        <v>3.4</v>
      </c>
      <c r="L699" t="str">
        <f>TEXT(Pqp_supermarket_data[[#This Row],[DateTime]],"ddd")</f>
        <v>Tue</v>
      </c>
      <c r="M699" t="str">
        <f>TEXT(Pqp_supermarket_data[[#This Row],[DateTime]],"mmm")</f>
        <v>May</v>
      </c>
      <c r="N699" t="str">
        <f>TEXT(Pqp_supermarket_data[[#This Row],[DateTime]],"yyy")</f>
        <v>2022</v>
      </c>
    </row>
    <row r="700" spans="1:14" x14ac:dyDescent="0.35">
      <c r="A700" t="s">
        <v>1546</v>
      </c>
      <c r="B700" s="1">
        <v>45472.539620729163</v>
      </c>
      <c r="C700" t="s">
        <v>1547</v>
      </c>
      <c r="D700" t="s">
        <v>12</v>
      </c>
      <c r="E700" t="s">
        <v>39</v>
      </c>
      <c r="F700">
        <v>3.2</v>
      </c>
      <c r="G700">
        <v>1</v>
      </c>
      <c r="H700" t="s">
        <v>14</v>
      </c>
      <c r="I700" t="s">
        <v>40</v>
      </c>
      <c r="J700" t="s">
        <v>205</v>
      </c>
      <c r="K700">
        <f>Pqp_supermarket_data[[#This Row],[Unit_Price]]*Pqp_supermarket_data[[#This Row],[Quantity]]</f>
        <v>3.2</v>
      </c>
      <c r="L700" t="str">
        <f>TEXT(Pqp_supermarket_data[[#This Row],[DateTime]],"ddd")</f>
        <v>Sat</v>
      </c>
      <c r="M700" t="str">
        <f>TEXT(Pqp_supermarket_data[[#This Row],[DateTime]],"mmm")</f>
        <v>Jun</v>
      </c>
      <c r="N700" t="str">
        <f>TEXT(Pqp_supermarket_data[[#This Row],[DateTime]],"yyy")</f>
        <v>2024</v>
      </c>
    </row>
    <row r="701" spans="1:14" x14ac:dyDescent="0.35">
      <c r="A701" t="s">
        <v>1548</v>
      </c>
      <c r="B701" s="1">
        <v>45675.316704062498</v>
      </c>
      <c r="C701" t="s">
        <v>1549</v>
      </c>
      <c r="D701" t="s">
        <v>127</v>
      </c>
      <c r="E701" t="s">
        <v>20</v>
      </c>
      <c r="F701">
        <v>1</v>
      </c>
      <c r="G701">
        <v>2</v>
      </c>
      <c r="H701" t="s">
        <v>14</v>
      </c>
      <c r="I701" t="s">
        <v>21</v>
      </c>
      <c r="J701" t="s">
        <v>496</v>
      </c>
      <c r="K701">
        <f>Pqp_supermarket_data[[#This Row],[Unit_Price]]*Pqp_supermarket_data[[#This Row],[Quantity]]</f>
        <v>2</v>
      </c>
      <c r="L701" t="str">
        <f>TEXT(Pqp_supermarket_data[[#This Row],[DateTime]],"ddd")</f>
        <v>Sat</v>
      </c>
      <c r="M701" t="str">
        <f>TEXT(Pqp_supermarket_data[[#This Row],[DateTime]],"mmm")</f>
        <v>Jan</v>
      </c>
      <c r="N701" t="str">
        <f>TEXT(Pqp_supermarket_data[[#This Row],[DateTime]],"yyy")</f>
        <v>2025</v>
      </c>
    </row>
    <row r="702" spans="1:14" x14ac:dyDescent="0.35">
      <c r="A702" t="s">
        <v>1550</v>
      </c>
      <c r="B702" s="1">
        <v>45257.001426284725</v>
      </c>
      <c r="C702" t="s">
        <v>1551</v>
      </c>
      <c r="D702" t="s">
        <v>98</v>
      </c>
      <c r="E702" t="s">
        <v>49</v>
      </c>
      <c r="F702">
        <v>7</v>
      </c>
      <c r="G702">
        <v>7</v>
      </c>
      <c r="H702" t="s">
        <v>14</v>
      </c>
      <c r="I702" t="s">
        <v>61</v>
      </c>
      <c r="J702" t="s">
        <v>397</v>
      </c>
      <c r="K702">
        <f>Pqp_supermarket_data[[#This Row],[Unit_Price]]*Pqp_supermarket_data[[#This Row],[Quantity]]</f>
        <v>49</v>
      </c>
      <c r="L702" t="str">
        <f>TEXT(Pqp_supermarket_data[[#This Row],[DateTime]],"ddd")</f>
        <v>Mon</v>
      </c>
      <c r="M702" t="str">
        <f>TEXT(Pqp_supermarket_data[[#This Row],[DateTime]],"mmm")</f>
        <v>Nov</v>
      </c>
      <c r="N702" t="str">
        <f>TEXT(Pqp_supermarket_data[[#This Row],[DateTime]],"yyy")</f>
        <v>2023</v>
      </c>
    </row>
    <row r="703" spans="1:14" x14ac:dyDescent="0.35">
      <c r="A703" t="s">
        <v>1552</v>
      </c>
      <c r="B703" s="1">
        <v>44988.679898506947</v>
      </c>
      <c r="C703" t="s">
        <v>1553</v>
      </c>
      <c r="D703" t="s">
        <v>85</v>
      </c>
      <c r="E703" t="s">
        <v>35</v>
      </c>
      <c r="F703">
        <v>1.2</v>
      </c>
      <c r="G703">
        <v>10</v>
      </c>
      <c r="H703" t="s">
        <v>14</v>
      </c>
      <c r="I703" t="s">
        <v>40</v>
      </c>
      <c r="J703" t="s">
        <v>91</v>
      </c>
      <c r="K703">
        <f>Pqp_supermarket_data[[#This Row],[Unit_Price]]*Pqp_supermarket_data[[#This Row],[Quantity]]</f>
        <v>12</v>
      </c>
      <c r="L703" t="str">
        <f>TEXT(Pqp_supermarket_data[[#This Row],[DateTime]],"ddd")</f>
        <v>Fri</v>
      </c>
      <c r="M703" t="str">
        <f>TEXT(Pqp_supermarket_data[[#This Row],[DateTime]],"mmm")</f>
        <v>Mar</v>
      </c>
      <c r="N703" t="str">
        <f>TEXT(Pqp_supermarket_data[[#This Row],[DateTime]],"yyy")</f>
        <v>2023</v>
      </c>
    </row>
    <row r="704" spans="1:14" x14ac:dyDescent="0.35">
      <c r="A704" t="s">
        <v>1554</v>
      </c>
      <c r="B704" s="1">
        <v>44587.487537407411</v>
      </c>
      <c r="C704" t="s">
        <v>1555</v>
      </c>
      <c r="D704" t="s">
        <v>34</v>
      </c>
      <c r="E704" t="s">
        <v>65</v>
      </c>
      <c r="F704">
        <v>3</v>
      </c>
      <c r="G704">
        <v>6</v>
      </c>
      <c r="H704" t="s">
        <v>14</v>
      </c>
      <c r="I704" t="s">
        <v>21</v>
      </c>
      <c r="J704" t="s">
        <v>192</v>
      </c>
      <c r="K704">
        <f>Pqp_supermarket_data[[#This Row],[Unit_Price]]*Pqp_supermarket_data[[#This Row],[Quantity]]</f>
        <v>18</v>
      </c>
      <c r="L704" t="str">
        <f>TEXT(Pqp_supermarket_data[[#This Row],[DateTime]],"ddd")</f>
        <v>Wed</v>
      </c>
      <c r="M704" t="str">
        <f>TEXT(Pqp_supermarket_data[[#This Row],[DateTime]],"mmm")</f>
        <v>Jan</v>
      </c>
      <c r="N704" t="str">
        <f>TEXT(Pqp_supermarket_data[[#This Row],[DateTime]],"yyy")</f>
        <v>2022</v>
      </c>
    </row>
    <row r="705" spans="1:14" x14ac:dyDescent="0.35">
      <c r="A705" t="s">
        <v>1556</v>
      </c>
      <c r="B705" s="1">
        <v>45192.671565185185</v>
      </c>
      <c r="C705" t="s">
        <v>1557</v>
      </c>
      <c r="D705" t="s">
        <v>171</v>
      </c>
      <c r="E705" t="s">
        <v>65</v>
      </c>
      <c r="F705">
        <v>3</v>
      </c>
      <c r="G705">
        <v>5</v>
      </c>
      <c r="H705" t="s">
        <v>14</v>
      </c>
      <c r="I705" t="s">
        <v>86</v>
      </c>
      <c r="J705" t="s">
        <v>41</v>
      </c>
      <c r="K705">
        <f>Pqp_supermarket_data[[#This Row],[Unit_Price]]*Pqp_supermarket_data[[#This Row],[Quantity]]</f>
        <v>15</v>
      </c>
      <c r="L705" t="str">
        <f>TEXT(Pqp_supermarket_data[[#This Row],[DateTime]],"ddd")</f>
        <v>Sat</v>
      </c>
      <c r="M705" t="str">
        <f>TEXT(Pqp_supermarket_data[[#This Row],[DateTime]],"mmm")</f>
        <v>Sep</v>
      </c>
      <c r="N705" t="str">
        <f>TEXT(Pqp_supermarket_data[[#This Row],[DateTime]],"yyy")</f>
        <v>2023</v>
      </c>
    </row>
    <row r="706" spans="1:14" x14ac:dyDescent="0.35">
      <c r="A706" t="s">
        <v>1558</v>
      </c>
      <c r="B706" s="1">
        <v>44976.684065185182</v>
      </c>
      <c r="C706" t="s">
        <v>1559</v>
      </c>
      <c r="D706" t="s">
        <v>98</v>
      </c>
      <c r="E706" t="s">
        <v>94</v>
      </c>
      <c r="F706">
        <v>0.8</v>
      </c>
      <c r="G706">
        <v>9</v>
      </c>
      <c r="H706" t="s">
        <v>14</v>
      </c>
      <c r="I706" t="s">
        <v>15</v>
      </c>
      <c r="J706" t="s">
        <v>16</v>
      </c>
      <c r="K706">
        <f>Pqp_supermarket_data[[#This Row],[Unit_Price]]*Pqp_supermarket_data[[#This Row],[Quantity]]</f>
        <v>7.2</v>
      </c>
      <c r="L706" t="str">
        <f>TEXT(Pqp_supermarket_data[[#This Row],[DateTime]],"ddd")</f>
        <v>Sun</v>
      </c>
      <c r="M706" t="str">
        <f>TEXT(Pqp_supermarket_data[[#This Row],[DateTime]],"mmm")</f>
        <v>Feb</v>
      </c>
      <c r="N706" t="str">
        <f>TEXT(Pqp_supermarket_data[[#This Row],[DateTime]],"yyy")</f>
        <v>2023</v>
      </c>
    </row>
    <row r="707" spans="1:14" x14ac:dyDescent="0.35">
      <c r="A707" t="s">
        <v>1560</v>
      </c>
      <c r="B707" s="1">
        <v>44985.838926296296</v>
      </c>
      <c r="C707" t="s">
        <v>1561</v>
      </c>
      <c r="D707" t="s">
        <v>30</v>
      </c>
      <c r="E707" t="s">
        <v>111</v>
      </c>
      <c r="F707">
        <v>2.2000000000000002</v>
      </c>
      <c r="G707">
        <v>5</v>
      </c>
      <c r="H707" t="s">
        <v>14</v>
      </c>
      <c r="I707" t="s">
        <v>36</v>
      </c>
      <c r="J707" t="s">
        <v>46</v>
      </c>
      <c r="K707">
        <f>Pqp_supermarket_data[[#This Row],[Unit_Price]]*Pqp_supermarket_data[[#This Row],[Quantity]]</f>
        <v>11</v>
      </c>
      <c r="L707" t="str">
        <f>TEXT(Pqp_supermarket_data[[#This Row],[DateTime]],"ddd")</f>
        <v>Tue</v>
      </c>
      <c r="M707" t="str">
        <f>TEXT(Pqp_supermarket_data[[#This Row],[DateTime]],"mmm")</f>
        <v>Feb</v>
      </c>
      <c r="N707" t="str">
        <f>TEXT(Pqp_supermarket_data[[#This Row],[DateTime]],"yyy")</f>
        <v>2023</v>
      </c>
    </row>
    <row r="708" spans="1:14" x14ac:dyDescent="0.35">
      <c r="A708" t="s">
        <v>1562</v>
      </c>
      <c r="B708" s="1">
        <v>44460.101426307869</v>
      </c>
      <c r="C708" t="s">
        <v>1563</v>
      </c>
      <c r="D708" t="s">
        <v>85</v>
      </c>
      <c r="E708" t="s">
        <v>20</v>
      </c>
      <c r="F708">
        <v>1</v>
      </c>
      <c r="G708">
        <v>3</v>
      </c>
      <c r="H708" t="s">
        <v>14</v>
      </c>
      <c r="I708" t="s">
        <v>40</v>
      </c>
      <c r="J708" t="s">
        <v>436</v>
      </c>
      <c r="K708">
        <f>Pqp_supermarket_data[[#This Row],[Unit_Price]]*Pqp_supermarket_data[[#This Row],[Quantity]]</f>
        <v>3</v>
      </c>
      <c r="L708" t="str">
        <f>TEXT(Pqp_supermarket_data[[#This Row],[DateTime]],"ddd")</f>
        <v>Tue</v>
      </c>
      <c r="M708" t="str">
        <f>TEXT(Pqp_supermarket_data[[#This Row],[DateTime]],"mmm")</f>
        <v>Sep</v>
      </c>
      <c r="N708" t="str">
        <f>TEXT(Pqp_supermarket_data[[#This Row],[DateTime]],"yyy")</f>
        <v>2021</v>
      </c>
    </row>
    <row r="709" spans="1:14" x14ac:dyDescent="0.35">
      <c r="A709" t="s">
        <v>1564</v>
      </c>
      <c r="B709" s="1">
        <v>45775.783370752317</v>
      </c>
      <c r="C709" t="s">
        <v>1565</v>
      </c>
      <c r="D709" t="s">
        <v>82</v>
      </c>
      <c r="E709" t="s">
        <v>20</v>
      </c>
      <c r="F709">
        <v>1</v>
      </c>
      <c r="G709">
        <v>9</v>
      </c>
      <c r="H709" t="s">
        <v>14</v>
      </c>
      <c r="I709" t="s">
        <v>40</v>
      </c>
      <c r="J709" t="s">
        <v>245</v>
      </c>
      <c r="K709">
        <f>Pqp_supermarket_data[[#This Row],[Unit_Price]]*Pqp_supermarket_data[[#This Row],[Quantity]]</f>
        <v>9</v>
      </c>
      <c r="L709" t="str">
        <f>TEXT(Pqp_supermarket_data[[#This Row],[DateTime]],"ddd")</f>
        <v>Mon</v>
      </c>
      <c r="M709" t="str">
        <f>TEXT(Pqp_supermarket_data[[#This Row],[DateTime]],"mmm")</f>
        <v>Apr</v>
      </c>
      <c r="N709" t="str">
        <f>TEXT(Pqp_supermarket_data[[#This Row],[DateTime]],"yyy")</f>
        <v>2025</v>
      </c>
    </row>
    <row r="710" spans="1:14" x14ac:dyDescent="0.35">
      <c r="A710" t="s">
        <v>1566</v>
      </c>
      <c r="B710" s="1">
        <v>45355.568787418983</v>
      </c>
      <c r="C710" t="s">
        <v>1567</v>
      </c>
      <c r="D710" t="s">
        <v>19</v>
      </c>
      <c r="E710" t="s">
        <v>53</v>
      </c>
      <c r="F710">
        <v>2.8</v>
      </c>
      <c r="G710">
        <v>4</v>
      </c>
      <c r="H710" t="s">
        <v>14</v>
      </c>
      <c r="I710" t="s">
        <v>86</v>
      </c>
      <c r="J710" t="s">
        <v>230</v>
      </c>
      <c r="K710">
        <f>Pqp_supermarket_data[[#This Row],[Unit_Price]]*Pqp_supermarket_data[[#This Row],[Quantity]]</f>
        <v>11.2</v>
      </c>
      <c r="L710" t="str">
        <f>TEXT(Pqp_supermarket_data[[#This Row],[DateTime]],"ddd")</f>
        <v>Mon</v>
      </c>
      <c r="M710" t="str">
        <f>TEXT(Pqp_supermarket_data[[#This Row],[DateTime]],"mmm")</f>
        <v>Mar</v>
      </c>
      <c r="N710" t="str">
        <f>TEXT(Pqp_supermarket_data[[#This Row],[DateTime]],"yyy")</f>
        <v>2024</v>
      </c>
    </row>
    <row r="711" spans="1:14" x14ac:dyDescent="0.35">
      <c r="A711" t="s">
        <v>1568</v>
      </c>
      <c r="B711" s="1">
        <v>44737.386148530095</v>
      </c>
      <c r="C711" t="s">
        <v>1569</v>
      </c>
      <c r="D711" t="s">
        <v>69</v>
      </c>
      <c r="E711" t="s">
        <v>26</v>
      </c>
      <c r="F711">
        <v>2.5</v>
      </c>
      <c r="G711">
        <v>10</v>
      </c>
      <c r="H711" t="s">
        <v>14</v>
      </c>
      <c r="I711" t="s">
        <v>61</v>
      </c>
      <c r="J711" t="s">
        <v>248</v>
      </c>
      <c r="K711">
        <f>Pqp_supermarket_data[[#This Row],[Unit_Price]]*Pqp_supermarket_data[[#This Row],[Quantity]]</f>
        <v>25</v>
      </c>
      <c r="L711" t="str">
        <f>TEXT(Pqp_supermarket_data[[#This Row],[DateTime]],"ddd")</f>
        <v>Sat</v>
      </c>
      <c r="M711" t="str">
        <f>TEXT(Pqp_supermarket_data[[#This Row],[DateTime]],"mmm")</f>
        <v>Jun</v>
      </c>
      <c r="N711" t="str">
        <f>TEXT(Pqp_supermarket_data[[#This Row],[DateTime]],"yyy")</f>
        <v>2022</v>
      </c>
    </row>
    <row r="712" spans="1:14" x14ac:dyDescent="0.35">
      <c r="A712" t="s">
        <v>1570</v>
      </c>
      <c r="B712" s="1">
        <v>45552.322259652778</v>
      </c>
      <c r="C712" t="s">
        <v>1571</v>
      </c>
      <c r="D712" t="s">
        <v>226</v>
      </c>
      <c r="E712" t="s">
        <v>119</v>
      </c>
      <c r="F712">
        <v>4</v>
      </c>
      <c r="G712">
        <v>1</v>
      </c>
      <c r="H712" t="s">
        <v>14</v>
      </c>
      <c r="I712" t="s">
        <v>21</v>
      </c>
      <c r="J712" t="s">
        <v>311</v>
      </c>
      <c r="K712">
        <f>Pqp_supermarket_data[[#This Row],[Unit_Price]]*Pqp_supermarket_data[[#This Row],[Quantity]]</f>
        <v>4</v>
      </c>
      <c r="L712" t="str">
        <f>TEXT(Pqp_supermarket_data[[#This Row],[DateTime]],"ddd")</f>
        <v>Tue</v>
      </c>
      <c r="M712" t="str">
        <f>TEXT(Pqp_supermarket_data[[#This Row],[DateTime]],"mmm")</f>
        <v>Sep</v>
      </c>
      <c r="N712" t="str">
        <f>TEXT(Pqp_supermarket_data[[#This Row],[DateTime]],"yyy")</f>
        <v>2024</v>
      </c>
    </row>
    <row r="713" spans="1:14" x14ac:dyDescent="0.35">
      <c r="A713" t="s">
        <v>1572</v>
      </c>
      <c r="B713" s="1">
        <v>44465.848648541665</v>
      </c>
      <c r="C713" t="s">
        <v>1573</v>
      </c>
      <c r="D713" t="s">
        <v>127</v>
      </c>
      <c r="E713" t="s">
        <v>65</v>
      </c>
      <c r="F713">
        <v>3</v>
      </c>
      <c r="G713">
        <v>5</v>
      </c>
      <c r="H713" t="s">
        <v>14</v>
      </c>
      <c r="I713" t="s">
        <v>40</v>
      </c>
      <c r="J713" t="s">
        <v>485</v>
      </c>
      <c r="K713">
        <f>Pqp_supermarket_data[[#This Row],[Unit_Price]]*Pqp_supermarket_data[[#This Row],[Quantity]]</f>
        <v>15</v>
      </c>
      <c r="L713" t="str">
        <f>TEXT(Pqp_supermarket_data[[#This Row],[DateTime]],"ddd")</f>
        <v>Sun</v>
      </c>
      <c r="M713" t="str">
        <f>TEXT(Pqp_supermarket_data[[#This Row],[DateTime]],"mmm")</f>
        <v>Sep</v>
      </c>
      <c r="N713" t="str">
        <f>TEXT(Pqp_supermarket_data[[#This Row],[DateTime]],"yyy")</f>
        <v>2021</v>
      </c>
    </row>
    <row r="714" spans="1:14" x14ac:dyDescent="0.35">
      <c r="A714" t="s">
        <v>1574</v>
      </c>
      <c r="B714" s="1">
        <v>44596.920176319443</v>
      </c>
      <c r="C714" t="s">
        <v>1575</v>
      </c>
      <c r="D714" t="s">
        <v>44</v>
      </c>
      <c r="E714" t="s">
        <v>111</v>
      </c>
      <c r="F714">
        <v>2.2000000000000002</v>
      </c>
      <c r="G714">
        <v>4</v>
      </c>
      <c r="H714" t="s">
        <v>14</v>
      </c>
      <c r="I714" t="s">
        <v>40</v>
      </c>
      <c r="J714" t="s">
        <v>429</v>
      </c>
      <c r="K714">
        <f>Pqp_supermarket_data[[#This Row],[Unit_Price]]*Pqp_supermarket_data[[#This Row],[Quantity]]</f>
        <v>8.8000000000000007</v>
      </c>
      <c r="L714" t="str">
        <f>TEXT(Pqp_supermarket_data[[#This Row],[DateTime]],"ddd")</f>
        <v>Fri</v>
      </c>
      <c r="M714" t="str">
        <f>TEXT(Pqp_supermarket_data[[#This Row],[DateTime]],"mmm")</f>
        <v>Feb</v>
      </c>
      <c r="N714" t="str">
        <f>TEXT(Pqp_supermarket_data[[#This Row],[DateTime]],"yyy")</f>
        <v>2022</v>
      </c>
    </row>
    <row r="715" spans="1:14" x14ac:dyDescent="0.35">
      <c r="A715" t="s">
        <v>1576</v>
      </c>
      <c r="B715" s="1">
        <v>44518.436842986113</v>
      </c>
      <c r="C715" t="s">
        <v>1577</v>
      </c>
      <c r="D715" t="s">
        <v>25</v>
      </c>
      <c r="E715" t="s">
        <v>39</v>
      </c>
      <c r="F715">
        <v>3.2</v>
      </c>
      <c r="G715">
        <v>8</v>
      </c>
      <c r="H715" t="s">
        <v>14</v>
      </c>
      <c r="I715" t="s">
        <v>86</v>
      </c>
      <c r="J715" t="s">
        <v>517</v>
      </c>
      <c r="K715">
        <f>Pqp_supermarket_data[[#This Row],[Unit_Price]]*Pqp_supermarket_data[[#This Row],[Quantity]]</f>
        <v>25.6</v>
      </c>
      <c r="L715" t="str">
        <f>TEXT(Pqp_supermarket_data[[#This Row],[DateTime]],"ddd")</f>
        <v>Thu</v>
      </c>
      <c r="M715" t="str">
        <f>TEXT(Pqp_supermarket_data[[#This Row],[DateTime]],"mmm")</f>
        <v>Nov</v>
      </c>
      <c r="N715" t="str">
        <f>TEXT(Pqp_supermarket_data[[#This Row],[DateTime]],"yyy")</f>
        <v>2021</v>
      </c>
    </row>
    <row r="716" spans="1:14" x14ac:dyDescent="0.35">
      <c r="A716" t="s">
        <v>1578</v>
      </c>
      <c r="B716" s="1">
        <v>44523.671565219905</v>
      </c>
      <c r="C716" t="s">
        <v>1579</v>
      </c>
      <c r="D716" t="s">
        <v>12</v>
      </c>
      <c r="E716" t="s">
        <v>119</v>
      </c>
      <c r="F716">
        <v>4</v>
      </c>
      <c r="G716">
        <v>3</v>
      </c>
      <c r="H716" t="s">
        <v>14</v>
      </c>
      <c r="I716" t="s">
        <v>21</v>
      </c>
      <c r="J716" t="s">
        <v>323</v>
      </c>
      <c r="K716">
        <f>Pqp_supermarket_data[[#This Row],[Unit_Price]]*Pqp_supermarket_data[[#This Row],[Quantity]]</f>
        <v>12</v>
      </c>
      <c r="L716" t="str">
        <f>TEXT(Pqp_supermarket_data[[#This Row],[DateTime]],"ddd")</f>
        <v>Tue</v>
      </c>
      <c r="M716" t="str">
        <f>TEXT(Pqp_supermarket_data[[#This Row],[DateTime]],"mmm")</f>
        <v>Nov</v>
      </c>
      <c r="N716" t="str">
        <f>TEXT(Pqp_supermarket_data[[#This Row],[DateTime]],"yyy")</f>
        <v>2021</v>
      </c>
    </row>
    <row r="717" spans="1:14" x14ac:dyDescent="0.35">
      <c r="A717" t="s">
        <v>1580</v>
      </c>
      <c r="B717" s="1">
        <v>45040.124342997682</v>
      </c>
      <c r="C717" t="s">
        <v>1581</v>
      </c>
      <c r="D717" t="s">
        <v>69</v>
      </c>
      <c r="E717" t="s">
        <v>35</v>
      </c>
      <c r="F717">
        <v>1.2</v>
      </c>
      <c r="G717">
        <v>6</v>
      </c>
      <c r="H717" t="s">
        <v>14</v>
      </c>
      <c r="I717" t="s">
        <v>15</v>
      </c>
      <c r="J717" t="s">
        <v>499</v>
      </c>
      <c r="K717">
        <f>Pqp_supermarket_data[[#This Row],[Unit_Price]]*Pqp_supermarket_data[[#This Row],[Quantity]]</f>
        <v>7.1999999999999993</v>
      </c>
      <c r="L717" t="str">
        <f>TEXT(Pqp_supermarket_data[[#This Row],[DateTime]],"ddd")</f>
        <v>Mon</v>
      </c>
      <c r="M717" t="str">
        <f>TEXT(Pqp_supermarket_data[[#This Row],[DateTime]],"mmm")</f>
        <v>Apr</v>
      </c>
      <c r="N717" t="str">
        <f>TEXT(Pqp_supermarket_data[[#This Row],[DateTime]],"yyy")</f>
        <v>2023</v>
      </c>
    </row>
    <row r="718" spans="1:14" x14ac:dyDescent="0.35">
      <c r="A718" t="s">
        <v>1582</v>
      </c>
      <c r="B718" s="1">
        <v>44327.572954108793</v>
      </c>
      <c r="C718" t="s">
        <v>1583</v>
      </c>
      <c r="D718" t="s">
        <v>82</v>
      </c>
      <c r="E718" t="s">
        <v>13</v>
      </c>
      <c r="F718">
        <v>3.1</v>
      </c>
      <c r="G718">
        <v>6</v>
      </c>
      <c r="H718" t="s">
        <v>14</v>
      </c>
      <c r="I718" t="s">
        <v>15</v>
      </c>
      <c r="J718" t="s">
        <v>255</v>
      </c>
      <c r="K718">
        <f>Pqp_supermarket_data[[#This Row],[Unit_Price]]*Pqp_supermarket_data[[#This Row],[Quantity]]</f>
        <v>18.600000000000001</v>
      </c>
      <c r="L718" t="str">
        <f>TEXT(Pqp_supermarket_data[[#This Row],[DateTime]],"ddd")</f>
        <v>Tue</v>
      </c>
      <c r="M718" t="str">
        <f>TEXT(Pqp_supermarket_data[[#This Row],[DateTime]],"mmm")</f>
        <v>May</v>
      </c>
      <c r="N718" t="str">
        <f>TEXT(Pqp_supermarket_data[[#This Row],[DateTime]],"yyy")</f>
        <v>2021</v>
      </c>
    </row>
    <row r="719" spans="1:14" x14ac:dyDescent="0.35">
      <c r="A719" t="s">
        <v>1584</v>
      </c>
      <c r="B719" s="1">
        <v>45106.91462077546</v>
      </c>
      <c r="C719" t="s">
        <v>1585</v>
      </c>
      <c r="D719" t="s">
        <v>98</v>
      </c>
      <c r="E719" t="s">
        <v>53</v>
      </c>
      <c r="F719">
        <v>2.8</v>
      </c>
      <c r="G719">
        <v>5</v>
      </c>
      <c r="H719" t="s">
        <v>14</v>
      </c>
      <c r="I719" t="s">
        <v>86</v>
      </c>
      <c r="J719" t="s">
        <v>153</v>
      </c>
      <c r="K719">
        <f>Pqp_supermarket_data[[#This Row],[Unit_Price]]*Pqp_supermarket_data[[#This Row],[Quantity]]</f>
        <v>14</v>
      </c>
      <c r="L719" t="str">
        <f>TEXT(Pqp_supermarket_data[[#This Row],[DateTime]],"ddd")</f>
        <v>Thu</v>
      </c>
      <c r="M719" t="str">
        <f>TEXT(Pqp_supermarket_data[[#This Row],[DateTime]],"mmm")</f>
        <v>Jun</v>
      </c>
      <c r="N719" t="str">
        <f>TEXT(Pqp_supermarket_data[[#This Row],[DateTime]],"yyy")</f>
        <v>2023</v>
      </c>
    </row>
    <row r="720" spans="1:14" x14ac:dyDescent="0.35">
      <c r="A720" t="s">
        <v>1586</v>
      </c>
      <c r="B720" s="1">
        <v>45564.322954108793</v>
      </c>
      <c r="C720" t="s">
        <v>1587</v>
      </c>
      <c r="D720" t="s">
        <v>171</v>
      </c>
      <c r="E720" t="s">
        <v>65</v>
      </c>
      <c r="F720">
        <v>3</v>
      </c>
      <c r="G720">
        <v>5</v>
      </c>
      <c r="H720" t="s">
        <v>14</v>
      </c>
      <c r="I720" t="s">
        <v>15</v>
      </c>
      <c r="J720" t="s">
        <v>183</v>
      </c>
      <c r="K720">
        <f>Pqp_supermarket_data[[#This Row],[Unit_Price]]*Pqp_supermarket_data[[#This Row],[Quantity]]</f>
        <v>15</v>
      </c>
      <c r="L720" t="str">
        <f>TEXT(Pqp_supermarket_data[[#This Row],[DateTime]],"ddd")</f>
        <v>Sun</v>
      </c>
      <c r="M720" t="str">
        <f>TEXT(Pqp_supermarket_data[[#This Row],[DateTime]],"mmm")</f>
        <v>Sep</v>
      </c>
      <c r="N720" t="str">
        <f>TEXT(Pqp_supermarket_data[[#This Row],[DateTime]],"yyy")</f>
        <v>2024</v>
      </c>
    </row>
    <row r="721" spans="1:14" x14ac:dyDescent="0.35">
      <c r="A721" t="s">
        <v>1588</v>
      </c>
      <c r="B721" s="1">
        <v>45384.19448189815</v>
      </c>
      <c r="C721" t="s">
        <v>1589</v>
      </c>
      <c r="D721" t="s">
        <v>19</v>
      </c>
      <c r="E721" t="s">
        <v>65</v>
      </c>
      <c r="F721">
        <v>3</v>
      </c>
      <c r="G721">
        <v>2</v>
      </c>
      <c r="H721" t="s">
        <v>14</v>
      </c>
      <c r="I721" t="s">
        <v>40</v>
      </c>
      <c r="J721" t="s">
        <v>616</v>
      </c>
      <c r="K721">
        <f>Pqp_supermarket_data[[#This Row],[Unit_Price]]*Pqp_supermarket_data[[#This Row],[Quantity]]</f>
        <v>6</v>
      </c>
      <c r="L721" t="str">
        <f>TEXT(Pqp_supermarket_data[[#This Row],[DateTime]],"ddd")</f>
        <v>Tue</v>
      </c>
      <c r="M721" t="str">
        <f>TEXT(Pqp_supermarket_data[[#This Row],[DateTime]],"mmm")</f>
        <v>Apr</v>
      </c>
      <c r="N721" t="str">
        <f>TEXT(Pqp_supermarket_data[[#This Row],[DateTime]],"yyy")</f>
        <v>2024</v>
      </c>
    </row>
    <row r="722" spans="1:14" x14ac:dyDescent="0.35">
      <c r="A722" t="s">
        <v>1590</v>
      </c>
      <c r="B722" s="1">
        <v>44493.523648564813</v>
      </c>
      <c r="C722" t="s">
        <v>1591</v>
      </c>
      <c r="D722" t="s">
        <v>171</v>
      </c>
      <c r="E722" t="s">
        <v>119</v>
      </c>
      <c r="F722">
        <v>4</v>
      </c>
      <c r="G722">
        <v>7</v>
      </c>
      <c r="H722" t="s">
        <v>14</v>
      </c>
      <c r="I722" t="s">
        <v>21</v>
      </c>
      <c r="J722" t="s">
        <v>163</v>
      </c>
      <c r="K722">
        <f>Pqp_supermarket_data[[#This Row],[Unit_Price]]*Pqp_supermarket_data[[#This Row],[Quantity]]</f>
        <v>28</v>
      </c>
      <c r="L722" t="str">
        <f>TEXT(Pqp_supermarket_data[[#This Row],[DateTime]],"ddd")</f>
        <v>Sun</v>
      </c>
      <c r="M722" t="str">
        <f>TEXT(Pqp_supermarket_data[[#This Row],[DateTime]],"mmm")</f>
        <v>Oct</v>
      </c>
      <c r="N722" t="str">
        <f>TEXT(Pqp_supermarket_data[[#This Row],[DateTime]],"yyy")</f>
        <v>2021</v>
      </c>
    </row>
    <row r="723" spans="1:14" x14ac:dyDescent="0.35">
      <c r="A723" t="s">
        <v>1592</v>
      </c>
      <c r="B723" s="1">
        <v>45710.840315231479</v>
      </c>
      <c r="C723" t="s">
        <v>1593</v>
      </c>
      <c r="D723" t="s">
        <v>85</v>
      </c>
      <c r="E723" t="s">
        <v>20</v>
      </c>
      <c r="F723">
        <v>1</v>
      </c>
      <c r="G723">
        <v>8</v>
      </c>
      <c r="H723" t="s">
        <v>14</v>
      </c>
      <c r="I723" t="s">
        <v>36</v>
      </c>
      <c r="J723" t="s">
        <v>267</v>
      </c>
      <c r="K723">
        <f>Pqp_supermarket_data[[#This Row],[Unit_Price]]*Pqp_supermarket_data[[#This Row],[Quantity]]</f>
        <v>8</v>
      </c>
      <c r="L723" t="str">
        <f>TEXT(Pqp_supermarket_data[[#This Row],[DateTime]],"ddd")</f>
        <v>Sat</v>
      </c>
      <c r="M723" t="str">
        <f>TEXT(Pqp_supermarket_data[[#This Row],[DateTime]],"mmm")</f>
        <v>Feb</v>
      </c>
      <c r="N723" t="str">
        <f>TEXT(Pqp_supermarket_data[[#This Row],[DateTime]],"yyy")</f>
        <v>2025</v>
      </c>
    </row>
    <row r="724" spans="1:14" x14ac:dyDescent="0.35">
      <c r="A724" t="s">
        <v>1594</v>
      </c>
      <c r="B724" s="1">
        <v>45482.08406523148</v>
      </c>
      <c r="C724" t="s">
        <v>1595</v>
      </c>
      <c r="D724" t="s">
        <v>25</v>
      </c>
      <c r="E724" t="s">
        <v>119</v>
      </c>
      <c r="F724">
        <v>4</v>
      </c>
      <c r="G724">
        <v>5</v>
      </c>
      <c r="H724" t="s">
        <v>14</v>
      </c>
      <c r="I724" t="s">
        <v>15</v>
      </c>
      <c r="J724" t="s">
        <v>311</v>
      </c>
      <c r="K724">
        <f>Pqp_supermarket_data[[#This Row],[Unit_Price]]*Pqp_supermarket_data[[#This Row],[Quantity]]</f>
        <v>20</v>
      </c>
      <c r="L724" t="str">
        <f>TEXT(Pqp_supermarket_data[[#This Row],[DateTime]],"ddd")</f>
        <v>Tue</v>
      </c>
      <c r="M724" t="str">
        <f>TEXT(Pqp_supermarket_data[[#This Row],[DateTime]],"mmm")</f>
        <v>Jul</v>
      </c>
      <c r="N724" t="str">
        <f>TEXT(Pqp_supermarket_data[[#This Row],[DateTime]],"yyy")</f>
        <v>2024</v>
      </c>
    </row>
    <row r="725" spans="1:14" x14ac:dyDescent="0.35">
      <c r="A725" t="s">
        <v>1596</v>
      </c>
      <c r="B725" s="1">
        <v>44759.889620798611</v>
      </c>
      <c r="C725" t="s">
        <v>1597</v>
      </c>
      <c r="D725" t="s">
        <v>82</v>
      </c>
      <c r="E725" t="s">
        <v>53</v>
      </c>
      <c r="F725">
        <v>2.8</v>
      </c>
      <c r="G725">
        <v>9</v>
      </c>
      <c r="H725" t="s">
        <v>14</v>
      </c>
      <c r="I725" t="s">
        <v>40</v>
      </c>
      <c r="J725" t="s">
        <v>227</v>
      </c>
      <c r="K725">
        <f>Pqp_supermarket_data[[#This Row],[Unit_Price]]*Pqp_supermarket_data[[#This Row],[Quantity]]</f>
        <v>25.2</v>
      </c>
      <c r="L725" t="str">
        <f>TEXT(Pqp_supermarket_data[[#This Row],[DateTime]],"ddd")</f>
        <v>Sun</v>
      </c>
      <c r="M725" t="str">
        <f>TEXT(Pqp_supermarket_data[[#This Row],[DateTime]],"mmm")</f>
        <v>Jul</v>
      </c>
      <c r="N725" t="str">
        <f>TEXT(Pqp_supermarket_data[[#This Row],[DateTime]],"yyy")</f>
        <v>2022</v>
      </c>
    </row>
    <row r="726" spans="1:14" x14ac:dyDescent="0.35">
      <c r="A726" t="s">
        <v>1598</v>
      </c>
      <c r="B726" s="1">
        <v>45296.738231909723</v>
      </c>
      <c r="C726" t="s">
        <v>1599</v>
      </c>
      <c r="D726" t="s">
        <v>69</v>
      </c>
      <c r="E726" t="s">
        <v>90</v>
      </c>
      <c r="F726">
        <v>1.8</v>
      </c>
      <c r="G726">
        <v>3</v>
      </c>
      <c r="H726" t="s">
        <v>14</v>
      </c>
      <c r="I726" t="s">
        <v>86</v>
      </c>
      <c r="J726" t="s">
        <v>769</v>
      </c>
      <c r="K726">
        <f>Pqp_supermarket_data[[#This Row],[Unit_Price]]*Pqp_supermarket_data[[#This Row],[Quantity]]</f>
        <v>5.4</v>
      </c>
      <c r="L726" t="str">
        <f>TEXT(Pqp_supermarket_data[[#This Row],[DateTime]],"ddd")</f>
        <v>Fri</v>
      </c>
      <c r="M726" t="str">
        <f>TEXT(Pqp_supermarket_data[[#This Row],[DateTime]],"mmm")</f>
        <v>Jan</v>
      </c>
      <c r="N726" t="str">
        <f>TEXT(Pqp_supermarket_data[[#This Row],[DateTime]],"yyy")</f>
        <v>2024</v>
      </c>
    </row>
    <row r="727" spans="1:14" x14ac:dyDescent="0.35">
      <c r="A727" t="s">
        <v>1600</v>
      </c>
      <c r="B727" s="1">
        <v>45419.7847596875</v>
      </c>
      <c r="C727" t="s">
        <v>1601</v>
      </c>
      <c r="D727" t="s">
        <v>30</v>
      </c>
      <c r="E727" t="s">
        <v>111</v>
      </c>
      <c r="F727">
        <v>2.2000000000000002</v>
      </c>
      <c r="G727">
        <v>8</v>
      </c>
      <c r="H727" t="s">
        <v>14</v>
      </c>
      <c r="I727" t="s">
        <v>61</v>
      </c>
      <c r="J727" t="s">
        <v>436</v>
      </c>
      <c r="K727">
        <f>Pqp_supermarket_data[[#This Row],[Unit_Price]]*Pqp_supermarket_data[[#This Row],[Quantity]]</f>
        <v>17.600000000000001</v>
      </c>
      <c r="L727" t="str">
        <f>TEXT(Pqp_supermarket_data[[#This Row],[DateTime]],"ddd")</f>
        <v>Tue</v>
      </c>
      <c r="M727" t="str">
        <f>TEXT(Pqp_supermarket_data[[#This Row],[DateTime]],"mmm")</f>
        <v>May</v>
      </c>
      <c r="N727" t="str">
        <f>TEXT(Pqp_supermarket_data[[#This Row],[DateTime]],"yyy")</f>
        <v>2024</v>
      </c>
    </row>
    <row r="728" spans="1:14" x14ac:dyDescent="0.35">
      <c r="A728" t="s">
        <v>1602</v>
      </c>
      <c r="B728" s="1">
        <v>45337.925037465277</v>
      </c>
      <c r="C728" t="s">
        <v>1603</v>
      </c>
      <c r="D728" t="s">
        <v>77</v>
      </c>
      <c r="E728" t="s">
        <v>13</v>
      </c>
      <c r="F728">
        <v>3.1</v>
      </c>
      <c r="G728">
        <v>6</v>
      </c>
      <c r="H728" t="s">
        <v>14</v>
      </c>
      <c r="I728" t="s">
        <v>15</v>
      </c>
      <c r="J728" t="s">
        <v>436</v>
      </c>
      <c r="K728">
        <f>Pqp_supermarket_data[[#This Row],[Unit_Price]]*Pqp_supermarket_data[[#This Row],[Quantity]]</f>
        <v>18.600000000000001</v>
      </c>
      <c r="L728" t="str">
        <f>TEXT(Pqp_supermarket_data[[#This Row],[DateTime]],"ddd")</f>
        <v>Thu</v>
      </c>
      <c r="M728" t="str">
        <f>TEXT(Pqp_supermarket_data[[#This Row],[DateTime]],"mmm")</f>
        <v>Feb</v>
      </c>
      <c r="N728" t="str">
        <f>TEXT(Pqp_supermarket_data[[#This Row],[DateTime]],"yyy")</f>
        <v>2024</v>
      </c>
    </row>
    <row r="729" spans="1:14" x14ac:dyDescent="0.35">
      <c r="A729" t="s">
        <v>1604</v>
      </c>
      <c r="B729" s="1">
        <v>44417.286843020833</v>
      </c>
      <c r="C729" t="s">
        <v>1605</v>
      </c>
      <c r="D729" t="s">
        <v>19</v>
      </c>
      <c r="E729" t="s">
        <v>53</v>
      </c>
      <c r="F729">
        <v>2.8</v>
      </c>
      <c r="G729">
        <v>7</v>
      </c>
      <c r="H729" t="s">
        <v>14</v>
      </c>
      <c r="I729" t="s">
        <v>86</v>
      </c>
      <c r="J729" t="s">
        <v>223</v>
      </c>
      <c r="K729">
        <f>Pqp_supermarket_data[[#This Row],[Unit_Price]]*Pqp_supermarket_data[[#This Row],[Quantity]]</f>
        <v>19.599999999999998</v>
      </c>
      <c r="L729" t="str">
        <f>TEXT(Pqp_supermarket_data[[#This Row],[DateTime]],"ddd")</f>
        <v>Mon</v>
      </c>
      <c r="M729" t="str">
        <f>TEXT(Pqp_supermarket_data[[#This Row],[DateTime]],"mmm")</f>
        <v>Aug</v>
      </c>
      <c r="N729" t="str">
        <f>TEXT(Pqp_supermarket_data[[#This Row],[DateTime]],"yyy")</f>
        <v>2021</v>
      </c>
    </row>
    <row r="730" spans="1:14" x14ac:dyDescent="0.35">
      <c r="A730" t="s">
        <v>1606</v>
      </c>
      <c r="B730" s="1">
        <v>45691.489620810185</v>
      </c>
      <c r="C730" t="s">
        <v>1607</v>
      </c>
      <c r="D730" t="s">
        <v>44</v>
      </c>
      <c r="E730" t="s">
        <v>148</v>
      </c>
      <c r="F730">
        <v>5.5</v>
      </c>
      <c r="G730">
        <v>9</v>
      </c>
      <c r="H730" t="s">
        <v>14</v>
      </c>
      <c r="I730" t="s">
        <v>36</v>
      </c>
      <c r="J730" t="s">
        <v>339</v>
      </c>
      <c r="K730">
        <f>Pqp_supermarket_data[[#This Row],[Unit_Price]]*Pqp_supermarket_data[[#This Row],[Quantity]]</f>
        <v>49.5</v>
      </c>
      <c r="L730" t="str">
        <f>TEXT(Pqp_supermarket_data[[#This Row],[DateTime]],"ddd")</f>
        <v>Mon</v>
      </c>
      <c r="M730" t="str">
        <f>TEXT(Pqp_supermarket_data[[#This Row],[DateTime]],"mmm")</f>
        <v>Feb</v>
      </c>
      <c r="N730" t="str">
        <f>TEXT(Pqp_supermarket_data[[#This Row],[DateTime]],"yyy")</f>
        <v>2025</v>
      </c>
    </row>
    <row r="731" spans="1:14" x14ac:dyDescent="0.35">
      <c r="A731" t="s">
        <v>1608</v>
      </c>
      <c r="B731" s="1">
        <v>45246.786148587962</v>
      </c>
      <c r="C731" t="s">
        <v>1609</v>
      </c>
      <c r="D731" t="s">
        <v>171</v>
      </c>
      <c r="E731" t="s">
        <v>94</v>
      </c>
      <c r="F731">
        <v>0.8</v>
      </c>
      <c r="G731">
        <v>7</v>
      </c>
      <c r="H731" t="s">
        <v>14</v>
      </c>
      <c r="I731" t="s">
        <v>36</v>
      </c>
      <c r="J731" t="s">
        <v>41</v>
      </c>
      <c r="K731">
        <f>Pqp_supermarket_data[[#This Row],[Unit_Price]]*Pqp_supermarket_data[[#This Row],[Quantity]]</f>
        <v>5.6000000000000005</v>
      </c>
      <c r="L731" t="str">
        <f>TEXT(Pqp_supermarket_data[[#This Row],[DateTime]],"ddd")</f>
        <v>Thu</v>
      </c>
      <c r="M731" t="str">
        <f>TEXT(Pqp_supermarket_data[[#This Row],[DateTime]],"mmm")</f>
        <v>Nov</v>
      </c>
      <c r="N731" t="str">
        <f>TEXT(Pqp_supermarket_data[[#This Row],[DateTime]],"yyy")</f>
        <v>2023</v>
      </c>
    </row>
    <row r="732" spans="1:14" x14ac:dyDescent="0.35">
      <c r="A732" t="s">
        <v>1610</v>
      </c>
      <c r="B732" s="1">
        <v>45037.78128747685</v>
      </c>
      <c r="C732" t="s">
        <v>1611</v>
      </c>
      <c r="D732" t="s">
        <v>19</v>
      </c>
      <c r="E732" t="s">
        <v>65</v>
      </c>
      <c r="F732">
        <v>3</v>
      </c>
      <c r="G732">
        <v>9</v>
      </c>
      <c r="H732" t="s">
        <v>14</v>
      </c>
      <c r="I732" t="s">
        <v>61</v>
      </c>
      <c r="J732" t="s">
        <v>41</v>
      </c>
      <c r="K732">
        <f>Pqp_supermarket_data[[#This Row],[Unit_Price]]*Pqp_supermarket_data[[#This Row],[Quantity]]</f>
        <v>27</v>
      </c>
      <c r="L732" t="str">
        <f>TEXT(Pqp_supermarket_data[[#This Row],[DateTime]],"ddd")</f>
        <v>Fri</v>
      </c>
      <c r="M732" t="str">
        <f>TEXT(Pqp_supermarket_data[[#This Row],[DateTime]],"mmm")</f>
        <v>Apr</v>
      </c>
      <c r="N732" t="str">
        <f>TEXT(Pqp_supermarket_data[[#This Row],[DateTime]],"yyy")</f>
        <v>2023</v>
      </c>
    </row>
    <row r="733" spans="1:14" x14ac:dyDescent="0.35">
      <c r="A733" t="s">
        <v>1612</v>
      </c>
      <c r="B733" s="1">
        <v>45329.875731921296</v>
      </c>
      <c r="C733" t="s">
        <v>1613</v>
      </c>
      <c r="D733" t="s">
        <v>44</v>
      </c>
      <c r="E733" t="s">
        <v>53</v>
      </c>
      <c r="F733">
        <v>2.8</v>
      </c>
      <c r="G733">
        <v>8</v>
      </c>
      <c r="H733" t="s">
        <v>14</v>
      </c>
      <c r="I733" t="s">
        <v>86</v>
      </c>
      <c r="J733" t="s">
        <v>538</v>
      </c>
      <c r="K733">
        <f>Pqp_supermarket_data[[#This Row],[Unit_Price]]*Pqp_supermarket_data[[#This Row],[Quantity]]</f>
        <v>22.4</v>
      </c>
      <c r="L733" t="str">
        <f>TEXT(Pqp_supermarket_data[[#This Row],[DateTime]],"ddd")</f>
        <v>Wed</v>
      </c>
      <c r="M733" t="str">
        <f>TEXT(Pqp_supermarket_data[[#This Row],[DateTime]],"mmm")</f>
        <v>Feb</v>
      </c>
      <c r="N733" t="str">
        <f>TEXT(Pqp_supermarket_data[[#This Row],[DateTime]],"yyy")</f>
        <v>2024</v>
      </c>
    </row>
    <row r="734" spans="1:14" x14ac:dyDescent="0.35">
      <c r="A734" t="s">
        <v>1614</v>
      </c>
      <c r="B734" s="1">
        <v>45772.85420415509</v>
      </c>
      <c r="C734" t="s">
        <v>1615</v>
      </c>
      <c r="D734" t="s">
        <v>69</v>
      </c>
      <c r="E734" t="s">
        <v>70</v>
      </c>
      <c r="F734">
        <v>5</v>
      </c>
      <c r="G734">
        <v>3</v>
      </c>
      <c r="H734" t="s">
        <v>14</v>
      </c>
      <c r="I734" t="s">
        <v>15</v>
      </c>
      <c r="J734" t="s">
        <v>205</v>
      </c>
      <c r="K734">
        <f>Pqp_supermarket_data[[#This Row],[Unit_Price]]*Pqp_supermarket_data[[#This Row],[Quantity]]</f>
        <v>15</v>
      </c>
      <c r="L734" t="str">
        <f>TEXT(Pqp_supermarket_data[[#This Row],[DateTime]],"ddd")</f>
        <v>Fri</v>
      </c>
      <c r="M734" t="str">
        <f>TEXT(Pqp_supermarket_data[[#This Row],[DateTime]],"mmm")</f>
        <v>Apr</v>
      </c>
      <c r="N734" t="str">
        <f>TEXT(Pqp_supermarket_data[[#This Row],[DateTime]],"yyy")</f>
        <v>2025</v>
      </c>
    </row>
    <row r="735" spans="1:14" x14ac:dyDescent="0.35">
      <c r="A735" t="s">
        <v>1616</v>
      </c>
      <c r="B735" s="1">
        <v>44732.71462082176</v>
      </c>
      <c r="C735" t="s">
        <v>1617</v>
      </c>
      <c r="D735" t="s">
        <v>25</v>
      </c>
      <c r="E735" t="s">
        <v>111</v>
      </c>
      <c r="F735">
        <v>2.2000000000000002</v>
      </c>
      <c r="G735">
        <v>3</v>
      </c>
      <c r="H735" t="s">
        <v>14</v>
      </c>
      <c r="I735" t="s">
        <v>15</v>
      </c>
      <c r="J735" t="s">
        <v>116</v>
      </c>
      <c r="K735">
        <f>Pqp_supermarket_data[[#This Row],[Unit_Price]]*Pqp_supermarket_data[[#This Row],[Quantity]]</f>
        <v>6.6000000000000005</v>
      </c>
      <c r="L735" t="str">
        <f>TEXT(Pqp_supermarket_data[[#This Row],[DateTime]],"ddd")</f>
        <v>Mon</v>
      </c>
      <c r="M735" t="str">
        <f>TEXT(Pqp_supermarket_data[[#This Row],[DateTime]],"mmm")</f>
        <v>Jun</v>
      </c>
      <c r="N735" t="str">
        <f>TEXT(Pqp_supermarket_data[[#This Row],[DateTime]],"yyy")</f>
        <v>2022</v>
      </c>
    </row>
    <row r="736" spans="1:14" x14ac:dyDescent="0.35">
      <c r="A736" t="s">
        <v>1618</v>
      </c>
      <c r="B736" s="1">
        <v>44553.606981944446</v>
      </c>
      <c r="C736" t="s">
        <v>1619</v>
      </c>
      <c r="D736" t="s">
        <v>77</v>
      </c>
      <c r="E736" t="s">
        <v>26</v>
      </c>
      <c r="F736">
        <v>2.5</v>
      </c>
      <c r="G736">
        <v>7</v>
      </c>
      <c r="H736" t="s">
        <v>14</v>
      </c>
      <c r="I736" t="s">
        <v>61</v>
      </c>
      <c r="J736" t="s">
        <v>105</v>
      </c>
      <c r="K736">
        <f>Pqp_supermarket_data[[#This Row],[Unit_Price]]*Pqp_supermarket_data[[#This Row],[Quantity]]</f>
        <v>17.5</v>
      </c>
      <c r="L736" t="str">
        <f>TEXT(Pqp_supermarket_data[[#This Row],[DateTime]],"ddd")</f>
        <v>Thu</v>
      </c>
      <c r="M736" t="str">
        <f>TEXT(Pqp_supermarket_data[[#This Row],[DateTime]],"mmm")</f>
        <v>Dec</v>
      </c>
      <c r="N736" t="str">
        <f>TEXT(Pqp_supermarket_data[[#This Row],[DateTime]],"yyy")</f>
        <v>2021</v>
      </c>
    </row>
    <row r="737" spans="1:14" x14ac:dyDescent="0.35">
      <c r="A737" t="s">
        <v>1620</v>
      </c>
      <c r="B737" s="1">
        <v>45553.904898611108</v>
      </c>
      <c r="C737" t="s">
        <v>1621</v>
      </c>
      <c r="D737" t="s">
        <v>98</v>
      </c>
      <c r="E737" t="s">
        <v>115</v>
      </c>
      <c r="F737">
        <v>1.5</v>
      </c>
      <c r="G737">
        <v>4</v>
      </c>
      <c r="H737" t="s">
        <v>14</v>
      </c>
      <c r="I737" t="s">
        <v>21</v>
      </c>
      <c r="J737" t="s">
        <v>769</v>
      </c>
      <c r="K737">
        <f>Pqp_supermarket_data[[#This Row],[Unit_Price]]*Pqp_supermarket_data[[#This Row],[Quantity]]</f>
        <v>6</v>
      </c>
      <c r="L737" t="str">
        <f>TEXT(Pqp_supermarket_data[[#This Row],[DateTime]],"ddd")</f>
        <v>Wed</v>
      </c>
      <c r="M737" t="str">
        <f>TEXT(Pqp_supermarket_data[[#This Row],[DateTime]],"mmm")</f>
        <v>Sep</v>
      </c>
      <c r="N737" t="str">
        <f>TEXT(Pqp_supermarket_data[[#This Row],[DateTime]],"yyy")</f>
        <v>2024</v>
      </c>
    </row>
    <row r="738" spans="1:14" x14ac:dyDescent="0.35">
      <c r="A738" t="s">
        <v>1622</v>
      </c>
      <c r="B738" s="1">
        <v>44461.017398622687</v>
      </c>
      <c r="C738" t="s">
        <v>1623</v>
      </c>
      <c r="D738" t="s">
        <v>25</v>
      </c>
      <c r="E738" t="s">
        <v>137</v>
      </c>
      <c r="F738">
        <v>2.5</v>
      </c>
      <c r="G738">
        <v>3</v>
      </c>
      <c r="H738" t="s">
        <v>14</v>
      </c>
      <c r="I738" t="s">
        <v>21</v>
      </c>
      <c r="J738" t="s">
        <v>131</v>
      </c>
      <c r="K738">
        <f>Pqp_supermarket_data[[#This Row],[Unit_Price]]*Pqp_supermarket_data[[#This Row],[Quantity]]</f>
        <v>7.5</v>
      </c>
      <c r="L738" t="str">
        <f>TEXT(Pqp_supermarket_data[[#This Row],[DateTime]],"ddd")</f>
        <v>Wed</v>
      </c>
      <c r="M738" t="str">
        <f>TEXT(Pqp_supermarket_data[[#This Row],[DateTime]],"mmm")</f>
        <v>Sep</v>
      </c>
      <c r="N738" t="str">
        <f>TEXT(Pqp_supermarket_data[[#This Row],[DateTime]],"yyy")</f>
        <v>2021</v>
      </c>
    </row>
    <row r="739" spans="1:14" x14ac:dyDescent="0.35">
      <c r="A739" t="s">
        <v>1624</v>
      </c>
      <c r="B739" s="1">
        <v>45457.365315289353</v>
      </c>
      <c r="C739" t="s">
        <v>1625</v>
      </c>
      <c r="D739" t="s">
        <v>85</v>
      </c>
      <c r="E739" t="s">
        <v>137</v>
      </c>
      <c r="F739">
        <v>2.5</v>
      </c>
      <c r="G739">
        <v>10</v>
      </c>
      <c r="H739" t="s">
        <v>14</v>
      </c>
      <c r="I739" t="s">
        <v>15</v>
      </c>
      <c r="J739" t="s">
        <v>387</v>
      </c>
      <c r="K739">
        <f>Pqp_supermarket_data[[#This Row],[Unit_Price]]*Pqp_supermarket_data[[#This Row],[Quantity]]</f>
        <v>25</v>
      </c>
      <c r="L739" t="str">
        <f>TEXT(Pqp_supermarket_data[[#This Row],[DateTime]],"ddd")</f>
        <v>Fri</v>
      </c>
      <c r="M739" t="str">
        <f>TEXT(Pqp_supermarket_data[[#This Row],[DateTime]],"mmm")</f>
        <v>Jun</v>
      </c>
      <c r="N739" t="str">
        <f>TEXT(Pqp_supermarket_data[[#This Row],[DateTime]],"yyy")</f>
        <v>2024</v>
      </c>
    </row>
    <row r="740" spans="1:14" x14ac:dyDescent="0.35">
      <c r="A740" t="s">
        <v>1626</v>
      </c>
      <c r="B740" s="1">
        <v>45446.18545420139</v>
      </c>
      <c r="C740" t="s">
        <v>1627</v>
      </c>
      <c r="D740" t="s">
        <v>69</v>
      </c>
      <c r="E740" t="s">
        <v>90</v>
      </c>
      <c r="F740">
        <v>1.8</v>
      </c>
      <c r="G740">
        <v>7</v>
      </c>
      <c r="H740" t="s">
        <v>14</v>
      </c>
      <c r="I740" t="s">
        <v>21</v>
      </c>
      <c r="J740" t="s">
        <v>323</v>
      </c>
      <c r="K740">
        <f>Pqp_supermarket_data[[#This Row],[Unit_Price]]*Pqp_supermarket_data[[#This Row],[Quantity]]</f>
        <v>12.6</v>
      </c>
      <c r="L740" t="str">
        <f>TEXT(Pqp_supermarket_data[[#This Row],[DateTime]],"ddd")</f>
        <v>Mon</v>
      </c>
      <c r="M740" t="str">
        <f>TEXT(Pqp_supermarket_data[[#This Row],[DateTime]],"mmm")</f>
        <v>Jun</v>
      </c>
      <c r="N740" t="str">
        <f>TEXT(Pqp_supermarket_data[[#This Row],[DateTime]],"yyy")</f>
        <v>2024</v>
      </c>
    </row>
    <row r="741" spans="1:14" x14ac:dyDescent="0.35">
      <c r="A741" t="s">
        <v>1628</v>
      </c>
      <c r="B741" s="1">
        <v>44481.520870868058</v>
      </c>
      <c r="C741" t="s">
        <v>1629</v>
      </c>
      <c r="D741" t="s">
        <v>12</v>
      </c>
      <c r="E741" t="s">
        <v>57</v>
      </c>
      <c r="F741">
        <v>4.5</v>
      </c>
      <c r="G741">
        <v>2</v>
      </c>
      <c r="H741" t="s">
        <v>14</v>
      </c>
      <c r="I741" t="s">
        <v>15</v>
      </c>
      <c r="J741" t="s">
        <v>31</v>
      </c>
      <c r="K741">
        <f>Pqp_supermarket_data[[#This Row],[Unit_Price]]*Pqp_supermarket_data[[#This Row],[Quantity]]</f>
        <v>9</v>
      </c>
      <c r="L741" t="str">
        <f>TEXT(Pqp_supermarket_data[[#This Row],[DateTime]],"ddd")</f>
        <v>Tue</v>
      </c>
      <c r="M741" t="str">
        <f>TEXT(Pqp_supermarket_data[[#This Row],[DateTime]],"mmm")</f>
        <v>Oct</v>
      </c>
      <c r="N741" t="str">
        <f>TEXT(Pqp_supermarket_data[[#This Row],[DateTime]],"yyy")</f>
        <v>2021</v>
      </c>
    </row>
    <row r="742" spans="1:14" x14ac:dyDescent="0.35">
      <c r="A742" t="s">
        <v>1630</v>
      </c>
      <c r="B742" s="1">
        <v>44543.896565312498</v>
      </c>
      <c r="C742" t="s">
        <v>1631</v>
      </c>
      <c r="D742" t="s">
        <v>98</v>
      </c>
      <c r="E742" t="s">
        <v>94</v>
      </c>
      <c r="F742">
        <v>0.8</v>
      </c>
      <c r="G742">
        <v>4</v>
      </c>
      <c r="H742" t="s">
        <v>14</v>
      </c>
      <c r="I742" t="s">
        <v>86</v>
      </c>
      <c r="J742" t="s">
        <v>273</v>
      </c>
      <c r="K742">
        <f>Pqp_supermarket_data[[#This Row],[Unit_Price]]*Pqp_supermarket_data[[#This Row],[Quantity]]</f>
        <v>3.2</v>
      </c>
      <c r="L742" t="str">
        <f>TEXT(Pqp_supermarket_data[[#This Row],[DateTime]],"ddd")</f>
        <v>Mon</v>
      </c>
      <c r="M742" t="str">
        <f>TEXT(Pqp_supermarket_data[[#This Row],[DateTime]],"mmm")</f>
        <v>Dec</v>
      </c>
      <c r="N742" t="str">
        <f>TEXT(Pqp_supermarket_data[[#This Row],[DateTime]],"yyy")</f>
        <v>2021</v>
      </c>
    </row>
    <row r="743" spans="1:14" x14ac:dyDescent="0.35">
      <c r="A743" t="s">
        <v>1632</v>
      </c>
      <c r="B743" s="1">
        <v>45493.773648657407</v>
      </c>
      <c r="C743" t="s">
        <v>1633</v>
      </c>
      <c r="D743" t="s">
        <v>226</v>
      </c>
      <c r="E743" t="s">
        <v>94</v>
      </c>
      <c r="F743">
        <v>0.8</v>
      </c>
      <c r="G743">
        <v>10</v>
      </c>
      <c r="H743" t="s">
        <v>14</v>
      </c>
      <c r="I743" t="s">
        <v>36</v>
      </c>
      <c r="J743" t="s">
        <v>138</v>
      </c>
      <c r="K743">
        <f>Pqp_supermarket_data[[#This Row],[Unit_Price]]*Pqp_supermarket_data[[#This Row],[Quantity]]</f>
        <v>8</v>
      </c>
      <c r="L743" t="str">
        <f>TEXT(Pqp_supermarket_data[[#This Row],[DateTime]],"ddd")</f>
        <v>Sat</v>
      </c>
      <c r="M743" t="str">
        <f>TEXT(Pqp_supermarket_data[[#This Row],[DateTime]],"mmm")</f>
        <v>Jul</v>
      </c>
      <c r="N743" t="str">
        <f>TEXT(Pqp_supermarket_data[[#This Row],[DateTime]],"yyy")</f>
        <v>2024</v>
      </c>
    </row>
    <row r="744" spans="1:14" x14ac:dyDescent="0.35">
      <c r="A744" t="s">
        <v>1634</v>
      </c>
      <c r="B744" s="1">
        <v>45245.319481990744</v>
      </c>
      <c r="C744" t="s">
        <v>1635</v>
      </c>
      <c r="D744" t="s">
        <v>30</v>
      </c>
      <c r="E744" t="s">
        <v>39</v>
      </c>
      <c r="F744">
        <v>3.2</v>
      </c>
      <c r="G744">
        <v>8</v>
      </c>
      <c r="H744" t="s">
        <v>14</v>
      </c>
      <c r="I744" t="s">
        <v>21</v>
      </c>
      <c r="J744" t="s">
        <v>131</v>
      </c>
      <c r="K744">
        <f>Pqp_supermarket_data[[#This Row],[Unit_Price]]*Pqp_supermarket_data[[#This Row],[Quantity]]</f>
        <v>25.6</v>
      </c>
      <c r="L744" t="str">
        <f>TEXT(Pqp_supermarket_data[[#This Row],[DateTime]],"ddd")</f>
        <v>Wed</v>
      </c>
      <c r="M744" t="str">
        <f>TEXT(Pqp_supermarket_data[[#This Row],[DateTime]],"mmm")</f>
        <v>Nov</v>
      </c>
      <c r="N744" t="str">
        <f>TEXT(Pqp_supermarket_data[[#This Row],[DateTime]],"yyy")</f>
        <v>2023</v>
      </c>
    </row>
    <row r="745" spans="1:14" x14ac:dyDescent="0.35">
      <c r="A745" t="s">
        <v>1636</v>
      </c>
      <c r="B745" s="1">
        <v>45646.251426435185</v>
      </c>
      <c r="C745" t="s">
        <v>1637</v>
      </c>
      <c r="D745" t="s">
        <v>82</v>
      </c>
      <c r="E745" t="s">
        <v>111</v>
      </c>
      <c r="F745">
        <v>2.2000000000000002</v>
      </c>
      <c r="G745">
        <v>2</v>
      </c>
      <c r="H745" t="s">
        <v>14</v>
      </c>
      <c r="I745" t="s">
        <v>40</v>
      </c>
      <c r="J745" t="s">
        <v>485</v>
      </c>
      <c r="K745">
        <f>Pqp_supermarket_data[[#This Row],[Unit_Price]]*Pqp_supermarket_data[[#This Row],[Quantity]]</f>
        <v>4.4000000000000004</v>
      </c>
      <c r="L745" t="str">
        <f>TEXT(Pqp_supermarket_data[[#This Row],[DateTime]],"ddd")</f>
        <v>Fri</v>
      </c>
      <c r="M745" t="str">
        <f>TEXT(Pqp_supermarket_data[[#This Row],[DateTime]],"mmm")</f>
        <v>Dec</v>
      </c>
      <c r="N745" t="str">
        <f>TEXT(Pqp_supermarket_data[[#This Row],[DateTime]],"yyy")</f>
        <v>2024</v>
      </c>
    </row>
    <row r="746" spans="1:14" x14ac:dyDescent="0.35">
      <c r="A746" t="s">
        <v>1638</v>
      </c>
      <c r="B746" s="1">
        <v>44715.863231990741</v>
      </c>
      <c r="C746" t="s">
        <v>1639</v>
      </c>
      <c r="D746" t="s">
        <v>82</v>
      </c>
      <c r="E746" t="s">
        <v>111</v>
      </c>
      <c r="F746">
        <v>2.2000000000000002</v>
      </c>
      <c r="G746">
        <v>10</v>
      </c>
      <c r="H746" t="s">
        <v>14</v>
      </c>
      <c r="I746" t="s">
        <v>40</v>
      </c>
      <c r="J746" t="s">
        <v>218</v>
      </c>
      <c r="K746">
        <f>Pqp_supermarket_data[[#This Row],[Unit_Price]]*Pqp_supermarket_data[[#This Row],[Quantity]]</f>
        <v>22</v>
      </c>
      <c r="L746" t="str">
        <f>TEXT(Pqp_supermarket_data[[#This Row],[DateTime]],"ddd")</f>
        <v>Fri</v>
      </c>
      <c r="M746" t="str">
        <f>TEXT(Pqp_supermarket_data[[#This Row],[DateTime]],"mmm")</f>
        <v>Jun</v>
      </c>
      <c r="N746" t="str">
        <f>TEXT(Pqp_supermarket_data[[#This Row],[DateTime]],"yyy")</f>
        <v>2022</v>
      </c>
    </row>
    <row r="747" spans="1:14" x14ac:dyDescent="0.35">
      <c r="A747" t="s">
        <v>1640</v>
      </c>
      <c r="B747" s="1">
        <v>44811.741704224536</v>
      </c>
      <c r="C747" t="s">
        <v>1641</v>
      </c>
      <c r="D747" t="s">
        <v>208</v>
      </c>
      <c r="E747" t="s">
        <v>20</v>
      </c>
      <c r="F747">
        <v>1</v>
      </c>
      <c r="G747">
        <v>9</v>
      </c>
      <c r="H747" t="s">
        <v>14</v>
      </c>
      <c r="I747" t="s">
        <v>40</v>
      </c>
      <c r="J747" t="s">
        <v>451</v>
      </c>
      <c r="K747">
        <f>Pqp_supermarket_data[[#This Row],[Unit_Price]]*Pqp_supermarket_data[[#This Row],[Quantity]]</f>
        <v>9</v>
      </c>
      <c r="L747" t="str">
        <f>TEXT(Pqp_supermarket_data[[#This Row],[DateTime]],"ddd")</f>
        <v>Wed</v>
      </c>
      <c r="M747" t="str">
        <f>TEXT(Pqp_supermarket_data[[#This Row],[DateTime]],"mmm")</f>
        <v>Sep</v>
      </c>
      <c r="N747" t="str">
        <f>TEXT(Pqp_supermarket_data[[#This Row],[DateTime]],"yyy")</f>
        <v>2022</v>
      </c>
    </row>
    <row r="748" spans="1:14" x14ac:dyDescent="0.35">
      <c r="A748" t="s">
        <v>1642</v>
      </c>
      <c r="B748" s="1">
        <v>44798.679204224536</v>
      </c>
      <c r="C748" t="s">
        <v>1643</v>
      </c>
      <c r="D748" t="s">
        <v>19</v>
      </c>
      <c r="E748" t="s">
        <v>45</v>
      </c>
      <c r="F748">
        <v>1</v>
      </c>
      <c r="G748">
        <v>9</v>
      </c>
      <c r="H748" t="s">
        <v>14</v>
      </c>
      <c r="I748" t="s">
        <v>40</v>
      </c>
      <c r="J748" t="s">
        <v>267</v>
      </c>
      <c r="K748">
        <f>Pqp_supermarket_data[[#This Row],[Unit_Price]]*Pqp_supermarket_data[[#This Row],[Quantity]]</f>
        <v>9</v>
      </c>
      <c r="L748" t="str">
        <f>TEXT(Pqp_supermarket_data[[#This Row],[DateTime]],"ddd")</f>
        <v>Thu</v>
      </c>
      <c r="M748" t="str">
        <f>TEXT(Pqp_supermarket_data[[#This Row],[DateTime]],"mmm")</f>
        <v>Aug</v>
      </c>
      <c r="N748" t="str">
        <f>TEXT(Pqp_supermarket_data[[#This Row],[DateTime]],"yyy")</f>
        <v>2022</v>
      </c>
    </row>
    <row r="749" spans="1:14" x14ac:dyDescent="0.35">
      <c r="A749" t="s">
        <v>1644</v>
      </c>
      <c r="B749" s="1">
        <v>44396.707676446757</v>
      </c>
      <c r="C749" t="s">
        <v>1645</v>
      </c>
      <c r="D749" t="s">
        <v>85</v>
      </c>
      <c r="E749" t="s">
        <v>145</v>
      </c>
      <c r="F749">
        <v>1.7</v>
      </c>
      <c r="G749">
        <v>6</v>
      </c>
      <c r="H749" t="s">
        <v>14</v>
      </c>
      <c r="I749" t="s">
        <v>40</v>
      </c>
      <c r="J749" t="s">
        <v>160</v>
      </c>
      <c r="K749">
        <f>Pqp_supermarket_data[[#This Row],[Unit_Price]]*Pqp_supermarket_data[[#This Row],[Quantity]]</f>
        <v>10.199999999999999</v>
      </c>
      <c r="L749" t="str">
        <f>TEXT(Pqp_supermarket_data[[#This Row],[DateTime]],"ddd")</f>
        <v>Mon</v>
      </c>
      <c r="M749" t="str">
        <f>TEXT(Pqp_supermarket_data[[#This Row],[DateTime]],"mmm")</f>
        <v>Jul</v>
      </c>
      <c r="N749" t="str">
        <f>TEXT(Pqp_supermarket_data[[#This Row],[DateTime]],"yyy")</f>
        <v>2021</v>
      </c>
    </row>
    <row r="750" spans="1:14" x14ac:dyDescent="0.35">
      <c r="A750" t="s">
        <v>1646</v>
      </c>
      <c r="B750" s="1">
        <v>44701.008370891206</v>
      </c>
      <c r="C750" t="s">
        <v>1647</v>
      </c>
      <c r="D750" t="s">
        <v>226</v>
      </c>
      <c r="E750" t="s">
        <v>115</v>
      </c>
      <c r="F750">
        <v>1.5</v>
      </c>
      <c r="G750">
        <v>7</v>
      </c>
      <c r="H750" t="s">
        <v>14</v>
      </c>
      <c r="I750" t="s">
        <v>61</v>
      </c>
      <c r="J750" t="s">
        <v>131</v>
      </c>
      <c r="K750">
        <f>Pqp_supermarket_data[[#This Row],[Unit_Price]]*Pqp_supermarket_data[[#This Row],[Quantity]]</f>
        <v>10.5</v>
      </c>
      <c r="L750" t="str">
        <f>TEXT(Pqp_supermarket_data[[#This Row],[DateTime]],"ddd")</f>
        <v>Fri</v>
      </c>
      <c r="M750" t="str">
        <f>TEXT(Pqp_supermarket_data[[#This Row],[DateTime]],"mmm")</f>
        <v>May</v>
      </c>
      <c r="N750" t="str">
        <f>TEXT(Pqp_supermarket_data[[#This Row],[DateTime]],"yyy")</f>
        <v>2022</v>
      </c>
    </row>
    <row r="751" spans="1:14" x14ac:dyDescent="0.35">
      <c r="A751" t="s">
        <v>1648</v>
      </c>
      <c r="B751" s="1">
        <v>44359.805593124998</v>
      </c>
      <c r="C751" t="s">
        <v>1649</v>
      </c>
      <c r="D751" t="s">
        <v>82</v>
      </c>
      <c r="E751" t="s">
        <v>111</v>
      </c>
      <c r="F751">
        <v>2.2000000000000002</v>
      </c>
      <c r="G751">
        <v>5</v>
      </c>
      <c r="H751" t="s">
        <v>14</v>
      </c>
      <c r="I751" t="s">
        <v>86</v>
      </c>
      <c r="J751" t="s">
        <v>426</v>
      </c>
      <c r="K751">
        <f>Pqp_supermarket_data[[#This Row],[Unit_Price]]*Pqp_supermarket_data[[#This Row],[Quantity]]</f>
        <v>11</v>
      </c>
      <c r="L751" t="str">
        <f>TEXT(Pqp_supermarket_data[[#This Row],[DateTime]],"ddd")</f>
        <v>Sat</v>
      </c>
      <c r="M751" t="str">
        <f>TEXT(Pqp_supermarket_data[[#This Row],[DateTime]],"mmm")</f>
        <v>Jun</v>
      </c>
      <c r="N751" t="str">
        <f>TEXT(Pqp_supermarket_data[[#This Row],[DateTime]],"yyy")</f>
        <v>2021</v>
      </c>
    </row>
    <row r="752" spans="1:14" x14ac:dyDescent="0.35">
      <c r="A752" t="s">
        <v>1650</v>
      </c>
      <c r="B752" s="1">
        <v>45310.463926458331</v>
      </c>
      <c r="C752" t="s">
        <v>1651</v>
      </c>
      <c r="D752" t="s">
        <v>171</v>
      </c>
      <c r="E752" t="s">
        <v>20</v>
      </c>
      <c r="F752">
        <v>1</v>
      </c>
      <c r="G752">
        <v>7</v>
      </c>
      <c r="H752" t="s">
        <v>14</v>
      </c>
      <c r="I752" t="s">
        <v>61</v>
      </c>
      <c r="J752" t="s">
        <v>248</v>
      </c>
      <c r="K752">
        <f>Pqp_supermarket_data[[#This Row],[Unit_Price]]*Pqp_supermarket_data[[#This Row],[Quantity]]</f>
        <v>7</v>
      </c>
      <c r="L752" t="str">
        <f>TEXT(Pqp_supermarket_data[[#This Row],[DateTime]],"ddd")</f>
        <v>Fri</v>
      </c>
      <c r="M752" t="str">
        <f>TEXT(Pqp_supermarket_data[[#This Row],[DateTime]],"mmm")</f>
        <v>Jan</v>
      </c>
      <c r="N752" t="str">
        <f>TEXT(Pqp_supermarket_data[[#This Row],[DateTime]],"yyy")</f>
        <v>2024</v>
      </c>
    </row>
    <row r="753" spans="1:14" x14ac:dyDescent="0.35">
      <c r="A753" t="s">
        <v>1652</v>
      </c>
      <c r="B753" s="1">
        <v>45774.610454236114</v>
      </c>
      <c r="C753" t="s">
        <v>1653</v>
      </c>
      <c r="D753" t="s">
        <v>226</v>
      </c>
      <c r="E753" t="s">
        <v>35</v>
      </c>
      <c r="F753">
        <v>1.2</v>
      </c>
      <c r="G753">
        <v>10</v>
      </c>
      <c r="H753" t="s">
        <v>14</v>
      </c>
      <c r="I753" t="s">
        <v>21</v>
      </c>
      <c r="J753" t="s">
        <v>172</v>
      </c>
      <c r="K753">
        <f>Pqp_supermarket_data[[#This Row],[Unit_Price]]*Pqp_supermarket_data[[#This Row],[Quantity]]</f>
        <v>12</v>
      </c>
      <c r="L753" t="str">
        <f>TEXT(Pqp_supermarket_data[[#This Row],[DateTime]],"ddd")</f>
        <v>Sun</v>
      </c>
      <c r="M753" t="str">
        <f>TEXT(Pqp_supermarket_data[[#This Row],[DateTime]],"mmm")</f>
        <v>Apr</v>
      </c>
      <c r="N753" t="str">
        <f>TEXT(Pqp_supermarket_data[[#This Row],[DateTime]],"yyy")</f>
        <v>2025</v>
      </c>
    </row>
    <row r="754" spans="1:14" x14ac:dyDescent="0.35">
      <c r="A754" t="s">
        <v>1654</v>
      </c>
      <c r="B754" s="1">
        <v>44722.543093125001</v>
      </c>
      <c r="C754" t="s">
        <v>1655</v>
      </c>
      <c r="D754" t="s">
        <v>30</v>
      </c>
      <c r="E754" t="s">
        <v>78</v>
      </c>
      <c r="F754">
        <v>4</v>
      </c>
      <c r="G754">
        <v>6</v>
      </c>
      <c r="H754" t="s">
        <v>14</v>
      </c>
      <c r="I754" t="s">
        <v>86</v>
      </c>
      <c r="J754" t="s">
        <v>116</v>
      </c>
      <c r="K754">
        <f>Pqp_supermarket_data[[#This Row],[Unit_Price]]*Pqp_supermarket_data[[#This Row],[Quantity]]</f>
        <v>24</v>
      </c>
      <c r="L754" t="str">
        <f>TEXT(Pqp_supermarket_data[[#This Row],[DateTime]],"ddd")</f>
        <v>Fri</v>
      </c>
      <c r="M754" t="str">
        <f>TEXT(Pqp_supermarket_data[[#This Row],[DateTime]],"mmm")</f>
        <v>Jun</v>
      </c>
      <c r="N754" t="str">
        <f>TEXT(Pqp_supermarket_data[[#This Row],[DateTime]],"yyy")</f>
        <v>2022</v>
      </c>
    </row>
    <row r="755" spans="1:14" x14ac:dyDescent="0.35">
      <c r="A755" t="s">
        <v>1656</v>
      </c>
      <c r="B755" s="1">
        <v>45568.374343124997</v>
      </c>
      <c r="C755" t="s">
        <v>1657</v>
      </c>
      <c r="D755" t="s">
        <v>30</v>
      </c>
      <c r="E755" t="s">
        <v>119</v>
      </c>
      <c r="F755">
        <v>4</v>
      </c>
      <c r="G755">
        <v>5</v>
      </c>
      <c r="H755" t="s">
        <v>14</v>
      </c>
      <c r="I755" t="s">
        <v>61</v>
      </c>
      <c r="J755" t="s">
        <v>183</v>
      </c>
      <c r="K755">
        <f>Pqp_supermarket_data[[#This Row],[Unit_Price]]*Pqp_supermarket_data[[#This Row],[Quantity]]</f>
        <v>20</v>
      </c>
      <c r="L755" t="str">
        <f>TEXT(Pqp_supermarket_data[[#This Row],[DateTime]],"ddd")</f>
        <v>Thu</v>
      </c>
      <c r="M755" t="str">
        <f>TEXT(Pqp_supermarket_data[[#This Row],[DateTime]],"mmm")</f>
        <v>Oct</v>
      </c>
      <c r="N755" t="str">
        <f>TEXT(Pqp_supermarket_data[[#This Row],[DateTime]],"yyy")</f>
        <v>2024</v>
      </c>
    </row>
    <row r="756" spans="1:14" x14ac:dyDescent="0.35">
      <c r="A756" t="s">
        <v>1658</v>
      </c>
      <c r="B756" s="1">
        <v>44918.793787581017</v>
      </c>
      <c r="C756" t="s">
        <v>1659</v>
      </c>
      <c r="D756" t="s">
        <v>171</v>
      </c>
      <c r="E756" t="s">
        <v>13</v>
      </c>
      <c r="F756">
        <v>3.1</v>
      </c>
      <c r="G756">
        <v>7</v>
      </c>
      <c r="H756" t="s">
        <v>14</v>
      </c>
      <c r="I756" t="s">
        <v>15</v>
      </c>
      <c r="J756" t="s">
        <v>404</v>
      </c>
      <c r="K756">
        <f>Pqp_supermarket_data[[#This Row],[Unit_Price]]*Pqp_supermarket_data[[#This Row],[Quantity]]</f>
        <v>21.7</v>
      </c>
      <c r="L756" t="str">
        <f>TEXT(Pqp_supermarket_data[[#This Row],[DateTime]],"ddd")</f>
        <v>Fri</v>
      </c>
      <c r="M756" t="str">
        <f>TEXT(Pqp_supermarket_data[[#This Row],[DateTime]],"mmm")</f>
        <v>Dec</v>
      </c>
      <c r="N756" t="str">
        <f>TEXT(Pqp_supermarket_data[[#This Row],[DateTime]],"yyy")</f>
        <v>2022</v>
      </c>
    </row>
    <row r="757" spans="1:14" x14ac:dyDescent="0.35">
      <c r="A757" t="s">
        <v>1660</v>
      </c>
      <c r="B757" s="1">
        <v>44655.830593136576</v>
      </c>
      <c r="C757" t="s">
        <v>1661</v>
      </c>
      <c r="D757" t="s">
        <v>69</v>
      </c>
      <c r="E757" t="s">
        <v>53</v>
      </c>
      <c r="F757">
        <v>2.8</v>
      </c>
      <c r="G757">
        <v>9</v>
      </c>
      <c r="H757" t="s">
        <v>14</v>
      </c>
      <c r="I757" t="s">
        <v>21</v>
      </c>
      <c r="J757" t="s">
        <v>470</v>
      </c>
      <c r="K757">
        <f>Pqp_supermarket_data[[#This Row],[Unit_Price]]*Pqp_supermarket_data[[#This Row],[Quantity]]</f>
        <v>25.2</v>
      </c>
      <c r="L757" t="str">
        <f>TEXT(Pqp_supermarket_data[[#This Row],[DateTime]],"ddd")</f>
        <v>Mon</v>
      </c>
      <c r="M757" t="str">
        <f>TEXT(Pqp_supermarket_data[[#This Row],[DateTime]],"mmm")</f>
        <v>Apr</v>
      </c>
      <c r="N757" t="str">
        <f>TEXT(Pqp_supermarket_data[[#This Row],[DateTime]],"yyy")</f>
        <v>2022</v>
      </c>
    </row>
    <row r="758" spans="1:14" x14ac:dyDescent="0.35">
      <c r="A758" t="s">
        <v>1662</v>
      </c>
      <c r="B758" s="1">
        <v>45267.159759803239</v>
      </c>
      <c r="C758" t="s">
        <v>1663</v>
      </c>
      <c r="D758" t="s">
        <v>44</v>
      </c>
      <c r="E758" t="s">
        <v>49</v>
      </c>
      <c r="F758">
        <v>7</v>
      </c>
      <c r="G758">
        <v>3</v>
      </c>
      <c r="H758" t="s">
        <v>14</v>
      </c>
      <c r="I758" t="s">
        <v>36</v>
      </c>
      <c r="J758" t="s">
        <v>172</v>
      </c>
      <c r="K758">
        <f>Pqp_supermarket_data[[#This Row],[Unit_Price]]*Pqp_supermarket_data[[#This Row],[Quantity]]</f>
        <v>21</v>
      </c>
      <c r="L758" t="str">
        <f>TEXT(Pqp_supermarket_data[[#This Row],[DateTime]],"ddd")</f>
        <v>Thu</v>
      </c>
      <c r="M758" t="str">
        <f>TEXT(Pqp_supermarket_data[[#This Row],[DateTime]],"mmm")</f>
        <v>Dec</v>
      </c>
      <c r="N758" t="str">
        <f>TEXT(Pqp_supermarket_data[[#This Row],[DateTime]],"yyy")</f>
        <v>2023</v>
      </c>
    </row>
    <row r="759" spans="1:14" x14ac:dyDescent="0.35">
      <c r="A759" t="s">
        <v>1664</v>
      </c>
      <c r="B759" s="1">
        <v>45315.941704247685</v>
      </c>
      <c r="C759" t="s">
        <v>1665</v>
      </c>
      <c r="D759" t="s">
        <v>12</v>
      </c>
      <c r="E759" t="s">
        <v>94</v>
      </c>
      <c r="F759">
        <v>0.8</v>
      </c>
      <c r="G759">
        <v>2</v>
      </c>
      <c r="H759" t="s">
        <v>14</v>
      </c>
      <c r="I759" t="s">
        <v>15</v>
      </c>
      <c r="J759" t="s">
        <v>138</v>
      </c>
      <c r="K759">
        <f>Pqp_supermarket_data[[#This Row],[Unit_Price]]*Pqp_supermarket_data[[#This Row],[Quantity]]</f>
        <v>1.6</v>
      </c>
      <c r="L759" t="str">
        <f>TEXT(Pqp_supermarket_data[[#This Row],[DateTime]],"ddd")</f>
        <v>Wed</v>
      </c>
      <c r="M759" t="str">
        <f>TEXT(Pqp_supermarket_data[[#This Row],[DateTime]],"mmm")</f>
        <v>Jan</v>
      </c>
      <c r="N759" t="str">
        <f>TEXT(Pqp_supermarket_data[[#This Row],[DateTime]],"yyy")</f>
        <v>2024</v>
      </c>
    </row>
    <row r="760" spans="1:14" x14ac:dyDescent="0.35">
      <c r="A760" t="s">
        <v>1666</v>
      </c>
      <c r="B760" s="1">
        <v>44966.107676481479</v>
      </c>
      <c r="C760" t="s">
        <v>1667</v>
      </c>
      <c r="D760" t="s">
        <v>85</v>
      </c>
      <c r="E760" t="s">
        <v>45</v>
      </c>
      <c r="F760">
        <v>1</v>
      </c>
      <c r="G760">
        <v>1</v>
      </c>
      <c r="H760" t="s">
        <v>14</v>
      </c>
      <c r="I760" t="s">
        <v>15</v>
      </c>
      <c r="J760" t="s">
        <v>423</v>
      </c>
      <c r="K760">
        <f>Pqp_supermarket_data[[#This Row],[Unit_Price]]*Pqp_supermarket_data[[#This Row],[Quantity]]</f>
        <v>1</v>
      </c>
      <c r="L760" t="str">
        <f>TEXT(Pqp_supermarket_data[[#This Row],[DateTime]],"ddd")</f>
        <v>Thu</v>
      </c>
      <c r="M760" t="str">
        <f>TEXT(Pqp_supermarket_data[[#This Row],[DateTime]],"mmm")</f>
        <v>Feb</v>
      </c>
      <c r="N760" t="str">
        <f>TEXT(Pqp_supermarket_data[[#This Row],[DateTime]],"yyy")</f>
        <v>2023</v>
      </c>
    </row>
    <row r="761" spans="1:14" x14ac:dyDescent="0.35">
      <c r="A761" t="s">
        <v>1668</v>
      </c>
      <c r="B761" s="1">
        <v>44484.52434314815</v>
      </c>
      <c r="C761" t="s">
        <v>1669</v>
      </c>
      <c r="D761" t="s">
        <v>77</v>
      </c>
      <c r="E761" t="s">
        <v>111</v>
      </c>
      <c r="F761">
        <v>2.2000000000000002</v>
      </c>
      <c r="G761">
        <v>8</v>
      </c>
      <c r="H761" t="s">
        <v>14</v>
      </c>
      <c r="I761" t="s">
        <v>21</v>
      </c>
      <c r="J761" t="s">
        <v>236</v>
      </c>
      <c r="K761">
        <f>Pqp_supermarket_data[[#This Row],[Unit_Price]]*Pqp_supermarket_data[[#This Row],[Quantity]]</f>
        <v>17.600000000000001</v>
      </c>
      <c r="L761" t="str">
        <f>TEXT(Pqp_supermarket_data[[#This Row],[DateTime]],"ddd")</f>
        <v>Fri</v>
      </c>
      <c r="M761" t="str">
        <f>TEXT(Pqp_supermarket_data[[#This Row],[DateTime]],"mmm")</f>
        <v>Oct</v>
      </c>
      <c r="N761" t="str">
        <f>TEXT(Pqp_supermarket_data[[#This Row],[DateTime]],"yyy")</f>
        <v>2021</v>
      </c>
    </row>
    <row r="762" spans="1:14" x14ac:dyDescent="0.35">
      <c r="A762" t="s">
        <v>1670</v>
      </c>
      <c r="B762" s="1">
        <v>45606.465315370369</v>
      </c>
      <c r="C762" t="s">
        <v>1671</v>
      </c>
      <c r="D762" t="s">
        <v>25</v>
      </c>
      <c r="E762" t="s">
        <v>53</v>
      </c>
      <c r="F762">
        <v>2.8</v>
      </c>
      <c r="G762">
        <v>2</v>
      </c>
      <c r="H762" t="s">
        <v>14</v>
      </c>
      <c r="I762" t="s">
        <v>21</v>
      </c>
      <c r="J762" t="s">
        <v>74</v>
      </c>
      <c r="K762">
        <f>Pqp_supermarket_data[[#This Row],[Unit_Price]]*Pqp_supermarket_data[[#This Row],[Quantity]]</f>
        <v>5.6</v>
      </c>
      <c r="L762" t="str">
        <f>TEXT(Pqp_supermarket_data[[#This Row],[DateTime]],"ddd")</f>
        <v>Sun</v>
      </c>
      <c r="M762" t="str">
        <f>TEXT(Pqp_supermarket_data[[#This Row],[DateTime]],"mmm")</f>
        <v>Nov</v>
      </c>
      <c r="N762" t="str">
        <f>TEXT(Pqp_supermarket_data[[#This Row],[DateTime]],"yyy")</f>
        <v>2024</v>
      </c>
    </row>
    <row r="763" spans="1:14" x14ac:dyDescent="0.35">
      <c r="A763" t="s">
        <v>1672</v>
      </c>
      <c r="B763" s="1">
        <v>44999.032676481482</v>
      </c>
      <c r="C763" t="s">
        <v>1673</v>
      </c>
      <c r="D763" t="s">
        <v>30</v>
      </c>
      <c r="E763" t="s">
        <v>90</v>
      </c>
      <c r="F763">
        <v>1.8</v>
      </c>
      <c r="G763">
        <v>5</v>
      </c>
      <c r="H763" t="s">
        <v>14</v>
      </c>
      <c r="I763" t="s">
        <v>36</v>
      </c>
      <c r="J763" t="s">
        <v>273</v>
      </c>
      <c r="K763">
        <f>Pqp_supermarket_data[[#This Row],[Unit_Price]]*Pqp_supermarket_data[[#This Row],[Quantity]]</f>
        <v>9</v>
      </c>
      <c r="L763" t="str">
        <f>TEXT(Pqp_supermarket_data[[#This Row],[DateTime]],"ddd")</f>
        <v>Tue</v>
      </c>
      <c r="M763" t="str">
        <f>TEXT(Pqp_supermarket_data[[#This Row],[DateTime]],"mmm")</f>
        <v>Mar</v>
      </c>
      <c r="N763" t="str">
        <f>TEXT(Pqp_supermarket_data[[#This Row],[DateTime]],"yyy")</f>
        <v>2023</v>
      </c>
    </row>
    <row r="764" spans="1:14" x14ac:dyDescent="0.35">
      <c r="A764" t="s">
        <v>1674</v>
      </c>
      <c r="B764" s="1">
        <v>45669.323648715275</v>
      </c>
      <c r="C764" t="s">
        <v>1675</v>
      </c>
      <c r="D764" t="s">
        <v>98</v>
      </c>
      <c r="E764" t="s">
        <v>70</v>
      </c>
      <c r="F764">
        <v>5</v>
      </c>
      <c r="G764">
        <v>1</v>
      </c>
      <c r="H764" t="s">
        <v>14</v>
      </c>
      <c r="I764" t="s">
        <v>15</v>
      </c>
      <c r="J764" t="s">
        <v>227</v>
      </c>
      <c r="K764">
        <f>Pqp_supermarket_data[[#This Row],[Unit_Price]]*Pqp_supermarket_data[[#This Row],[Quantity]]</f>
        <v>5</v>
      </c>
      <c r="L764" t="str">
        <f>TEXT(Pqp_supermarket_data[[#This Row],[DateTime]],"ddd")</f>
        <v>Sun</v>
      </c>
      <c r="M764" t="str">
        <f>TEXT(Pqp_supermarket_data[[#This Row],[DateTime]],"mmm")</f>
        <v>Jan</v>
      </c>
      <c r="N764" t="str">
        <f>TEXT(Pqp_supermarket_data[[#This Row],[DateTime]],"yyy")</f>
        <v>2025</v>
      </c>
    </row>
    <row r="765" spans="1:14" x14ac:dyDescent="0.35">
      <c r="A765" t="s">
        <v>1676</v>
      </c>
      <c r="B765" s="1">
        <v>44725.176426493053</v>
      </c>
      <c r="C765" t="s">
        <v>310</v>
      </c>
      <c r="D765" t="s">
        <v>208</v>
      </c>
      <c r="E765" t="s">
        <v>45</v>
      </c>
      <c r="F765">
        <v>1</v>
      </c>
      <c r="G765">
        <v>9</v>
      </c>
      <c r="H765" t="s">
        <v>14</v>
      </c>
      <c r="I765" t="s">
        <v>21</v>
      </c>
      <c r="J765" t="s">
        <v>160</v>
      </c>
      <c r="K765">
        <f>Pqp_supermarket_data[[#This Row],[Unit_Price]]*Pqp_supermarket_data[[#This Row],[Quantity]]</f>
        <v>9</v>
      </c>
      <c r="L765" t="str">
        <f>TEXT(Pqp_supermarket_data[[#This Row],[DateTime]],"ddd")</f>
        <v>Mon</v>
      </c>
      <c r="M765" t="str">
        <f>TEXT(Pqp_supermarket_data[[#This Row],[DateTime]],"mmm")</f>
        <v>Jun</v>
      </c>
      <c r="N765" t="str">
        <f>TEXT(Pqp_supermarket_data[[#This Row],[DateTime]],"yyy")</f>
        <v>2022</v>
      </c>
    </row>
    <row r="766" spans="1:14" x14ac:dyDescent="0.35">
      <c r="A766" t="s">
        <v>1677</v>
      </c>
      <c r="B766" s="1">
        <v>45311.761148715275</v>
      </c>
      <c r="C766" t="s">
        <v>1678</v>
      </c>
      <c r="D766" t="s">
        <v>30</v>
      </c>
      <c r="E766" t="s">
        <v>137</v>
      </c>
      <c r="F766">
        <v>2.5</v>
      </c>
      <c r="G766">
        <v>6</v>
      </c>
      <c r="H766" t="s">
        <v>14</v>
      </c>
      <c r="I766" t="s">
        <v>15</v>
      </c>
      <c r="J766" t="s">
        <v>189</v>
      </c>
      <c r="K766">
        <f>Pqp_supermarket_data[[#This Row],[Unit_Price]]*Pqp_supermarket_data[[#This Row],[Quantity]]</f>
        <v>15</v>
      </c>
      <c r="L766" t="str">
        <f>TEXT(Pqp_supermarket_data[[#This Row],[DateTime]],"ddd")</f>
        <v>Sat</v>
      </c>
      <c r="M766" t="str">
        <f>TEXT(Pqp_supermarket_data[[#This Row],[DateTime]],"mmm")</f>
        <v>Jan</v>
      </c>
      <c r="N766" t="str">
        <f>TEXT(Pqp_supermarket_data[[#This Row],[DateTime]],"yyy")</f>
        <v>2024</v>
      </c>
    </row>
    <row r="767" spans="1:14" x14ac:dyDescent="0.35">
      <c r="A767" t="s">
        <v>1679</v>
      </c>
      <c r="B767" s="1">
        <v>45786.34795427083</v>
      </c>
      <c r="C767" t="s">
        <v>1680</v>
      </c>
      <c r="D767" t="s">
        <v>127</v>
      </c>
      <c r="E767" t="s">
        <v>49</v>
      </c>
      <c r="F767">
        <v>7</v>
      </c>
      <c r="G767">
        <v>6</v>
      </c>
      <c r="H767" t="s">
        <v>14</v>
      </c>
      <c r="I767" t="s">
        <v>36</v>
      </c>
      <c r="J767" t="s">
        <v>662</v>
      </c>
      <c r="K767">
        <f>Pqp_supermarket_data[[#This Row],[Unit_Price]]*Pqp_supermarket_data[[#This Row],[Quantity]]</f>
        <v>42</v>
      </c>
      <c r="L767" t="str">
        <f>TEXT(Pqp_supermarket_data[[#This Row],[DateTime]],"ddd")</f>
        <v>Fri</v>
      </c>
      <c r="M767" t="str">
        <f>TEXT(Pqp_supermarket_data[[#This Row],[DateTime]],"mmm")</f>
        <v>May</v>
      </c>
      <c r="N767" t="str">
        <f>TEXT(Pqp_supermarket_data[[#This Row],[DateTime]],"yyy")</f>
        <v>2025</v>
      </c>
    </row>
    <row r="768" spans="1:14" x14ac:dyDescent="0.35">
      <c r="A768" t="s">
        <v>1681</v>
      </c>
      <c r="B768" s="1">
        <v>44955.801426504629</v>
      </c>
      <c r="C768" t="s">
        <v>1682</v>
      </c>
      <c r="D768" t="s">
        <v>85</v>
      </c>
      <c r="E768" t="s">
        <v>35</v>
      </c>
      <c r="F768">
        <v>1.2</v>
      </c>
      <c r="G768">
        <v>2</v>
      </c>
      <c r="H768" t="s">
        <v>14</v>
      </c>
      <c r="I768" t="s">
        <v>40</v>
      </c>
      <c r="J768" t="s">
        <v>153</v>
      </c>
      <c r="K768">
        <f>Pqp_supermarket_data[[#This Row],[Unit_Price]]*Pqp_supermarket_data[[#This Row],[Quantity]]</f>
        <v>2.4</v>
      </c>
      <c r="L768" t="str">
        <f>TEXT(Pqp_supermarket_data[[#This Row],[DateTime]],"ddd")</f>
        <v>Sun</v>
      </c>
      <c r="M768" t="str">
        <f>TEXT(Pqp_supermarket_data[[#This Row],[DateTime]],"mmm")</f>
        <v>Jan</v>
      </c>
      <c r="N768" t="str">
        <f>TEXT(Pqp_supermarket_data[[#This Row],[DateTime]],"yyy")</f>
        <v>2023</v>
      </c>
    </row>
    <row r="769" spans="1:14" x14ac:dyDescent="0.35">
      <c r="A769" t="s">
        <v>1683</v>
      </c>
      <c r="B769" s="1">
        <v>45203.564620949073</v>
      </c>
      <c r="C769" t="s">
        <v>1684</v>
      </c>
      <c r="D769" t="s">
        <v>85</v>
      </c>
      <c r="E769" t="s">
        <v>119</v>
      </c>
      <c r="F769">
        <v>4</v>
      </c>
      <c r="G769">
        <v>6</v>
      </c>
      <c r="H769" t="s">
        <v>14</v>
      </c>
      <c r="I769" t="s">
        <v>61</v>
      </c>
      <c r="J769" t="s">
        <v>339</v>
      </c>
      <c r="K769">
        <f>Pqp_supermarket_data[[#This Row],[Unit_Price]]*Pqp_supermarket_data[[#This Row],[Quantity]]</f>
        <v>24</v>
      </c>
      <c r="L769" t="str">
        <f>TEXT(Pqp_supermarket_data[[#This Row],[DateTime]],"ddd")</f>
        <v>Wed</v>
      </c>
      <c r="M769" t="str">
        <f>TEXT(Pqp_supermarket_data[[#This Row],[DateTime]],"mmm")</f>
        <v>Oct</v>
      </c>
      <c r="N769" t="str">
        <f>TEXT(Pqp_supermarket_data[[#This Row],[DateTime]],"yyy")</f>
        <v>2023</v>
      </c>
    </row>
    <row r="770" spans="1:14" x14ac:dyDescent="0.35">
      <c r="A770" t="s">
        <v>1685</v>
      </c>
      <c r="B770" s="1">
        <v>45322.759759837965</v>
      </c>
      <c r="C770" t="s">
        <v>1686</v>
      </c>
      <c r="D770" t="s">
        <v>98</v>
      </c>
      <c r="E770" t="s">
        <v>49</v>
      </c>
      <c r="F770">
        <v>7</v>
      </c>
      <c r="G770">
        <v>10</v>
      </c>
      <c r="H770" t="s">
        <v>14</v>
      </c>
      <c r="I770" t="s">
        <v>40</v>
      </c>
      <c r="J770" t="s">
        <v>924</v>
      </c>
      <c r="K770">
        <f>Pqp_supermarket_data[[#This Row],[Unit_Price]]*Pqp_supermarket_data[[#This Row],[Quantity]]</f>
        <v>70</v>
      </c>
      <c r="L770" t="str">
        <f>TEXT(Pqp_supermarket_data[[#This Row],[DateTime]],"ddd")</f>
        <v>Wed</v>
      </c>
      <c r="M770" t="str">
        <f>TEXT(Pqp_supermarket_data[[#This Row],[DateTime]],"mmm")</f>
        <v>Jan</v>
      </c>
      <c r="N770" t="str">
        <f>TEXT(Pqp_supermarket_data[[#This Row],[DateTime]],"yyy")</f>
        <v>2024</v>
      </c>
    </row>
    <row r="771" spans="1:14" x14ac:dyDescent="0.35">
      <c r="A771" t="s">
        <v>1687</v>
      </c>
      <c r="B771" s="1">
        <v>45427.995870949075</v>
      </c>
      <c r="C771" t="s">
        <v>1688</v>
      </c>
      <c r="D771" t="s">
        <v>77</v>
      </c>
      <c r="E771" t="s">
        <v>20</v>
      </c>
      <c r="F771">
        <v>1</v>
      </c>
      <c r="G771">
        <v>2</v>
      </c>
      <c r="H771" t="s">
        <v>14</v>
      </c>
      <c r="I771" t="s">
        <v>21</v>
      </c>
      <c r="J771" t="s">
        <v>50</v>
      </c>
      <c r="K771">
        <f>Pqp_supermarket_data[[#This Row],[Unit_Price]]*Pqp_supermarket_data[[#This Row],[Quantity]]</f>
        <v>2</v>
      </c>
      <c r="L771" t="str">
        <f>TEXT(Pqp_supermarket_data[[#This Row],[DateTime]],"ddd")</f>
        <v>Wed</v>
      </c>
      <c r="M771" t="str">
        <f>TEXT(Pqp_supermarket_data[[#This Row],[DateTime]],"mmm")</f>
        <v>May</v>
      </c>
      <c r="N771" t="str">
        <f>TEXT(Pqp_supermarket_data[[#This Row],[DateTime]],"yyy")</f>
        <v>2024</v>
      </c>
    </row>
    <row r="772" spans="1:14" x14ac:dyDescent="0.35">
      <c r="A772" t="s">
        <v>1689</v>
      </c>
      <c r="B772" s="1">
        <v>45090.399343182871</v>
      </c>
      <c r="C772" t="s">
        <v>1690</v>
      </c>
      <c r="D772" t="s">
        <v>85</v>
      </c>
      <c r="E772" t="s">
        <v>13</v>
      </c>
      <c r="F772">
        <v>3.1</v>
      </c>
      <c r="G772">
        <v>9</v>
      </c>
      <c r="H772" t="s">
        <v>14</v>
      </c>
      <c r="I772" t="s">
        <v>21</v>
      </c>
      <c r="J772" t="s">
        <v>364</v>
      </c>
      <c r="K772">
        <f>Pqp_supermarket_data[[#This Row],[Unit_Price]]*Pqp_supermarket_data[[#This Row],[Quantity]]</f>
        <v>27.900000000000002</v>
      </c>
      <c r="L772" t="str">
        <f>TEXT(Pqp_supermarket_data[[#This Row],[DateTime]],"ddd")</f>
        <v>Tue</v>
      </c>
      <c r="M772" t="str">
        <f>TEXT(Pqp_supermarket_data[[#This Row],[DateTime]],"mmm")</f>
        <v>Jun</v>
      </c>
      <c r="N772" t="str">
        <f>TEXT(Pqp_supermarket_data[[#This Row],[DateTime]],"yyy")</f>
        <v>2023</v>
      </c>
    </row>
    <row r="773" spans="1:14" x14ac:dyDescent="0.35">
      <c r="A773" t="s">
        <v>1691</v>
      </c>
      <c r="B773" s="1">
        <v>44364.959759849538</v>
      </c>
      <c r="C773" t="s">
        <v>1692</v>
      </c>
      <c r="D773" t="s">
        <v>171</v>
      </c>
      <c r="E773" t="s">
        <v>115</v>
      </c>
      <c r="F773">
        <v>1.5</v>
      </c>
      <c r="G773">
        <v>4</v>
      </c>
      <c r="H773" t="s">
        <v>14</v>
      </c>
      <c r="I773" t="s">
        <v>61</v>
      </c>
      <c r="J773" t="s">
        <v>267</v>
      </c>
      <c r="K773">
        <f>Pqp_supermarket_data[[#This Row],[Unit_Price]]*Pqp_supermarket_data[[#This Row],[Quantity]]</f>
        <v>6</v>
      </c>
      <c r="L773" t="str">
        <f>TEXT(Pqp_supermarket_data[[#This Row],[DateTime]],"ddd")</f>
        <v>Thu</v>
      </c>
      <c r="M773" t="str">
        <f>TEXT(Pqp_supermarket_data[[#This Row],[DateTime]],"mmm")</f>
        <v>Jun</v>
      </c>
      <c r="N773" t="str">
        <f>TEXT(Pqp_supermarket_data[[#This Row],[DateTime]],"yyy")</f>
        <v>2021</v>
      </c>
    </row>
    <row r="774" spans="1:14" x14ac:dyDescent="0.35">
      <c r="A774" t="s">
        <v>1693</v>
      </c>
      <c r="B774" s="1">
        <v>44846.664620960648</v>
      </c>
      <c r="C774" t="s">
        <v>1694</v>
      </c>
      <c r="D774" t="s">
        <v>19</v>
      </c>
      <c r="E774" t="s">
        <v>119</v>
      </c>
      <c r="F774">
        <v>4</v>
      </c>
      <c r="G774">
        <v>1</v>
      </c>
      <c r="H774" t="s">
        <v>14</v>
      </c>
      <c r="I774" t="s">
        <v>86</v>
      </c>
      <c r="J774" t="s">
        <v>233</v>
      </c>
      <c r="K774">
        <f>Pqp_supermarket_data[[#This Row],[Unit_Price]]*Pqp_supermarket_data[[#This Row],[Quantity]]</f>
        <v>4</v>
      </c>
      <c r="L774" t="str">
        <f>TEXT(Pqp_supermarket_data[[#This Row],[DateTime]],"ddd")</f>
        <v>Wed</v>
      </c>
      <c r="M774" t="str">
        <f>TEXT(Pqp_supermarket_data[[#This Row],[DateTime]],"mmm")</f>
        <v>Oct</v>
      </c>
      <c r="N774" t="str">
        <f>TEXT(Pqp_supermarket_data[[#This Row],[DateTime]],"yyy")</f>
        <v>2022</v>
      </c>
    </row>
    <row r="775" spans="1:14" x14ac:dyDescent="0.35">
      <c r="A775" t="s">
        <v>1695</v>
      </c>
      <c r="B775" s="1">
        <v>45258.459759849538</v>
      </c>
      <c r="C775" t="s">
        <v>1696</v>
      </c>
      <c r="D775" t="s">
        <v>30</v>
      </c>
      <c r="E775" t="s">
        <v>26</v>
      </c>
      <c r="F775">
        <v>2.5</v>
      </c>
      <c r="G775">
        <v>4</v>
      </c>
      <c r="H775" t="s">
        <v>14</v>
      </c>
      <c r="I775" t="s">
        <v>61</v>
      </c>
      <c r="J775" t="s">
        <v>404</v>
      </c>
      <c r="K775">
        <f>Pqp_supermarket_data[[#This Row],[Unit_Price]]*Pqp_supermarket_data[[#This Row],[Quantity]]</f>
        <v>10</v>
      </c>
      <c r="L775" t="str">
        <f>TEXT(Pqp_supermarket_data[[#This Row],[DateTime]],"ddd")</f>
        <v>Tue</v>
      </c>
      <c r="M775" t="str">
        <f>TEXT(Pqp_supermarket_data[[#This Row],[DateTime]],"mmm")</f>
        <v>Nov</v>
      </c>
      <c r="N775" t="str">
        <f>TEXT(Pqp_supermarket_data[[#This Row],[DateTime]],"yyy")</f>
        <v>2023</v>
      </c>
    </row>
    <row r="776" spans="1:14" x14ac:dyDescent="0.35">
      <c r="A776" t="s">
        <v>1697</v>
      </c>
      <c r="B776" s="1">
        <v>45062.869482083333</v>
      </c>
      <c r="C776" t="s">
        <v>1698</v>
      </c>
      <c r="D776" t="s">
        <v>208</v>
      </c>
      <c r="E776" t="s">
        <v>13</v>
      </c>
      <c r="F776">
        <v>3.1</v>
      </c>
      <c r="G776">
        <v>4</v>
      </c>
      <c r="H776" t="s">
        <v>14</v>
      </c>
      <c r="I776" t="s">
        <v>61</v>
      </c>
      <c r="J776" t="s">
        <v>451</v>
      </c>
      <c r="K776">
        <f>Pqp_supermarket_data[[#This Row],[Unit_Price]]*Pqp_supermarket_data[[#This Row],[Quantity]]</f>
        <v>12.4</v>
      </c>
      <c r="L776" t="str">
        <f>TEXT(Pqp_supermarket_data[[#This Row],[DateTime]],"ddd")</f>
        <v>Tue</v>
      </c>
      <c r="M776" t="str">
        <f>TEXT(Pqp_supermarket_data[[#This Row],[DateTime]],"mmm")</f>
        <v>May</v>
      </c>
      <c r="N776" t="str">
        <f>TEXT(Pqp_supermarket_data[[#This Row],[DateTime]],"yyy")</f>
        <v>2023</v>
      </c>
    </row>
    <row r="777" spans="1:14" x14ac:dyDescent="0.35">
      <c r="A777" t="s">
        <v>1699</v>
      </c>
      <c r="B777" s="1">
        <v>44968.65212097222</v>
      </c>
      <c r="C777" t="s">
        <v>1700</v>
      </c>
      <c r="D777" t="s">
        <v>34</v>
      </c>
      <c r="E777" t="s">
        <v>39</v>
      </c>
      <c r="F777">
        <v>3.2</v>
      </c>
      <c r="G777">
        <v>2</v>
      </c>
      <c r="H777" t="s">
        <v>14</v>
      </c>
      <c r="I777" t="s">
        <v>21</v>
      </c>
      <c r="J777" t="s">
        <v>218</v>
      </c>
      <c r="K777">
        <f>Pqp_supermarket_data[[#This Row],[Unit_Price]]*Pqp_supermarket_data[[#This Row],[Quantity]]</f>
        <v>6.4</v>
      </c>
      <c r="L777" t="str">
        <f>TEXT(Pqp_supermarket_data[[#This Row],[DateTime]],"ddd")</f>
        <v>Sat</v>
      </c>
      <c r="M777" t="str">
        <f>TEXT(Pqp_supermarket_data[[#This Row],[DateTime]],"mmm")</f>
        <v>Feb</v>
      </c>
      <c r="N777" t="str">
        <f>TEXT(Pqp_supermarket_data[[#This Row],[DateTime]],"yyy")</f>
        <v>2023</v>
      </c>
    </row>
    <row r="778" spans="1:14" x14ac:dyDescent="0.35">
      <c r="A778" t="s">
        <v>1701</v>
      </c>
      <c r="B778" s="1">
        <v>44811.127815416665</v>
      </c>
      <c r="C778" t="s">
        <v>1702</v>
      </c>
      <c r="D778" t="s">
        <v>25</v>
      </c>
      <c r="E778" t="s">
        <v>119</v>
      </c>
      <c r="F778">
        <v>4</v>
      </c>
      <c r="G778">
        <v>5</v>
      </c>
      <c r="H778" t="s">
        <v>14</v>
      </c>
      <c r="I778" t="s">
        <v>15</v>
      </c>
      <c r="J778" t="s">
        <v>314</v>
      </c>
      <c r="K778">
        <f>Pqp_supermarket_data[[#This Row],[Unit_Price]]*Pqp_supermarket_data[[#This Row],[Quantity]]</f>
        <v>20</v>
      </c>
      <c r="L778" t="str">
        <f>TEXT(Pqp_supermarket_data[[#This Row],[DateTime]],"ddd")</f>
        <v>Wed</v>
      </c>
      <c r="M778" t="str">
        <f>TEXT(Pqp_supermarket_data[[#This Row],[DateTime]],"mmm")</f>
        <v>Sep</v>
      </c>
      <c r="N778" t="str">
        <f>TEXT(Pqp_supermarket_data[[#This Row],[DateTime]],"yyy")</f>
        <v>2022</v>
      </c>
    </row>
    <row r="779" spans="1:14" x14ac:dyDescent="0.35">
      <c r="A779" t="s">
        <v>1703</v>
      </c>
      <c r="B779" s="1">
        <v>44387.288232083331</v>
      </c>
      <c r="C779" t="s">
        <v>1704</v>
      </c>
      <c r="D779" t="s">
        <v>12</v>
      </c>
      <c r="E779" t="s">
        <v>78</v>
      </c>
      <c r="F779">
        <v>4</v>
      </c>
      <c r="G779">
        <v>4</v>
      </c>
      <c r="H779" t="s">
        <v>14</v>
      </c>
      <c r="I779" t="s">
        <v>36</v>
      </c>
      <c r="J779" t="s">
        <v>461</v>
      </c>
      <c r="K779">
        <f>Pqp_supermarket_data[[#This Row],[Unit_Price]]*Pqp_supermarket_data[[#This Row],[Quantity]]</f>
        <v>16</v>
      </c>
      <c r="L779" t="str">
        <f>TEXT(Pqp_supermarket_data[[#This Row],[DateTime]],"ddd")</f>
        <v>Sat</v>
      </c>
      <c r="M779" t="str">
        <f>TEXT(Pqp_supermarket_data[[#This Row],[DateTime]],"mmm")</f>
        <v>Jul</v>
      </c>
      <c r="N779" t="str">
        <f>TEXT(Pqp_supermarket_data[[#This Row],[DateTime]],"yyy")</f>
        <v>2021</v>
      </c>
    </row>
    <row r="780" spans="1:14" x14ac:dyDescent="0.35">
      <c r="A780" t="s">
        <v>1705</v>
      </c>
      <c r="B780" s="1">
        <v>45243.300037650464</v>
      </c>
      <c r="C780" t="s">
        <v>1706</v>
      </c>
      <c r="D780" t="s">
        <v>25</v>
      </c>
      <c r="E780" t="s">
        <v>26</v>
      </c>
      <c r="F780">
        <v>2.5</v>
      </c>
      <c r="G780">
        <v>10</v>
      </c>
      <c r="H780" t="s">
        <v>14</v>
      </c>
      <c r="I780" t="s">
        <v>61</v>
      </c>
      <c r="J780" t="s">
        <v>744</v>
      </c>
      <c r="K780">
        <f>Pqp_supermarket_data[[#This Row],[Unit_Price]]*Pqp_supermarket_data[[#This Row],[Quantity]]</f>
        <v>25</v>
      </c>
      <c r="L780" t="str">
        <f>TEXT(Pqp_supermarket_data[[#This Row],[DateTime]],"ddd")</f>
        <v>Mon</v>
      </c>
      <c r="M780" t="str">
        <f>TEXT(Pqp_supermarket_data[[#This Row],[DateTime]],"mmm")</f>
        <v>Nov</v>
      </c>
      <c r="N780" t="str">
        <f>TEXT(Pqp_supermarket_data[[#This Row],[DateTime]],"yyy")</f>
        <v>2023</v>
      </c>
    </row>
    <row r="781" spans="1:14" x14ac:dyDescent="0.35">
      <c r="A781" t="s">
        <v>1707</v>
      </c>
      <c r="B781" s="1">
        <v>45568.394482094911</v>
      </c>
      <c r="C781" t="s">
        <v>1708</v>
      </c>
      <c r="D781" t="s">
        <v>77</v>
      </c>
      <c r="E781" t="s">
        <v>115</v>
      </c>
      <c r="F781">
        <v>1.5</v>
      </c>
      <c r="G781">
        <v>10</v>
      </c>
      <c r="H781" t="s">
        <v>14</v>
      </c>
      <c r="I781" t="s">
        <v>40</v>
      </c>
      <c r="J781" t="s">
        <v>302</v>
      </c>
      <c r="K781">
        <f>Pqp_supermarket_data[[#This Row],[Unit_Price]]*Pqp_supermarket_data[[#This Row],[Quantity]]</f>
        <v>15</v>
      </c>
      <c r="L781" t="str">
        <f>TEXT(Pqp_supermarket_data[[#This Row],[DateTime]],"ddd")</f>
        <v>Thu</v>
      </c>
      <c r="M781" t="str">
        <f>TEXT(Pqp_supermarket_data[[#This Row],[DateTime]],"mmm")</f>
        <v>Oct</v>
      </c>
      <c r="N781" t="str">
        <f>TEXT(Pqp_supermarket_data[[#This Row],[DateTime]],"yyy")</f>
        <v>2024</v>
      </c>
    </row>
    <row r="782" spans="1:14" x14ac:dyDescent="0.35">
      <c r="A782" t="s">
        <v>1709</v>
      </c>
      <c r="B782" s="1">
        <v>44678.480593206019</v>
      </c>
      <c r="C782" t="s">
        <v>1710</v>
      </c>
      <c r="D782" t="s">
        <v>98</v>
      </c>
      <c r="E782" t="s">
        <v>53</v>
      </c>
      <c r="F782">
        <v>2.8</v>
      </c>
      <c r="G782">
        <v>10</v>
      </c>
      <c r="H782" t="s">
        <v>14</v>
      </c>
      <c r="I782" t="s">
        <v>61</v>
      </c>
      <c r="J782" t="s">
        <v>336</v>
      </c>
      <c r="K782">
        <f>Pqp_supermarket_data[[#This Row],[Unit_Price]]*Pqp_supermarket_data[[#This Row],[Quantity]]</f>
        <v>28</v>
      </c>
      <c r="L782" t="str">
        <f>TEXT(Pqp_supermarket_data[[#This Row],[DateTime]],"ddd")</f>
        <v>Wed</v>
      </c>
      <c r="M782" t="str">
        <f>TEXT(Pqp_supermarket_data[[#This Row],[DateTime]],"mmm")</f>
        <v>Apr</v>
      </c>
      <c r="N782" t="str">
        <f>TEXT(Pqp_supermarket_data[[#This Row],[DateTime]],"yyy")</f>
        <v>2022</v>
      </c>
    </row>
    <row r="783" spans="1:14" x14ac:dyDescent="0.35">
      <c r="A783" t="s">
        <v>1711</v>
      </c>
      <c r="B783" s="1">
        <v>44610.204898761571</v>
      </c>
      <c r="C783" t="s">
        <v>1712</v>
      </c>
      <c r="D783" t="s">
        <v>69</v>
      </c>
      <c r="E783" t="s">
        <v>90</v>
      </c>
      <c r="F783">
        <v>1.8</v>
      </c>
      <c r="G783">
        <v>5</v>
      </c>
      <c r="H783" t="s">
        <v>14</v>
      </c>
      <c r="I783" t="s">
        <v>86</v>
      </c>
      <c r="J783" t="s">
        <v>499</v>
      </c>
      <c r="K783">
        <f>Pqp_supermarket_data[[#This Row],[Unit_Price]]*Pqp_supermarket_data[[#This Row],[Quantity]]</f>
        <v>9</v>
      </c>
      <c r="L783" t="str">
        <f>TEXT(Pqp_supermarket_data[[#This Row],[DateTime]],"ddd")</f>
        <v>Fri</v>
      </c>
      <c r="M783" t="str">
        <f>TEXT(Pqp_supermarket_data[[#This Row],[DateTime]],"mmm")</f>
        <v>Feb</v>
      </c>
      <c r="N783" t="str">
        <f>TEXT(Pqp_supermarket_data[[#This Row],[DateTime]],"yyy")</f>
        <v>2022</v>
      </c>
    </row>
    <row r="784" spans="1:14" x14ac:dyDescent="0.35">
      <c r="A784" t="s">
        <v>1713</v>
      </c>
      <c r="B784" s="1">
        <v>44605.391009884261</v>
      </c>
      <c r="C784" t="s">
        <v>1714</v>
      </c>
      <c r="D784" t="s">
        <v>85</v>
      </c>
      <c r="E784" t="s">
        <v>145</v>
      </c>
      <c r="F784">
        <v>1.7</v>
      </c>
      <c r="G784">
        <v>8</v>
      </c>
      <c r="H784" t="s">
        <v>14</v>
      </c>
      <c r="I784" t="s">
        <v>21</v>
      </c>
      <c r="J784" t="s">
        <v>74</v>
      </c>
      <c r="K784">
        <f>Pqp_supermarket_data[[#This Row],[Unit_Price]]*Pqp_supermarket_data[[#This Row],[Quantity]]</f>
        <v>13.6</v>
      </c>
      <c r="L784" t="str">
        <f>TEXT(Pqp_supermarket_data[[#This Row],[DateTime]],"ddd")</f>
        <v>Sun</v>
      </c>
      <c r="M784" t="str">
        <f>TEXT(Pqp_supermarket_data[[#This Row],[DateTime]],"mmm")</f>
        <v>Feb</v>
      </c>
      <c r="N784" t="str">
        <f>TEXT(Pqp_supermarket_data[[#This Row],[DateTime]],"yyy")</f>
        <v>2022</v>
      </c>
    </row>
    <row r="785" spans="1:14" x14ac:dyDescent="0.35">
      <c r="A785" t="s">
        <v>1715</v>
      </c>
      <c r="B785" s="1">
        <v>44757.084065439813</v>
      </c>
      <c r="C785" t="s">
        <v>1716</v>
      </c>
      <c r="D785" t="s">
        <v>34</v>
      </c>
      <c r="E785" t="s">
        <v>94</v>
      </c>
      <c r="F785">
        <v>0.8</v>
      </c>
      <c r="G785">
        <v>8</v>
      </c>
      <c r="H785" t="s">
        <v>14</v>
      </c>
      <c r="I785" t="s">
        <v>40</v>
      </c>
      <c r="J785" t="s">
        <v>160</v>
      </c>
      <c r="K785">
        <f>Pqp_supermarket_data[[#This Row],[Unit_Price]]*Pqp_supermarket_data[[#This Row],[Quantity]]</f>
        <v>6.4</v>
      </c>
      <c r="L785" t="str">
        <f>TEXT(Pqp_supermarket_data[[#This Row],[DateTime]],"ddd")</f>
        <v>Fri</v>
      </c>
      <c r="M785" t="str">
        <f>TEXT(Pqp_supermarket_data[[#This Row],[DateTime]],"mmm")</f>
        <v>Jul</v>
      </c>
      <c r="N785" t="str">
        <f>TEXT(Pqp_supermarket_data[[#This Row],[DateTime]],"yyy")</f>
        <v>2022</v>
      </c>
    </row>
    <row r="786" spans="1:14" x14ac:dyDescent="0.35">
      <c r="A786" t="s">
        <v>1717</v>
      </c>
      <c r="B786" s="1">
        <v>44724.962537662039</v>
      </c>
      <c r="C786" t="s">
        <v>1718</v>
      </c>
      <c r="D786" t="s">
        <v>12</v>
      </c>
      <c r="E786" t="s">
        <v>35</v>
      </c>
      <c r="F786">
        <v>1.2</v>
      </c>
      <c r="G786">
        <v>1</v>
      </c>
      <c r="H786" t="s">
        <v>14</v>
      </c>
      <c r="I786" t="s">
        <v>36</v>
      </c>
      <c r="J786" t="s">
        <v>212</v>
      </c>
      <c r="K786">
        <f>Pqp_supermarket_data[[#This Row],[Unit_Price]]*Pqp_supermarket_data[[#This Row],[Quantity]]</f>
        <v>1.2</v>
      </c>
      <c r="L786" t="str">
        <f>TEXT(Pqp_supermarket_data[[#This Row],[DateTime]],"ddd")</f>
        <v>Sun</v>
      </c>
      <c r="M786" t="str">
        <f>TEXT(Pqp_supermarket_data[[#This Row],[DateTime]],"mmm")</f>
        <v>Jun</v>
      </c>
      <c r="N786" t="str">
        <f>TEXT(Pqp_supermarket_data[[#This Row],[DateTime]],"yyy")</f>
        <v>2022</v>
      </c>
    </row>
    <row r="787" spans="1:14" x14ac:dyDescent="0.35">
      <c r="A787" t="s">
        <v>1719</v>
      </c>
      <c r="B787" s="1">
        <v>45008.805593217592</v>
      </c>
      <c r="C787" t="s">
        <v>1720</v>
      </c>
      <c r="D787" t="s">
        <v>44</v>
      </c>
      <c r="E787" t="s">
        <v>53</v>
      </c>
      <c r="F787">
        <v>2.8</v>
      </c>
      <c r="G787">
        <v>10</v>
      </c>
      <c r="H787" t="s">
        <v>14</v>
      </c>
      <c r="I787" t="s">
        <v>61</v>
      </c>
      <c r="J787" t="s">
        <v>458</v>
      </c>
      <c r="K787">
        <f>Pqp_supermarket_data[[#This Row],[Unit_Price]]*Pqp_supermarket_data[[#This Row],[Quantity]]</f>
        <v>28</v>
      </c>
      <c r="L787" t="str">
        <f>TEXT(Pqp_supermarket_data[[#This Row],[DateTime]],"ddd")</f>
        <v>Thu</v>
      </c>
      <c r="M787" t="str">
        <f>TEXT(Pqp_supermarket_data[[#This Row],[DateTime]],"mmm")</f>
        <v>Mar</v>
      </c>
      <c r="N787" t="str">
        <f>TEXT(Pqp_supermarket_data[[#This Row],[DateTime]],"yyy")</f>
        <v>2023</v>
      </c>
    </row>
    <row r="788" spans="1:14" x14ac:dyDescent="0.35">
      <c r="A788" t="s">
        <v>1721</v>
      </c>
      <c r="B788" s="1">
        <v>44663.216009884258</v>
      </c>
      <c r="C788" t="s">
        <v>1722</v>
      </c>
      <c r="D788" t="s">
        <v>127</v>
      </c>
      <c r="E788" t="s">
        <v>115</v>
      </c>
      <c r="F788">
        <v>1.5</v>
      </c>
      <c r="G788">
        <v>10</v>
      </c>
      <c r="H788" t="s">
        <v>14</v>
      </c>
      <c r="I788" t="s">
        <v>61</v>
      </c>
      <c r="J788" t="s">
        <v>116</v>
      </c>
      <c r="K788">
        <f>Pqp_supermarket_data[[#This Row],[Unit_Price]]*Pqp_supermarket_data[[#This Row],[Quantity]]</f>
        <v>15</v>
      </c>
      <c r="L788" t="str">
        <f>TEXT(Pqp_supermarket_data[[#This Row],[DateTime]],"ddd")</f>
        <v>Tue</v>
      </c>
      <c r="M788" t="str">
        <f>TEXT(Pqp_supermarket_data[[#This Row],[DateTime]],"mmm")</f>
        <v>Apr</v>
      </c>
      <c r="N788" t="str">
        <f>TEXT(Pqp_supermarket_data[[#This Row],[DateTime]],"yyy")</f>
        <v>2022</v>
      </c>
    </row>
    <row r="789" spans="1:14" x14ac:dyDescent="0.35">
      <c r="A789" t="s">
        <v>1723</v>
      </c>
      <c r="B789" s="1">
        <v>45409.916009895831</v>
      </c>
      <c r="C789" t="s">
        <v>1389</v>
      </c>
      <c r="D789" t="s">
        <v>25</v>
      </c>
      <c r="E789" t="s">
        <v>145</v>
      </c>
      <c r="F789">
        <v>1.7</v>
      </c>
      <c r="G789">
        <v>6</v>
      </c>
      <c r="H789" t="s">
        <v>14</v>
      </c>
      <c r="I789" t="s">
        <v>61</v>
      </c>
      <c r="J789" t="s">
        <v>548</v>
      </c>
      <c r="K789">
        <f>Pqp_supermarket_data[[#This Row],[Unit_Price]]*Pqp_supermarket_data[[#This Row],[Quantity]]</f>
        <v>10.199999999999999</v>
      </c>
      <c r="L789" t="str">
        <f>TEXT(Pqp_supermarket_data[[#This Row],[DateTime]],"ddd")</f>
        <v>Sat</v>
      </c>
      <c r="M789" t="str">
        <f>TEXT(Pqp_supermarket_data[[#This Row],[DateTime]],"mmm")</f>
        <v>Apr</v>
      </c>
      <c r="N789" t="str">
        <f>TEXT(Pqp_supermarket_data[[#This Row],[DateTime]],"yyy")</f>
        <v>2024</v>
      </c>
    </row>
    <row r="790" spans="1:14" x14ac:dyDescent="0.35">
      <c r="A790" t="s">
        <v>1724</v>
      </c>
      <c r="B790" s="1">
        <v>45213.968787673613</v>
      </c>
      <c r="C790" t="s">
        <v>1725</v>
      </c>
      <c r="D790" t="s">
        <v>171</v>
      </c>
      <c r="E790" t="s">
        <v>111</v>
      </c>
      <c r="F790">
        <v>2.2000000000000002</v>
      </c>
      <c r="G790">
        <v>10</v>
      </c>
      <c r="H790" t="s">
        <v>14</v>
      </c>
      <c r="I790" t="s">
        <v>36</v>
      </c>
      <c r="J790" t="s">
        <v>496</v>
      </c>
      <c r="K790">
        <f>Pqp_supermarket_data[[#This Row],[Unit_Price]]*Pqp_supermarket_data[[#This Row],[Quantity]]</f>
        <v>22</v>
      </c>
      <c r="L790" t="str">
        <f>TEXT(Pqp_supermarket_data[[#This Row],[DateTime]],"ddd")</f>
        <v>Sat</v>
      </c>
      <c r="M790" t="str">
        <f>TEXT(Pqp_supermarket_data[[#This Row],[DateTime]],"mmm")</f>
        <v>Oct</v>
      </c>
      <c r="N790" t="str">
        <f>TEXT(Pqp_supermarket_data[[#This Row],[DateTime]],"yyy")</f>
        <v>2023</v>
      </c>
    </row>
    <row r="791" spans="1:14" x14ac:dyDescent="0.35">
      <c r="A791" t="s">
        <v>1726</v>
      </c>
      <c r="B791" s="1">
        <v>45581.589621018516</v>
      </c>
      <c r="C791" t="s">
        <v>1727</v>
      </c>
      <c r="D791" t="s">
        <v>226</v>
      </c>
      <c r="E791" t="s">
        <v>26</v>
      </c>
      <c r="F791">
        <v>2.5</v>
      </c>
      <c r="G791">
        <v>9</v>
      </c>
      <c r="H791" t="s">
        <v>14</v>
      </c>
      <c r="I791" t="s">
        <v>86</v>
      </c>
      <c r="J791" t="s">
        <v>41</v>
      </c>
      <c r="K791">
        <f>Pqp_supermarket_data[[#This Row],[Unit_Price]]*Pqp_supermarket_data[[#This Row],[Quantity]]</f>
        <v>22.5</v>
      </c>
      <c r="L791" t="str">
        <f>TEXT(Pqp_supermarket_data[[#This Row],[DateTime]],"ddd")</f>
        <v>Wed</v>
      </c>
      <c r="M791" t="str">
        <f>TEXT(Pqp_supermarket_data[[#This Row],[DateTime]],"mmm")</f>
        <v>Oct</v>
      </c>
      <c r="N791" t="str">
        <f>TEXT(Pqp_supermarket_data[[#This Row],[DateTime]],"yyy")</f>
        <v>2024</v>
      </c>
    </row>
    <row r="792" spans="1:14" x14ac:dyDescent="0.35">
      <c r="A792" t="s">
        <v>1728</v>
      </c>
      <c r="B792" s="1">
        <v>45385.357676585649</v>
      </c>
      <c r="C792" t="s">
        <v>1729</v>
      </c>
      <c r="D792" t="s">
        <v>12</v>
      </c>
      <c r="E792" t="s">
        <v>111</v>
      </c>
      <c r="F792">
        <v>2.2000000000000002</v>
      </c>
      <c r="G792">
        <v>8</v>
      </c>
      <c r="H792" t="s">
        <v>14</v>
      </c>
      <c r="I792" t="s">
        <v>40</v>
      </c>
      <c r="J792" t="s">
        <v>218</v>
      </c>
      <c r="K792">
        <f>Pqp_supermarket_data[[#This Row],[Unit_Price]]*Pqp_supermarket_data[[#This Row],[Quantity]]</f>
        <v>17.600000000000001</v>
      </c>
      <c r="L792" t="str">
        <f>TEXT(Pqp_supermarket_data[[#This Row],[DateTime]],"ddd")</f>
        <v>Wed</v>
      </c>
      <c r="M792" t="str">
        <f>TEXT(Pqp_supermarket_data[[#This Row],[DateTime]],"mmm")</f>
        <v>Apr</v>
      </c>
      <c r="N792" t="str">
        <f>TEXT(Pqp_supermarket_data[[#This Row],[DateTime]],"yyy")</f>
        <v>2024</v>
      </c>
    </row>
    <row r="793" spans="1:14" x14ac:dyDescent="0.35">
      <c r="A793" t="s">
        <v>1730</v>
      </c>
      <c r="B793" s="1">
        <v>44922.929204363427</v>
      </c>
      <c r="C793" t="s">
        <v>1731</v>
      </c>
      <c r="D793" t="s">
        <v>19</v>
      </c>
      <c r="E793" t="s">
        <v>90</v>
      </c>
      <c r="F793">
        <v>1.8</v>
      </c>
      <c r="G793">
        <v>9</v>
      </c>
      <c r="H793" t="s">
        <v>14</v>
      </c>
      <c r="I793" t="s">
        <v>36</v>
      </c>
      <c r="J793" t="s">
        <v>79</v>
      </c>
      <c r="K793">
        <f>Pqp_supermarket_data[[#This Row],[Unit_Price]]*Pqp_supermarket_data[[#This Row],[Quantity]]</f>
        <v>16.2</v>
      </c>
      <c r="L793" t="str">
        <f>TEXT(Pqp_supermarket_data[[#This Row],[DateTime]],"ddd")</f>
        <v>Tue</v>
      </c>
      <c r="M793" t="str">
        <f>TEXT(Pqp_supermarket_data[[#This Row],[DateTime]],"mmm")</f>
        <v>Dec</v>
      </c>
      <c r="N793" t="str">
        <f>TEXT(Pqp_supermarket_data[[#This Row],[DateTime]],"yyy")</f>
        <v>2022</v>
      </c>
    </row>
    <row r="794" spans="1:14" x14ac:dyDescent="0.35">
      <c r="A794" t="s">
        <v>1732</v>
      </c>
      <c r="B794" s="1">
        <v>44790.17364883102</v>
      </c>
      <c r="C794" t="s">
        <v>1733</v>
      </c>
      <c r="D794" t="s">
        <v>85</v>
      </c>
      <c r="E794" t="s">
        <v>119</v>
      </c>
      <c r="F794">
        <v>4</v>
      </c>
      <c r="G794">
        <v>1</v>
      </c>
      <c r="H794" t="s">
        <v>14</v>
      </c>
      <c r="I794" t="s">
        <v>86</v>
      </c>
      <c r="J794" t="s">
        <v>58</v>
      </c>
      <c r="K794">
        <f>Pqp_supermarket_data[[#This Row],[Unit_Price]]*Pqp_supermarket_data[[#This Row],[Quantity]]</f>
        <v>4</v>
      </c>
      <c r="L794" t="str">
        <f>TEXT(Pqp_supermarket_data[[#This Row],[DateTime]],"ddd")</f>
        <v>Wed</v>
      </c>
      <c r="M794" t="str">
        <f>TEXT(Pqp_supermarket_data[[#This Row],[DateTime]],"mmm")</f>
        <v>Aug</v>
      </c>
      <c r="N794" t="str">
        <f>TEXT(Pqp_supermarket_data[[#This Row],[DateTime]],"yyy")</f>
        <v>2022</v>
      </c>
    </row>
    <row r="795" spans="1:14" x14ac:dyDescent="0.35">
      <c r="A795" t="s">
        <v>1734</v>
      </c>
      <c r="B795" s="1">
        <v>44372.349343275462</v>
      </c>
      <c r="C795" t="s">
        <v>1735</v>
      </c>
      <c r="D795" t="s">
        <v>25</v>
      </c>
      <c r="E795" t="s">
        <v>13</v>
      </c>
      <c r="F795">
        <v>3.1</v>
      </c>
      <c r="G795">
        <v>8</v>
      </c>
      <c r="H795" t="s">
        <v>14</v>
      </c>
      <c r="I795" t="s">
        <v>36</v>
      </c>
      <c r="J795" t="s">
        <v>58</v>
      </c>
      <c r="K795">
        <f>Pqp_supermarket_data[[#This Row],[Unit_Price]]*Pqp_supermarket_data[[#This Row],[Quantity]]</f>
        <v>24.8</v>
      </c>
      <c r="L795" t="str">
        <f>TEXT(Pqp_supermarket_data[[#This Row],[DateTime]],"ddd")</f>
        <v>Fri</v>
      </c>
      <c r="M795" t="str">
        <f>TEXT(Pqp_supermarket_data[[#This Row],[DateTime]],"mmm")</f>
        <v>Jun</v>
      </c>
      <c r="N795" t="str">
        <f>TEXT(Pqp_supermarket_data[[#This Row],[DateTime]],"yyy")</f>
        <v>2021</v>
      </c>
    </row>
    <row r="796" spans="1:14" x14ac:dyDescent="0.35">
      <c r="A796" t="s">
        <v>1736</v>
      </c>
      <c r="B796" s="1">
        <v>44864.586843287034</v>
      </c>
      <c r="C796" t="s">
        <v>1737</v>
      </c>
      <c r="D796" t="s">
        <v>127</v>
      </c>
      <c r="E796" t="s">
        <v>53</v>
      </c>
      <c r="F796">
        <v>2.8</v>
      </c>
      <c r="G796">
        <v>6</v>
      </c>
      <c r="H796" t="s">
        <v>14</v>
      </c>
      <c r="I796" t="s">
        <v>21</v>
      </c>
      <c r="J796" t="s">
        <v>270</v>
      </c>
      <c r="K796">
        <f>Pqp_supermarket_data[[#This Row],[Unit_Price]]*Pqp_supermarket_data[[#This Row],[Quantity]]</f>
        <v>16.799999999999997</v>
      </c>
      <c r="L796" t="str">
        <f>TEXT(Pqp_supermarket_data[[#This Row],[DateTime]],"ddd")</f>
        <v>Sun</v>
      </c>
      <c r="M796" t="str">
        <f>TEXT(Pqp_supermarket_data[[#This Row],[DateTime]],"mmm")</f>
        <v>Oct</v>
      </c>
      <c r="N796" t="str">
        <f>TEXT(Pqp_supermarket_data[[#This Row],[DateTime]],"yyy")</f>
        <v>2022</v>
      </c>
    </row>
    <row r="797" spans="1:14" x14ac:dyDescent="0.35">
      <c r="A797" t="s">
        <v>1738</v>
      </c>
      <c r="B797" s="1">
        <v>45259.100732175924</v>
      </c>
      <c r="C797" t="s">
        <v>1739</v>
      </c>
      <c r="D797" t="s">
        <v>82</v>
      </c>
      <c r="E797" t="s">
        <v>148</v>
      </c>
      <c r="F797">
        <v>5.5</v>
      </c>
      <c r="G797">
        <v>6</v>
      </c>
      <c r="H797" t="s">
        <v>14</v>
      </c>
      <c r="I797" t="s">
        <v>36</v>
      </c>
      <c r="J797" t="s">
        <v>538</v>
      </c>
      <c r="K797">
        <f>Pqp_supermarket_data[[#This Row],[Unit_Price]]*Pqp_supermarket_data[[#This Row],[Quantity]]</f>
        <v>33</v>
      </c>
      <c r="L797" t="str">
        <f>TEXT(Pqp_supermarket_data[[#This Row],[DateTime]],"ddd")</f>
        <v>Wed</v>
      </c>
      <c r="M797" t="str">
        <f>TEXT(Pqp_supermarket_data[[#This Row],[DateTime]],"mmm")</f>
        <v>Nov</v>
      </c>
      <c r="N797" t="str">
        <f>TEXT(Pqp_supermarket_data[[#This Row],[DateTime]],"yyy")</f>
        <v>2023</v>
      </c>
    </row>
    <row r="798" spans="1:14" x14ac:dyDescent="0.35">
      <c r="A798" t="s">
        <v>1740</v>
      </c>
      <c r="B798" s="1">
        <v>45378.784759965281</v>
      </c>
      <c r="C798" t="s">
        <v>1741</v>
      </c>
      <c r="D798" t="s">
        <v>30</v>
      </c>
      <c r="E798" t="s">
        <v>20</v>
      </c>
      <c r="F798">
        <v>1</v>
      </c>
      <c r="G798">
        <v>3</v>
      </c>
      <c r="H798" t="s">
        <v>14</v>
      </c>
      <c r="I798" t="s">
        <v>61</v>
      </c>
      <c r="J798" t="s">
        <v>62</v>
      </c>
      <c r="K798">
        <f>Pqp_supermarket_data[[#This Row],[Unit_Price]]*Pqp_supermarket_data[[#This Row],[Quantity]]</f>
        <v>3</v>
      </c>
      <c r="L798" t="str">
        <f>TEXT(Pqp_supermarket_data[[#This Row],[DateTime]],"ddd")</f>
        <v>Wed</v>
      </c>
      <c r="M798" t="str">
        <f>TEXT(Pqp_supermarket_data[[#This Row],[DateTime]],"mmm")</f>
        <v>Mar</v>
      </c>
      <c r="N798" t="str">
        <f>TEXT(Pqp_supermarket_data[[#This Row],[DateTime]],"yyy")</f>
        <v>2024</v>
      </c>
    </row>
    <row r="799" spans="1:14" x14ac:dyDescent="0.35">
      <c r="A799" t="s">
        <v>1742</v>
      </c>
      <c r="B799" s="1">
        <v>45120.662537743054</v>
      </c>
      <c r="C799" t="s">
        <v>1743</v>
      </c>
      <c r="D799" t="s">
        <v>98</v>
      </c>
      <c r="E799" t="s">
        <v>70</v>
      </c>
      <c r="F799">
        <v>5</v>
      </c>
      <c r="G799">
        <v>2</v>
      </c>
      <c r="H799" t="s">
        <v>14</v>
      </c>
      <c r="I799" t="s">
        <v>86</v>
      </c>
      <c r="J799" t="s">
        <v>262</v>
      </c>
      <c r="K799">
        <f>Pqp_supermarket_data[[#This Row],[Unit_Price]]*Pqp_supermarket_data[[#This Row],[Quantity]]</f>
        <v>10</v>
      </c>
      <c r="L799" t="str">
        <f>TEXT(Pqp_supermarket_data[[#This Row],[DateTime]],"ddd")</f>
        <v>Thu</v>
      </c>
      <c r="M799" t="str">
        <f>TEXT(Pqp_supermarket_data[[#This Row],[DateTime]],"mmm")</f>
        <v>Jul</v>
      </c>
      <c r="N799" t="str">
        <f>TEXT(Pqp_supermarket_data[[#This Row],[DateTime]],"yyy")</f>
        <v>2023</v>
      </c>
    </row>
    <row r="800" spans="1:14" x14ac:dyDescent="0.35">
      <c r="A800" t="s">
        <v>1744</v>
      </c>
      <c r="B800" s="1">
        <v>45199.948648865742</v>
      </c>
      <c r="C800" t="s">
        <v>1745</v>
      </c>
      <c r="D800" t="s">
        <v>69</v>
      </c>
      <c r="E800" t="s">
        <v>94</v>
      </c>
      <c r="F800">
        <v>0.8</v>
      </c>
      <c r="G800">
        <v>6</v>
      </c>
      <c r="H800" t="s">
        <v>14</v>
      </c>
      <c r="I800" t="s">
        <v>86</v>
      </c>
      <c r="J800" t="s">
        <v>134</v>
      </c>
      <c r="K800">
        <f>Pqp_supermarket_data[[#This Row],[Unit_Price]]*Pqp_supermarket_data[[#This Row],[Quantity]]</f>
        <v>4.8000000000000007</v>
      </c>
      <c r="L800" t="str">
        <f>TEXT(Pqp_supermarket_data[[#This Row],[DateTime]],"ddd")</f>
        <v>Sat</v>
      </c>
      <c r="M800" t="str">
        <f>TEXT(Pqp_supermarket_data[[#This Row],[DateTime]],"mmm")</f>
        <v>Sep</v>
      </c>
      <c r="N800" t="str">
        <f>TEXT(Pqp_supermarket_data[[#This Row],[DateTime]],"yyy")</f>
        <v>2023</v>
      </c>
    </row>
    <row r="801" spans="1:14" x14ac:dyDescent="0.35">
      <c r="A801" t="s">
        <v>1746</v>
      </c>
      <c r="B801" s="1">
        <v>44531.792398865742</v>
      </c>
      <c r="C801" t="s">
        <v>1747</v>
      </c>
      <c r="D801" t="s">
        <v>34</v>
      </c>
      <c r="E801" t="s">
        <v>65</v>
      </c>
      <c r="F801">
        <v>3</v>
      </c>
      <c r="G801">
        <v>2</v>
      </c>
      <c r="H801" t="s">
        <v>14</v>
      </c>
      <c r="I801" t="s">
        <v>15</v>
      </c>
      <c r="J801" t="s">
        <v>102</v>
      </c>
      <c r="K801">
        <f>Pqp_supermarket_data[[#This Row],[Unit_Price]]*Pqp_supermarket_data[[#This Row],[Quantity]]</f>
        <v>6</v>
      </c>
      <c r="L801" t="str">
        <f>TEXT(Pqp_supermarket_data[[#This Row],[DateTime]],"ddd")</f>
        <v>Wed</v>
      </c>
      <c r="M801" t="str">
        <f>TEXT(Pqp_supermarket_data[[#This Row],[DateTime]],"mmm")</f>
        <v>Dec</v>
      </c>
      <c r="N801" t="str">
        <f>TEXT(Pqp_supermarket_data[[#This Row],[DateTime]],"yyy")</f>
        <v>2021</v>
      </c>
    </row>
    <row r="802" spans="1:14" x14ac:dyDescent="0.35">
      <c r="A802" t="s">
        <v>1748</v>
      </c>
      <c r="B802" s="1">
        <v>45319.129204421297</v>
      </c>
      <c r="C802" t="s">
        <v>1749</v>
      </c>
      <c r="D802" t="s">
        <v>30</v>
      </c>
      <c r="E802" t="s">
        <v>57</v>
      </c>
      <c r="F802">
        <v>4.5</v>
      </c>
      <c r="G802">
        <v>5</v>
      </c>
      <c r="H802" t="s">
        <v>14</v>
      </c>
      <c r="I802" t="s">
        <v>21</v>
      </c>
      <c r="J802" t="s">
        <v>230</v>
      </c>
      <c r="K802">
        <f>Pqp_supermarket_data[[#This Row],[Unit_Price]]*Pqp_supermarket_data[[#This Row],[Quantity]]</f>
        <v>22.5</v>
      </c>
      <c r="L802" t="str">
        <f>TEXT(Pqp_supermarket_data[[#This Row],[DateTime]],"ddd")</f>
        <v>Sun</v>
      </c>
      <c r="M802" t="str">
        <f>TEXT(Pqp_supermarket_data[[#This Row],[DateTime]],"mmm")</f>
        <v>Jan</v>
      </c>
      <c r="N802" t="str">
        <f>TEXT(Pqp_supermarket_data[[#This Row],[DateTime]],"yyy")</f>
        <v>2024</v>
      </c>
    </row>
    <row r="803" spans="1:14" x14ac:dyDescent="0.35">
      <c r="A803" t="s">
        <v>1750</v>
      </c>
      <c r="B803" s="1">
        <v>44977.187537754631</v>
      </c>
      <c r="C803" t="s">
        <v>1751</v>
      </c>
      <c r="D803" t="s">
        <v>98</v>
      </c>
      <c r="E803" t="s">
        <v>53</v>
      </c>
      <c r="F803">
        <v>2.8</v>
      </c>
      <c r="G803">
        <v>10</v>
      </c>
      <c r="H803" t="s">
        <v>14</v>
      </c>
      <c r="I803" t="s">
        <v>21</v>
      </c>
      <c r="J803" t="s">
        <v>31</v>
      </c>
      <c r="K803">
        <f>Pqp_supermarket_data[[#This Row],[Unit_Price]]*Pqp_supermarket_data[[#This Row],[Quantity]]</f>
        <v>28</v>
      </c>
      <c r="L803" t="str">
        <f>TEXT(Pqp_supermarket_data[[#This Row],[DateTime]],"ddd")</f>
        <v>Mon</v>
      </c>
      <c r="M803" t="str">
        <f>TEXT(Pqp_supermarket_data[[#This Row],[DateTime]],"mmm")</f>
        <v>Feb</v>
      </c>
      <c r="N803" t="str">
        <f>TEXT(Pqp_supermarket_data[[#This Row],[DateTime]],"yyy")</f>
        <v>2023</v>
      </c>
    </row>
    <row r="804" spans="1:14" x14ac:dyDescent="0.35">
      <c r="A804" t="s">
        <v>1752</v>
      </c>
      <c r="B804" s="1">
        <v>44939.343787777776</v>
      </c>
      <c r="C804" t="s">
        <v>1753</v>
      </c>
      <c r="D804" t="s">
        <v>34</v>
      </c>
      <c r="E804" t="s">
        <v>35</v>
      </c>
      <c r="F804">
        <v>1.2</v>
      </c>
      <c r="G804">
        <v>3</v>
      </c>
      <c r="H804" t="s">
        <v>14</v>
      </c>
      <c r="I804" t="s">
        <v>36</v>
      </c>
      <c r="J804" t="s">
        <v>461</v>
      </c>
      <c r="K804">
        <f>Pqp_supermarket_data[[#This Row],[Unit_Price]]*Pqp_supermarket_data[[#This Row],[Quantity]]</f>
        <v>3.5999999999999996</v>
      </c>
      <c r="L804" t="str">
        <f>TEXT(Pqp_supermarket_data[[#This Row],[DateTime]],"ddd")</f>
        <v>Fri</v>
      </c>
      <c r="M804" t="str">
        <f>TEXT(Pqp_supermarket_data[[#This Row],[DateTime]],"mmm")</f>
        <v>Jan</v>
      </c>
      <c r="N804" t="str">
        <f>TEXT(Pqp_supermarket_data[[#This Row],[DateTime]],"yyy")</f>
        <v>2023</v>
      </c>
    </row>
    <row r="805" spans="1:14" x14ac:dyDescent="0.35">
      <c r="A805" t="s">
        <v>1754</v>
      </c>
      <c r="B805" s="1">
        <v>44431.193787777775</v>
      </c>
      <c r="C805" t="s">
        <v>1755</v>
      </c>
      <c r="D805" t="s">
        <v>12</v>
      </c>
      <c r="E805" t="s">
        <v>65</v>
      </c>
      <c r="F805">
        <v>3</v>
      </c>
      <c r="G805">
        <v>4</v>
      </c>
      <c r="H805" t="s">
        <v>14</v>
      </c>
      <c r="I805" t="s">
        <v>15</v>
      </c>
      <c r="J805" t="s">
        <v>662</v>
      </c>
      <c r="K805">
        <f>Pqp_supermarket_data[[#This Row],[Unit_Price]]*Pqp_supermarket_data[[#This Row],[Quantity]]</f>
        <v>12</v>
      </c>
      <c r="L805" t="str">
        <f>TEXT(Pqp_supermarket_data[[#This Row],[DateTime]],"ddd")</f>
        <v>Mon</v>
      </c>
      <c r="M805" t="str">
        <f>TEXT(Pqp_supermarket_data[[#This Row],[DateTime]],"mmm")</f>
        <v>Aug</v>
      </c>
      <c r="N805" t="str">
        <f>TEXT(Pqp_supermarket_data[[#This Row],[DateTime]],"yyy")</f>
        <v>2021</v>
      </c>
    </row>
    <row r="806" spans="1:14" x14ac:dyDescent="0.35">
      <c r="A806" t="s">
        <v>1756</v>
      </c>
      <c r="B806" s="1">
        <v>45576.431982222224</v>
      </c>
      <c r="C806" t="s">
        <v>1757</v>
      </c>
      <c r="D806" t="s">
        <v>19</v>
      </c>
      <c r="E806" t="s">
        <v>115</v>
      </c>
      <c r="F806">
        <v>1.5</v>
      </c>
      <c r="G806">
        <v>9</v>
      </c>
      <c r="H806" t="s">
        <v>14</v>
      </c>
      <c r="I806" t="s">
        <v>40</v>
      </c>
      <c r="J806" t="s">
        <v>27</v>
      </c>
      <c r="K806">
        <f>Pqp_supermarket_data[[#This Row],[Unit_Price]]*Pqp_supermarket_data[[#This Row],[Quantity]]</f>
        <v>13.5</v>
      </c>
      <c r="L806" t="str">
        <f>TEXT(Pqp_supermarket_data[[#This Row],[DateTime]],"ddd")</f>
        <v>Fri</v>
      </c>
      <c r="M806" t="str">
        <f>TEXT(Pqp_supermarket_data[[#This Row],[DateTime]],"mmm")</f>
        <v>Oct</v>
      </c>
      <c r="N806" t="str">
        <f>TEXT(Pqp_supermarket_data[[#This Row],[DateTime]],"yyy")</f>
        <v>2024</v>
      </c>
    </row>
    <row r="807" spans="1:14" x14ac:dyDescent="0.35">
      <c r="A807" t="s">
        <v>1758</v>
      </c>
      <c r="B807" s="1">
        <v>44972.859760011575</v>
      </c>
      <c r="C807" t="s">
        <v>1759</v>
      </c>
      <c r="D807" t="s">
        <v>77</v>
      </c>
      <c r="E807" t="s">
        <v>148</v>
      </c>
      <c r="F807">
        <v>5.5</v>
      </c>
      <c r="G807">
        <v>5</v>
      </c>
      <c r="H807" t="s">
        <v>14</v>
      </c>
      <c r="I807" t="s">
        <v>21</v>
      </c>
      <c r="J807" t="s">
        <v>744</v>
      </c>
      <c r="K807">
        <f>Pqp_supermarket_data[[#This Row],[Unit_Price]]*Pqp_supermarket_data[[#This Row],[Quantity]]</f>
        <v>27.5</v>
      </c>
      <c r="L807" t="str">
        <f>TEXT(Pqp_supermarket_data[[#This Row],[DateTime]],"ddd")</f>
        <v>Wed</v>
      </c>
      <c r="M807" t="str">
        <f>TEXT(Pqp_supermarket_data[[#This Row],[DateTime]],"mmm")</f>
        <v>Feb</v>
      </c>
      <c r="N807" t="str">
        <f>TEXT(Pqp_supermarket_data[[#This Row],[DateTime]],"yyy")</f>
        <v>2023</v>
      </c>
    </row>
    <row r="808" spans="1:14" x14ac:dyDescent="0.35">
      <c r="A808" t="s">
        <v>1760</v>
      </c>
      <c r="B808" s="1">
        <v>45613.685454456019</v>
      </c>
      <c r="C808" t="s">
        <v>1761</v>
      </c>
      <c r="D808" t="s">
        <v>19</v>
      </c>
      <c r="E808" t="s">
        <v>49</v>
      </c>
      <c r="F808">
        <v>7</v>
      </c>
      <c r="G808">
        <v>5</v>
      </c>
      <c r="H808" t="s">
        <v>14</v>
      </c>
      <c r="I808" t="s">
        <v>15</v>
      </c>
      <c r="J808" t="s">
        <v>623</v>
      </c>
      <c r="K808">
        <f>Pqp_supermarket_data[[#This Row],[Unit_Price]]*Pqp_supermarket_data[[#This Row],[Quantity]]</f>
        <v>35</v>
      </c>
      <c r="L808" t="str">
        <f>TEXT(Pqp_supermarket_data[[#This Row],[DateTime]],"ddd")</f>
        <v>Sun</v>
      </c>
      <c r="M808" t="str">
        <f>TEXT(Pqp_supermarket_data[[#This Row],[DateTime]],"mmm")</f>
        <v>Nov</v>
      </c>
      <c r="N808" t="str">
        <f>TEXT(Pqp_supermarket_data[[#This Row],[DateTime]],"yyy")</f>
        <v>2024</v>
      </c>
    </row>
    <row r="809" spans="1:14" x14ac:dyDescent="0.35">
      <c r="A809" t="s">
        <v>1762</v>
      </c>
      <c r="B809" s="1">
        <v>45204.948648900463</v>
      </c>
      <c r="C809" t="s">
        <v>1763</v>
      </c>
      <c r="D809" t="s">
        <v>69</v>
      </c>
      <c r="E809" t="s">
        <v>111</v>
      </c>
      <c r="F809">
        <v>2.2000000000000002</v>
      </c>
      <c r="G809">
        <v>9</v>
      </c>
      <c r="H809" t="s">
        <v>14</v>
      </c>
      <c r="I809" t="s">
        <v>15</v>
      </c>
      <c r="J809" t="s">
        <v>27</v>
      </c>
      <c r="K809">
        <f>Pqp_supermarket_data[[#This Row],[Unit_Price]]*Pqp_supermarket_data[[#This Row],[Quantity]]</f>
        <v>19.8</v>
      </c>
      <c r="L809" t="str">
        <f>TEXT(Pqp_supermarket_data[[#This Row],[DateTime]],"ddd")</f>
        <v>Thu</v>
      </c>
      <c r="M809" t="str">
        <f>TEXT(Pqp_supermarket_data[[#This Row],[DateTime]],"mmm")</f>
        <v>Oct</v>
      </c>
      <c r="N809" t="str">
        <f>TEXT(Pqp_supermarket_data[[#This Row],[DateTime]],"yyy")</f>
        <v>2023</v>
      </c>
    </row>
    <row r="810" spans="1:14" x14ac:dyDescent="0.35">
      <c r="A810" t="s">
        <v>1764</v>
      </c>
      <c r="B810" s="1">
        <v>45714.669482233796</v>
      </c>
      <c r="C810" t="s">
        <v>1765</v>
      </c>
      <c r="D810" t="s">
        <v>34</v>
      </c>
      <c r="E810" t="s">
        <v>39</v>
      </c>
      <c r="F810">
        <v>3.2</v>
      </c>
      <c r="G810">
        <v>8</v>
      </c>
      <c r="H810" t="s">
        <v>14</v>
      </c>
      <c r="I810" t="s">
        <v>86</v>
      </c>
      <c r="J810" t="s">
        <v>112</v>
      </c>
      <c r="K810">
        <f>Pqp_supermarket_data[[#This Row],[Unit_Price]]*Pqp_supermarket_data[[#This Row],[Quantity]]</f>
        <v>25.6</v>
      </c>
      <c r="L810" t="str">
        <f>TEXT(Pqp_supermarket_data[[#This Row],[DateTime]],"ddd")</f>
        <v>Wed</v>
      </c>
      <c r="M810" t="str">
        <f>TEXT(Pqp_supermarket_data[[#This Row],[DateTime]],"mmm")</f>
        <v>Feb</v>
      </c>
      <c r="N810" t="str">
        <f>TEXT(Pqp_supermarket_data[[#This Row],[DateTime]],"yyy")</f>
        <v>2025</v>
      </c>
    </row>
    <row r="811" spans="1:14" x14ac:dyDescent="0.35">
      <c r="A811" t="s">
        <v>1766</v>
      </c>
      <c r="B811" s="1">
        <v>45228.83198224537</v>
      </c>
      <c r="C811" t="s">
        <v>1767</v>
      </c>
      <c r="D811" t="s">
        <v>69</v>
      </c>
      <c r="E811" t="s">
        <v>20</v>
      </c>
      <c r="F811">
        <v>1</v>
      </c>
      <c r="G811">
        <v>3</v>
      </c>
      <c r="H811" t="s">
        <v>14</v>
      </c>
      <c r="I811" t="s">
        <v>21</v>
      </c>
      <c r="J811" t="s">
        <v>273</v>
      </c>
      <c r="K811">
        <f>Pqp_supermarket_data[[#This Row],[Unit_Price]]*Pqp_supermarket_data[[#This Row],[Quantity]]</f>
        <v>3</v>
      </c>
      <c r="L811" t="str">
        <f>TEXT(Pqp_supermarket_data[[#This Row],[DateTime]],"ddd")</f>
        <v>Sun</v>
      </c>
      <c r="M811" t="str">
        <f>TEXT(Pqp_supermarket_data[[#This Row],[DateTime]],"mmm")</f>
        <v>Oct</v>
      </c>
      <c r="N811" t="str">
        <f>TEXT(Pqp_supermarket_data[[#This Row],[DateTime]],"yyy")</f>
        <v>2023</v>
      </c>
    </row>
    <row r="812" spans="1:14" x14ac:dyDescent="0.35">
      <c r="A812" t="s">
        <v>1768</v>
      </c>
      <c r="B812" s="1">
        <v>44850.693787800927</v>
      </c>
      <c r="C812" t="s">
        <v>1769</v>
      </c>
      <c r="D812" t="s">
        <v>30</v>
      </c>
      <c r="E812" t="s">
        <v>119</v>
      </c>
      <c r="F812">
        <v>4</v>
      </c>
      <c r="G812">
        <v>7</v>
      </c>
      <c r="H812" t="s">
        <v>14</v>
      </c>
      <c r="I812" t="s">
        <v>21</v>
      </c>
      <c r="J812" t="s">
        <v>71</v>
      </c>
      <c r="K812">
        <f>Pqp_supermarket_data[[#This Row],[Unit_Price]]*Pqp_supermarket_data[[#This Row],[Quantity]]</f>
        <v>28</v>
      </c>
      <c r="L812" t="str">
        <f>TEXT(Pqp_supermarket_data[[#This Row],[DateTime]],"ddd")</f>
        <v>Sun</v>
      </c>
      <c r="M812" t="str">
        <f>TEXT(Pqp_supermarket_data[[#This Row],[DateTime]],"mmm")</f>
        <v>Oct</v>
      </c>
      <c r="N812" t="str">
        <f>TEXT(Pqp_supermarket_data[[#This Row],[DateTime]],"yyy")</f>
        <v>2022</v>
      </c>
    </row>
    <row r="813" spans="1:14" x14ac:dyDescent="0.35">
      <c r="A813" t="s">
        <v>1770</v>
      </c>
      <c r="B813" s="1">
        <v>44476.838232245369</v>
      </c>
      <c r="C813" t="s">
        <v>1771</v>
      </c>
      <c r="D813" t="s">
        <v>19</v>
      </c>
      <c r="E813" t="s">
        <v>53</v>
      </c>
      <c r="F813">
        <v>2.8</v>
      </c>
      <c r="G813">
        <v>8</v>
      </c>
      <c r="H813" t="s">
        <v>14</v>
      </c>
      <c r="I813" t="s">
        <v>21</v>
      </c>
      <c r="J813" t="s">
        <v>496</v>
      </c>
      <c r="K813">
        <f>Pqp_supermarket_data[[#This Row],[Unit_Price]]*Pqp_supermarket_data[[#This Row],[Quantity]]</f>
        <v>22.4</v>
      </c>
      <c r="L813" t="str">
        <f>TEXT(Pqp_supermarket_data[[#This Row],[DateTime]],"ddd")</f>
        <v>Thu</v>
      </c>
      <c r="M813" t="str">
        <f>TEXT(Pqp_supermarket_data[[#This Row],[DateTime]],"mmm")</f>
        <v>Oct</v>
      </c>
      <c r="N813" t="str">
        <f>TEXT(Pqp_supermarket_data[[#This Row],[DateTime]],"yyy")</f>
        <v>2021</v>
      </c>
    </row>
    <row r="814" spans="1:14" x14ac:dyDescent="0.35">
      <c r="A814" t="s">
        <v>1772</v>
      </c>
      <c r="B814" s="1">
        <v>45602.963232256945</v>
      </c>
      <c r="C814" t="s">
        <v>1773</v>
      </c>
      <c r="D814" t="s">
        <v>44</v>
      </c>
      <c r="E814" t="s">
        <v>145</v>
      </c>
      <c r="F814">
        <v>1.7</v>
      </c>
      <c r="G814">
        <v>5</v>
      </c>
      <c r="H814" t="s">
        <v>14</v>
      </c>
      <c r="I814" t="s">
        <v>15</v>
      </c>
      <c r="J814" t="s">
        <v>108</v>
      </c>
      <c r="K814">
        <f>Pqp_supermarket_data[[#This Row],[Unit_Price]]*Pqp_supermarket_data[[#This Row],[Quantity]]</f>
        <v>8.5</v>
      </c>
      <c r="L814" t="str">
        <f>TEXT(Pqp_supermarket_data[[#This Row],[DateTime]],"ddd")</f>
        <v>Wed</v>
      </c>
      <c r="M814" t="str">
        <f>TEXT(Pqp_supermarket_data[[#This Row],[DateTime]],"mmm")</f>
        <v>Nov</v>
      </c>
      <c r="N814" t="str">
        <f>TEXT(Pqp_supermarket_data[[#This Row],[DateTime]],"yyy")</f>
        <v>2024</v>
      </c>
    </row>
    <row r="815" spans="1:14" x14ac:dyDescent="0.35">
      <c r="A815" t="s">
        <v>1774</v>
      </c>
      <c r="B815" s="1">
        <v>45765.536843368056</v>
      </c>
      <c r="C815" t="s">
        <v>1775</v>
      </c>
      <c r="D815" t="s">
        <v>34</v>
      </c>
      <c r="E815" t="s">
        <v>111</v>
      </c>
      <c r="F815">
        <v>2.2000000000000002</v>
      </c>
      <c r="G815">
        <v>6</v>
      </c>
      <c r="H815" t="s">
        <v>14</v>
      </c>
      <c r="I815" t="s">
        <v>61</v>
      </c>
      <c r="J815" t="s">
        <v>122</v>
      </c>
      <c r="K815">
        <f>Pqp_supermarket_data[[#This Row],[Unit_Price]]*Pqp_supermarket_data[[#This Row],[Quantity]]</f>
        <v>13.200000000000001</v>
      </c>
      <c r="L815" t="str">
        <f>TEXT(Pqp_supermarket_data[[#This Row],[DateTime]],"ddd")</f>
        <v>Fri</v>
      </c>
      <c r="M815" t="str">
        <f>TEXT(Pqp_supermarket_data[[#This Row],[DateTime]],"mmm")</f>
        <v>Apr</v>
      </c>
      <c r="N815" t="str">
        <f>TEXT(Pqp_supermarket_data[[#This Row],[DateTime]],"yyy")</f>
        <v>2025</v>
      </c>
    </row>
    <row r="816" spans="1:14" x14ac:dyDescent="0.35">
      <c r="A816" t="s">
        <v>1776</v>
      </c>
      <c r="B816" s="1">
        <v>44691.52920449074</v>
      </c>
      <c r="C816" t="s">
        <v>1777</v>
      </c>
      <c r="D816" t="s">
        <v>19</v>
      </c>
      <c r="E816" t="s">
        <v>115</v>
      </c>
      <c r="F816">
        <v>1.5</v>
      </c>
      <c r="G816">
        <v>8</v>
      </c>
      <c r="H816" t="s">
        <v>14</v>
      </c>
      <c r="I816" t="s">
        <v>61</v>
      </c>
      <c r="J816" t="s">
        <v>99</v>
      </c>
      <c r="K816">
        <f>Pqp_supermarket_data[[#This Row],[Unit_Price]]*Pqp_supermarket_data[[#This Row],[Quantity]]</f>
        <v>12</v>
      </c>
      <c r="L816" t="str">
        <f>TEXT(Pqp_supermarket_data[[#This Row],[DateTime]],"ddd")</f>
        <v>Tue</v>
      </c>
      <c r="M816" t="str">
        <f>TEXT(Pqp_supermarket_data[[#This Row],[DateTime]],"mmm")</f>
        <v>May</v>
      </c>
      <c r="N816" t="str">
        <f>TEXT(Pqp_supermarket_data[[#This Row],[DateTime]],"yyy")</f>
        <v>2022</v>
      </c>
    </row>
    <row r="817" spans="1:14" x14ac:dyDescent="0.35">
      <c r="A817" t="s">
        <v>1778</v>
      </c>
      <c r="B817" s="1">
        <v>44905.158371180558</v>
      </c>
      <c r="C817" t="s">
        <v>1779</v>
      </c>
      <c r="D817" t="s">
        <v>25</v>
      </c>
      <c r="E817" t="s">
        <v>35</v>
      </c>
      <c r="F817">
        <v>1.2</v>
      </c>
      <c r="G817">
        <v>9</v>
      </c>
      <c r="H817" t="s">
        <v>14</v>
      </c>
      <c r="I817" t="s">
        <v>61</v>
      </c>
      <c r="J817" t="s">
        <v>248</v>
      </c>
      <c r="K817">
        <f>Pqp_supermarket_data[[#This Row],[Unit_Price]]*Pqp_supermarket_data[[#This Row],[Quantity]]</f>
        <v>10.799999999999999</v>
      </c>
      <c r="L817" t="str">
        <f>TEXT(Pqp_supermarket_data[[#This Row],[DateTime]],"ddd")</f>
        <v>Sat</v>
      </c>
      <c r="M817" t="str">
        <f>TEXT(Pqp_supermarket_data[[#This Row],[DateTime]],"mmm")</f>
        <v>Dec</v>
      </c>
      <c r="N817" t="str">
        <f>TEXT(Pqp_supermarket_data[[#This Row],[DateTime]],"yyy")</f>
        <v>2022</v>
      </c>
    </row>
    <row r="818" spans="1:14" x14ac:dyDescent="0.35">
      <c r="A818" t="s">
        <v>1780</v>
      </c>
      <c r="B818" s="1">
        <v>44942.832676736114</v>
      </c>
      <c r="C818" t="s">
        <v>1781</v>
      </c>
      <c r="D818" t="s">
        <v>82</v>
      </c>
      <c r="E818" t="s">
        <v>26</v>
      </c>
      <c r="F818">
        <v>2.5</v>
      </c>
      <c r="G818">
        <v>3</v>
      </c>
      <c r="H818" t="s">
        <v>14</v>
      </c>
      <c r="I818" t="s">
        <v>36</v>
      </c>
      <c r="J818" t="s">
        <v>202</v>
      </c>
      <c r="K818">
        <f>Pqp_supermarket_data[[#This Row],[Unit_Price]]*Pqp_supermarket_data[[#This Row],[Quantity]]</f>
        <v>7.5</v>
      </c>
      <c r="L818" t="str">
        <f>TEXT(Pqp_supermarket_data[[#This Row],[DateTime]],"ddd")</f>
        <v>Mon</v>
      </c>
      <c r="M818" t="str">
        <f>TEXT(Pqp_supermarket_data[[#This Row],[DateTime]],"mmm")</f>
        <v>Jan</v>
      </c>
      <c r="N818" t="str">
        <f>TEXT(Pqp_supermarket_data[[#This Row],[DateTime]],"yyy")</f>
        <v>2023</v>
      </c>
    </row>
    <row r="819" spans="1:14" x14ac:dyDescent="0.35">
      <c r="A819" t="s">
        <v>1782</v>
      </c>
      <c r="B819" s="1">
        <v>44464.022954525462</v>
      </c>
      <c r="C819" t="s">
        <v>1783</v>
      </c>
      <c r="D819" t="s">
        <v>82</v>
      </c>
      <c r="E819" t="s">
        <v>26</v>
      </c>
      <c r="F819">
        <v>2.5</v>
      </c>
      <c r="G819">
        <v>5</v>
      </c>
      <c r="H819" t="s">
        <v>14</v>
      </c>
      <c r="I819" t="s">
        <v>40</v>
      </c>
      <c r="J819" t="s">
        <v>22</v>
      </c>
      <c r="K819">
        <f>Pqp_supermarket_data[[#This Row],[Unit_Price]]*Pqp_supermarket_data[[#This Row],[Quantity]]</f>
        <v>12.5</v>
      </c>
      <c r="L819" t="str">
        <f>TEXT(Pqp_supermarket_data[[#This Row],[DateTime]],"ddd")</f>
        <v>Sat</v>
      </c>
      <c r="M819" t="str">
        <f>TEXT(Pqp_supermarket_data[[#This Row],[DateTime]],"mmm")</f>
        <v>Sep</v>
      </c>
      <c r="N819" t="str">
        <f>TEXT(Pqp_supermarket_data[[#This Row],[DateTime]],"yyy")</f>
        <v>2021</v>
      </c>
    </row>
    <row r="820" spans="1:14" x14ac:dyDescent="0.35">
      <c r="A820" t="s">
        <v>1784</v>
      </c>
      <c r="B820" s="1">
        <v>44506.245176747689</v>
      </c>
      <c r="C820" t="s">
        <v>1785</v>
      </c>
      <c r="D820" t="s">
        <v>226</v>
      </c>
      <c r="E820" t="s">
        <v>45</v>
      </c>
      <c r="F820">
        <v>1</v>
      </c>
      <c r="G820">
        <v>5</v>
      </c>
      <c r="H820" t="s">
        <v>14</v>
      </c>
      <c r="I820" t="s">
        <v>61</v>
      </c>
      <c r="J820" t="s">
        <v>189</v>
      </c>
      <c r="K820">
        <f>Pqp_supermarket_data[[#This Row],[Unit_Price]]*Pqp_supermarket_data[[#This Row],[Quantity]]</f>
        <v>5</v>
      </c>
      <c r="L820" t="str">
        <f>TEXT(Pqp_supermarket_data[[#This Row],[DateTime]],"ddd")</f>
        <v>Sat</v>
      </c>
      <c r="M820" t="str">
        <f>TEXT(Pqp_supermarket_data[[#This Row],[DateTime]],"mmm")</f>
        <v>Nov</v>
      </c>
      <c r="N820" t="str">
        <f>TEXT(Pqp_supermarket_data[[#This Row],[DateTime]],"yyy")</f>
        <v>2021</v>
      </c>
    </row>
    <row r="821" spans="1:14" x14ac:dyDescent="0.35">
      <c r="A821" t="s">
        <v>1786</v>
      </c>
      <c r="B821" s="1">
        <v>44697.20837122685</v>
      </c>
      <c r="C821" t="s">
        <v>1787</v>
      </c>
      <c r="D821" t="s">
        <v>25</v>
      </c>
      <c r="E821" t="s">
        <v>65</v>
      </c>
      <c r="F821">
        <v>3</v>
      </c>
      <c r="G821">
        <v>3</v>
      </c>
      <c r="H821" t="s">
        <v>14</v>
      </c>
      <c r="I821" t="s">
        <v>15</v>
      </c>
      <c r="J821" t="s">
        <v>50</v>
      </c>
      <c r="K821">
        <f>Pqp_supermarket_data[[#This Row],[Unit_Price]]*Pqp_supermarket_data[[#This Row],[Quantity]]</f>
        <v>9</v>
      </c>
      <c r="L821" t="str">
        <f>TEXT(Pqp_supermarket_data[[#This Row],[DateTime]],"ddd")</f>
        <v>Mon</v>
      </c>
      <c r="M821" t="str">
        <f>TEXT(Pqp_supermarket_data[[#This Row],[DateTime]],"mmm")</f>
        <v>May</v>
      </c>
      <c r="N821" t="str">
        <f>TEXT(Pqp_supermarket_data[[#This Row],[DateTime]],"yyy")</f>
        <v>2022</v>
      </c>
    </row>
    <row r="822" spans="1:14" x14ac:dyDescent="0.35">
      <c r="A822" t="s">
        <v>1788</v>
      </c>
      <c r="B822" s="1">
        <v>45559.706287928238</v>
      </c>
      <c r="C822" t="s">
        <v>1789</v>
      </c>
      <c r="D822" t="s">
        <v>171</v>
      </c>
      <c r="E822" t="s">
        <v>70</v>
      </c>
      <c r="F822">
        <v>5</v>
      </c>
      <c r="G822">
        <v>5</v>
      </c>
      <c r="H822" t="s">
        <v>14</v>
      </c>
      <c r="I822" t="s">
        <v>36</v>
      </c>
      <c r="J822" t="s">
        <v>215</v>
      </c>
      <c r="K822">
        <f>Pqp_supermarket_data[[#This Row],[Unit_Price]]*Pqp_supermarket_data[[#This Row],[Quantity]]</f>
        <v>25</v>
      </c>
      <c r="L822" t="str">
        <f>TEXT(Pqp_supermarket_data[[#This Row],[DateTime]],"ddd")</f>
        <v>Tue</v>
      </c>
      <c r="M822" t="str">
        <f>TEXT(Pqp_supermarket_data[[#This Row],[DateTime]],"mmm")</f>
        <v>Sep</v>
      </c>
      <c r="N822" t="str">
        <f>TEXT(Pqp_supermarket_data[[#This Row],[DateTime]],"yyy")</f>
        <v>2024</v>
      </c>
    </row>
    <row r="823" spans="1:14" x14ac:dyDescent="0.35">
      <c r="A823" t="s">
        <v>1790</v>
      </c>
      <c r="B823" s="1">
        <v>44779.295871273149</v>
      </c>
      <c r="C823" t="s">
        <v>1791</v>
      </c>
      <c r="D823" t="s">
        <v>208</v>
      </c>
      <c r="E823" t="s">
        <v>111</v>
      </c>
      <c r="F823">
        <v>2.2000000000000002</v>
      </c>
      <c r="G823">
        <v>1</v>
      </c>
      <c r="H823" t="s">
        <v>14</v>
      </c>
      <c r="I823" t="s">
        <v>21</v>
      </c>
      <c r="J823" t="s">
        <v>397</v>
      </c>
      <c r="K823">
        <f>Pqp_supermarket_data[[#This Row],[Unit_Price]]*Pqp_supermarket_data[[#This Row],[Quantity]]</f>
        <v>2.2000000000000002</v>
      </c>
      <c r="L823" t="str">
        <f>TEXT(Pqp_supermarket_data[[#This Row],[DateTime]],"ddd")</f>
        <v>Sat</v>
      </c>
      <c r="M823" t="str">
        <f>TEXT(Pqp_supermarket_data[[#This Row],[DateTime]],"mmm")</f>
        <v>Aug</v>
      </c>
      <c r="N823" t="str">
        <f>TEXT(Pqp_supermarket_data[[#This Row],[DateTime]],"yyy")</f>
        <v>2022</v>
      </c>
    </row>
    <row r="824" spans="1:14" x14ac:dyDescent="0.35">
      <c r="A824" t="s">
        <v>1792</v>
      </c>
      <c r="B824" s="1">
        <v>45406.422260162035</v>
      </c>
      <c r="C824" t="s">
        <v>1793</v>
      </c>
      <c r="D824" t="s">
        <v>127</v>
      </c>
      <c r="E824" t="s">
        <v>111</v>
      </c>
      <c r="F824">
        <v>2.2000000000000002</v>
      </c>
      <c r="G824">
        <v>8</v>
      </c>
      <c r="H824" t="s">
        <v>14</v>
      </c>
      <c r="I824" t="s">
        <v>36</v>
      </c>
      <c r="J824" t="s">
        <v>99</v>
      </c>
      <c r="K824">
        <f>Pqp_supermarket_data[[#This Row],[Unit_Price]]*Pqp_supermarket_data[[#This Row],[Quantity]]</f>
        <v>17.600000000000001</v>
      </c>
      <c r="L824" t="str">
        <f>TEXT(Pqp_supermarket_data[[#This Row],[DateTime]],"ddd")</f>
        <v>Wed</v>
      </c>
      <c r="M824" t="str">
        <f>TEXT(Pqp_supermarket_data[[#This Row],[DateTime]],"mmm")</f>
        <v>Apr</v>
      </c>
      <c r="N824" t="str">
        <f>TEXT(Pqp_supermarket_data[[#This Row],[DateTime]],"yyy")</f>
        <v>2024</v>
      </c>
    </row>
    <row r="825" spans="1:14" x14ac:dyDescent="0.35">
      <c r="A825" t="s">
        <v>1794</v>
      </c>
      <c r="B825" s="1">
        <v>45310.470176828705</v>
      </c>
      <c r="C825" t="s">
        <v>1795</v>
      </c>
      <c r="D825" t="s">
        <v>208</v>
      </c>
      <c r="E825" t="s">
        <v>115</v>
      </c>
      <c r="F825">
        <v>1.5</v>
      </c>
      <c r="G825">
        <v>4</v>
      </c>
      <c r="H825" t="s">
        <v>14</v>
      </c>
      <c r="I825" t="s">
        <v>61</v>
      </c>
      <c r="J825" t="s">
        <v>175</v>
      </c>
      <c r="K825">
        <f>Pqp_supermarket_data[[#This Row],[Unit_Price]]*Pqp_supermarket_data[[#This Row],[Quantity]]</f>
        <v>6</v>
      </c>
      <c r="L825" t="str">
        <f>TEXT(Pqp_supermarket_data[[#This Row],[DateTime]],"ddd")</f>
        <v>Fri</v>
      </c>
      <c r="M825" t="str">
        <f>TEXT(Pqp_supermarket_data[[#This Row],[DateTime]],"mmm")</f>
        <v>Jan</v>
      </c>
      <c r="N825" t="str">
        <f>TEXT(Pqp_supermarket_data[[#This Row],[DateTime]],"yyy")</f>
        <v>2024</v>
      </c>
    </row>
    <row r="826" spans="1:14" x14ac:dyDescent="0.35">
      <c r="A826" t="s">
        <v>1796</v>
      </c>
      <c r="B826" s="1">
        <v>45147.918787939816</v>
      </c>
      <c r="C826" t="s">
        <v>1797</v>
      </c>
      <c r="D826" t="s">
        <v>98</v>
      </c>
      <c r="E826" t="s">
        <v>137</v>
      </c>
      <c r="F826">
        <v>2.5</v>
      </c>
      <c r="G826">
        <v>6</v>
      </c>
      <c r="H826" t="s">
        <v>14</v>
      </c>
      <c r="I826" t="s">
        <v>40</v>
      </c>
      <c r="J826" t="s">
        <v>91</v>
      </c>
      <c r="K826">
        <f>Pqp_supermarket_data[[#This Row],[Unit_Price]]*Pqp_supermarket_data[[#This Row],[Quantity]]</f>
        <v>15</v>
      </c>
      <c r="L826" t="str">
        <f>TEXT(Pqp_supermarket_data[[#This Row],[DateTime]],"ddd")</f>
        <v>Wed</v>
      </c>
      <c r="M826" t="str">
        <f>TEXT(Pqp_supermarket_data[[#This Row],[DateTime]],"mmm")</f>
        <v>Aug</v>
      </c>
      <c r="N826" t="str">
        <f>TEXT(Pqp_supermarket_data[[#This Row],[DateTime]],"yyy")</f>
        <v>2023</v>
      </c>
    </row>
    <row r="827" spans="1:14" x14ac:dyDescent="0.35">
      <c r="A827" t="s">
        <v>1798</v>
      </c>
      <c r="B827" s="1">
        <v>45487.506287951386</v>
      </c>
      <c r="C827" t="s">
        <v>1799</v>
      </c>
      <c r="D827" t="s">
        <v>226</v>
      </c>
      <c r="E827" t="s">
        <v>49</v>
      </c>
      <c r="F827">
        <v>7</v>
      </c>
      <c r="G827">
        <v>2</v>
      </c>
      <c r="H827" t="s">
        <v>14</v>
      </c>
      <c r="I827" t="s">
        <v>21</v>
      </c>
      <c r="J827" t="s">
        <v>122</v>
      </c>
      <c r="K827">
        <f>Pqp_supermarket_data[[#This Row],[Unit_Price]]*Pqp_supermarket_data[[#This Row],[Quantity]]</f>
        <v>14</v>
      </c>
      <c r="L827" t="str">
        <f>TEXT(Pqp_supermarket_data[[#This Row],[DateTime]],"ddd")</f>
        <v>Sun</v>
      </c>
      <c r="M827" t="str">
        <f>TEXT(Pqp_supermarket_data[[#This Row],[DateTime]],"mmm")</f>
        <v>Jul</v>
      </c>
      <c r="N827" t="str">
        <f>TEXT(Pqp_supermarket_data[[#This Row],[DateTime]],"yyy")</f>
        <v>2024</v>
      </c>
    </row>
    <row r="828" spans="1:14" x14ac:dyDescent="0.35">
      <c r="A828" t="s">
        <v>1800</v>
      </c>
      <c r="B828" s="1">
        <v>45415.270176840277</v>
      </c>
      <c r="C828" t="s">
        <v>1801</v>
      </c>
      <c r="D828" t="s">
        <v>34</v>
      </c>
      <c r="E828" t="s">
        <v>13</v>
      </c>
      <c r="F828">
        <v>3.1</v>
      </c>
      <c r="G828">
        <v>7</v>
      </c>
      <c r="H828" t="s">
        <v>14</v>
      </c>
      <c r="I828" t="s">
        <v>40</v>
      </c>
      <c r="J828" t="s">
        <v>172</v>
      </c>
      <c r="K828">
        <f>Pqp_supermarket_data[[#This Row],[Unit_Price]]*Pqp_supermarket_data[[#This Row],[Quantity]]</f>
        <v>21.7</v>
      </c>
      <c r="L828" t="str">
        <f>TEXT(Pqp_supermarket_data[[#This Row],[DateTime]],"ddd")</f>
        <v>Fri</v>
      </c>
      <c r="M828" t="str">
        <f>TEXT(Pqp_supermarket_data[[#This Row],[DateTime]],"mmm")</f>
        <v>May</v>
      </c>
      <c r="N828" t="str">
        <f>TEXT(Pqp_supermarket_data[[#This Row],[DateTime]],"yyy")</f>
        <v>2024</v>
      </c>
    </row>
    <row r="829" spans="1:14" x14ac:dyDescent="0.35">
      <c r="A829" t="s">
        <v>1802</v>
      </c>
      <c r="B829" s="1">
        <v>45277.025732395836</v>
      </c>
      <c r="C829" t="s">
        <v>1803</v>
      </c>
      <c r="D829" t="s">
        <v>98</v>
      </c>
      <c r="E829" t="s">
        <v>26</v>
      </c>
      <c r="F829">
        <v>2.5</v>
      </c>
      <c r="G829">
        <v>1</v>
      </c>
      <c r="H829" t="s">
        <v>14</v>
      </c>
      <c r="I829" t="s">
        <v>15</v>
      </c>
      <c r="J829" t="s">
        <v>223</v>
      </c>
      <c r="K829">
        <f>Pqp_supermarket_data[[#This Row],[Unit_Price]]*Pqp_supermarket_data[[#This Row],[Quantity]]</f>
        <v>2.5</v>
      </c>
      <c r="L829" t="str">
        <f>TEXT(Pqp_supermarket_data[[#This Row],[DateTime]],"ddd")</f>
        <v>Sun</v>
      </c>
      <c r="M829" t="str">
        <f>TEXT(Pqp_supermarket_data[[#This Row],[DateTime]],"mmm")</f>
        <v>Dec</v>
      </c>
      <c r="N829" t="str">
        <f>TEXT(Pqp_supermarket_data[[#This Row],[DateTime]],"yyy")</f>
        <v>2023</v>
      </c>
    </row>
    <row r="830" spans="1:14" x14ac:dyDescent="0.35">
      <c r="A830" t="s">
        <v>1804</v>
      </c>
      <c r="B830" s="1">
        <v>45593.863926851853</v>
      </c>
      <c r="C830" t="s">
        <v>1805</v>
      </c>
      <c r="D830" t="s">
        <v>25</v>
      </c>
      <c r="E830" t="s">
        <v>115</v>
      </c>
      <c r="F830">
        <v>1.5</v>
      </c>
      <c r="G830">
        <v>7</v>
      </c>
      <c r="H830" t="s">
        <v>14</v>
      </c>
      <c r="I830" t="s">
        <v>36</v>
      </c>
      <c r="J830" t="s">
        <v>245</v>
      </c>
      <c r="K830">
        <f>Pqp_supermarket_data[[#This Row],[Unit_Price]]*Pqp_supermarket_data[[#This Row],[Quantity]]</f>
        <v>10.5</v>
      </c>
      <c r="L830" t="str">
        <f>TEXT(Pqp_supermarket_data[[#This Row],[DateTime]],"ddd")</f>
        <v>Mon</v>
      </c>
      <c r="M830" t="str">
        <f>TEXT(Pqp_supermarket_data[[#This Row],[DateTime]],"mmm")</f>
        <v>Oct</v>
      </c>
      <c r="N830" t="str">
        <f>TEXT(Pqp_supermarket_data[[#This Row],[DateTime]],"yyy")</f>
        <v>2024</v>
      </c>
    </row>
    <row r="831" spans="1:14" x14ac:dyDescent="0.35">
      <c r="A831" t="s">
        <v>1806</v>
      </c>
      <c r="B831" s="1">
        <v>45125.323649074075</v>
      </c>
      <c r="C831" t="s">
        <v>1807</v>
      </c>
      <c r="D831" t="s">
        <v>12</v>
      </c>
      <c r="E831" t="s">
        <v>137</v>
      </c>
      <c r="F831">
        <v>2.5</v>
      </c>
      <c r="G831">
        <v>9</v>
      </c>
      <c r="H831" t="s">
        <v>14</v>
      </c>
      <c r="I831" t="s">
        <v>21</v>
      </c>
      <c r="J831" t="s">
        <v>172</v>
      </c>
      <c r="K831">
        <f>Pqp_supermarket_data[[#This Row],[Unit_Price]]*Pqp_supermarket_data[[#This Row],[Quantity]]</f>
        <v>22.5</v>
      </c>
      <c r="L831" t="str">
        <f>TEXT(Pqp_supermarket_data[[#This Row],[DateTime]],"ddd")</f>
        <v>Tue</v>
      </c>
      <c r="M831" t="str">
        <f>TEXT(Pqp_supermarket_data[[#This Row],[DateTime]],"mmm")</f>
        <v>Jul</v>
      </c>
      <c r="N831" t="str">
        <f>TEXT(Pqp_supermarket_data[[#This Row],[DateTime]],"yyy")</f>
        <v>2023</v>
      </c>
    </row>
    <row r="832" spans="1:14" x14ac:dyDescent="0.35">
      <c r="A832" t="s">
        <v>1808</v>
      </c>
      <c r="B832" s="1">
        <v>45267.90698240741</v>
      </c>
      <c r="C832" t="s">
        <v>1809</v>
      </c>
      <c r="D832" t="s">
        <v>127</v>
      </c>
      <c r="E832" t="s">
        <v>78</v>
      </c>
      <c r="F832">
        <v>4</v>
      </c>
      <c r="G832">
        <v>6</v>
      </c>
      <c r="H832" t="s">
        <v>14</v>
      </c>
      <c r="I832" t="s">
        <v>40</v>
      </c>
      <c r="J832" t="s">
        <v>178</v>
      </c>
      <c r="K832">
        <f>Pqp_supermarket_data[[#This Row],[Unit_Price]]*Pqp_supermarket_data[[#This Row],[Quantity]]</f>
        <v>24</v>
      </c>
      <c r="L832" t="str">
        <f>TEXT(Pqp_supermarket_data[[#This Row],[DateTime]],"ddd")</f>
        <v>Thu</v>
      </c>
      <c r="M832" t="str">
        <f>TEXT(Pqp_supermarket_data[[#This Row],[DateTime]],"mmm")</f>
        <v>Dec</v>
      </c>
      <c r="N832" t="str">
        <f>TEXT(Pqp_supermarket_data[[#This Row],[DateTime]],"yyy")</f>
        <v>2023</v>
      </c>
    </row>
    <row r="833" spans="1:14" x14ac:dyDescent="0.35">
      <c r="A833" t="s">
        <v>1810</v>
      </c>
      <c r="B833" s="1">
        <v>45340.424343541665</v>
      </c>
      <c r="C833" t="s">
        <v>1811</v>
      </c>
      <c r="D833" t="s">
        <v>30</v>
      </c>
      <c r="E833" t="s">
        <v>145</v>
      </c>
      <c r="F833">
        <v>1.7</v>
      </c>
      <c r="G833">
        <v>6</v>
      </c>
      <c r="H833" t="s">
        <v>14</v>
      </c>
      <c r="I833" t="s">
        <v>40</v>
      </c>
      <c r="J833" t="s">
        <v>66</v>
      </c>
      <c r="K833">
        <f>Pqp_supermarket_data[[#This Row],[Unit_Price]]*Pqp_supermarket_data[[#This Row],[Quantity]]</f>
        <v>10.199999999999999</v>
      </c>
      <c r="L833" t="str">
        <f>TEXT(Pqp_supermarket_data[[#This Row],[DateTime]],"ddd")</f>
        <v>Sun</v>
      </c>
      <c r="M833" t="str">
        <f>TEXT(Pqp_supermarket_data[[#This Row],[DateTime]],"mmm")</f>
        <v>Feb</v>
      </c>
      <c r="N833" t="str">
        <f>TEXT(Pqp_supermarket_data[[#This Row],[DateTime]],"yyy")</f>
        <v>2024</v>
      </c>
    </row>
    <row r="834" spans="1:14" x14ac:dyDescent="0.35">
      <c r="A834" t="s">
        <v>1812</v>
      </c>
      <c r="B834" s="1">
        <v>45220.804899097224</v>
      </c>
      <c r="C834" t="s">
        <v>1813</v>
      </c>
      <c r="D834" t="s">
        <v>82</v>
      </c>
      <c r="E834" t="s">
        <v>26</v>
      </c>
      <c r="F834">
        <v>2.5</v>
      </c>
      <c r="G834">
        <v>1</v>
      </c>
      <c r="H834" t="s">
        <v>14</v>
      </c>
      <c r="I834" t="s">
        <v>40</v>
      </c>
      <c r="J834" t="s">
        <v>87</v>
      </c>
      <c r="K834">
        <f>Pqp_supermarket_data[[#This Row],[Unit_Price]]*Pqp_supermarket_data[[#This Row],[Quantity]]</f>
        <v>2.5</v>
      </c>
      <c r="L834" t="str">
        <f>TEXT(Pqp_supermarket_data[[#This Row],[DateTime]],"ddd")</f>
        <v>Sat</v>
      </c>
      <c r="M834" t="str">
        <f>TEXT(Pqp_supermarket_data[[#This Row],[DateTime]],"mmm")</f>
        <v>Oct</v>
      </c>
      <c r="N834" t="str">
        <f>TEXT(Pqp_supermarket_data[[#This Row],[DateTime]],"yyy")</f>
        <v>2023</v>
      </c>
    </row>
    <row r="835" spans="1:14" x14ac:dyDescent="0.35">
      <c r="A835" t="s">
        <v>1814</v>
      </c>
      <c r="B835" s="1">
        <v>44371.904204652776</v>
      </c>
      <c r="C835" t="s">
        <v>1815</v>
      </c>
      <c r="D835" t="s">
        <v>171</v>
      </c>
      <c r="E835" t="s">
        <v>111</v>
      </c>
      <c r="F835">
        <v>2.2000000000000002</v>
      </c>
      <c r="G835">
        <v>6</v>
      </c>
      <c r="H835" t="s">
        <v>14</v>
      </c>
      <c r="I835" t="s">
        <v>40</v>
      </c>
      <c r="J835" t="s">
        <v>623</v>
      </c>
      <c r="K835">
        <f>Pqp_supermarket_data[[#This Row],[Unit_Price]]*Pqp_supermarket_data[[#This Row],[Quantity]]</f>
        <v>13.200000000000001</v>
      </c>
      <c r="L835" t="str">
        <f>TEXT(Pqp_supermarket_data[[#This Row],[DateTime]],"ddd")</f>
        <v>Thu</v>
      </c>
      <c r="M835" t="str">
        <f>TEXT(Pqp_supermarket_data[[#This Row],[DateTime]],"mmm")</f>
        <v>Jun</v>
      </c>
      <c r="N835" t="str">
        <f>TEXT(Pqp_supermarket_data[[#This Row],[DateTime]],"yyy")</f>
        <v>2021</v>
      </c>
    </row>
    <row r="836" spans="1:14" x14ac:dyDescent="0.35">
      <c r="A836" t="s">
        <v>1816</v>
      </c>
      <c r="B836" s="1">
        <v>45463.931287997686</v>
      </c>
      <c r="C836" t="s">
        <v>1817</v>
      </c>
      <c r="D836" t="s">
        <v>30</v>
      </c>
      <c r="E836" t="s">
        <v>45</v>
      </c>
      <c r="F836">
        <v>1</v>
      </c>
      <c r="G836">
        <v>6</v>
      </c>
      <c r="H836" t="s">
        <v>14</v>
      </c>
      <c r="I836" t="s">
        <v>36</v>
      </c>
      <c r="J836" t="s">
        <v>387</v>
      </c>
      <c r="K836">
        <f>Pqp_supermarket_data[[#This Row],[Unit_Price]]*Pqp_supermarket_data[[#This Row],[Quantity]]</f>
        <v>6</v>
      </c>
      <c r="L836" t="str">
        <f>TEXT(Pqp_supermarket_data[[#This Row],[DateTime]],"ddd")</f>
        <v>Thu</v>
      </c>
      <c r="M836" t="str">
        <f>TEXT(Pqp_supermarket_data[[#This Row],[DateTime]],"mmm")</f>
        <v>Jun</v>
      </c>
      <c r="N836" t="str">
        <f>TEXT(Pqp_supermarket_data[[#This Row],[DateTime]],"yyy")</f>
        <v>2024</v>
      </c>
    </row>
    <row r="837" spans="1:14" x14ac:dyDescent="0.35">
      <c r="A837" t="s">
        <v>1818</v>
      </c>
      <c r="B837" s="1">
        <v>45664.072954664349</v>
      </c>
      <c r="C837" t="s">
        <v>1819</v>
      </c>
      <c r="D837" t="s">
        <v>69</v>
      </c>
      <c r="E837" t="s">
        <v>20</v>
      </c>
      <c r="F837">
        <v>1</v>
      </c>
      <c r="G837">
        <v>2</v>
      </c>
      <c r="H837" t="s">
        <v>14</v>
      </c>
      <c r="I837" t="s">
        <v>15</v>
      </c>
      <c r="J837" t="s">
        <v>723</v>
      </c>
      <c r="K837">
        <f>Pqp_supermarket_data[[#This Row],[Unit_Price]]*Pqp_supermarket_data[[#This Row],[Quantity]]</f>
        <v>2</v>
      </c>
      <c r="L837" t="str">
        <f>TEXT(Pqp_supermarket_data[[#This Row],[DateTime]],"ddd")</f>
        <v>Tue</v>
      </c>
      <c r="M837" t="str">
        <f>TEXT(Pqp_supermarket_data[[#This Row],[DateTime]],"mmm")</f>
        <v>Jan</v>
      </c>
      <c r="N837" t="str">
        <f>TEXT(Pqp_supermarket_data[[#This Row],[DateTime]],"yyy")</f>
        <v>2025</v>
      </c>
    </row>
    <row r="838" spans="1:14" x14ac:dyDescent="0.35">
      <c r="A838" t="s">
        <v>1820</v>
      </c>
      <c r="B838" s="1">
        <v>45310.118787997686</v>
      </c>
      <c r="C838" t="s">
        <v>1821</v>
      </c>
      <c r="D838" t="s">
        <v>226</v>
      </c>
      <c r="E838" t="s">
        <v>53</v>
      </c>
      <c r="F838">
        <v>2.8</v>
      </c>
      <c r="G838">
        <v>8</v>
      </c>
      <c r="H838" t="s">
        <v>14</v>
      </c>
      <c r="I838" t="s">
        <v>36</v>
      </c>
      <c r="J838" t="s">
        <v>248</v>
      </c>
      <c r="K838">
        <f>Pqp_supermarket_data[[#This Row],[Unit_Price]]*Pqp_supermarket_data[[#This Row],[Quantity]]</f>
        <v>22.4</v>
      </c>
      <c r="L838" t="str">
        <f>TEXT(Pqp_supermarket_data[[#This Row],[DateTime]],"ddd")</f>
        <v>Fri</v>
      </c>
      <c r="M838" t="str">
        <f>TEXT(Pqp_supermarket_data[[#This Row],[DateTime]],"mmm")</f>
        <v>Jan</v>
      </c>
      <c r="N838" t="str">
        <f>TEXT(Pqp_supermarket_data[[#This Row],[DateTime]],"yyy")</f>
        <v>2024</v>
      </c>
    </row>
    <row r="839" spans="1:14" x14ac:dyDescent="0.35">
      <c r="A839" t="s">
        <v>1822</v>
      </c>
      <c r="B839" s="1">
        <v>45742.626426886571</v>
      </c>
      <c r="C839" t="s">
        <v>1823</v>
      </c>
      <c r="D839" t="s">
        <v>44</v>
      </c>
      <c r="E839" t="s">
        <v>111</v>
      </c>
      <c r="F839">
        <v>2.2000000000000002</v>
      </c>
      <c r="G839">
        <v>5</v>
      </c>
      <c r="H839" t="s">
        <v>14</v>
      </c>
      <c r="I839" t="s">
        <v>40</v>
      </c>
      <c r="J839" t="s">
        <v>723</v>
      </c>
      <c r="K839">
        <f>Pqp_supermarket_data[[#This Row],[Unit_Price]]*Pqp_supermarket_data[[#This Row],[Quantity]]</f>
        <v>11</v>
      </c>
      <c r="L839" t="str">
        <f>TEXT(Pqp_supermarket_data[[#This Row],[DateTime]],"ddd")</f>
        <v>Wed</v>
      </c>
      <c r="M839" t="str">
        <f>TEXT(Pqp_supermarket_data[[#This Row],[DateTime]],"mmm")</f>
        <v>Mar</v>
      </c>
      <c r="N839" t="str">
        <f>TEXT(Pqp_supermarket_data[[#This Row],[DateTime]],"yyy")</f>
        <v>2025</v>
      </c>
    </row>
    <row r="840" spans="1:14" x14ac:dyDescent="0.35">
      <c r="A840" t="s">
        <v>1824</v>
      </c>
      <c r="B840" s="1">
        <v>44338.952121342591</v>
      </c>
      <c r="C840" t="s">
        <v>1825</v>
      </c>
      <c r="D840" t="s">
        <v>127</v>
      </c>
      <c r="E840" t="s">
        <v>20</v>
      </c>
      <c r="F840">
        <v>1</v>
      </c>
      <c r="G840">
        <v>8</v>
      </c>
      <c r="H840" t="s">
        <v>14</v>
      </c>
      <c r="I840" t="s">
        <v>15</v>
      </c>
      <c r="J840" t="s">
        <v>323</v>
      </c>
      <c r="K840">
        <f>Pqp_supermarket_data[[#This Row],[Unit_Price]]*Pqp_supermarket_data[[#This Row],[Quantity]]</f>
        <v>8</v>
      </c>
      <c r="L840" t="str">
        <f>TEXT(Pqp_supermarket_data[[#This Row],[DateTime]],"ddd")</f>
        <v>Sat</v>
      </c>
      <c r="M840" t="str">
        <f>TEXT(Pqp_supermarket_data[[#This Row],[DateTime]],"mmm")</f>
        <v>May</v>
      </c>
      <c r="N840" t="str">
        <f>TEXT(Pqp_supermarket_data[[#This Row],[DateTime]],"yyy")</f>
        <v>2021</v>
      </c>
    </row>
    <row r="841" spans="1:14" x14ac:dyDescent="0.35">
      <c r="A841" t="s">
        <v>1826</v>
      </c>
      <c r="B841" s="1">
        <v>45403.836149120369</v>
      </c>
      <c r="C841" t="s">
        <v>1827</v>
      </c>
      <c r="D841" t="s">
        <v>44</v>
      </c>
      <c r="E841" t="s">
        <v>70</v>
      </c>
      <c r="F841">
        <v>5</v>
      </c>
      <c r="G841">
        <v>5</v>
      </c>
      <c r="H841" t="s">
        <v>14</v>
      </c>
      <c r="I841" t="s">
        <v>21</v>
      </c>
      <c r="J841" t="s">
        <v>153</v>
      </c>
      <c r="K841">
        <f>Pqp_supermarket_data[[#This Row],[Unit_Price]]*Pqp_supermarket_data[[#This Row],[Quantity]]</f>
        <v>25</v>
      </c>
      <c r="L841" t="str">
        <f>TEXT(Pqp_supermarket_data[[#This Row],[DateTime]],"ddd")</f>
        <v>Sun</v>
      </c>
      <c r="M841" t="str">
        <f>TEXT(Pqp_supermarket_data[[#This Row],[DateTime]],"mmm")</f>
        <v>Apr</v>
      </c>
      <c r="N841" t="str">
        <f>TEXT(Pqp_supermarket_data[[#This Row],[DateTime]],"yyy")</f>
        <v>2024</v>
      </c>
    </row>
    <row r="842" spans="1:14" x14ac:dyDescent="0.35">
      <c r="A842" t="s">
        <v>1828</v>
      </c>
      <c r="B842" s="1">
        <v>45458.453510231484</v>
      </c>
      <c r="C842" t="s">
        <v>1829</v>
      </c>
      <c r="D842" t="s">
        <v>69</v>
      </c>
      <c r="E842" t="s">
        <v>70</v>
      </c>
      <c r="F842">
        <v>5</v>
      </c>
      <c r="G842">
        <v>5</v>
      </c>
      <c r="H842" t="s">
        <v>14</v>
      </c>
      <c r="I842" t="s">
        <v>61</v>
      </c>
      <c r="J842" t="s">
        <v>112</v>
      </c>
      <c r="K842">
        <f>Pqp_supermarket_data[[#This Row],[Unit_Price]]*Pqp_supermarket_data[[#This Row],[Quantity]]</f>
        <v>25</v>
      </c>
      <c r="L842" t="str">
        <f>TEXT(Pqp_supermarket_data[[#This Row],[DateTime]],"ddd")</f>
        <v>Sat</v>
      </c>
      <c r="M842" t="str">
        <f>TEXT(Pqp_supermarket_data[[#This Row],[DateTime]],"mmm")</f>
        <v>Jun</v>
      </c>
      <c r="N842" t="str">
        <f>TEXT(Pqp_supermarket_data[[#This Row],[DateTime]],"yyy")</f>
        <v>2024</v>
      </c>
    </row>
    <row r="843" spans="1:14" x14ac:dyDescent="0.35">
      <c r="A843" t="s">
        <v>1830</v>
      </c>
      <c r="B843" s="1">
        <v>45034.976426898145</v>
      </c>
      <c r="C843" t="s">
        <v>1831</v>
      </c>
      <c r="D843" t="s">
        <v>226</v>
      </c>
      <c r="E843" t="s">
        <v>90</v>
      </c>
      <c r="F843">
        <v>1.8</v>
      </c>
      <c r="G843">
        <v>7</v>
      </c>
      <c r="H843" t="s">
        <v>14</v>
      </c>
      <c r="I843" t="s">
        <v>36</v>
      </c>
      <c r="J843" t="s">
        <v>458</v>
      </c>
      <c r="K843">
        <f>Pqp_supermarket_data[[#This Row],[Unit_Price]]*Pqp_supermarket_data[[#This Row],[Quantity]]</f>
        <v>12.6</v>
      </c>
      <c r="L843" t="str">
        <f>TEXT(Pqp_supermarket_data[[#This Row],[DateTime]],"ddd")</f>
        <v>Tue</v>
      </c>
      <c r="M843" t="str">
        <f>TEXT(Pqp_supermarket_data[[#This Row],[DateTime]],"mmm")</f>
        <v>Apr</v>
      </c>
      <c r="N843" t="str">
        <f>TEXT(Pqp_supermarket_data[[#This Row],[DateTime]],"yyy")</f>
        <v>2023</v>
      </c>
    </row>
    <row r="844" spans="1:14" x14ac:dyDescent="0.35">
      <c r="A844" t="s">
        <v>1832</v>
      </c>
      <c r="B844" s="1">
        <v>45747.730593576387</v>
      </c>
      <c r="C844" t="s">
        <v>1833</v>
      </c>
      <c r="D844" t="s">
        <v>44</v>
      </c>
      <c r="E844" t="s">
        <v>45</v>
      </c>
      <c r="F844">
        <v>1</v>
      </c>
      <c r="G844">
        <v>4</v>
      </c>
      <c r="H844" t="s">
        <v>14</v>
      </c>
      <c r="I844" t="s">
        <v>61</v>
      </c>
      <c r="J844" t="s">
        <v>105</v>
      </c>
      <c r="K844">
        <f>Pqp_supermarket_data[[#This Row],[Unit_Price]]*Pqp_supermarket_data[[#This Row],[Quantity]]</f>
        <v>4</v>
      </c>
      <c r="L844" t="str">
        <f>TEXT(Pqp_supermarket_data[[#This Row],[DateTime]],"ddd")</f>
        <v>Mon</v>
      </c>
      <c r="M844" t="str">
        <f>TEXT(Pqp_supermarket_data[[#This Row],[DateTime]],"mmm")</f>
        <v>Mar</v>
      </c>
      <c r="N844" t="str">
        <f>TEXT(Pqp_supermarket_data[[#This Row],[DateTime]],"yyy")</f>
        <v>2025</v>
      </c>
    </row>
    <row r="845" spans="1:14" x14ac:dyDescent="0.35">
      <c r="A845" t="s">
        <v>1834</v>
      </c>
      <c r="B845" s="1">
        <v>45656.661149131942</v>
      </c>
      <c r="C845" t="s">
        <v>1835</v>
      </c>
      <c r="D845" t="s">
        <v>34</v>
      </c>
      <c r="E845" t="s">
        <v>49</v>
      </c>
      <c r="F845">
        <v>7</v>
      </c>
      <c r="G845">
        <v>4</v>
      </c>
      <c r="H845" t="s">
        <v>14</v>
      </c>
      <c r="I845" t="s">
        <v>21</v>
      </c>
      <c r="J845" t="s">
        <v>382</v>
      </c>
      <c r="K845">
        <f>Pqp_supermarket_data[[#This Row],[Unit_Price]]*Pqp_supermarket_data[[#This Row],[Quantity]]</f>
        <v>28</v>
      </c>
      <c r="L845" t="str">
        <f>TEXT(Pqp_supermarket_data[[#This Row],[DateTime]],"ddd")</f>
        <v>Mon</v>
      </c>
      <c r="M845" t="str">
        <f>TEXT(Pqp_supermarket_data[[#This Row],[DateTime]],"mmm")</f>
        <v>Dec</v>
      </c>
      <c r="N845" t="str">
        <f>TEXT(Pqp_supermarket_data[[#This Row],[DateTime]],"yyy")</f>
        <v>2024</v>
      </c>
    </row>
    <row r="846" spans="1:14" x14ac:dyDescent="0.35">
      <c r="A846" t="s">
        <v>1836</v>
      </c>
      <c r="B846" s="1">
        <v>44767.845176909723</v>
      </c>
      <c r="C846" t="s">
        <v>1837</v>
      </c>
      <c r="D846" t="s">
        <v>171</v>
      </c>
      <c r="E846" t="s">
        <v>57</v>
      </c>
      <c r="F846">
        <v>4.5</v>
      </c>
      <c r="G846">
        <v>6</v>
      </c>
      <c r="H846" t="s">
        <v>14</v>
      </c>
      <c r="I846" t="s">
        <v>86</v>
      </c>
      <c r="J846" t="s">
        <v>230</v>
      </c>
      <c r="K846">
        <f>Pqp_supermarket_data[[#This Row],[Unit_Price]]*Pqp_supermarket_data[[#This Row],[Quantity]]</f>
        <v>27</v>
      </c>
      <c r="L846" t="str">
        <f>TEXT(Pqp_supermarket_data[[#This Row],[DateTime]],"ddd")</f>
        <v>Mon</v>
      </c>
      <c r="M846" t="str">
        <f>TEXT(Pqp_supermarket_data[[#This Row],[DateTime]],"mmm")</f>
        <v>Jul</v>
      </c>
      <c r="N846" t="str">
        <f>TEXT(Pqp_supermarket_data[[#This Row],[DateTime]],"yyy")</f>
        <v>2022</v>
      </c>
    </row>
    <row r="847" spans="1:14" x14ac:dyDescent="0.35">
      <c r="A847" t="s">
        <v>1838</v>
      </c>
      <c r="B847" s="1">
        <v>45127.430593576391</v>
      </c>
      <c r="C847" t="s">
        <v>1839</v>
      </c>
      <c r="D847" t="s">
        <v>85</v>
      </c>
      <c r="E847" t="s">
        <v>65</v>
      </c>
      <c r="F847">
        <v>3</v>
      </c>
      <c r="G847">
        <v>1</v>
      </c>
      <c r="H847" t="s">
        <v>14</v>
      </c>
      <c r="I847" t="s">
        <v>15</v>
      </c>
      <c r="J847" t="s">
        <v>218</v>
      </c>
      <c r="K847">
        <f>Pqp_supermarket_data[[#This Row],[Unit_Price]]*Pqp_supermarket_data[[#This Row],[Quantity]]</f>
        <v>3</v>
      </c>
      <c r="L847" t="str">
        <f>TEXT(Pqp_supermarket_data[[#This Row],[DateTime]],"ddd")</f>
        <v>Thu</v>
      </c>
      <c r="M847" t="str">
        <f>TEXT(Pqp_supermarket_data[[#This Row],[DateTime]],"mmm")</f>
        <v>Jul</v>
      </c>
      <c r="N847" t="str">
        <f>TEXT(Pqp_supermarket_data[[#This Row],[DateTime]],"yyy")</f>
        <v>2023</v>
      </c>
    </row>
    <row r="848" spans="1:14" x14ac:dyDescent="0.35">
      <c r="A848" t="s">
        <v>1840</v>
      </c>
      <c r="B848" s="1">
        <v>45722.30559358796</v>
      </c>
      <c r="C848" t="s">
        <v>1841</v>
      </c>
      <c r="D848" t="s">
        <v>98</v>
      </c>
      <c r="E848" t="s">
        <v>78</v>
      </c>
      <c r="F848">
        <v>4</v>
      </c>
      <c r="G848">
        <v>2</v>
      </c>
      <c r="H848" t="s">
        <v>14</v>
      </c>
      <c r="I848" t="s">
        <v>40</v>
      </c>
      <c r="J848" t="s">
        <v>317</v>
      </c>
      <c r="K848">
        <f>Pqp_supermarket_data[[#This Row],[Unit_Price]]*Pqp_supermarket_data[[#This Row],[Quantity]]</f>
        <v>8</v>
      </c>
      <c r="L848" t="str">
        <f>TEXT(Pqp_supermarket_data[[#This Row],[DateTime]],"ddd")</f>
        <v>Thu</v>
      </c>
      <c r="M848" t="str">
        <f>TEXT(Pqp_supermarket_data[[#This Row],[DateTime]],"mmm")</f>
        <v>Mar</v>
      </c>
      <c r="N848" t="str">
        <f>TEXT(Pqp_supermarket_data[[#This Row],[DateTime]],"yyy")</f>
        <v>2025</v>
      </c>
    </row>
    <row r="849" spans="1:14" x14ac:dyDescent="0.35">
      <c r="A849" t="s">
        <v>1842</v>
      </c>
      <c r="B849" s="1">
        <v>44472.030593587966</v>
      </c>
      <c r="C849" t="s">
        <v>1843</v>
      </c>
      <c r="D849" t="s">
        <v>98</v>
      </c>
      <c r="E849" t="s">
        <v>90</v>
      </c>
      <c r="F849">
        <v>1.8</v>
      </c>
      <c r="G849">
        <v>10</v>
      </c>
      <c r="H849" t="s">
        <v>14</v>
      </c>
      <c r="I849" t="s">
        <v>36</v>
      </c>
      <c r="J849" t="s">
        <v>131</v>
      </c>
      <c r="K849">
        <f>Pqp_supermarket_data[[#This Row],[Unit_Price]]*Pqp_supermarket_data[[#This Row],[Quantity]]</f>
        <v>18</v>
      </c>
      <c r="L849" t="str">
        <f>TEXT(Pqp_supermarket_data[[#This Row],[DateTime]],"ddd")</f>
        <v>Sun</v>
      </c>
      <c r="M849" t="str">
        <f>TEXT(Pqp_supermarket_data[[#This Row],[DateTime]],"mmm")</f>
        <v>Oct</v>
      </c>
      <c r="N849" t="str">
        <f>TEXT(Pqp_supermarket_data[[#This Row],[DateTime]],"yyy")</f>
        <v>2021</v>
      </c>
    </row>
    <row r="850" spans="1:14" x14ac:dyDescent="0.35">
      <c r="A850" t="s">
        <v>1844</v>
      </c>
      <c r="B850" s="1">
        <v>45262.502121365738</v>
      </c>
      <c r="C850" t="s">
        <v>1845</v>
      </c>
      <c r="D850" t="s">
        <v>25</v>
      </c>
      <c r="E850" t="s">
        <v>45</v>
      </c>
      <c r="F850">
        <v>1</v>
      </c>
      <c r="G850">
        <v>2</v>
      </c>
      <c r="H850" t="s">
        <v>14</v>
      </c>
      <c r="I850" t="s">
        <v>40</v>
      </c>
      <c r="J850" t="s">
        <v>212</v>
      </c>
      <c r="K850">
        <f>Pqp_supermarket_data[[#This Row],[Unit_Price]]*Pqp_supermarket_data[[#This Row],[Quantity]]</f>
        <v>2</v>
      </c>
      <c r="L850" t="str">
        <f>TEXT(Pqp_supermarket_data[[#This Row],[DateTime]],"ddd")</f>
        <v>Sat</v>
      </c>
      <c r="M850" t="str">
        <f>TEXT(Pqp_supermarket_data[[#This Row],[DateTime]],"mmm")</f>
        <v>Dec</v>
      </c>
      <c r="N850" t="str">
        <f>TEXT(Pqp_supermarket_data[[#This Row],[DateTime]],"yyy")</f>
        <v>2023</v>
      </c>
    </row>
    <row r="851" spans="1:14" x14ac:dyDescent="0.35">
      <c r="A851" t="s">
        <v>1846</v>
      </c>
      <c r="B851" s="1">
        <v>44443.893788043984</v>
      </c>
      <c r="C851" t="s">
        <v>1847</v>
      </c>
      <c r="D851" t="s">
        <v>19</v>
      </c>
      <c r="E851" t="s">
        <v>65</v>
      </c>
      <c r="F851">
        <v>3</v>
      </c>
      <c r="G851">
        <v>8</v>
      </c>
      <c r="H851" t="s">
        <v>14</v>
      </c>
      <c r="I851" t="s">
        <v>36</v>
      </c>
      <c r="J851" t="s">
        <v>387</v>
      </c>
      <c r="K851">
        <f>Pqp_supermarket_data[[#This Row],[Unit_Price]]*Pqp_supermarket_data[[#This Row],[Quantity]]</f>
        <v>24</v>
      </c>
      <c r="L851" t="str">
        <f>TEXT(Pqp_supermarket_data[[#This Row],[DateTime]],"ddd")</f>
        <v>Sat</v>
      </c>
      <c r="M851" t="str">
        <f>TEXT(Pqp_supermarket_data[[#This Row],[DateTime]],"mmm")</f>
        <v>Sep</v>
      </c>
      <c r="N851" t="str">
        <f>TEXT(Pqp_supermarket_data[[#This Row],[DateTime]],"yyy")</f>
        <v>2021</v>
      </c>
    </row>
    <row r="852" spans="1:14" x14ac:dyDescent="0.35">
      <c r="A852" t="s">
        <v>1848</v>
      </c>
      <c r="B852" s="1">
        <v>45046.818788055556</v>
      </c>
      <c r="C852" t="s">
        <v>1849</v>
      </c>
      <c r="D852" t="s">
        <v>19</v>
      </c>
      <c r="E852" t="s">
        <v>145</v>
      </c>
      <c r="F852">
        <v>1.7</v>
      </c>
      <c r="G852">
        <v>6</v>
      </c>
      <c r="H852" t="s">
        <v>14</v>
      </c>
      <c r="I852" t="s">
        <v>36</v>
      </c>
      <c r="J852" t="s">
        <v>387</v>
      </c>
      <c r="K852">
        <f>Pqp_supermarket_data[[#This Row],[Unit_Price]]*Pqp_supermarket_data[[#This Row],[Quantity]]</f>
        <v>10.199999999999999</v>
      </c>
      <c r="L852" t="str">
        <f>TEXT(Pqp_supermarket_data[[#This Row],[DateTime]],"ddd")</f>
        <v>Sun</v>
      </c>
      <c r="M852" t="str">
        <f>TEXT(Pqp_supermarket_data[[#This Row],[DateTime]],"mmm")</f>
        <v>Apr</v>
      </c>
      <c r="N852" t="str">
        <f>TEXT(Pqp_supermarket_data[[#This Row],[DateTime]],"yyy")</f>
        <v>2023</v>
      </c>
    </row>
    <row r="853" spans="1:14" x14ac:dyDescent="0.35">
      <c r="A853" t="s">
        <v>1850</v>
      </c>
      <c r="B853" s="1">
        <v>44523.203510277781</v>
      </c>
      <c r="C853" t="s">
        <v>1851</v>
      </c>
      <c r="D853" t="s">
        <v>208</v>
      </c>
      <c r="E853" t="s">
        <v>65</v>
      </c>
      <c r="F853">
        <v>3</v>
      </c>
      <c r="G853">
        <v>5</v>
      </c>
      <c r="H853" t="s">
        <v>14</v>
      </c>
      <c r="I853" t="s">
        <v>40</v>
      </c>
      <c r="J853" t="s">
        <v>163</v>
      </c>
      <c r="K853">
        <f>Pqp_supermarket_data[[#This Row],[Unit_Price]]*Pqp_supermarket_data[[#This Row],[Quantity]]</f>
        <v>15</v>
      </c>
      <c r="L853" t="str">
        <f>TEXT(Pqp_supermarket_data[[#This Row],[DateTime]],"ddd")</f>
        <v>Tue</v>
      </c>
      <c r="M853" t="str">
        <f>TEXT(Pqp_supermarket_data[[#This Row],[DateTime]],"mmm")</f>
        <v>Nov</v>
      </c>
      <c r="N853" t="str">
        <f>TEXT(Pqp_supermarket_data[[#This Row],[DateTime]],"yyy")</f>
        <v>2021</v>
      </c>
    </row>
    <row r="854" spans="1:14" x14ac:dyDescent="0.35">
      <c r="A854" t="s">
        <v>1852</v>
      </c>
      <c r="B854" s="1">
        <v>44723.430593622688</v>
      </c>
      <c r="C854" t="s">
        <v>1853</v>
      </c>
      <c r="D854" t="s">
        <v>12</v>
      </c>
      <c r="E854" t="s">
        <v>26</v>
      </c>
      <c r="F854">
        <v>2.5</v>
      </c>
      <c r="G854">
        <v>9</v>
      </c>
      <c r="H854" t="s">
        <v>14</v>
      </c>
      <c r="I854" t="s">
        <v>86</v>
      </c>
      <c r="J854" t="s">
        <v>248</v>
      </c>
      <c r="K854">
        <f>Pqp_supermarket_data[[#This Row],[Unit_Price]]*Pqp_supermarket_data[[#This Row],[Quantity]]</f>
        <v>22.5</v>
      </c>
      <c r="L854" t="str">
        <f>TEXT(Pqp_supermarket_data[[#This Row],[DateTime]],"ddd")</f>
        <v>Sat</v>
      </c>
      <c r="M854" t="str">
        <f>TEXT(Pqp_supermarket_data[[#This Row],[DateTime]],"mmm")</f>
        <v>Jun</v>
      </c>
      <c r="N854" t="str">
        <f>TEXT(Pqp_supermarket_data[[#This Row],[DateTime]],"yyy")</f>
        <v>2022</v>
      </c>
    </row>
    <row r="855" spans="1:14" x14ac:dyDescent="0.35">
      <c r="A855" t="s">
        <v>1854</v>
      </c>
      <c r="B855" s="1">
        <v>45390.863926956015</v>
      </c>
      <c r="C855" t="s">
        <v>1855</v>
      </c>
      <c r="D855" t="s">
        <v>25</v>
      </c>
      <c r="E855" t="s">
        <v>119</v>
      </c>
      <c r="F855">
        <v>4</v>
      </c>
      <c r="G855">
        <v>3</v>
      </c>
      <c r="H855" t="s">
        <v>14</v>
      </c>
      <c r="I855" t="s">
        <v>21</v>
      </c>
      <c r="J855" t="s">
        <v>314</v>
      </c>
      <c r="K855">
        <f>Pqp_supermarket_data[[#This Row],[Unit_Price]]*Pqp_supermarket_data[[#This Row],[Quantity]]</f>
        <v>12</v>
      </c>
      <c r="L855" t="str">
        <f>TEXT(Pqp_supermarket_data[[#This Row],[DateTime]],"ddd")</f>
        <v>Mon</v>
      </c>
      <c r="M855" t="str">
        <f>TEXT(Pqp_supermarket_data[[#This Row],[DateTime]],"mmm")</f>
        <v>Apr</v>
      </c>
      <c r="N855" t="str">
        <f>TEXT(Pqp_supermarket_data[[#This Row],[DateTime]],"yyy")</f>
        <v>2024</v>
      </c>
    </row>
    <row r="856" spans="1:14" x14ac:dyDescent="0.35">
      <c r="A856" t="s">
        <v>1856</v>
      </c>
      <c r="B856" s="1">
        <v>44642.985454745372</v>
      </c>
      <c r="C856" t="s">
        <v>1857</v>
      </c>
      <c r="D856" t="s">
        <v>77</v>
      </c>
      <c r="E856" t="s">
        <v>119</v>
      </c>
      <c r="F856">
        <v>4</v>
      </c>
      <c r="G856">
        <v>6</v>
      </c>
      <c r="H856" t="s">
        <v>14</v>
      </c>
      <c r="I856" t="s">
        <v>36</v>
      </c>
      <c r="J856" t="s">
        <v>223</v>
      </c>
      <c r="K856">
        <f>Pqp_supermarket_data[[#This Row],[Unit_Price]]*Pqp_supermarket_data[[#This Row],[Quantity]]</f>
        <v>24</v>
      </c>
      <c r="L856" t="str">
        <f>TEXT(Pqp_supermarket_data[[#This Row],[DateTime]],"ddd")</f>
        <v>Tue</v>
      </c>
      <c r="M856" t="str">
        <f>TEXT(Pqp_supermarket_data[[#This Row],[DateTime]],"mmm")</f>
        <v>Mar</v>
      </c>
      <c r="N856" t="str">
        <f>TEXT(Pqp_supermarket_data[[#This Row],[DateTime]],"yyy")</f>
        <v>2022</v>
      </c>
    </row>
    <row r="857" spans="1:14" x14ac:dyDescent="0.35">
      <c r="A857" t="s">
        <v>1858</v>
      </c>
      <c r="B857" s="1">
        <v>44347.666010312503</v>
      </c>
      <c r="C857" t="s">
        <v>1859</v>
      </c>
      <c r="D857" t="s">
        <v>19</v>
      </c>
      <c r="E857" t="s">
        <v>148</v>
      </c>
      <c r="F857">
        <v>5.5</v>
      </c>
      <c r="G857">
        <v>3</v>
      </c>
      <c r="H857" t="s">
        <v>14</v>
      </c>
      <c r="I857" t="s">
        <v>15</v>
      </c>
      <c r="J857" t="s">
        <v>153</v>
      </c>
      <c r="K857">
        <f>Pqp_supermarket_data[[#This Row],[Unit_Price]]*Pqp_supermarket_data[[#This Row],[Quantity]]</f>
        <v>16.5</v>
      </c>
      <c r="L857" t="str">
        <f>TEXT(Pqp_supermarket_data[[#This Row],[DateTime]],"ddd")</f>
        <v>Mon</v>
      </c>
      <c r="M857" t="str">
        <f>TEXT(Pqp_supermarket_data[[#This Row],[DateTime]],"mmm")</f>
        <v>May</v>
      </c>
      <c r="N857" t="str">
        <f>TEXT(Pqp_supermarket_data[[#This Row],[DateTime]],"yyy")</f>
        <v>2021</v>
      </c>
    </row>
    <row r="858" spans="1:14" x14ac:dyDescent="0.35">
      <c r="A858" t="s">
        <v>1860</v>
      </c>
      <c r="B858" s="1">
        <v>44963.878510312497</v>
      </c>
      <c r="C858" t="s">
        <v>1861</v>
      </c>
      <c r="D858" t="s">
        <v>30</v>
      </c>
      <c r="E858" t="s">
        <v>94</v>
      </c>
      <c r="F858">
        <v>0.8</v>
      </c>
      <c r="G858">
        <v>9</v>
      </c>
      <c r="H858" t="s">
        <v>14</v>
      </c>
      <c r="I858" t="s">
        <v>21</v>
      </c>
      <c r="J858" t="s">
        <v>510</v>
      </c>
      <c r="K858">
        <f>Pqp_supermarket_data[[#This Row],[Unit_Price]]*Pqp_supermarket_data[[#This Row],[Quantity]]</f>
        <v>7.2</v>
      </c>
      <c r="L858" t="str">
        <f>TEXT(Pqp_supermarket_data[[#This Row],[DateTime]],"ddd")</f>
        <v>Mon</v>
      </c>
      <c r="M858" t="str">
        <f>TEXT(Pqp_supermarket_data[[#This Row],[DateTime]],"mmm")</f>
        <v>Feb</v>
      </c>
      <c r="N858" t="str">
        <f>TEXT(Pqp_supermarket_data[[#This Row],[DateTime]],"yyy")</f>
        <v>2023</v>
      </c>
    </row>
    <row r="859" spans="1:14" x14ac:dyDescent="0.35">
      <c r="A859" t="s">
        <v>1862</v>
      </c>
      <c r="B859" s="1">
        <v>45065.118788101849</v>
      </c>
      <c r="C859" t="s">
        <v>1863</v>
      </c>
      <c r="D859" t="s">
        <v>44</v>
      </c>
      <c r="E859" t="s">
        <v>53</v>
      </c>
      <c r="F859">
        <v>2.8</v>
      </c>
      <c r="G859">
        <v>7</v>
      </c>
      <c r="H859" t="s">
        <v>14</v>
      </c>
      <c r="I859" t="s">
        <v>36</v>
      </c>
      <c r="J859" t="s">
        <v>236</v>
      </c>
      <c r="K859">
        <f>Pqp_supermarket_data[[#This Row],[Unit_Price]]*Pqp_supermarket_data[[#This Row],[Quantity]]</f>
        <v>19.599999999999998</v>
      </c>
      <c r="L859" t="str">
        <f>TEXT(Pqp_supermarket_data[[#This Row],[DateTime]],"ddd")</f>
        <v>Fri</v>
      </c>
      <c r="M859" t="str">
        <f>TEXT(Pqp_supermarket_data[[#This Row],[DateTime]],"mmm")</f>
        <v>May</v>
      </c>
      <c r="N859" t="str">
        <f>TEXT(Pqp_supermarket_data[[#This Row],[DateTime]],"yyy")</f>
        <v>2023</v>
      </c>
    </row>
    <row r="860" spans="1:14" x14ac:dyDescent="0.35">
      <c r="A860" t="s">
        <v>1864</v>
      </c>
      <c r="B860" s="1">
        <v>45123.757676990739</v>
      </c>
      <c r="C860" t="s">
        <v>1865</v>
      </c>
      <c r="D860" t="s">
        <v>171</v>
      </c>
      <c r="E860" t="s">
        <v>20</v>
      </c>
      <c r="F860">
        <v>1</v>
      </c>
      <c r="G860">
        <v>4</v>
      </c>
      <c r="H860" t="s">
        <v>14</v>
      </c>
      <c r="I860" t="s">
        <v>86</v>
      </c>
      <c r="J860" t="s">
        <v>426</v>
      </c>
      <c r="K860">
        <f>Pqp_supermarket_data[[#This Row],[Unit_Price]]*Pqp_supermarket_data[[#This Row],[Quantity]]</f>
        <v>4</v>
      </c>
      <c r="L860" t="str">
        <f>TEXT(Pqp_supermarket_data[[#This Row],[DateTime]],"ddd")</f>
        <v>Sun</v>
      </c>
      <c r="M860" t="str">
        <f>TEXT(Pqp_supermarket_data[[#This Row],[DateTime]],"mmm")</f>
        <v>Jul</v>
      </c>
      <c r="N860" t="str">
        <f>TEXT(Pqp_supermarket_data[[#This Row],[DateTime]],"yyy")</f>
        <v>2023</v>
      </c>
    </row>
    <row r="861" spans="1:14" x14ac:dyDescent="0.35">
      <c r="A861" t="s">
        <v>1866</v>
      </c>
      <c r="B861" s="1">
        <v>44659.59031590278</v>
      </c>
      <c r="C861" t="s">
        <v>1867</v>
      </c>
      <c r="D861" t="s">
        <v>44</v>
      </c>
      <c r="E861" t="s">
        <v>70</v>
      </c>
      <c r="F861">
        <v>5</v>
      </c>
      <c r="G861">
        <v>8</v>
      </c>
      <c r="H861" t="s">
        <v>14</v>
      </c>
      <c r="I861" t="s">
        <v>86</v>
      </c>
      <c r="J861" t="s">
        <v>288</v>
      </c>
      <c r="K861">
        <f>Pqp_supermarket_data[[#This Row],[Unit_Price]]*Pqp_supermarket_data[[#This Row],[Quantity]]</f>
        <v>40</v>
      </c>
      <c r="L861" t="str">
        <f>TEXT(Pqp_supermarket_data[[#This Row],[DateTime]],"ddd")</f>
        <v>Fri</v>
      </c>
      <c r="M861" t="str">
        <f>TEXT(Pqp_supermarket_data[[#This Row],[DateTime]],"mmm")</f>
        <v>Apr</v>
      </c>
      <c r="N861" t="str">
        <f>TEXT(Pqp_supermarket_data[[#This Row],[DateTime]],"yyy")</f>
        <v>2022</v>
      </c>
    </row>
    <row r="862" spans="1:14" x14ac:dyDescent="0.35">
      <c r="A862" t="s">
        <v>1868</v>
      </c>
      <c r="B862" s="1">
        <v>45716.158371458332</v>
      </c>
      <c r="C862" t="s">
        <v>1869</v>
      </c>
      <c r="D862" t="s">
        <v>208</v>
      </c>
      <c r="E862" t="s">
        <v>90</v>
      </c>
      <c r="F862">
        <v>1.8</v>
      </c>
      <c r="G862">
        <v>3</v>
      </c>
      <c r="H862" t="s">
        <v>14</v>
      </c>
      <c r="I862" t="s">
        <v>61</v>
      </c>
      <c r="J862" t="s">
        <v>288</v>
      </c>
      <c r="K862">
        <f>Pqp_supermarket_data[[#This Row],[Unit_Price]]*Pqp_supermarket_data[[#This Row],[Quantity]]</f>
        <v>5.4</v>
      </c>
      <c r="L862" t="str">
        <f>TEXT(Pqp_supermarket_data[[#This Row],[DateTime]],"ddd")</f>
        <v>Fri</v>
      </c>
      <c r="M862" t="str">
        <f>TEXT(Pqp_supermarket_data[[#This Row],[DateTime]],"mmm")</f>
        <v>Feb</v>
      </c>
      <c r="N862" t="str">
        <f>TEXT(Pqp_supermarket_data[[#This Row],[DateTime]],"yyy")</f>
        <v>2025</v>
      </c>
    </row>
    <row r="863" spans="1:14" x14ac:dyDescent="0.35">
      <c r="A863" t="s">
        <v>1870</v>
      </c>
      <c r="B863" s="1">
        <v>45171.259065902777</v>
      </c>
      <c r="C863" t="s">
        <v>1871</v>
      </c>
      <c r="D863" t="s">
        <v>34</v>
      </c>
      <c r="E863" t="s">
        <v>39</v>
      </c>
      <c r="F863">
        <v>3.2</v>
      </c>
      <c r="G863">
        <v>1</v>
      </c>
      <c r="H863" t="s">
        <v>14</v>
      </c>
      <c r="I863" t="s">
        <v>36</v>
      </c>
      <c r="J863" t="s">
        <v>339</v>
      </c>
      <c r="K863">
        <f>Pqp_supermarket_data[[#This Row],[Unit_Price]]*Pqp_supermarket_data[[#This Row],[Quantity]]</f>
        <v>3.2</v>
      </c>
      <c r="L863" t="str">
        <f>TEXT(Pqp_supermarket_data[[#This Row],[DateTime]],"ddd")</f>
        <v>Sat</v>
      </c>
      <c r="M863" t="str">
        <f>TEXT(Pqp_supermarket_data[[#This Row],[DateTime]],"mmm")</f>
        <v>Sep</v>
      </c>
      <c r="N863" t="str">
        <f>TEXT(Pqp_supermarket_data[[#This Row],[DateTime]],"yyy")</f>
        <v>2023</v>
      </c>
    </row>
    <row r="864" spans="1:14" x14ac:dyDescent="0.35">
      <c r="A864" t="s">
        <v>1872</v>
      </c>
      <c r="B864" s="1">
        <v>44652.868788136577</v>
      </c>
      <c r="C864" t="s">
        <v>1873</v>
      </c>
      <c r="D864" t="s">
        <v>171</v>
      </c>
      <c r="E864" t="s">
        <v>119</v>
      </c>
      <c r="F864">
        <v>4</v>
      </c>
      <c r="G864">
        <v>3</v>
      </c>
      <c r="H864" t="s">
        <v>14</v>
      </c>
      <c r="I864" t="s">
        <v>40</v>
      </c>
      <c r="J864" t="s">
        <v>74</v>
      </c>
      <c r="K864">
        <f>Pqp_supermarket_data[[#This Row],[Unit_Price]]*Pqp_supermarket_data[[#This Row],[Quantity]]</f>
        <v>12</v>
      </c>
      <c r="L864" t="str">
        <f>TEXT(Pqp_supermarket_data[[#This Row],[DateTime]],"ddd")</f>
        <v>Fri</v>
      </c>
      <c r="M864" t="str">
        <f>TEXT(Pqp_supermarket_data[[#This Row],[DateTime]],"mmm")</f>
        <v>Apr</v>
      </c>
      <c r="N864" t="str">
        <f>TEXT(Pqp_supermarket_data[[#This Row],[DateTime]],"yyy")</f>
        <v>2022</v>
      </c>
    </row>
    <row r="865" spans="1:14" x14ac:dyDescent="0.35">
      <c r="A865" t="s">
        <v>1874</v>
      </c>
      <c r="B865" s="1">
        <v>44844.095177025461</v>
      </c>
      <c r="C865" t="s">
        <v>1875</v>
      </c>
      <c r="D865" t="s">
        <v>69</v>
      </c>
      <c r="E865" t="s">
        <v>13</v>
      </c>
      <c r="F865">
        <v>3.1</v>
      </c>
      <c r="G865">
        <v>6</v>
      </c>
      <c r="H865" t="s">
        <v>14</v>
      </c>
      <c r="I865" t="s">
        <v>21</v>
      </c>
      <c r="J865" t="s">
        <v>623</v>
      </c>
      <c r="K865">
        <f>Pqp_supermarket_data[[#This Row],[Unit_Price]]*Pqp_supermarket_data[[#This Row],[Quantity]]</f>
        <v>18.600000000000001</v>
      </c>
      <c r="L865" t="str">
        <f>TEXT(Pqp_supermarket_data[[#This Row],[DateTime]],"ddd")</f>
        <v>Mon</v>
      </c>
      <c r="M865" t="str">
        <f>TEXT(Pqp_supermarket_data[[#This Row],[DateTime]],"mmm")</f>
        <v>Oct</v>
      </c>
      <c r="N865" t="str">
        <f>TEXT(Pqp_supermarket_data[[#This Row],[DateTime]],"yyy")</f>
        <v>2022</v>
      </c>
    </row>
    <row r="866" spans="1:14" x14ac:dyDescent="0.35">
      <c r="A866" t="s">
        <v>1876</v>
      </c>
      <c r="B866" s="1">
        <v>45309.19101037037</v>
      </c>
      <c r="C866" t="s">
        <v>1877</v>
      </c>
      <c r="D866" t="s">
        <v>127</v>
      </c>
      <c r="E866" t="s">
        <v>65</v>
      </c>
      <c r="F866">
        <v>3</v>
      </c>
      <c r="G866">
        <v>10</v>
      </c>
      <c r="H866" t="s">
        <v>14</v>
      </c>
      <c r="I866" t="s">
        <v>86</v>
      </c>
      <c r="J866" t="s">
        <v>323</v>
      </c>
      <c r="K866">
        <f>Pqp_supermarket_data[[#This Row],[Unit_Price]]*Pqp_supermarket_data[[#This Row],[Quantity]]</f>
        <v>30</v>
      </c>
      <c r="L866" t="str">
        <f>TEXT(Pqp_supermarket_data[[#This Row],[DateTime]],"ddd")</f>
        <v>Thu</v>
      </c>
      <c r="M866" t="str">
        <f>TEXT(Pqp_supermarket_data[[#This Row],[DateTime]],"mmm")</f>
        <v>Jan</v>
      </c>
      <c r="N866" t="str">
        <f>TEXT(Pqp_supermarket_data[[#This Row],[DateTime]],"yyy")</f>
        <v>2024</v>
      </c>
    </row>
    <row r="867" spans="1:14" x14ac:dyDescent="0.35">
      <c r="A867" t="s">
        <v>1878</v>
      </c>
      <c r="B867" s="1">
        <v>45340.598649270833</v>
      </c>
      <c r="C867" t="s">
        <v>1879</v>
      </c>
      <c r="D867" t="s">
        <v>12</v>
      </c>
      <c r="E867" t="s">
        <v>39</v>
      </c>
      <c r="F867">
        <v>3.2</v>
      </c>
      <c r="G867">
        <v>8</v>
      </c>
      <c r="H867" t="s">
        <v>14</v>
      </c>
      <c r="I867" t="s">
        <v>15</v>
      </c>
      <c r="J867" t="s">
        <v>723</v>
      </c>
      <c r="K867">
        <f>Pqp_supermarket_data[[#This Row],[Unit_Price]]*Pqp_supermarket_data[[#This Row],[Quantity]]</f>
        <v>25.6</v>
      </c>
      <c r="L867" t="str">
        <f>TEXT(Pqp_supermarket_data[[#This Row],[DateTime]],"ddd")</f>
        <v>Sun</v>
      </c>
      <c r="M867" t="str">
        <f>TEXT(Pqp_supermarket_data[[#This Row],[DateTime]],"mmm")</f>
        <v>Feb</v>
      </c>
      <c r="N867" t="str">
        <f>TEXT(Pqp_supermarket_data[[#This Row],[DateTime]],"yyy")</f>
        <v>2024</v>
      </c>
    </row>
    <row r="868" spans="1:14" x14ac:dyDescent="0.35">
      <c r="A868" t="s">
        <v>1880</v>
      </c>
      <c r="B868" s="1">
        <v>44373.618093726851</v>
      </c>
      <c r="C868" t="s">
        <v>1881</v>
      </c>
      <c r="D868" t="s">
        <v>34</v>
      </c>
      <c r="E868" t="s">
        <v>148</v>
      </c>
      <c r="F868">
        <v>5.5</v>
      </c>
      <c r="G868">
        <v>10</v>
      </c>
      <c r="H868" t="s">
        <v>14</v>
      </c>
      <c r="I868" t="s">
        <v>36</v>
      </c>
      <c r="J868" t="s">
        <v>108</v>
      </c>
      <c r="K868">
        <f>Pqp_supermarket_data[[#This Row],[Unit_Price]]*Pqp_supermarket_data[[#This Row],[Quantity]]</f>
        <v>55</v>
      </c>
      <c r="L868" t="str">
        <f>TEXT(Pqp_supermarket_data[[#This Row],[DateTime]],"ddd")</f>
        <v>Sat</v>
      </c>
      <c r="M868" t="str">
        <f>TEXT(Pqp_supermarket_data[[#This Row],[DateTime]],"mmm")</f>
        <v>Jun</v>
      </c>
      <c r="N868" t="str">
        <f>TEXT(Pqp_supermarket_data[[#This Row],[DateTime]],"yyy")</f>
        <v>2021</v>
      </c>
    </row>
    <row r="869" spans="1:14" x14ac:dyDescent="0.35">
      <c r="A869" t="s">
        <v>1882</v>
      </c>
      <c r="B869" s="1">
        <v>45709.566010393515</v>
      </c>
      <c r="C869" t="s">
        <v>1401</v>
      </c>
      <c r="D869" t="s">
        <v>171</v>
      </c>
      <c r="E869" t="s">
        <v>49</v>
      </c>
      <c r="F869">
        <v>7</v>
      </c>
      <c r="G869">
        <v>2</v>
      </c>
      <c r="H869" t="s">
        <v>14</v>
      </c>
      <c r="I869" t="s">
        <v>40</v>
      </c>
      <c r="J869" t="s">
        <v>426</v>
      </c>
      <c r="K869">
        <f>Pqp_supermarket_data[[#This Row],[Unit_Price]]*Pqp_supermarket_data[[#This Row],[Quantity]]</f>
        <v>14</v>
      </c>
      <c r="L869" t="str">
        <f>TEXT(Pqp_supermarket_data[[#This Row],[DateTime]],"ddd")</f>
        <v>Fri</v>
      </c>
      <c r="M869" t="str">
        <f>TEXT(Pqp_supermarket_data[[#This Row],[DateTime]],"mmm")</f>
        <v>Feb</v>
      </c>
      <c r="N869" t="str">
        <f>TEXT(Pqp_supermarket_data[[#This Row],[DateTime]],"yyy")</f>
        <v>2025</v>
      </c>
    </row>
    <row r="870" spans="1:14" x14ac:dyDescent="0.35">
      <c r="A870" t="s">
        <v>1883</v>
      </c>
      <c r="B870" s="1">
        <v>45102.062538182872</v>
      </c>
      <c r="C870" t="s">
        <v>1884</v>
      </c>
      <c r="D870" t="s">
        <v>34</v>
      </c>
      <c r="E870" t="s">
        <v>145</v>
      </c>
      <c r="F870">
        <v>1.7</v>
      </c>
      <c r="G870">
        <v>7</v>
      </c>
      <c r="H870" t="s">
        <v>14</v>
      </c>
      <c r="I870" t="s">
        <v>40</v>
      </c>
      <c r="J870" t="s">
        <v>426</v>
      </c>
      <c r="K870">
        <f>Pqp_supermarket_data[[#This Row],[Unit_Price]]*Pqp_supermarket_data[[#This Row],[Quantity]]</f>
        <v>11.9</v>
      </c>
      <c r="L870" t="str">
        <f>TEXT(Pqp_supermarket_data[[#This Row],[DateTime]],"ddd")</f>
        <v>Sun</v>
      </c>
      <c r="M870" t="str">
        <f>TEXT(Pqp_supermarket_data[[#This Row],[DateTime]],"mmm")</f>
        <v>Jun</v>
      </c>
      <c r="N870" t="str">
        <f>TEXT(Pqp_supermarket_data[[#This Row],[DateTime]],"yyy")</f>
        <v>2023</v>
      </c>
    </row>
    <row r="871" spans="1:14" x14ac:dyDescent="0.35">
      <c r="A871" t="s">
        <v>1885</v>
      </c>
      <c r="B871" s="1">
        <v>45321.572954861113</v>
      </c>
      <c r="C871" t="s">
        <v>1886</v>
      </c>
      <c r="D871" t="s">
        <v>34</v>
      </c>
      <c r="E871" t="s">
        <v>45</v>
      </c>
      <c r="F871">
        <v>1</v>
      </c>
      <c r="G871">
        <v>1</v>
      </c>
      <c r="H871" t="s">
        <v>14</v>
      </c>
      <c r="I871" t="s">
        <v>36</v>
      </c>
      <c r="J871" t="s">
        <v>267</v>
      </c>
      <c r="K871">
        <f>Pqp_supermarket_data[[#This Row],[Unit_Price]]*Pqp_supermarket_data[[#This Row],[Quantity]]</f>
        <v>1</v>
      </c>
      <c r="L871" t="str">
        <f>TEXT(Pqp_supermarket_data[[#This Row],[DateTime]],"ddd")</f>
        <v>Tue</v>
      </c>
      <c r="M871" t="str">
        <f>TEXT(Pqp_supermarket_data[[#This Row],[DateTime]],"mmm")</f>
        <v>Jan</v>
      </c>
      <c r="N871" t="str">
        <f>TEXT(Pqp_supermarket_data[[#This Row],[DateTime]],"yyy")</f>
        <v>2024</v>
      </c>
    </row>
    <row r="872" spans="1:14" x14ac:dyDescent="0.35">
      <c r="A872" t="s">
        <v>1887</v>
      </c>
      <c r="B872" s="1">
        <v>44492.057677083336</v>
      </c>
      <c r="C872" t="s">
        <v>1888</v>
      </c>
      <c r="D872" t="s">
        <v>127</v>
      </c>
      <c r="E872" t="s">
        <v>90</v>
      </c>
      <c r="F872">
        <v>1.8</v>
      </c>
      <c r="G872">
        <v>1</v>
      </c>
      <c r="H872" t="s">
        <v>14</v>
      </c>
      <c r="I872" t="s">
        <v>61</v>
      </c>
      <c r="J872" t="s">
        <v>112</v>
      </c>
      <c r="K872">
        <f>Pqp_supermarket_data[[#This Row],[Unit_Price]]*Pqp_supermarket_data[[#This Row],[Quantity]]</f>
        <v>1.8</v>
      </c>
      <c r="L872" t="str">
        <f>TEXT(Pqp_supermarket_data[[#This Row],[DateTime]],"ddd")</f>
        <v>Sat</v>
      </c>
      <c r="M872" t="str">
        <f>TEXT(Pqp_supermarket_data[[#This Row],[DateTime]],"mmm")</f>
        <v>Oct</v>
      </c>
      <c r="N872" t="str">
        <f>TEXT(Pqp_supermarket_data[[#This Row],[DateTime]],"yyy")</f>
        <v>2021</v>
      </c>
    </row>
    <row r="873" spans="1:14" x14ac:dyDescent="0.35">
      <c r="A873" t="s">
        <v>1889</v>
      </c>
      <c r="B873" s="1">
        <v>44630.379204872683</v>
      </c>
      <c r="C873" t="s">
        <v>1890</v>
      </c>
      <c r="D873" t="s">
        <v>85</v>
      </c>
      <c r="E873" t="s">
        <v>26</v>
      </c>
      <c r="F873">
        <v>2.5</v>
      </c>
      <c r="G873">
        <v>3</v>
      </c>
      <c r="H873" t="s">
        <v>14</v>
      </c>
      <c r="I873" t="s">
        <v>40</v>
      </c>
      <c r="J873" t="s">
        <v>255</v>
      </c>
      <c r="K873">
        <f>Pqp_supermarket_data[[#This Row],[Unit_Price]]*Pqp_supermarket_data[[#This Row],[Quantity]]</f>
        <v>7.5</v>
      </c>
      <c r="L873" t="str">
        <f>TEXT(Pqp_supermarket_data[[#This Row],[DateTime]],"ddd")</f>
        <v>Thu</v>
      </c>
      <c r="M873" t="str">
        <f>TEXT(Pqp_supermarket_data[[#This Row],[DateTime]],"mmm")</f>
        <v>Mar</v>
      </c>
      <c r="N873" t="str">
        <f>TEXT(Pqp_supermarket_data[[#This Row],[DateTime]],"yyy")</f>
        <v>2022</v>
      </c>
    </row>
    <row r="874" spans="1:14" x14ac:dyDescent="0.35">
      <c r="A874" t="s">
        <v>1891</v>
      </c>
      <c r="B874" s="1">
        <v>44981.943093773145</v>
      </c>
      <c r="C874" t="s">
        <v>1892</v>
      </c>
      <c r="D874" t="s">
        <v>171</v>
      </c>
      <c r="E874" t="s">
        <v>119</v>
      </c>
      <c r="F874">
        <v>4</v>
      </c>
      <c r="G874">
        <v>9</v>
      </c>
      <c r="H874" t="s">
        <v>14</v>
      </c>
      <c r="I874" t="s">
        <v>40</v>
      </c>
      <c r="J874" t="s">
        <v>499</v>
      </c>
      <c r="K874">
        <f>Pqp_supermarket_data[[#This Row],[Unit_Price]]*Pqp_supermarket_data[[#This Row],[Quantity]]</f>
        <v>36</v>
      </c>
      <c r="L874" t="str">
        <f>TEXT(Pqp_supermarket_data[[#This Row],[DateTime]],"ddd")</f>
        <v>Fri</v>
      </c>
      <c r="M874" t="str">
        <f>TEXT(Pqp_supermarket_data[[#This Row],[DateTime]],"mmm")</f>
        <v>Feb</v>
      </c>
      <c r="N874" t="str">
        <f>TEXT(Pqp_supermarket_data[[#This Row],[DateTime]],"yyy")</f>
        <v>2023</v>
      </c>
    </row>
    <row r="875" spans="1:14" x14ac:dyDescent="0.35">
      <c r="A875" t="s">
        <v>1893</v>
      </c>
      <c r="B875" s="1">
        <v>44902.150038217595</v>
      </c>
      <c r="C875" t="s">
        <v>1894</v>
      </c>
      <c r="D875" t="s">
        <v>82</v>
      </c>
      <c r="E875" t="s">
        <v>111</v>
      </c>
      <c r="F875">
        <v>2.2000000000000002</v>
      </c>
      <c r="G875">
        <v>3</v>
      </c>
      <c r="H875" t="s">
        <v>14</v>
      </c>
      <c r="I875" t="s">
        <v>61</v>
      </c>
      <c r="J875" t="s">
        <v>369</v>
      </c>
      <c r="K875">
        <f>Pqp_supermarket_data[[#This Row],[Unit_Price]]*Pqp_supermarket_data[[#This Row],[Quantity]]</f>
        <v>6.6000000000000005</v>
      </c>
      <c r="L875" t="str">
        <f>TEXT(Pqp_supermarket_data[[#This Row],[DateTime]],"ddd")</f>
        <v>Wed</v>
      </c>
      <c r="M875" t="str">
        <f>TEXT(Pqp_supermarket_data[[#This Row],[DateTime]],"mmm")</f>
        <v>Dec</v>
      </c>
      <c r="N875" t="str">
        <f>TEXT(Pqp_supermarket_data[[#This Row],[DateTime]],"yyy")</f>
        <v>2022</v>
      </c>
    </row>
    <row r="876" spans="1:14" x14ac:dyDescent="0.35">
      <c r="A876" t="s">
        <v>1895</v>
      </c>
      <c r="B876" s="1">
        <v>44811.777121562503</v>
      </c>
      <c r="C876" t="s">
        <v>1896</v>
      </c>
      <c r="D876" t="s">
        <v>208</v>
      </c>
      <c r="E876" t="s">
        <v>20</v>
      </c>
      <c r="F876">
        <v>1</v>
      </c>
      <c r="G876">
        <v>7</v>
      </c>
      <c r="H876" t="s">
        <v>14</v>
      </c>
      <c r="I876" t="s">
        <v>61</v>
      </c>
      <c r="J876" t="s">
        <v>369</v>
      </c>
      <c r="K876">
        <f>Pqp_supermarket_data[[#This Row],[Unit_Price]]*Pqp_supermarket_data[[#This Row],[Quantity]]</f>
        <v>7</v>
      </c>
      <c r="L876" t="str">
        <f>TEXT(Pqp_supermarket_data[[#This Row],[DateTime]],"ddd")</f>
        <v>Wed</v>
      </c>
      <c r="M876" t="str">
        <f>TEXT(Pqp_supermarket_data[[#This Row],[DateTime]],"mmm")</f>
        <v>Sep</v>
      </c>
      <c r="N876" t="str">
        <f>TEXT(Pqp_supermarket_data[[#This Row],[DateTime]],"yyy")</f>
        <v>2022</v>
      </c>
    </row>
    <row r="877" spans="1:14" x14ac:dyDescent="0.35">
      <c r="A877" t="s">
        <v>1897</v>
      </c>
      <c r="B877" s="1">
        <v>44969.874343796298</v>
      </c>
      <c r="C877" t="s">
        <v>1898</v>
      </c>
      <c r="D877" t="s">
        <v>226</v>
      </c>
      <c r="E877" t="s">
        <v>111</v>
      </c>
      <c r="F877">
        <v>2.2000000000000002</v>
      </c>
      <c r="G877">
        <v>3</v>
      </c>
      <c r="H877" t="s">
        <v>14</v>
      </c>
      <c r="I877" t="s">
        <v>86</v>
      </c>
      <c r="J877" t="s">
        <v>270</v>
      </c>
      <c r="K877">
        <f>Pqp_supermarket_data[[#This Row],[Unit_Price]]*Pqp_supermarket_data[[#This Row],[Quantity]]</f>
        <v>6.6000000000000005</v>
      </c>
      <c r="L877" t="str">
        <f>TEXT(Pqp_supermarket_data[[#This Row],[DateTime]],"ddd")</f>
        <v>Sun</v>
      </c>
      <c r="M877" t="str">
        <f>TEXT(Pqp_supermarket_data[[#This Row],[DateTime]],"mmm")</f>
        <v>Feb</v>
      </c>
      <c r="N877" t="str">
        <f>TEXT(Pqp_supermarket_data[[#This Row],[DateTime]],"yyy")</f>
        <v>2023</v>
      </c>
    </row>
    <row r="878" spans="1:14" x14ac:dyDescent="0.35">
      <c r="A878" t="s">
        <v>1899</v>
      </c>
      <c r="B878" s="1">
        <v>45380.917399351849</v>
      </c>
      <c r="C878" t="s">
        <v>1900</v>
      </c>
      <c r="D878" t="s">
        <v>30</v>
      </c>
      <c r="E878" t="s">
        <v>119</v>
      </c>
      <c r="F878">
        <v>4</v>
      </c>
      <c r="G878">
        <v>4</v>
      </c>
      <c r="H878" t="s">
        <v>14</v>
      </c>
      <c r="I878" t="s">
        <v>21</v>
      </c>
      <c r="J878" t="s">
        <v>262</v>
      </c>
      <c r="K878">
        <f>Pqp_supermarket_data[[#This Row],[Unit_Price]]*Pqp_supermarket_data[[#This Row],[Quantity]]</f>
        <v>16</v>
      </c>
      <c r="L878" t="str">
        <f>TEXT(Pqp_supermarket_data[[#This Row],[DateTime]],"ddd")</f>
        <v>Fri</v>
      </c>
      <c r="M878" t="str">
        <f>TEXT(Pqp_supermarket_data[[#This Row],[DateTime]],"mmm")</f>
        <v>Mar</v>
      </c>
      <c r="N878" t="str">
        <f>TEXT(Pqp_supermarket_data[[#This Row],[DateTime]],"yyy")</f>
        <v>2024</v>
      </c>
    </row>
    <row r="879" spans="1:14" x14ac:dyDescent="0.35">
      <c r="A879" t="s">
        <v>1901</v>
      </c>
      <c r="B879" s="1">
        <v>44713.25767712963</v>
      </c>
      <c r="C879" t="s">
        <v>1902</v>
      </c>
      <c r="D879" t="s">
        <v>77</v>
      </c>
      <c r="E879" t="s">
        <v>13</v>
      </c>
      <c r="F879">
        <v>3.1</v>
      </c>
      <c r="G879">
        <v>7</v>
      </c>
      <c r="H879" t="s">
        <v>14</v>
      </c>
      <c r="I879" t="s">
        <v>61</v>
      </c>
      <c r="J879" t="s">
        <v>382</v>
      </c>
      <c r="K879">
        <f>Pqp_supermarket_data[[#This Row],[Unit_Price]]*Pqp_supermarket_data[[#This Row],[Quantity]]</f>
        <v>21.7</v>
      </c>
      <c r="L879" t="str">
        <f>TEXT(Pqp_supermarket_data[[#This Row],[DateTime]],"ddd")</f>
        <v>Wed</v>
      </c>
      <c r="M879" t="str">
        <f>TEXT(Pqp_supermarket_data[[#This Row],[DateTime]],"mmm")</f>
        <v>Jun</v>
      </c>
      <c r="N879" t="str">
        <f>TEXT(Pqp_supermarket_data[[#This Row],[DateTime]],"yyy")</f>
        <v>2022</v>
      </c>
    </row>
    <row r="880" spans="1:14" x14ac:dyDescent="0.35">
      <c r="A880" t="s">
        <v>1903</v>
      </c>
      <c r="B880" s="1">
        <v>44607.471566030094</v>
      </c>
      <c r="C880" t="s">
        <v>1904</v>
      </c>
      <c r="D880" t="s">
        <v>30</v>
      </c>
      <c r="E880" t="s">
        <v>145</v>
      </c>
      <c r="F880">
        <v>1.7</v>
      </c>
      <c r="G880">
        <v>7</v>
      </c>
      <c r="H880" t="s">
        <v>14</v>
      </c>
      <c r="I880" t="s">
        <v>61</v>
      </c>
      <c r="J880" t="s">
        <v>561</v>
      </c>
      <c r="K880">
        <f>Pqp_supermarket_data[[#This Row],[Unit_Price]]*Pqp_supermarket_data[[#This Row],[Quantity]]</f>
        <v>11.9</v>
      </c>
      <c r="L880" t="str">
        <f>TEXT(Pqp_supermarket_data[[#This Row],[DateTime]],"ddd")</f>
        <v>Tue</v>
      </c>
      <c r="M880" t="str">
        <f>TEXT(Pqp_supermarket_data[[#This Row],[DateTime]],"mmm")</f>
        <v>Feb</v>
      </c>
      <c r="N880" t="str">
        <f>TEXT(Pqp_supermarket_data[[#This Row],[DateTime]],"yyy")</f>
        <v>2022</v>
      </c>
    </row>
    <row r="881" spans="1:14" x14ac:dyDescent="0.35">
      <c r="A881" t="s">
        <v>1905</v>
      </c>
      <c r="B881" s="1">
        <v>45396.12781604167</v>
      </c>
      <c r="C881" t="s">
        <v>1906</v>
      </c>
      <c r="D881" t="s">
        <v>171</v>
      </c>
      <c r="E881" t="s">
        <v>35</v>
      </c>
      <c r="F881">
        <v>1.2</v>
      </c>
      <c r="G881">
        <v>5</v>
      </c>
      <c r="H881" t="s">
        <v>14</v>
      </c>
      <c r="I881" t="s">
        <v>15</v>
      </c>
      <c r="J881" t="s">
        <v>561</v>
      </c>
      <c r="K881">
        <f>Pqp_supermarket_data[[#This Row],[Unit_Price]]*Pqp_supermarket_data[[#This Row],[Quantity]]</f>
        <v>6</v>
      </c>
      <c r="L881" t="str">
        <f>TEXT(Pqp_supermarket_data[[#This Row],[DateTime]],"ddd")</f>
        <v>Sun</v>
      </c>
      <c r="M881" t="str">
        <f>TEXT(Pqp_supermarket_data[[#This Row],[DateTime]],"mmm")</f>
        <v>Apr</v>
      </c>
      <c r="N881" t="str">
        <f>TEXT(Pqp_supermarket_data[[#This Row],[DateTime]],"yyy")</f>
        <v>2024</v>
      </c>
    </row>
    <row r="882" spans="1:14" x14ac:dyDescent="0.35">
      <c r="A882" t="s">
        <v>1907</v>
      </c>
      <c r="B882" s="1">
        <v>44523.949343831016</v>
      </c>
      <c r="C882" t="s">
        <v>1908</v>
      </c>
      <c r="D882" t="s">
        <v>69</v>
      </c>
      <c r="E882" t="s">
        <v>70</v>
      </c>
      <c r="F882">
        <v>5</v>
      </c>
      <c r="G882">
        <v>1</v>
      </c>
      <c r="H882" t="s">
        <v>14</v>
      </c>
      <c r="I882" t="s">
        <v>15</v>
      </c>
      <c r="J882" t="s">
        <v>485</v>
      </c>
      <c r="K882">
        <f>Pqp_supermarket_data[[#This Row],[Unit_Price]]*Pqp_supermarket_data[[#This Row],[Quantity]]</f>
        <v>5</v>
      </c>
      <c r="L882" t="str">
        <f>TEXT(Pqp_supermarket_data[[#This Row],[DateTime]],"ddd")</f>
        <v>Tue</v>
      </c>
      <c r="M882" t="str">
        <f>TEXT(Pqp_supermarket_data[[#This Row],[DateTime]],"mmm")</f>
        <v>Nov</v>
      </c>
      <c r="N882" t="str">
        <f>TEXT(Pqp_supermarket_data[[#This Row],[DateTime]],"yyy")</f>
        <v>2021</v>
      </c>
    </row>
    <row r="883" spans="1:14" x14ac:dyDescent="0.35">
      <c r="A883" t="s">
        <v>1909</v>
      </c>
      <c r="B883" s="1">
        <v>44383.095177164352</v>
      </c>
      <c r="C883" t="s">
        <v>1910</v>
      </c>
      <c r="D883" t="s">
        <v>226</v>
      </c>
      <c r="E883" t="s">
        <v>65</v>
      </c>
      <c r="F883">
        <v>3</v>
      </c>
      <c r="G883">
        <v>2</v>
      </c>
      <c r="H883" t="s">
        <v>14</v>
      </c>
      <c r="I883" t="s">
        <v>36</v>
      </c>
      <c r="J883" t="s">
        <v>166</v>
      </c>
      <c r="K883">
        <f>Pqp_supermarket_data[[#This Row],[Unit_Price]]*Pqp_supermarket_data[[#This Row],[Quantity]]</f>
        <v>6</v>
      </c>
      <c r="L883" t="str">
        <f>TEXT(Pqp_supermarket_data[[#This Row],[DateTime]],"ddd")</f>
        <v>Tue</v>
      </c>
      <c r="M883" t="str">
        <f>TEXT(Pqp_supermarket_data[[#This Row],[DateTime]],"mmm")</f>
        <v>Jul</v>
      </c>
      <c r="N883" t="str">
        <f>TEXT(Pqp_supermarket_data[[#This Row],[DateTime]],"yyy")</f>
        <v>2021</v>
      </c>
    </row>
    <row r="884" spans="1:14" x14ac:dyDescent="0.35">
      <c r="A884" t="s">
        <v>1911</v>
      </c>
      <c r="B884" s="1">
        <v>45288.727121620374</v>
      </c>
      <c r="C884" t="s">
        <v>1912</v>
      </c>
      <c r="D884" t="s">
        <v>69</v>
      </c>
      <c r="E884" t="s">
        <v>57</v>
      </c>
      <c r="F884">
        <v>4.5</v>
      </c>
      <c r="G884">
        <v>1</v>
      </c>
      <c r="H884" t="s">
        <v>14</v>
      </c>
      <c r="I884" t="s">
        <v>61</v>
      </c>
      <c r="J884" t="s">
        <v>320</v>
      </c>
      <c r="K884">
        <f>Pqp_supermarket_data[[#This Row],[Unit_Price]]*Pqp_supermarket_data[[#This Row],[Quantity]]</f>
        <v>4.5</v>
      </c>
      <c r="L884" t="str">
        <f>TEXT(Pqp_supermarket_data[[#This Row],[DateTime]],"ddd")</f>
        <v>Thu</v>
      </c>
      <c r="M884" t="str">
        <f>TEXT(Pqp_supermarket_data[[#This Row],[DateTime]],"mmm")</f>
        <v>Dec</v>
      </c>
      <c r="N884" t="str">
        <f>TEXT(Pqp_supermarket_data[[#This Row],[DateTime]],"yyy")</f>
        <v>2023</v>
      </c>
    </row>
    <row r="885" spans="1:14" x14ac:dyDescent="0.35">
      <c r="A885" t="s">
        <v>1913</v>
      </c>
      <c r="B885" s="1">
        <v>45559.165316064813</v>
      </c>
      <c r="C885" t="s">
        <v>1914</v>
      </c>
      <c r="D885" t="s">
        <v>98</v>
      </c>
      <c r="E885" t="s">
        <v>35</v>
      </c>
      <c r="F885">
        <v>1.2</v>
      </c>
      <c r="G885">
        <v>6</v>
      </c>
      <c r="H885" t="s">
        <v>14</v>
      </c>
      <c r="I885" t="s">
        <v>15</v>
      </c>
      <c r="J885" t="s">
        <v>202</v>
      </c>
      <c r="K885">
        <f>Pqp_supermarket_data[[#This Row],[Unit_Price]]*Pqp_supermarket_data[[#This Row],[Quantity]]</f>
        <v>7.1999999999999993</v>
      </c>
      <c r="L885" t="str">
        <f>TEXT(Pqp_supermarket_data[[#This Row],[DateTime]],"ddd")</f>
        <v>Tue</v>
      </c>
      <c r="M885" t="str">
        <f>TEXT(Pqp_supermarket_data[[#This Row],[DateTime]],"mmm")</f>
        <v>Sep</v>
      </c>
      <c r="N885" t="str">
        <f>TEXT(Pqp_supermarket_data[[#This Row],[DateTime]],"yyy")</f>
        <v>2024</v>
      </c>
    </row>
    <row r="886" spans="1:14" x14ac:dyDescent="0.35">
      <c r="A886" t="s">
        <v>1915</v>
      </c>
      <c r="B886" s="1">
        <v>44685.300732743053</v>
      </c>
      <c r="C886" t="s">
        <v>1916</v>
      </c>
      <c r="D886" t="s">
        <v>85</v>
      </c>
      <c r="E886" t="s">
        <v>90</v>
      </c>
      <c r="F886">
        <v>1.8</v>
      </c>
      <c r="G886">
        <v>5</v>
      </c>
      <c r="H886" t="s">
        <v>14</v>
      </c>
      <c r="I886" t="s">
        <v>21</v>
      </c>
      <c r="J886" t="s">
        <v>470</v>
      </c>
      <c r="K886">
        <f>Pqp_supermarket_data[[#This Row],[Unit_Price]]*Pqp_supermarket_data[[#This Row],[Quantity]]</f>
        <v>9</v>
      </c>
      <c r="L886" t="str">
        <f>TEXT(Pqp_supermarket_data[[#This Row],[DateTime]],"ddd")</f>
        <v>Wed</v>
      </c>
      <c r="M886" t="str">
        <f>TEXT(Pqp_supermarket_data[[#This Row],[DateTime]],"mmm")</f>
        <v>May</v>
      </c>
      <c r="N886" t="str">
        <f>TEXT(Pqp_supermarket_data[[#This Row],[DateTime]],"yyy")</f>
        <v>2022</v>
      </c>
    </row>
    <row r="887" spans="1:14" x14ac:dyDescent="0.35">
      <c r="A887" t="s">
        <v>1917</v>
      </c>
      <c r="B887" s="1">
        <v>44510.595177187497</v>
      </c>
      <c r="C887" t="s">
        <v>1918</v>
      </c>
      <c r="D887" t="s">
        <v>12</v>
      </c>
      <c r="E887" t="s">
        <v>35</v>
      </c>
      <c r="F887">
        <v>1.2</v>
      </c>
      <c r="G887">
        <v>7</v>
      </c>
      <c r="H887" t="s">
        <v>14</v>
      </c>
      <c r="I887" t="s">
        <v>21</v>
      </c>
      <c r="J887" t="s">
        <v>227</v>
      </c>
      <c r="K887">
        <f>Pqp_supermarket_data[[#This Row],[Unit_Price]]*Pqp_supermarket_data[[#This Row],[Quantity]]</f>
        <v>8.4</v>
      </c>
      <c r="L887" t="str">
        <f>TEXT(Pqp_supermarket_data[[#This Row],[DateTime]],"ddd")</f>
        <v>Wed</v>
      </c>
      <c r="M887" t="str">
        <f>TEXT(Pqp_supermarket_data[[#This Row],[DateTime]],"mmm")</f>
        <v>Nov</v>
      </c>
      <c r="N887" t="str">
        <f>TEXT(Pqp_supermarket_data[[#This Row],[DateTime]],"yyy")</f>
        <v>2021</v>
      </c>
    </row>
    <row r="888" spans="1:14" x14ac:dyDescent="0.35">
      <c r="A888" t="s">
        <v>1919</v>
      </c>
      <c r="B888" s="1">
        <v>44708.506982743056</v>
      </c>
      <c r="C888" t="s">
        <v>1920</v>
      </c>
      <c r="D888" t="s">
        <v>69</v>
      </c>
      <c r="E888" t="s">
        <v>137</v>
      </c>
      <c r="F888">
        <v>2.5</v>
      </c>
      <c r="G888">
        <v>5</v>
      </c>
      <c r="H888" t="s">
        <v>14</v>
      </c>
      <c r="I888" t="s">
        <v>15</v>
      </c>
      <c r="J888" t="s">
        <v>160</v>
      </c>
      <c r="K888">
        <f>Pqp_supermarket_data[[#This Row],[Unit_Price]]*Pqp_supermarket_data[[#This Row],[Quantity]]</f>
        <v>12.5</v>
      </c>
      <c r="L888" t="str">
        <f>TEXT(Pqp_supermarket_data[[#This Row],[DateTime]],"ddd")</f>
        <v>Fri</v>
      </c>
      <c r="M888" t="str">
        <f>TEXT(Pqp_supermarket_data[[#This Row],[DateTime]],"mmm")</f>
        <v>May</v>
      </c>
      <c r="N888" t="str">
        <f>TEXT(Pqp_supermarket_data[[#This Row],[DateTime]],"yyy")</f>
        <v>2022</v>
      </c>
    </row>
    <row r="889" spans="1:14" x14ac:dyDescent="0.35">
      <c r="A889" t="s">
        <v>1921</v>
      </c>
      <c r="B889" s="1">
        <v>44521.224343877315</v>
      </c>
      <c r="C889" t="s">
        <v>1922</v>
      </c>
      <c r="D889" t="s">
        <v>98</v>
      </c>
      <c r="E889" t="s">
        <v>35</v>
      </c>
      <c r="F889">
        <v>1.2</v>
      </c>
      <c r="G889">
        <v>2</v>
      </c>
      <c r="H889" t="s">
        <v>14</v>
      </c>
      <c r="I889" t="s">
        <v>86</v>
      </c>
      <c r="J889" t="s">
        <v>227</v>
      </c>
      <c r="K889">
        <f>Pqp_supermarket_data[[#This Row],[Unit_Price]]*Pqp_supermarket_data[[#This Row],[Quantity]]</f>
        <v>2.4</v>
      </c>
      <c r="L889" t="str">
        <f>TEXT(Pqp_supermarket_data[[#This Row],[DateTime]],"ddd")</f>
        <v>Sun</v>
      </c>
      <c r="M889" t="str">
        <f>TEXT(Pqp_supermarket_data[[#This Row],[DateTime]],"mmm")</f>
        <v>Nov</v>
      </c>
      <c r="N889" t="str">
        <f>TEXT(Pqp_supermarket_data[[#This Row],[DateTime]],"yyy")</f>
        <v>2021</v>
      </c>
    </row>
    <row r="890" spans="1:14" x14ac:dyDescent="0.35">
      <c r="A890" t="s">
        <v>1923</v>
      </c>
      <c r="B890" s="1">
        <v>45230.647260543985</v>
      </c>
      <c r="C890" t="s">
        <v>1924</v>
      </c>
      <c r="D890" t="s">
        <v>19</v>
      </c>
      <c r="E890" t="s">
        <v>53</v>
      </c>
      <c r="F890">
        <v>2.8</v>
      </c>
      <c r="G890">
        <v>2</v>
      </c>
      <c r="H890" t="s">
        <v>14</v>
      </c>
      <c r="I890" t="s">
        <v>40</v>
      </c>
      <c r="J890" t="s">
        <v>50</v>
      </c>
      <c r="K890">
        <f>Pqp_supermarket_data[[#This Row],[Unit_Price]]*Pqp_supermarket_data[[#This Row],[Quantity]]</f>
        <v>5.6</v>
      </c>
      <c r="L890" t="str">
        <f>TEXT(Pqp_supermarket_data[[#This Row],[DateTime]],"ddd")</f>
        <v>Tue</v>
      </c>
      <c r="M890" t="str">
        <f>TEXT(Pqp_supermarket_data[[#This Row],[DateTime]],"mmm")</f>
        <v>Oct</v>
      </c>
      <c r="N890" t="str">
        <f>TEXT(Pqp_supermarket_data[[#This Row],[DateTime]],"yyy")</f>
        <v>2023</v>
      </c>
    </row>
    <row r="891" spans="1:14" x14ac:dyDescent="0.35">
      <c r="A891" t="s">
        <v>1925</v>
      </c>
      <c r="B891" s="1">
        <v>44457.050038321759</v>
      </c>
      <c r="C891" t="s">
        <v>1926</v>
      </c>
      <c r="D891" t="s">
        <v>82</v>
      </c>
      <c r="E891" t="s">
        <v>90</v>
      </c>
      <c r="F891">
        <v>1.8</v>
      </c>
      <c r="G891">
        <v>2</v>
      </c>
      <c r="H891" t="s">
        <v>14</v>
      </c>
      <c r="I891" t="s">
        <v>61</v>
      </c>
      <c r="J891" t="s">
        <v>723</v>
      </c>
      <c r="K891">
        <f>Pqp_supermarket_data[[#This Row],[Unit_Price]]*Pqp_supermarket_data[[#This Row],[Quantity]]</f>
        <v>3.6</v>
      </c>
      <c r="L891" t="str">
        <f>TEXT(Pqp_supermarket_data[[#This Row],[DateTime]],"ddd")</f>
        <v>Sat</v>
      </c>
      <c r="M891" t="str">
        <f>TEXT(Pqp_supermarket_data[[#This Row],[DateTime]],"mmm")</f>
        <v>Sep</v>
      </c>
      <c r="N891" t="str">
        <f>TEXT(Pqp_supermarket_data[[#This Row],[DateTime]],"yyy")</f>
        <v>2021</v>
      </c>
    </row>
    <row r="892" spans="1:14" x14ac:dyDescent="0.35">
      <c r="A892" t="s">
        <v>1927</v>
      </c>
      <c r="B892" s="1">
        <v>44563.847954988429</v>
      </c>
      <c r="C892" t="s">
        <v>1928</v>
      </c>
      <c r="D892" t="s">
        <v>69</v>
      </c>
      <c r="E892" t="s">
        <v>78</v>
      </c>
      <c r="F892">
        <v>4</v>
      </c>
      <c r="G892">
        <v>9</v>
      </c>
      <c r="H892" t="s">
        <v>14</v>
      </c>
      <c r="I892" t="s">
        <v>86</v>
      </c>
      <c r="J892" t="s">
        <v>270</v>
      </c>
      <c r="K892">
        <f>Pqp_supermarket_data[[#This Row],[Unit_Price]]*Pqp_supermarket_data[[#This Row],[Quantity]]</f>
        <v>36</v>
      </c>
      <c r="L892" t="str">
        <f>TEXT(Pqp_supermarket_data[[#This Row],[DateTime]],"ddd")</f>
        <v>Sun</v>
      </c>
      <c r="M892" t="str">
        <f>TEXT(Pqp_supermarket_data[[#This Row],[DateTime]],"mmm")</f>
        <v>Jan</v>
      </c>
      <c r="N892" t="str">
        <f>TEXT(Pqp_supermarket_data[[#This Row],[DateTime]],"yyy")</f>
        <v>2022</v>
      </c>
    </row>
    <row r="893" spans="1:14" x14ac:dyDescent="0.35">
      <c r="A893" t="s">
        <v>1929</v>
      </c>
      <c r="B893" s="1">
        <v>44327.55837165509</v>
      </c>
      <c r="C893" t="s">
        <v>1930</v>
      </c>
      <c r="D893" t="s">
        <v>25</v>
      </c>
      <c r="E893" t="s">
        <v>90</v>
      </c>
      <c r="F893">
        <v>1.8</v>
      </c>
      <c r="G893">
        <v>5</v>
      </c>
      <c r="H893" t="s">
        <v>14</v>
      </c>
      <c r="I893" t="s">
        <v>61</v>
      </c>
      <c r="J893" t="s">
        <v>723</v>
      </c>
      <c r="K893">
        <f>Pqp_supermarket_data[[#This Row],[Unit_Price]]*Pqp_supermarket_data[[#This Row],[Quantity]]</f>
        <v>9</v>
      </c>
      <c r="L893" t="str">
        <f>TEXT(Pqp_supermarket_data[[#This Row],[DateTime]],"ddd")</f>
        <v>Tue</v>
      </c>
      <c r="M893" t="str">
        <f>TEXT(Pqp_supermarket_data[[#This Row],[DateTime]],"mmm")</f>
        <v>May</v>
      </c>
      <c r="N893" t="str">
        <f>TEXT(Pqp_supermarket_data[[#This Row],[DateTime]],"yyy")</f>
        <v>2021</v>
      </c>
    </row>
    <row r="894" spans="1:14" x14ac:dyDescent="0.35">
      <c r="A894" t="s">
        <v>1931</v>
      </c>
      <c r="B894" s="1">
        <v>44980.594482766202</v>
      </c>
      <c r="C894" t="s">
        <v>1932</v>
      </c>
      <c r="D894" t="s">
        <v>208</v>
      </c>
      <c r="E894" t="s">
        <v>53</v>
      </c>
      <c r="F894">
        <v>2.8</v>
      </c>
      <c r="G894">
        <v>6</v>
      </c>
      <c r="H894" t="s">
        <v>14</v>
      </c>
      <c r="I894" t="s">
        <v>61</v>
      </c>
      <c r="J894" t="s">
        <v>134</v>
      </c>
      <c r="K894">
        <f>Pqp_supermarket_data[[#This Row],[Unit_Price]]*Pqp_supermarket_data[[#This Row],[Quantity]]</f>
        <v>16.799999999999997</v>
      </c>
      <c r="L894" t="str">
        <f>TEXT(Pqp_supermarket_data[[#This Row],[DateTime]],"ddd")</f>
        <v>Thu</v>
      </c>
      <c r="M894" t="str">
        <f>TEXT(Pqp_supermarket_data[[#This Row],[DateTime]],"mmm")</f>
        <v>Feb</v>
      </c>
      <c r="N894" t="str">
        <f>TEXT(Pqp_supermarket_data[[#This Row],[DateTime]],"yyy")</f>
        <v>2023</v>
      </c>
    </row>
    <row r="895" spans="1:14" x14ac:dyDescent="0.35">
      <c r="A895" t="s">
        <v>1933</v>
      </c>
      <c r="B895" s="1">
        <v>45167.24587165509</v>
      </c>
      <c r="C895" t="s">
        <v>1934</v>
      </c>
      <c r="D895" t="s">
        <v>127</v>
      </c>
      <c r="E895" t="s">
        <v>137</v>
      </c>
      <c r="F895">
        <v>2.5</v>
      </c>
      <c r="G895">
        <v>5</v>
      </c>
      <c r="H895" t="s">
        <v>14</v>
      </c>
      <c r="I895" t="s">
        <v>86</v>
      </c>
      <c r="J895" t="s">
        <v>27</v>
      </c>
      <c r="K895">
        <f>Pqp_supermarket_data[[#This Row],[Unit_Price]]*Pqp_supermarket_data[[#This Row],[Quantity]]</f>
        <v>12.5</v>
      </c>
      <c r="L895" t="str">
        <f>TEXT(Pqp_supermarket_data[[#This Row],[DateTime]],"ddd")</f>
        <v>Tue</v>
      </c>
      <c r="M895" t="str">
        <f>TEXT(Pqp_supermarket_data[[#This Row],[DateTime]],"mmm")</f>
        <v>Aug</v>
      </c>
      <c r="N895" t="str">
        <f>TEXT(Pqp_supermarket_data[[#This Row],[DateTime]],"yyy")</f>
        <v>2023</v>
      </c>
    </row>
    <row r="896" spans="1:14" x14ac:dyDescent="0.35">
      <c r="A896" t="s">
        <v>1935</v>
      </c>
      <c r="B896" s="1">
        <v>44650.216704999999</v>
      </c>
      <c r="C896" t="s">
        <v>1936</v>
      </c>
      <c r="D896" t="s">
        <v>69</v>
      </c>
      <c r="E896" t="s">
        <v>39</v>
      </c>
      <c r="F896">
        <v>3.2</v>
      </c>
      <c r="G896">
        <v>7</v>
      </c>
      <c r="H896" t="s">
        <v>14</v>
      </c>
      <c r="I896" t="s">
        <v>36</v>
      </c>
      <c r="J896" t="s">
        <v>16</v>
      </c>
      <c r="K896">
        <f>Pqp_supermarket_data[[#This Row],[Unit_Price]]*Pqp_supermarket_data[[#This Row],[Quantity]]</f>
        <v>22.400000000000002</v>
      </c>
      <c r="L896" t="str">
        <f>TEXT(Pqp_supermarket_data[[#This Row],[DateTime]],"ddd")</f>
        <v>Wed</v>
      </c>
      <c r="M896" t="str">
        <f>TEXT(Pqp_supermarket_data[[#This Row],[DateTime]],"mmm")</f>
        <v>Mar</v>
      </c>
      <c r="N896" t="str">
        <f>TEXT(Pqp_supermarket_data[[#This Row],[DateTime]],"yyy")</f>
        <v>2022</v>
      </c>
    </row>
    <row r="897" spans="1:14" x14ac:dyDescent="0.35">
      <c r="A897" t="s">
        <v>1937</v>
      </c>
      <c r="B897" s="1">
        <v>45606.584760555554</v>
      </c>
      <c r="C897" t="s">
        <v>1938</v>
      </c>
      <c r="D897" t="s">
        <v>85</v>
      </c>
      <c r="E897" t="s">
        <v>45</v>
      </c>
      <c r="F897">
        <v>1</v>
      </c>
      <c r="G897">
        <v>4</v>
      </c>
      <c r="H897" t="s">
        <v>14</v>
      </c>
      <c r="I897" t="s">
        <v>86</v>
      </c>
      <c r="J897" t="s">
        <v>461</v>
      </c>
      <c r="K897">
        <f>Pqp_supermarket_data[[#This Row],[Unit_Price]]*Pqp_supermarket_data[[#This Row],[Quantity]]</f>
        <v>4</v>
      </c>
      <c r="L897" t="str">
        <f>TEXT(Pqp_supermarket_data[[#This Row],[DateTime]],"ddd")</f>
        <v>Sun</v>
      </c>
      <c r="M897" t="str">
        <f>TEXT(Pqp_supermarket_data[[#This Row],[DateTime]],"mmm")</f>
        <v>Nov</v>
      </c>
      <c r="N897" t="str">
        <f>TEXT(Pqp_supermarket_data[[#This Row],[DateTime]],"yyy")</f>
        <v>2024</v>
      </c>
    </row>
    <row r="898" spans="1:14" x14ac:dyDescent="0.35">
      <c r="A898" t="s">
        <v>1939</v>
      </c>
      <c r="B898" s="1">
        <v>44613.374343888892</v>
      </c>
      <c r="C898" t="s">
        <v>1940</v>
      </c>
      <c r="D898" t="s">
        <v>127</v>
      </c>
      <c r="E898" t="s">
        <v>45</v>
      </c>
      <c r="F898">
        <v>1</v>
      </c>
      <c r="G898">
        <v>6</v>
      </c>
      <c r="H898" t="s">
        <v>14</v>
      </c>
      <c r="I898" t="s">
        <v>86</v>
      </c>
      <c r="J898" t="s">
        <v>112</v>
      </c>
      <c r="K898">
        <f>Pqp_supermarket_data[[#This Row],[Unit_Price]]*Pqp_supermarket_data[[#This Row],[Quantity]]</f>
        <v>6</v>
      </c>
      <c r="L898" t="str">
        <f>TEXT(Pqp_supermarket_data[[#This Row],[DateTime]],"ddd")</f>
        <v>Mon</v>
      </c>
      <c r="M898" t="str">
        <f>TEXT(Pqp_supermarket_data[[#This Row],[DateTime]],"mmm")</f>
        <v>Feb</v>
      </c>
      <c r="N898" t="str">
        <f>TEXT(Pqp_supermarket_data[[#This Row],[DateTime]],"yyy")</f>
        <v>2022</v>
      </c>
    </row>
    <row r="899" spans="1:14" x14ac:dyDescent="0.35">
      <c r="A899" t="s">
        <v>1941</v>
      </c>
      <c r="B899" s="1">
        <v>45517.281288333332</v>
      </c>
      <c r="C899" t="s">
        <v>1942</v>
      </c>
      <c r="D899" t="s">
        <v>69</v>
      </c>
      <c r="E899" t="s">
        <v>119</v>
      </c>
      <c r="F899">
        <v>4</v>
      </c>
      <c r="G899">
        <v>9</v>
      </c>
      <c r="H899" t="s">
        <v>14</v>
      </c>
      <c r="I899" t="s">
        <v>36</v>
      </c>
      <c r="J899" t="s">
        <v>485</v>
      </c>
      <c r="K899">
        <f>Pqp_supermarket_data[[#This Row],[Unit_Price]]*Pqp_supermarket_data[[#This Row],[Quantity]]</f>
        <v>36</v>
      </c>
      <c r="L899" t="str">
        <f>TEXT(Pqp_supermarket_data[[#This Row],[DateTime]],"ddd")</f>
        <v>Tue</v>
      </c>
      <c r="M899" t="str">
        <f>TEXT(Pqp_supermarket_data[[#This Row],[DateTime]],"mmm")</f>
        <v>Aug</v>
      </c>
      <c r="N899" t="str">
        <f>TEXT(Pqp_supermarket_data[[#This Row],[DateTime]],"yyy")</f>
        <v>2024</v>
      </c>
    </row>
    <row r="900" spans="1:14" x14ac:dyDescent="0.35">
      <c r="A900" t="s">
        <v>1943</v>
      </c>
      <c r="B900" s="1">
        <v>45504.154205011575</v>
      </c>
      <c r="C900" t="s">
        <v>1944</v>
      </c>
      <c r="D900" t="s">
        <v>12</v>
      </c>
      <c r="E900" t="s">
        <v>90</v>
      </c>
      <c r="F900">
        <v>1.8</v>
      </c>
      <c r="G900">
        <v>3</v>
      </c>
      <c r="H900" t="s">
        <v>14</v>
      </c>
      <c r="I900" t="s">
        <v>86</v>
      </c>
      <c r="J900" t="s">
        <v>426</v>
      </c>
      <c r="K900">
        <f>Pqp_supermarket_data[[#This Row],[Unit_Price]]*Pqp_supermarket_data[[#This Row],[Quantity]]</f>
        <v>5.4</v>
      </c>
      <c r="L900" t="str">
        <f>TEXT(Pqp_supermarket_data[[#This Row],[DateTime]],"ddd")</f>
        <v>Wed</v>
      </c>
      <c r="M900" t="str">
        <f>TEXT(Pqp_supermarket_data[[#This Row],[DateTime]],"mmm")</f>
        <v>Jul</v>
      </c>
      <c r="N900" t="str">
        <f>TEXT(Pqp_supermarket_data[[#This Row],[DateTime]],"yyy")</f>
        <v>2024</v>
      </c>
    </row>
    <row r="901" spans="1:14" x14ac:dyDescent="0.35">
      <c r="A901" t="s">
        <v>1945</v>
      </c>
      <c r="B901" s="1">
        <v>45488.685455023151</v>
      </c>
      <c r="C901" t="s">
        <v>1946</v>
      </c>
      <c r="D901" t="s">
        <v>171</v>
      </c>
      <c r="E901" t="s">
        <v>94</v>
      </c>
      <c r="F901">
        <v>0.8</v>
      </c>
      <c r="G901">
        <v>6</v>
      </c>
      <c r="H901" t="s">
        <v>14</v>
      </c>
      <c r="I901" t="s">
        <v>40</v>
      </c>
      <c r="J901" t="s">
        <v>270</v>
      </c>
      <c r="K901">
        <f>Pqp_supermarket_data[[#This Row],[Unit_Price]]*Pqp_supermarket_data[[#This Row],[Quantity]]</f>
        <v>4.8000000000000007</v>
      </c>
      <c r="L901" t="str">
        <f>TEXT(Pqp_supermarket_data[[#This Row],[DateTime]],"ddd")</f>
        <v>Mon</v>
      </c>
      <c r="M901" t="str">
        <f>TEXT(Pqp_supermarket_data[[#This Row],[DateTime]],"mmm")</f>
        <v>Jul</v>
      </c>
      <c r="N901" t="str">
        <f>TEXT(Pqp_supermarket_data[[#This Row],[DateTime]],"yyy")</f>
        <v>2024</v>
      </c>
    </row>
    <row r="902" spans="1:14" x14ac:dyDescent="0.35">
      <c r="A902" t="s">
        <v>1947</v>
      </c>
      <c r="B902" s="1">
        <v>44694.596566145832</v>
      </c>
      <c r="C902" t="s">
        <v>1948</v>
      </c>
      <c r="D902" t="s">
        <v>69</v>
      </c>
      <c r="E902" t="s">
        <v>39</v>
      </c>
      <c r="F902">
        <v>3.2</v>
      </c>
      <c r="G902">
        <v>3</v>
      </c>
      <c r="H902" t="s">
        <v>14</v>
      </c>
      <c r="I902" t="s">
        <v>36</v>
      </c>
      <c r="J902" t="s">
        <v>27</v>
      </c>
      <c r="K902">
        <f>Pqp_supermarket_data[[#This Row],[Unit_Price]]*Pqp_supermarket_data[[#This Row],[Quantity]]</f>
        <v>9.6000000000000014</v>
      </c>
      <c r="L902" t="str">
        <f>TEXT(Pqp_supermarket_data[[#This Row],[DateTime]],"ddd")</f>
        <v>Fri</v>
      </c>
      <c r="M902" t="str">
        <f>TEXT(Pqp_supermarket_data[[#This Row],[DateTime]],"mmm")</f>
        <v>May</v>
      </c>
      <c r="N902" t="str">
        <f>TEXT(Pqp_supermarket_data[[#This Row],[DateTime]],"yyy")</f>
        <v>2022</v>
      </c>
    </row>
    <row r="903" spans="1:14" x14ac:dyDescent="0.35">
      <c r="A903" t="s">
        <v>1949</v>
      </c>
      <c r="B903" s="1">
        <v>45134.000038368053</v>
      </c>
      <c r="C903" t="s">
        <v>1950</v>
      </c>
      <c r="D903" t="s">
        <v>127</v>
      </c>
      <c r="E903" t="s">
        <v>70</v>
      </c>
      <c r="F903">
        <v>5</v>
      </c>
      <c r="G903">
        <v>5</v>
      </c>
      <c r="H903" t="s">
        <v>14</v>
      </c>
      <c r="I903" t="s">
        <v>15</v>
      </c>
      <c r="J903" t="s">
        <v>267</v>
      </c>
      <c r="K903">
        <f>Pqp_supermarket_data[[#This Row],[Unit_Price]]*Pqp_supermarket_data[[#This Row],[Quantity]]</f>
        <v>25</v>
      </c>
      <c r="L903" t="str">
        <f>TEXT(Pqp_supermarket_data[[#This Row],[DateTime]],"ddd")</f>
        <v>Thu</v>
      </c>
      <c r="M903" t="str">
        <f>TEXT(Pqp_supermarket_data[[#This Row],[DateTime]],"mmm")</f>
        <v>Jul</v>
      </c>
      <c r="N903" t="str">
        <f>TEXT(Pqp_supermarket_data[[#This Row],[DateTime]],"yyy")</f>
        <v>2023</v>
      </c>
    </row>
    <row r="904" spans="1:14" x14ac:dyDescent="0.35">
      <c r="A904" t="s">
        <v>1951</v>
      </c>
      <c r="B904" s="1">
        <v>45402.429205046297</v>
      </c>
      <c r="C904" t="s">
        <v>1952</v>
      </c>
      <c r="D904" t="s">
        <v>69</v>
      </c>
      <c r="E904" t="s">
        <v>35</v>
      </c>
      <c r="F904">
        <v>1.2</v>
      </c>
      <c r="G904">
        <v>10</v>
      </c>
      <c r="H904" t="s">
        <v>14</v>
      </c>
      <c r="I904" t="s">
        <v>21</v>
      </c>
      <c r="J904" t="s">
        <v>195</v>
      </c>
      <c r="K904">
        <f>Pqp_supermarket_data[[#This Row],[Unit_Price]]*Pqp_supermarket_data[[#This Row],[Quantity]]</f>
        <v>12</v>
      </c>
      <c r="L904" t="str">
        <f>TEXT(Pqp_supermarket_data[[#This Row],[DateTime]],"ddd")</f>
        <v>Sat</v>
      </c>
      <c r="M904" t="str">
        <f>TEXT(Pqp_supermarket_data[[#This Row],[DateTime]],"mmm")</f>
        <v>Apr</v>
      </c>
      <c r="N904" t="str">
        <f>TEXT(Pqp_supermarket_data[[#This Row],[DateTime]],"yyy")</f>
        <v>2024</v>
      </c>
    </row>
    <row r="905" spans="1:14" x14ac:dyDescent="0.35">
      <c r="A905" t="s">
        <v>1953</v>
      </c>
      <c r="B905" s="1">
        <v>44545.782677280091</v>
      </c>
      <c r="C905" t="s">
        <v>1954</v>
      </c>
      <c r="D905" t="s">
        <v>25</v>
      </c>
      <c r="E905" t="s">
        <v>45</v>
      </c>
      <c r="F905">
        <v>1</v>
      </c>
      <c r="G905">
        <v>4</v>
      </c>
      <c r="H905" t="s">
        <v>14</v>
      </c>
      <c r="I905" t="s">
        <v>15</v>
      </c>
      <c r="J905" t="s">
        <v>382</v>
      </c>
      <c r="K905">
        <f>Pqp_supermarket_data[[#This Row],[Unit_Price]]*Pqp_supermarket_data[[#This Row],[Quantity]]</f>
        <v>4</v>
      </c>
      <c r="L905" t="str">
        <f>TEXT(Pqp_supermarket_data[[#This Row],[DateTime]],"ddd")</f>
        <v>Wed</v>
      </c>
      <c r="M905" t="str">
        <f>TEXT(Pqp_supermarket_data[[#This Row],[DateTime]],"mmm")</f>
        <v>Dec</v>
      </c>
      <c r="N905" t="str">
        <f>TEXT(Pqp_supermarket_data[[#This Row],[DateTime]],"yyy")</f>
        <v>2021</v>
      </c>
    </row>
    <row r="906" spans="1:14" x14ac:dyDescent="0.35">
      <c r="A906" t="s">
        <v>1955</v>
      </c>
      <c r="B906" s="1">
        <v>45733.097955069446</v>
      </c>
      <c r="C906" t="s">
        <v>1956</v>
      </c>
      <c r="D906" t="s">
        <v>12</v>
      </c>
      <c r="E906" t="s">
        <v>115</v>
      </c>
      <c r="F906">
        <v>1.5</v>
      </c>
      <c r="G906">
        <v>3</v>
      </c>
      <c r="H906" t="s">
        <v>14</v>
      </c>
      <c r="I906" t="s">
        <v>21</v>
      </c>
      <c r="J906" t="s">
        <v>538</v>
      </c>
      <c r="K906">
        <f>Pqp_supermarket_data[[#This Row],[Unit_Price]]*Pqp_supermarket_data[[#This Row],[Quantity]]</f>
        <v>4.5</v>
      </c>
      <c r="L906" t="str">
        <f>TEXT(Pqp_supermarket_data[[#This Row],[DateTime]],"ddd")</f>
        <v>Mon</v>
      </c>
      <c r="M906" t="str">
        <f>TEXT(Pqp_supermarket_data[[#This Row],[DateTime]],"mmm")</f>
        <v>Mar</v>
      </c>
      <c r="N906" t="str">
        <f>TEXT(Pqp_supermarket_data[[#This Row],[DateTime]],"yyy")</f>
        <v>2025</v>
      </c>
    </row>
    <row r="907" spans="1:14" x14ac:dyDescent="0.35">
      <c r="A907" t="s">
        <v>1957</v>
      </c>
      <c r="B907" s="1">
        <v>44825.614621736109</v>
      </c>
      <c r="C907" t="s">
        <v>1958</v>
      </c>
      <c r="D907" t="s">
        <v>44</v>
      </c>
      <c r="E907" t="s">
        <v>94</v>
      </c>
      <c r="F907">
        <v>0.8</v>
      </c>
      <c r="G907">
        <v>7</v>
      </c>
      <c r="H907" t="s">
        <v>14</v>
      </c>
      <c r="I907" t="s">
        <v>86</v>
      </c>
      <c r="J907" t="s">
        <v>122</v>
      </c>
      <c r="K907">
        <f>Pqp_supermarket_data[[#This Row],[Unit_Price]]*Pqp_supermarket_data[[#This Row],[Quantity]]</f>
        <v>5.6000000000000005</v>
      </c>
      <c r="L907" t="str">
        <f>TEXT(Pqp_supermarket_data[[#This Row],[DateTime]],"ddd")</f>
        <v>Wed</v>
      </c>
      <c r="M907" t="str">
        <f>TEXT(Pqp_supermarket_data[[#This Row],[DateTime]],"mmm")</f>
        <v>Sep</v>
      </c>
      <c r="N907" t="str">
        <f>TEXT(Pqp_supermarket_data[[#This Row],[DateTime]],"yyy")</f>
        <v>2022</v>
      </c>
    </row>
    <row r="908" spans="1:14" x14ac:dyDescent="0.35">
      <c r="A908" t="s">
        <v>1959</v>
      </c>
      <c r="B908" s="1">
        <v>45505.34309396991</v>
      </c>
      <c r="C908" t="s">
        <v>1960</v>
      </c>
      <c r="D908" t="s">
        <v>25</v>
      </c>
      <c r="E908" t="s">
        <v>137</v>
      </c>
      <c r="F908">
        <v>2.5</v>
      </c>
      <c r="G908">
        <v>7</v>
      </c>
      <c r="H908" t="s">
        <v>14</v>
      </c>
      <c r="I908" t="s">
        <v>40</v>
      </c>
      <c r="J908" t="s">
        <v>195</v>
      </c>
      <c r="K908">
        <f>Pqp_supermarket_data[[#This Row],[Unit_Price]]*Pqp_supermarket_data[[#This Row],[Quantity]]</f>
        <v>17.5</v>
      </c>
      <c r="L908" t="str">
        <f>TEXT(Pqp_supermarket_data[[#This Row],[DateTime]],"ddd")</f>
        <v>Thu</v>
      </c>
      <c r="M908" t="str">
        <f>TEXT(Pqp_supermarket_data[[#This Row],[DateTime]],"mmm")</f>
        <v>Aug</v>
      </c>
      <c r="N908" t="str">
        <f>TEXT(Pqp_supermarket_data[[#This Row],[DateTime]],"yyy")</f>
        <v>2024</v>
      </c>
    </row>
    <row r="909" spans="1:14" x14ac:dyDescent="0.35">
      <c r="A909" t="s">
        <v>1961</v>
      </c>
      <c r="B909" s="1">
        <v>44941.23545508102</v>
      </c>
      <c r="C909" t="s">
        <v>1962</v>
      </c>
      <c r="D909" t="s">
        <v>30</v>
      </c>
      <c r="E909" t="s">
        <v>78</v>
      </c>
      <c r="F909">
        <v>4</v>
      </c>
      <c r="G909">
        <v>4</v>
      </c>
      <c r="H909" t="s">
        <v>14</v>
      </c>
      <c r="I909" t="s">
        <v>40</v>
      </c>
      <c r="J909" t="s">
        <v>218</v>
      </c>
      <c r="K909">
        <f>Pqp_supermarket_data[[#This Row],[Unit_Price]]*Pqp_supermarket_data[[#This Row],[Quantity]]</f>
        <v>16</v>
      </c>
      <c r="L909" t="str">
        <f>TEXT(Pqp_supermarket_data[[#This Row],[DateTime]],"ddd")</f>
        <v>Sun</v>
      </c>
      <c r="M909" t="str">
        <f>TEXT(Pqp_supermarket_data[[#This Row],[DateTime]],"mmm")</f>
        <v>Jan</v>
      </c>
      <c r="N909" t="str">
        <f>TEXT(Pqp_supermarket_data[[#This Row],[DateTime]],"yyy")</f>
        <v>2023</v>
      </c>
    </row>
    <row r="910" spans="1:14" x14ac:dyDescent="0.35">
      <c r="A910" t="s">
        <v>1963</v>
      </c>
      <c r="B910" s="1">
        <v>44886.746566203707</v>
      </c>
      <c r="C910" t="s">
        <v>1964</v>
      </c>
      <c r="D910" t="s">
        <v>12</v>
      </c>
      <c r="E910" t="s">
        <v>39</v>
      </c>
      <c r="F910">
        <v>3.2</v>
      </c>
      <c r="G910">
        <v>8</v>
      </c>
      <c r="H910" t="s">
        <v>14</v>
      </c>
      <c r="I910" t="s">
        <v>15</v>
      </c>
      <c r="J910" t="s">
        <v>22</v>
      </c>
      <c r="K910">
        <f>Pqp_supermarket_data[[#This Row],[Unit_Price]]*Pqp_supermarket_data[[#This Row],[Quantity]]</f>
        <v>25.6</v>
      </c>
      <c r="L910" t="str">
        <f>TEXT(Pqp_supermarket_data[[#This Row],[DateTime]],"ddd")</f>
        <v>Mon</v>
      </c>
      <c r="M910" t="str">
        <f>TEXT(Pqp_supermarket_data[[#This Row],[DateTime]],"mmm")</f>
        <v>Nov</v>
      </c>
      <c r="N910" t="str">
        <f>TEXT(Pqp_supermarket_data[[#This Row],[DateTime]],"yyy")</f>
        <v>2022</v>
      </c>
    </row>
    <row r="911" spans="1:14" x14ac:dyDescent="0.35">
      <c r="A911" t="s">
        <v>1965</v>
      </c>
      <c r="B911" s="1">
        <v>44957.491705092594</v>
      </c>
      <c r="C911" t="s">
        <v>1966</v>
      </c>
      <c r="D911" t="s">
        <v>12</v>
      </c>
      <c r="E911" t="s">
        <v>49</v>
      </c>
      <c r="F911">
        <v>7</v>
      </c>
      <c r="G911">
        <v>6</v>
      </c>
      <c r="H911" t="s">
        <v>14</v>
      </c>
      <c r="I911" t="s">
        <v>86</v>
      </c>
      <c r="J911" t="s">
        <v>262</v>
      </c>
      <c r="K911">
        <f>Pqp_supermarket_data[[#This Row],[Unit_Price]]*Pqp_supermarket_data[[#This Row],[Quantity]]</f>
        <v>42</v>
      </c>
      <c r="L911" t="str">
        <f>TEXT(Pqp_supermarket_data[[#This Row],[DateTime]],"ddd")</f>
        <v>Tue</v>
      </c>
      <c r="M911" t="str">
        <f>TEXT(Pqp_supermarket_data[[#This Row],[DateTime]],"mmm")</f>
        <v>Jan</v>
      </c>
      <c r="N911" t="str">
        <f>TEXT(Pqp_supermarket_data[[#This Row],[DateTime]],"yyy")</f>
        <v>2023</v>
      </c>
    </row>
    <row r="912" spans="1:14" x14ac:dyDescent="0.35">
      <c r="A912" t="s">
        <v>1967</v>
      </c>
      <c r="B912" s="1">
        <v>44614.744482870374</v>
      </c>
      <c r="C912" t="s">
        <v>1968</v>
      </c>
      <c r="D912" t="s">
        <v>85</v>
      </c>
      <c r="E912" t="s">
        <v>137</v>
      </c>
      <c r="F912">
        <v>2.5</v>
      </c>
      <c r="G912">
        <v>9</v>
      </c>
      <c r="H912" t="s">
        <v>14</v>
      </c>
      <c r="I912" t="s">
        <v>40</v>
      </c>
      <c r="J912" t="s">
        <v>31</v>
      </c>
      <c r="K912">
        <f>Pqp_supermarket_data[[#This Row],[Unit_Price]]*Pqp_supermarket_data[[#This Row],[Quantity]]</f>
        <v>22.5</v>
      </c>
      <c r="L912" t="str">
        <f>TEXT(Pqp_supermarket_data[[#This Row],[DateTime]],"ddd")</f>
        <v>Tue</v>
      </c>
      <c r="M912" t="str">
        <f>TEXT(Pqp_supermarket_data[[#This Row],[DateTime]],"mmm")</f>
        <v>Feb</v>
      </c>
      <c r="N912" t="str">
        <f>TEXT(Pqp_supermarket_data[[#This Row],[DateTime]],"yyy")</f>
        <v>2022</v>
      </c>
    </row>
    <row r="913" spans="1:14" x14ac:dyDescent="0.35">
      <c r="A913" t="s">
        <v>1969</v>
      </c>
      <c r="B913" s="1">
        <v>44851.479205115742</v>
      </c>
      <c r="C913" t="s">
        <v>1970</v>
      </c>
      <c r="D913" t="s">
        <v>25</v>
      </c>
      <c r="E913" t="s">
        <v>90</v>
      </c>
      <c r="F913">
        <v>1.8</v>
      </c>
      <c r="G913">
        <v>9</v>
      </c>
      <c r="H913" t="s">
        <v>14</v>
      </c>
      <c r="I913" t="s">
        <v>86</v>
      </c>
      <c r="J913" t="s">
        <v>202</v>
      </c>
      <c r="K913">
        <f>Pqp_supermarket_data[[#This Row],[Unit_Price]]*Pqp_supermarket_data[[#This Row],[Quantity]]</f>
        <v>16.2</v>
      </c>
      <c r="L913" t="str">
        <f>TEXT(Pqp_supermarket_data[[#This Row],[DateTime]],"ddd")</f>
        <v>Mon</v>
      </c>
      <c r="M913" t="str">
        <f>TEXT(Pqp_supermarket_data[[#This Row],[DateTime]],"mmm")</f>
        <v>Oct</v>
      </c>
      <c r="N913" t="str">
        <f>TEXT(Pqp_supermarket_data[[#This Row],[DateTime]],"yyy")</f>
        <v>2022</v>
      </c>
    </row>
    <row r="914" spans="1:14" x14ac:dyDescent="0.35">
      <c r="A914" t="s">
        <v>1971</v>
      </c>
      <c r="B914" s="1">
        <v>45705.8347606713</v>
      </c>
      <c r="C914" t="s">
        <v>1972</v>
      </c>
      <c r="D914" t="s">
        <v>85</v>
      </c>
      <c r="E914" t="s">
        <v>137</v>
      </c>
      <c r="F914">
        <v>2.5</v>
      </c>
      <c r="G914">
        <v>4</v>
      </c>
      <c r="H914" t="s">
        <v>14</v>
      </c>
      <c r="I914" t="s">
        <v>61</v>
      </c>
      <c r="J914" t="s">
        <v>510</v>
      </c>
      <c r="K914">
        <f>Pqp_supermarket_data[[#This Row],[Unit_Price]]*Pqp_supermarket_data[[#This Row],[Quantity]]</f>
        <v>10</v>
      </c>
      <c r="L914" t="str">
        <f>TEXT(Pqp_supermarket_data[[#This Row],[DateTime]],"ddd")</f>
        <v>Mon</v>
      </c>
      <c r="M914" t="str">
        <f>TEXT(Pqp_supermarket_data[[#This Row],[DateTime]],"mmm")</f>
        <v>Feb</v>
      </c>
      <c r="N914" t="str">
        <f>TEXT(Pqp_supermarket_data[[#This Row],[DateTime]],"yyy")</f>
        <v>2025</v>
      </c>
    </row>
    <row r="915" spans="1:14" x14ac:dyDescent="0.35">
      <c r="A915" t="s">
        <v>1973</v>
      </c>
      <c r="B915" s="1">
        <v>44971.150732905095</v>
      </c>
      <c r="C915" t="s">
        <v>1974</v>
      </c>
      <c r="D915" t="s">
        <v>34</v>
      </c>
      <c r="E915" t="s">
        <v>57</v>
      </c>
      <c r="F915">
        <v>4.5</v>
      </c>
      <c r="G915">
        <v>8</v>
      </c>
      <c r="H915" t="s">
        <v>14</v>
      </c>
      <c r="I915" t="s">
        <v>15</v>
      </c>
      <c r="J915" t="s">
        <v>22</v>
      </c>
      <c r="K915">
        <f>Pqp_supermarket_data[[#This Row],[Unit_Price]]*Pqp_supermarket_data[[#This Row],[Quantity]]</f>
        <v>36</v>
      </c>
      <c r="L915" t="str">
        <f>TEXT(Pqp_supermarket_data[[#This Row],[DateTime]],"ddd")</f>
        <v>Tue</v>
      </c>
      <c r="M915" t="str">
        <f>TEXT(Pqp_supermarket_data[[#This Row],[DateTime]],"mmm")</f>
        <v>Feb</v>
      </c>
      <c r="N915" t="str">
        <f>TEXT(Pqp_supermarket_data[[#This Row],[DateTime]],"yyy")</f>
        <v>2023</v>
      </c>
    </row>
    <row r="916" spans="1:14" x14ac:dyDescent="0.35">
      <c r="A916" t="s">
        <v>1975</v>
      </c>
      <c r="B916" s="1">
        <v>45183.727816250001</v>
      </c>
      <c r="C916" t="s">
        <v>1976</v>
      </c>
      <c r="D916" t="s">
        <v>208</v>
      </c>
      <c r="E916" t="s">
        <v>90</v>
      </c>
      <c r="F916">
        <v>1.8</v>
      </c>
      <c r="G916">
        <v>3</v>
      </c>
      <c r="H916" t="s">
        <v>14</v>
      </c>
      <c r="I916" t="s">
        <v>86</v>
      </c>
      <c r="J916" t="s">
        <v>230</v>
      </c>
      <c r="K916">
        <f>Pqp_supermarket_data[[#This Row],[Unit_Price]]*Pqp_supermarket_data[[#This Row],[Quantity]]</f>
        <v>5.4</v>
      </c>
      <c r="L916" t="str">
        <f>TEXT(Pqp_supermarket_data[[#This Row],[DateTime]],"ddd")</f>
        <v>Thu</v>
      </c>
      <c r="M916" t="str">
        <f>TEXT(Pqp_supermarket_data[[#This Row],[DateTime]],"mmm")</f>
        <v>Sep</v>
      </c>
      <c r="N916" t="str">
        <f>TEXT(Pqp_supermarket_data[[#This Row],[DateTime]],"yyy")</f>
        <v>2023</v>
      </c>
    </row>
    <row r="917" spans="1:14" x14ac:dyDescent="0.35">
      <c r="A917" t="s">
        <v>1977</v>
      </c>
      <c r="B917" s="1">
        <v>44861.444482928244</v>
      </c>
      <c r="C917" t="s">
        <v>1978</v>
      </c>
      <c r="D917" t="s">
        <v>85</v>
      </c>
      <c r="E917" t="s">
        <v>148</v>
      </c>
      <c r="F917">
        <v>5.5</v>
      </c>
      <c r="G917">
        <v>3</v>
      </c>
      <c r="H917" t="s">
        <v>14</v>
      </c>
      <c r="I917" t="s">
        <v>21</v>
      </c>
      <c r="J917" t="s">
        <v>160</v>
      </c>
      <c r="K917">
        <f>Pqp_supermarket_data[[#This Row],[Unit_Price]]*Pqp_supermarket_data[[#This Row],[Quantity]]</f>
        <v>16.5</v>
      </c>
      <c r="L917" t="str">
        <f>TEXT(Pqp_supermarket_data[[#This Row],[DateTime]],"ddd")</f>
        <v>Thu</v>
      </c>
      <c r="M917" t="str">
        <f>TEXT(Pqp_supermarket_data[[#This Row],[DateTime]],"mmm")</f>
        <v>Oct</v>
      </c>
      <c r="N917" t="str">
        <f>TEXT(Pqp_supermarket_data[[#This Row],[DateTime]],"yyy")</f>
        <v>2022</v>
      </c>
    </row>
    <row r="918" spans="1:14" x14ac:dyDescent="0.35">
      <c r="A918" t="s">
        <v>1979</v>
      </c>
      <c r="B918" s="1">
        <v>44667.375732928238</v>
      </c>
      <c r="C918" t="s">
        <v>1980</v>
      </c>
      <c r="D918" t="s">
        <v>82</v>
      </c>
      <c r="E918" t="s">
        <v>39</v>
      </c>
      <c r="F918">
        <v>3.2</v>
      </c>
      <c r="G918">
        <v>8</v>
      </c>
      <c r="H918" t="s">
        <v>14</v>
      </c>
      <c r="I918" t="s">
        <v>40</v>
      </c>
      <c r="J918" t="s">
        <v>218</v>
      </c>
      <c r="K918">
        <f>Pqp_supermarket_data[[#This Row],[Unit_Price]]*Pqp_supermarket_data[[#This Row],[Quantity]]</f>
        <v>25.6</v>
      </c>
      <c r="L918" t="str">
        <f>TEXT(Pqp_supermarket_data[[#This Row],[DateTime]],"ddd")</f>
        <v>Sat</v>
      </c>
      <c r="M918" t="str">
        <f>TEXT(Pqp_supermarket_data[[#This Row],[DateTime]],"mmm")</f>
        <v>Apr</v>
      </c>
      <c r="N918" t="str">
        <f>TEXT(Pqp_supermarket_data[[#This Row],[DateTime]],"yyy")</f>
        <v>2022</v>
      </c>
    </row>
    <row r="919" spans="1:14" x14ac:dyDescent="0.35">
      <c r="A919" t="s">
        <v>1981</v>
      </c>
      <c r="B919" s="1">
        <v>44856.770177384256</v>
      </c>
      <c r="C919" t="s">
        <v>1982</v>
      </c>
      <c r="D919" t="s">
        <v>12</v>
      </c>
      <c r="E919" t="s">
        <v>78</v>
      </c>
      <c r="F919">
        <v>4</v>
      </c>
      <c r="G919">
        <v>8</v>
      </c>
      <c r="H919" t="s">
        <v>14</v>
      </c>
      <c r="I919" t="s">
        <v>40</v>
      </c>
      <c r="J919" t="s">
        <v>364</v>
      </c>
      <c r="K919">
        <f>Pqp_supermarket_data[[#This Row],[Unit_Price]]*Pqp_supermarket_data[[#This Row],[Quantity]]</f>
        <v>32</v>
      </c>
      <c r="L919" t="str">
        <f>TEXT(Pqp_supermarket_data[[#This Row],[DateTime]],"ddd")</f>
        <v>Sat</v>
      </c>
      <c r="M919" t="str">
        <f>TEXT(Pqp_supermarket_data[[#This Row],[DateTime]],"mmm")</f>
        <v>Oct</v>
      </c>
      <c r="N919" t="str">
        <f>TEXT(Pqp_supermarket_data[[#This Row],[DateTime]],"yyy")</f>
        <v>2022</v>
      </c>
    </row>
    <row r="920" spans="1:14" x14ac:dyDescent="0.35">
      <c r="A920" t="s">
        <v>1983</v>
      </c>
      <c r="B920" s="1">
        <v>45122.614621840279</v>
      </c>
      <c r="C920" t="s">
        <v>1984</v>
      </c>
      <c r="D920" t="s">
        <v>19</v>
      </c>
      <c r="E920" t="s">
        <v>94</v>
      </c>
      <c r="F920">
        <v>0.8</v>
      </c>
      <c r="G920">
        <v>2</v>
      </c>
      <c r="H920" t="s">
        <v>14</v>
      </c>
      <c r="I920" t="s">
        <v>40</v>
      </c>
      <c r="J920" t="s">
        <v>233</v>
      </c>
      <c r="K920">
        <f>Pqp_supermarket_data[[#This Row],[Unit_Price]]*Pqp_supermarket_data[[#This Row],[Quantity]]</f>
        <v>1.6</v>
      </c>
      <c r="L920" t="str">
        <f>TEXT(Pqp_supermarket_data[[#This Row],[DateTime]],"ddd")</f>
        <v>Sat</v>
      </c>
      <c r="M920" t="str">
        <f>TEXT(Pqp_supermarket_data[[#This Row],[DateTime]],"mmm")</f>
        <v>Jul</v>
      </c>
      <c r="N920" t="str">
        <f>TEXT(Pqp_supermarket_data[[#This Row],[DateTime]],"yyy")</f>
        <v>2023</v>
      </c>
    </row>
    <row r="921" spans="1:14" x14ac:dyDescent="0.35">
      <c r="A921" t="s">
        <v>1985</v>
      </c>
      <c r="B921" s="1">
        <v>44339.94864962963</v>
      </c>
      <c r="C921" t="s">
        <v>1986</v>
      </c>
      <c r="D921" t="s">
        <v>44</v>
      </c>
      <c r="E921" t="s">
        <v>65</v>
      </c>
      <c r="F921">
        <v>3</v>
      </c>
      <c r="G921">
        <v>9</v>
      </c>
      <c r="H921" t="s">
        <v>14</v>
      </c>
      <c r="I921" t="s">
        <v>36</v>
      </c>
      <c r="J921" t="s">
        <v>423</v>
      </c>
      <c r="K921">
        <f>Pqp_supermarket_data[[#This Row],[Unit_Price]]*Pqp_supermarket_data[[#This Row],[Quantity]]</f>
        <v>27</v>
      </c>
      <c r="L921" t="str">
        <f>TEXT(Pqp_supermarket_data[[#This Row],[DateTime]],"ddd")</f>
        <v>Sun</v>
      </c>
      <c r="M921" t="str">
        <f>TEXT(Pqp_supermarket_data[[#This Row],[DateTime]],"mmm")</f>
        <v>May</v>
      </c>
      <c r="N921" t="str">
        <f>TEXT(Pqp_supermarket_data[[#This Row],[DateTime]],"yyy")</f>
        <v>2021</v>
      </c>
    </row>
    <row r="922" spans="1:14" x14ac:dyDescent="0.35">
      <c r="A922" t="s">
        <v>1987</v>
      </c>
      <c r="B922" s="1">
        <v>44738.76114962963</v>
      </c>
      <c r="C922" t="s">
        <v>1988</v>
      </c>
      <c r="D922" t="s">
        <v>82</v>
      </c>
      <c r="E922" t="s">
        <v>20</v>
      </c>
      <c r="F922">
        <v>1</v>
      </c>
      <c r="G922">
        <v>7</v>
      </c>
      <c r="H922" t="s">
        <v>14</v>
      </c>
      <c r="I922" t="s">
        <v>40</v>
      </c>
      <c r="J922" t="s">
        <v>426</v>
      </c>
      <c r="K922">
        <f>Pqp_supermarket_data[[#This Row],[Unit_Price]]*Pqp_supermarket_data[[#This Row],[Quantity]]</f>
        <v>7</v>
      </c>
      <c r="L922" t="str">
        <f>TEXT(Pqp_supermarket_data[[#This Row],[DateTime]],"ddd")</f>
        <v>Sun</v>
      </c>
      <c r="M922" t="str">
        <f>TEXT(Pqp_supermarket_data[[#This Row],[DateTime]],"mmm")</f>
        <v>Jun</v>
      </c>
      <c r="N922" t="str">
        <f>TEXT(Pqp_supermarket_data[[#This Row],[DateTime]],"yyy")</f>
        <v>2022</v>
      </c>
    </row>
    <row r="923" spans="1:14" x14ac:dyDescent="0.35">
      <c r="A923" t="s">
        <v>1989</v>
      </c>
      <c r="B923" s="1">
        <v>45437.11809408565</v>
      </c>
      <c r="C923" t="s">
        <v>1990</v>
      </c>
      <c r="D923" t="s">
        <v>34</v>
      </c>
      <c r="E923" t="s">
        <v>111</v>
      </c>
      <c r="F923">
        <v>2.2000000000000002</v>
      </c>
      <c r="G923">
        <v>3</v>
      </c>
      <c r="H923" t="s">
        <v>14</v>
      </c>
      <c r="I923" t="s">
        <v>15</v>
      </c>
      <c r="J923" t="s">
        <v>218</v>
      </c>
      <c r="K923">
        <f>Pqp_supermarket_data[[#This Row],[Unit_Price]]*Pqp_supermarket_data[[#This Row],[Quantity]]</f>
        <v>6.6000000000000005</v>
      </c>
      <c r="L923" t="str">
        <f>TEXT(Pqp_supermarket_data[[#This Row],[DateTime]],"ddd")</f>
        <v>Sat</v>
      </c>
      <c r="M923" t="str">
        <f>TEXT(Pqp_supermarket_data[[#This Row],[DateTime]],"mmm")</f>
        <v>May</v>
      </c>
      <c r="N923" t="str">
        <f>TEXT(Pqp_supermarket_data[[#This Row],[DateTime]],"yyy")</f>
        <v>2024</v>
      </c>
    </row>
    <row r="924" spans="1:14" x14ac:dyDescent="0.35">
      <c r="A924" t="s">
        <v>1991</v>
      </c>
      <c r="B924" s="1">
        <v>44328.500038530095</v>
      </c>
      <c r="C924" t="s">
        <v>1992</v>
      </c>
      <c r="D924" t="s">
        <v>127</v>
      </c>
      <c r="E924" t="s">
        <v>57</v>
      </c>
      <c r="F924">
        <v>4.5</v>
      </c>
      <c r="G924">
        <v>8</v>
      </c>
      <c r="H924" t="s">
        <v>14</v>
      </c>
      <c r="I924" t="s">
        <v>61</v>
      </c>
      <c r="J924" t="s">
        <v>134</v>
      </c>
      <c r="K924">
        <f>Pqp_supermarket_data[[#This Row],[Unit_Price]]*Pqp_supermarket_data[[#This Row],[Quantity]]</f>
        <v>36</v>
      </c>
      <c r="L924" t="str">
        <f>TEXT(Pqp_supermarket_data[[#This Row],[DateTime]],"ddd")</f>
        <v>Wed</v>
      </c>
      <c r="M924" t="str">
        <f>TEXT(Pqp_supermarket_data[[#This Row],[DateTime]],"mmm")</f>
        <v>May</v>
      </c>
      <c r="N924" t="str">
        <f>TEXT(Pqp_supermarket_data[[#This Row],[DateTime]],"yyy")</f>
        <v>2021</v>
      </c>
    </row>
    <row r="925" spans="1:14" x14ac:dyDescent="0.35">
      <c r="A925" t="s">
        <v>1993</v>
      </c>
      <c r="B925" s="1">
        <v>45416.395177430553</v>
      </c>
      <c r="C925" t="s">
        <v>1994</v>
      </c>
      <c r="D925" t="s">
        <v>69</v>
      </c>
      <c r="E925" t="s">
        <v>78</v>
      </c>
      <c r="F925">
        <v>4</v>
      </c>
      <c r="G925">
        <v>1</v>
      </c>
      <c r="H925" t="s">
        <v>14</v>
      </c>
      <c r="I925" t="s">
        <v>21</v>
      </c>
      <c r="J925" t="s">
        <v>302</v>
      </c>
      <c r="K925">
        <f>Pqp_supermarket_data[[#This Row],[Unit_Price]]*Pqp_supermarket_data[[#This Row],[Quantity]]</f>
        <v>4</v>
      </c>
      <c r="L925" t="str">
        <f>TEXT(Pqp_supermarket_data[[#This Row],[DateTime]],"ddd")</f>
        <v>Sat</v>
      </c>
      <c r="M925" t="str">
        <f>TEXT(Pqp_supermarket_data[[#This Row],[DateTime]],"mmm")</f>
        <v>May</v>
      </c>
      <c r="N925" t="str">
        <f>TEXT(Pqp_supermarket_data[[#This Row],[DateTime]],"yyy")</f>
        <v>2024</v>
      </c>
    </row>
    <row r="926" spans="1:14" x14ac:dyDescent="0.35">
      <c r="A926" t="s">
        <v>1995</v>
      </c>
      <c r="B926" s="1">
        <v>45268.539621875003</v>
      </c>
      <c r="C926" t="s">
        <v>1996</v>
      </c>
      <c r="D926" t="s">
        <v>98</v>
      </c>
      <c r="E926" t="s">
        <v>115</v>
      </c>
      <c r="F926">
        <v>1.5</v>
      </c>
      <c r="G926">
        <v>9</v>
      </c>
      <c r="H926" t="s">
        <v>14</v>
      </c>
      <c r="I926" t="s">
        <v>40</v>
      </c>
      <c r="J926" t="s">
        <v>538</v>
      </c>
      <c r="K926">
        <f>Pqp_supermarket_data[[#This Row],[Unit_Price]]*Pqp_supermarket_data[[#This Row],[Quantity]]</f>
        <v>13.5</v>
      </c>
      <c r="L926" t="str">
        <f>TEXT(Pqp_supermarket_data[[#This Row],[DateTime]],"ddd")</f>
        <v>Fri</v>
      </c>
      <c r="M926" t="str">
        <f>TEXT(Pqp_supermarket_data[[#This Row],[DateTime]],"mmm")</f>
        <v>Dec</v>
      </c>
      <c r="N926" t="str">
        <f>TEXT(Pqp_supermarket_data[[#This Row],[DateTime]],"yyy")</f>
        <v>2023</v>
      </c>
    </row>
    <row r="927" spans="1:14" x14ac:dyDescent="0.35">
      <c r="A927" t="s">
        <v>1997</v>
      </c>
      <c r="B927" s="1">
        <v>44776.259066331018</v>
      </c>
      <c r="C927" t="s">
        <v>1998</v>
      </c>
      <c r="D927" t="s">
        <v>171</v>
      </c>
      <c r="E927" t="s">
        <v>115</v>
      </c>
      <c r="F927">
        <v>1.5</v>
      </c>
      <c r="G927">
        <v>8</v>
      </c>
      <c r="H927" t="s">
        <v>14</v>
      </c>
      <c r="I927" t="s">
        <v>86</v>
      </c>
      <c r="J927" t="s">
        <v>510</v>
      </c>
      <c r="K927">
        <f>Pqp_supermarket_data[[#This Row],[Unit_Price]]*Pqp_supermarket_data[[#This Row],[Quantity]]</f>
        <v>12</v>
      </c>
      <c r="L927" t="str">
        <f>TEXT(Pqp_supermarket_data[[#This Row],[DateTime]],"ddd")</f>
        <v>Wed</v>
      </c>
      <c r="M927" t="str">
        <f>TEXT(Pqp_supermarket_data[[#This Row],[DateTime]],"mmm")</f>
        <v>Aug</v>
      </c>
      <c r="N927" t="str">
        <f>TEXT(Pqp_supermarket_data[[#This Row],[DateTime]],"yyy")</f>
        <v>2022</v>
      </c>
    </row>
    <row r="928" spans="1:14" x14ac:dyDescent="0.35">
      <c r="A928" t="s">
        <v>1999</v>
      </c>
      <c r="B928" s="1">
        <v>45623.741705219909</v>
      </c>
      <c r="C928" t="s">
        <v>2000</v>
      </c>
      <c r="D928" t="s">
        <v>208</v>
      </c>
      <c r="E928" t="s">
        <v>26</v>
      </c>
      <c r="F928">
        <v>2.5</v>
      </c>
      <c r="G928">
        <v>9</v>
      </c>
      <c r="H928" t="s">
        <v>14</v>
      </c>
      <c r="I928" t="s">
        <v>61</v>
      </c>
      <c r="J928" t="s">
        <v>215</v>
      </c>
      <c r="K928">
        <f>Pqp_supermarket_data[[#This Row],[Unit_Price]]*Pqp_supermarket_data[[#This Row],[Quantity]]</f>
        <v>22.5</v>
      </c>
      <c r="L928" t="str">
        <f>TEXT(Pqp_supermarket_data[[#This Row],[DateTime]],"ddd")</f>
        <v>Wed</v>
      </c>
      <c r="M928" t="str">
        <f>TEXT(Pqp_supermarket_data[[#This Row],[DateTime]],"mmm")</f>
        <v>Nov</v>
      </c>
      <c r="N928" t="str">
        <f>TEXT(Pqp_supermarket_data[[#This Row],[DateTime]],"yyy")</f>
        <v>2024</v>
      </c>
    </row>
    <row r="929" spans="1:14" x14ac:dyDescent="0.35">
      <c r="A929" t="s">
        <v>2001</v>
      </c>
      <c r="B929" s="1">
        <v>44498.815316342596</v>
      </c>
      <c r="C929" t="s">
        <v>2002</v>
      </c>
      <c r="D929" t="s">
        <v>34</v>
      </c>
      <c r="E929" t="s">
        <v>78</v>
      </c>
      <c r="F929">
        <v>4</v>
      </c>
      <c r="G929">
        <v>1</v>
      </c>
      <c r="H929" t="s">
        <v>14</v>
      </c>
      <c r="I929" t="s">
        <v>15</v>
      </c>
      <c r="J929" t="s">
        <v>209</v>
      </c>
      <c r="K929">
        <f>Pqp_supermarket_data[[#This Row],[Unit_Price]]*Pqp_supermarket_data[[#This Row],[Quantity]]</f>
        <v>4</v>
      </c>
      <c r="L929" t="str">
        <f>TEXT(Pqp_supermarket_data[[#This Row],[DateTime]],"ddd")</f>
        <v>Fri</v>
      </c>
      <c r="M929" t="str">
        <f>TEXT(Pqp_supermarket_data[[#This Row],[DateTime]],"mmm")</f>
        <v>Oct</v>
      </c>
      <c r="N929" t="str">
        <f>TEXT(Pqp_supermarket_data[[#This Row],[DateTime]],"yyy")</f>
        <v>2021</v>
      </c>
    </row>
    <row r="930" spans="1:14" x14ac:dyDescent="0.35">
      <c r="A930" t="s">
        <v>2003</v>
      </c>
      <c r="B930" s="1">
        <v>45673.711149675924</v>
      </c>
      <c r="C930" t="s">
        <v>2004</v>
      </c>
      <c r="D930" t="s">
        <v>208</v>
      </c>
      <c r="E930" t="s">
        <v>111</v>
      </c>
      <c r="F930">
        <v>2.2000000000000002</v>
      </c>
      <c r="G930">
        <v>1</v>
      </c>
      <c r="H930" t="s">
        <v>14</v>
      </c>
      <c r="I930" t="s">
        <v>36</v>
      </c>
      <c r="J930" t="s">
        <v>317</v>
      </c>
      <c r="K930">
        <f>Pqp_supermarket_data[[#This Row],[Unit_Price]]*Pqp_supermarket_data[[#This Row],[Quantity]]</f>
        <v>2.2000000000000002</v>
      </c>
      <c r="L930" t="str">
        <f>TEXT(Pqp_supermarket_data[[#This Row],[DateTime]],"ddd")</f>
        <v>Thu</v>
      </c>
      <c r="M930" t="str">
        <f>TEXT(Pqp_supermarket_data[[#This Row],[DateTime]],"mmm")</f>
        <v>Jan</v>
      </c>
      <c r="N930" t="str">
        <f>TEXT(Pqp_supermarket_data[[#This Row],[DateTime]],"yyy")</f>
        <v>2025</v>
      </c>
    </row>
    <row r="931" spans="1:14" x14ac:dyDescent="0.35">
      <c r="A931" t="s">
        <v>2005</v>
      </c>
      <c r="B931" s="1">
        <v>44551.170177465276</v>
      </c>
      <c r="C931" t="s">
        <v>2006</v>
      </c>
      <c r="D931" t="s">
        <v>19</v>
      </c>
      <c r="E931" t="s">
        <v>65</v>
      </c>
      <c r="F931">
        <v>3</v>
      </c>
      <c r="G931">
        <v>1</v>
      </c>
      <c r="H931" t="s">
        <v>14</v>
      </c>
      <c r="I931" t="s">
        <v>40</v>
      </c>
      <c r="J931" t="s">
        <v>175</v>
      </c>
      <c r="K931">
        <f>Pqp_supermarket_data[[#This Row],[Unit_Price]]*Pqp_supermarket_data[[#This Row],[Quantity]]</f>
        <v>3</v>
      </c>
      <c r="L931" t="str">
        <f>TEXT(Pqp_supermarket_data[[#This Row],[DateTime]],"ddd")</f>
        <v>Tue</v>
      </c>
      <c r="M931" t="str">
        <f>TEXT(Pqp_supermarket_data[[#This Row],[DateTime]],"mmm")</f>
        <v>Dec</v>
      </c>
      <c r="N931" t="str">
        <f>TEXT(Pqp_supermarket_data[[#This Row],[DateTime]],"yyy")</f>
        <v>2021</v>
      </c>
    </row>
    <row r="932" spans="1:14" x14ac:dyDescent="0.35">
      <c r="A932" t="s">
        <v>2007</v>
      </c>
      <c r="B932" s="1">
        <v>45421.321566354163</v>
      </c>
      <c r="C932" t="s">
        <v>2008</v>
      </c>
      <c r="D932" t="s">
        <v>127</v>
      </c>
      <c r="E932" t="s">
        <v>45</v>
      </c>
      <c r="F932">
        <v>1</v>
      </c>
      <c r="G932">
        <v>10</v>
      </c>
      <c r="H932" t="s">
        <v>14</v>
      </c>
      <c r="I932" t="s">
        <v>21</v>
      </c>
      <c r="J932" t="s">
        <v>270</v>
      </c>
      <c r="K932">
        <f>Pqp_supermarket_data[[#This Row],[Unit_Price]]*Pqp_supermarket_data[[#This Row],[Quantity]]</f>
        <v>10</v>
      </c>
      <c r="L932" t="str">
        <f>TEXT(Pqp_supermarket_data[[#This Row],[DateTime]],"ddd")</f>
        <v>Thu</v>
      </c>
      <c r="M932" t="str">
        <f>TEXT(Pqp_supermarket_data[[#This Row],[DateTime]],"mmm")</f>
        <v>May</v>
      </c>
      <c r="N932" t="str">
        <f>TEXT(Pqp_supermarket_data[[#This Row],[DateTime]],"yyy")</f>
        <v>2024</v>
      </c>
    </row>
    <row r="933" spans="1:14" x14ac:dyDescent="0.35">
      <c r="A933" t="s">
        <v>2009</v>
      </c>
      <c r="B933" s="1">
        <v>45422.94378858796</v>
      </c>
      <c r="C933" t="s">
        <v>2010</v>
      </c>
      <c r="D933" t="s">
        <v>171</v>
      </c>
      <c r="E933" t="s">
        <v>53</v>
      </c>
      <c r="F933">
        <v>2.8</v>
      </c>
      <c r="G933">
        <v>1</v>
      </c>
      <c r="H933" t="s">
        <v>14</v>
      </c>
      <c r="I933" t="s">
        <v>40</v>
      </c>
      <c r="J933" t="s">
        <v>426</v>
      </c>
      <c r="K933">
        <f>Pqp_supermarket_data[[#This Row],[Unit_Price]]*Pqp_supermarket_data[[#This Row],[Quantity]]</f>
        <v>2.8</v>
      </c>
      <c r="L933" t="str">
        <f>TEXT(Pqp_supermarket_data[[#This Row],[DateTime]],"ddd")</f>
        <v>Fri</v>
      </c>
      <c r="M933" t="str">
        <f>TEXT(Pqp_supermarket_data[[#This Row],[DateTime]],"mmm")</f>
        <v>May</v>
      </c>
      <c r="N933" t="str">
        <f>TEXT(Pqp_supermarket_data[[#This Row],[DateTime]],"yyy")</f>
        <v>2024</v>
      </c>
    </row>
    <row r="934" spans="1:14" x14ac:dyDescent="0.35">
      <c r="A934" t="s">
        <v>2011</v>
      </c>
      <c r="B934" s="1">
        <v>45174.127121921294</v>
      </c>
      <c r="C934" t="s">
        <v>2012</v>
      </c>
      <c r="D934" t="s">
        <v>19</v>
      </c>
      <c r="E934" t="s">
        <v>49</v>
      </c>
      <c r="F934">
        <v>7</v>
      </c>
      <c r="G934">
        <v>2</v>
      </c>
      <c r="H934" t="s">
        <v>14</v>
      </c>
      <c r="I934" t="s">
        <v>86</v>
      </c>
      <c r="J934" t="s">
        <v>153</v>
      </c>
      <c r="K934">
        <f>Pqp_supermarket_data[[#This Row],[Unit_Price]]*Pqp_supermarket_data[[#This Row],[Quantity]]</f>
        <v>14</v>
      </c>
      <c r="L934" t="str">
        <f>TEXT(Pqp_supermarket_data[[#This Row],[DateTime]],"ddd")</f>
        <v>Tue</v>
      </c>
      <c r="M934" t="str">
        <f>TEXT(Pqp_supermarket_data[[#This Row],[DateTime]],"mmm")</f>
        <v>Sep</v>
      </c>
      <c r="N934" t="str">
        <f>TEXT(Pqp_supermarket_data[[#This Row],[DateTime]],"yyy")</f>
        <v>2023</v>
      </c>
    </row>
    <row r="935" spans="1:14" x14ac:dyDescent="0.35">
      <c r="A935" t="s">
        <v>2013</v>
      </c>
      <c r="B935" s="1">
        <v>45654.163927488429</v>
      </c>
      <c r="C935" t="s">
        <v>2014</v>
      </c>
      <c r="D935" t="s">
        <v>69</v>
      </c>
      <c r="E935" t="s">
        <v>148</v>
      </c>
      <c r="F935">
        <v>5.5</v>
      </c>
      <c r="G935">
        <v>5</v>
      </c>
      <c r="H935" t="s">
        <v>14</v>
      </c>
      <c r="I935" t="s">
        <v>61</v>
      </c>
      <c r="J935" t="s">
        <v>716</v>
      </c>
      <c r="K935">
        <f>Pqp_supermarket_data[[#This Row],[Unit_Price]]*Pqp_supermarket_data[[#This Row],[Quantity]]</f>
        <v>27.5</v>
      </c>
      <c r="L935" t="str">
        <f>TEXT(Pqp_supermarket_data[[#This Row],[DateTime]],"ddd")</f>
        <v>Sat</v>
      </c>
      <c r="M935" t="str">
        <f>TEXT(Pqp_supermarket_data[[#This Row],[DateTime]],"mmm")</f>
        <v>Dec</v>
      </c>
      <c r="N935" t="str">
        <f>TEXT(Pqp_supermarket_data[[#This Row],[DateTime]],"yyy")</f>
        <v>2024</v>
      </c>
    </row>
    <row r="936" spans="1:14" x14ac:dyDescent="0.35">
      <c r="A936" t="s">
        <v>2015</v>
      </c>
      <c r="B936" s="1">
        <v>44938.88406640046</v>
      </c>
      <c r="C936" t="s">
        <v>2016</v>
      </c>
      <c r="D936" t="s">
        <v>12</v>
      </c>
      <c r="E936" t="s">
        <v>78</v>
      </c>
      <c r="F936">
        <v>4</v>
      </c>
      <c r="G936">
        <v>10</v>
      </c>
      <c r="H936" t="s">
        <v>14</v>
      </c>
      <c r="I936" t="s">
        <v>40</v>
      </c>
      <c r="J936" t="s">
        <v>192</v>
      </c>
      <c r="K936">
        <f>Pqp_supermarket_data[[#This Row],[Unit_Price]]*Pqp_supermarket_data[[#This Row],[Quantity]]</f>
        <v>40</v>
      </c>
      <c r="L936" t="str">
        <f>TEXT(Pqp_supermarket_data[[#This Row],[DateTime]],"ddd")</f>
        <v>Thu</v>
      </c>
      <c r="M936" t="str">
        <f>TEXT(Pqp_supermarket_data[[#This Row],[DateTime]],"mmm")</f>
        <v>Jan</v>
      </c>
      <c r="N936" t="str">
        <f>TEXT(Pqp_supermarket_data[[#This Row],[DateTime]],"yyy")</f>
        <v>2023</v>
      </c>
    </row>
    <row r="937" spans="1:14" x14ac:dyDescent="0.35">
      <c r="A937" t="s">
        <v>2017</v>
      </c>
      <c r="B937" s="1">
        <v>44615.573649733793</v>
      </c>
      <c r="C937" t="s">
        <v>2018</v>
      </c>
      <c r="D937" t="s">
        <v>85</v>
      </c>
      <c r="E937" t="s">
        <v>65</v>
      </c>
      <c r="F937">
        <v>3</v>
      </c>
      <c r="G937">
        <v>8</v>
      </c>
      <c r="H937" t="s">
        <v>14</v>
      </c>
      <c r="I937" t="s">
        <v>36</v>
      </c>
      <c r="J937" t="s">
        <v>320</v>
      </c>
      <c r="K937">
        <f>Pqp_supermarket_data[[#This Row],[Unit_Price]]*Pqp_supermarket_data[[#This Row],[Quantity]]</f>
        <v>24</v>
      </c>
      <c r="L937" t="str">
        <f>TEXT(Pqp_supermarket_data[[#This Row],[DateTime]],"ddd")</f>
        <v>Wed</v>
      </c>
      <c r="M937" t="str">
        <f>TEXT(Pqp_supermarket_data[[#This Row],[DateTime]],"mmm")</f>
        <v>Feb</v>
      </c>
      <c r="N937" t="str">
        <f>TEXT(Pqp_supermarket_data[[#This Row],[DateTime]],"yyy")</f>
        <v>2022</v>
      </c>
    </row>
    <row r="938" spans="1:14" x14ac:dyDescent="0.35">
      <c r="A938" t="s">
        <v>2019</v>
      </c>
      <c r="B938" s="1">
        <v>44547.630594178241</v>
      </c>
      <c r="C938" t="s">
        <v>2020</v>
      </c>
      <c r="D938" t="s">
        <v>82</v>
      </c>
      <c r="E938" t="s">
        <v>45</v>
      </c>
      <c r="F938">
        <v>1</v>
      </c>
      <c r="G938">
        <v>6</v>
      </c>
      <c r="H938" t="s">
        <v>14</v>
      </c>
      <c r="I938" t="s">
        <v>61</v>
      </c>
      <c r="J938" t="s">
        <v>716</v>
      </c>
      <c r="K938">
        <f>Pqp_supermarket_data[[#This Row],[Unit_Price]]*Pqp_supermarket_data[[#This Row],[Quantity]]</f>
        <v>6</v>
      </c>
      <c r="L938" t="str">
        <f>TEXT(Pqp_supermarket_data[[#This Row],[DateTime]],"ddd")</f>
        <v>Fri</v>
      </c>
      <c r="M938" t="str">
        <f>TEXT(Pqp_supermarket_data[[#This Row],[DateTime]],"mmm")</f>
        <v>Dec</v>
      </c>
      <c r="N938" t="str">
        <f>TEXT(Pqp_supermarket_data[[#This Row],[DateTime]],"yyy")</f>
        <v>2021</v>
      </c>
    </row>
    <row r="939" spans="1:14" x14ac:dyDescent="0.35">
      <c r="A939" t="s">
        <v>2021</v>
      </c>
      <c r="B939" s="1">
        <v>44608.752816400462</v>
      </c>
      <c r="C939" t="s">
        <v>2022</v>
      </c>
      <c r="D939" t="s">
        <v>19</v>
      </c>
      <c r="E939" t="s">
        <v>111</v>
      </c>
      <c r="F939">
        <v>2.2000000000000002</v>
      </c>
      <c r="G939">
        <v>10</v>
      </c>
      <c r="H939" t="s">
        <v>14</v>
      </c>
      <c r="I939" t="s">
        <v>21</v>
      </c>
      <c r="J939" t="s">
        <v>336</v>
      </c>
      <c r="K939">
        <f>Pqp_supermarket_data[[#This Row],[Unit_Price]]*Pqp_supermarket_data[[#This Row],[Quantity]]</f>
        <v>22</v>
      </c>
      <c r="L939" t="str">
        <f>TEXT(Pqp_supermarket_data[[#This Row],[DateTime]],"ddd")</f>
        <v>Wed</v>
      </c>
      <c r="M939" t="str">
        <f>TEXT(Pqp_supermarket_data[[#This Row],[DateTime]],"mmm")</f>
        <v>Feb</v>
      </c>
      <c r="N939" t="str">
        <f>TEXT(Pqp_supermarket_data[[#This Row],[DateTime]],"yyy")</f>
        <v>2022</v>
      </c>
    </row>
    <row r="940" spans="1:14" x14ac:dyDescent="0.35">
      <c r="A940" t="s">
        <v>2023</v>
      </c>
      <c r="B940" s="1">
        <v>44721.573649733793</v>
      </c>
      <c r="C940" t="s">
        <v>2024</v>
      </c>
      <c r="D940" t="s">
        <v>98</v>
      </c>
      <c r="E940" t="s">
        <v>115</v>
      </c>
      <c r="F940">
        <v>1.5</v>
      </c>
      <c r="G940">
        <v>3</v>
      </c>
      <c r="H940" t="s">
        <v>14</v>
      </c>
      <c r="I940" t="s">
        <v>21</v>
      </c>
      <c r="J940" t="s">
        <v>496</v>
      </c>
      <c r="K940">
        <f>Pqp_supermarket_data[[#This Row],[Unit_Price]]*Pqp_supermarket_data[[#This Row],[Quantity]]</f>
        <v>4.5</v>
      </c>
      <c r="L940" t="str">
        <f>TEXT(Pqp_supermarket_data[[#This Row],[DateTime]],"ddd")</f>
        <v>Thu</v>
      </c>
      <c r="M940" t="str">
        <f>TEXT(Pqp_supermarket_data[[#This Row],[DateTime]],"mmm")</f>
        <v>Jun</v>
      </c>
      <c r="N940" t="str">
        <f>TEXT(Pqp_supermarket_data[[#This Row],[DateTime]],"yyy")</f>
        <v>2022</v>
      </c>
    </row>
    <row r="941" spans="1:14" x14ac:dyDescent="0.35">
      <c r="A941" t="s">
        <v>2025</v>
      </c>
      <c r="B941" s="1">
        <v>44335.176427523147</v>
      </c>
      <c r="C941" t="s">
        <v>2026</v>
      </c>
      <c r="D941" t="s">
        <v>208</v>
      </c>
      <c r="E941" t="s">
        <v>148</v>
      </c>
      <c r="F941">
        <v>5.5</v>
      </c>
      <c r="G941">
        <v>1</v>
      </c>
      <c r="H941" t="s">
        <v>14</v>
      </c>
      <c r="I941" t="s">
        <v>86</v>
      </c>
      <c r="J941" t="s">
        <v>134</v>
      </c>
      <c r="K941">
        <f>Pqp_supermarket_data[[#This Row],[Unit_Price]]*Pqp_supermarket_data[[#This Row],[Quantity]]</f>
        <v>5.5</v>
      </c>
      <c r="L941" t="str">
        <f>TEXT(Pqp_supermarket_data[[#This Row],[DateTime]],"ddd")</f>
        <v>Wed</v>
      </c>
      <c r="M941" t="str">
        <f>TEXT(Pqp_supermarket_data[[#This Row],[DateTime]],"mmm")</f>
        <v>May</v>
      </c>
      <c r="N941" t="str">
        <f>TEXT(Pqp_supermarket_data[[#This Row],[DateTime]],"yyy")</f>
        <v>2021</v>
      </c>
    </row>
    <row r="942" spans="1:14" x14ac:dyDescent="0.35">
      <c r="A942" t="s">
        <v>2027</v>
      </c>
      <c r="B942" s="1">
        <v>45544.56392753472</v>
      </c>
      <c r="C942" t="s">
        <v>2028</v>
      </c>
      <c r="D942" t="s">
        <v>25</v>
      </c>
      <c r="E942" t="s">
        <v>45</v>
      </c>
      <c r="F942">
        <v>1</v>
      </c>
      <c r="G942">
        <v>7</v>
      </c>
      <c r="H942" t="s">
        <v>14</v>
      </c>
      <c r="I942" t="s">
        <v>86</v>
      </c>
      <c r="J942" t="s">
        <v>436</v>
      </c>
      <c r="K942">
        <f>Pqp_supermarket_data[[#This Row],[Unit_Price]]*Pqp_supermarket_data[[#This Row],[Quantity]]</f>
        <v>7</v>
      </c>
      <c r="L942" t="str">
        <f>TEXT(Pqp_supermarket_data[[#This Row],[DateTime]],"ddd")</f>
        <v>Mon</v>
      </c>
      <c r="M942" t="str">
        <f>TEXT(Pqp_supermarket_data[[#This Row],[DateTime]],"mmm")</f>
        <v>Sep</v>
      </c>
      <c r="N942" t="str">
        <f>TEXT(Pqp_supermarket_data[[#This Row],[DateTime]],"yyy")</f>
        <v>2024</v>
      </c>
    </row>
    <row r="943" spans="1:14" x14ac:dyDescent="0.35">
      <c r="A943" t="s">
        <v>2029</v>
      </c>
      <c r="B943" s="1">
        <v>45103.077121979164</v>
      </c>
      <c r="C943" t="s">
        <v>2030</v>
      </c>
      <c r="D943" t="s">
        <v>226</v>
      </c>
      <c r="E943" t="s">
        <v>78</v>
      </c>
      <c r="F943">
        <v>4</v>
      </c>
      <c r="G943">
        <v>1</v>
      </c>
      <c r="H943" t="s">
        <v>14</v>
      </c>
      <c r="I943" t="s">
        <v>36</v>
      </c>
      <c r="J943" t="s">
        <v>485</v>
      </c>
      <c r="K943">
        <f>Pqp_supermarket_data[[#This Row],[Unit_Price]]*Pqp_supermarket_data[[#This Row],[Quantity]]</f>
        <v>4</v>
      </c>
      <c r="L943" t="str">
        <f>TEXT(Pqp_supermarket_data[[#This Row],[DateTime]],"ddd")</f>
        <v>Mon</v>
      </c>
      <c r="M943" t="str">
        <f>TEXT(Pqp_supermarket_data[[#This Row],[DateTime]],"mmm")</f>
        <v>Jun</v>
      </c>
      <c r="N943" t="str">
        <f>TEXT(Pqp_supermarket_data[[#This Row],[DateTime]],"yyy")</f>
        <v>2023</v>
      </c>
    </row>
    <row r="944" spans="1:14" x14ac:dyDescent="0.35">
      <c r="A944" t="s">
        <v>2031</v>
      </c>
      <c r="B944" s="1">
        <v>44373.17364976852</v>
      </c>
      <c r="C944" t="s">
        <v>2032</v>
      </c>
      <c r="D944" t="s">
        <v>226</v>
      </c>
      <c r="E944" t="s">
        <v>65</v>
      </c>
      <c r="F944">
        <v>3</v>
      </c>
      <c r="G944">
        <v>5</v>
      </c>
      <c r="H944" t="s">
        <v>14</v>
      </c>
      <c r="I944" t="s">
        <v>61</v>
      </c>
      <c r="J944" t="s">
        <v>616</v>
      </c>
      <c r="K944">
        <f>Pqp_supermarket_data[[#This Row],[Unit_Price]]*Pqp_supermarket_data[[#This Row],[Quantity]]</f>
        <v>15</v>
      </c>
      <c r="L944" t="str">
        <f>TEXT(Pqp_supermarket_data[[#This Row],[DateTime]],"ddd")</f>
        <v>Sat</v>
      </c>
      <c r="M944" t="str">
        <f>TEXT(Pqp_supermarket_data[[#This Row],[DateTime]],"mmm")</f>
        <v>Jun</v>
      </c>
      <c r="N944" t="str">
        <f>TEXT(Pqp_supermarket_data[[#This Row],[DateTime]],"yyy")</f>
        <v>2021</v>
      </c>
    </row>
    <row r="945" spans="1:14" x14ac:dyDescent="0.35">
      <c r="A945" t="s">
        <v>2033</v>
      </c>
      <c r="B945" s="1">
        <v>44660.109066446763</v>
      </c>
      <c r="C945" t="s">
        <v>2034</v>
      </c>
      <c r="D945" t="s">
        <v>208</v>
      </c>
      <c r="E945" t="s">
        <v>148</v>
      </c>
      <c r="F945">
        <v>5.5</v>
      </c>
      <c r="G945">
        <v>6</v>
      </c>
      <c r="H945" t="s">
        <v>14</v>
      </c>
      <c r="I945" t="s">
        <v>61</v>
      </c>
      <c r="J945" t="s">
        <v>662</v>
      </c>
      <c r="K945">
        <f>Pqp_supermarket_data[[#This Row],[Unit_Price]]*Pqp_supermarket_data[[#This Row],[Quantity]]</f>
        <v>33</v>
      </c>
      <c r="L945" t="str">
        <f>TEXT(Pqp_supermarket_data[[#This Row],[DateTime]],"ddd")</f>
        <v>Sat</v>
      </c>
      <c r="M945" t="str">
        <f>TEXT(Pqp_supermarket_data[[#This Row],[DateTime]],"mmm")</f>
        <v>Apr</v>
      </c>
      <c r="N945" t="str">
        <f>TEXT(Pqp_supermarket_data[[#This Row],[DateTime]],"yyy")</f>
        <v>2022</v>
      </c>
    </row>
    <row r="946" spans="1:14" x14ac:dyDescent="0.35">
      <c r="A946" t="s">
        <v>2035</v>
      </c>
      <c r="B946" s="1">
        <v>44620.767399780096</v>
      </c>
      <c r="C946" t="s">
        <v>2036</v>
      </c>
      <c r="D946" t="s">
        <v>34</v>
      </c>
      <c r="E946" t="s">
        <v>94</v>
      </c>
      <c r="F946">
        <v>0.8</v>
      </c>
      <c r="G946">
        <v>4</v>
      </c>
      <c r="H946" t="s">
        <v>14</v>
      </c>
      <c r="I946" t="s">
        <v>61</v>
      </c>
      <c r="J946" t="s">
        <v>102</v>
      </c>
      <c r="K946">
        <f>Pqp_supermarket_data[[#This Row],[Unit_Price]]*Pqp_supermarket_data[[#This Row],[Quantity]]</f>
        <v>3.2</v>
      </c>
      <c r="L946" t="str">
        <f>TEXT(Pqp_supermarket_data[[#This Row],[DateTime]],"ddd")</f>
        <v>Mon</v>
      </c>
      <c r="M946" t="str">
        <f>TEXT(Pqp_supermarket_data[[#This Row],[DateTime]],"mmm")</f>
        <v>Feb</v>
      </c>
      <c r="N946" t="str">
        <f>TEXT(Pqp_supermarket_data[[#This Row],[DateTime]],"yyy")</f>
        <v>2022</v>
      </c>
    </row>
    <row r="947" spans="1:14" x14ac:dyDescent="0.35">
      <c r="A947" t="s">
        <v>2037</v>
      </c>
      <c r="B947" s="1">
        <v>44408.894483124997</v>
      </c>
      <c r="C947" t="s">
        <v>2038</v>
      </c>
      <c r="D947" t="s">
        <v>98</v>
      </c>
      <c r="E947" t="s">
        <v>137</v>
      </c>
      <c r="F947">
        <v>2.5</v>
      </c>
      <c r="G947">
        <v>3</v>
      </c>
      <c r="H947" t="s">
        <v>14</v>
      </c>
      <c r="I947" t="s">
        <v>86</v>
      </c>
      <c r="J947" t="s">
        <v>744</v>
      </c>
      <c r="K947">
        <f>Pqp_supermarket_data[[#This Row],[Unit_Price]]*Pqp_supermarket_data[[#This Row],[Quantity]]</f>
        <v>7.5</v>
      </c>
      <c r="L947" t="str">
        <f>TEXT(Pqp_supermarket_data[[#This Row],[DateTime]],"ddd")</f>
        <v>Sat</v>
      </c>
      <c r="M947" t="str">
        <f>TEXT(Pqp_supermarket_data[[#This Row],[DateTime]],"mmm")</f>
        <v>Jul</v>
      </c>
      <c r="N947" t="str">
        <f>TEXT(Pqp_supermarket_data[[#This Row],[DateTime]],"yyy")</f>
        <v>2021</v>
      </c>
    </row>
    <row r="948" spans="1:14" x14ac:dyDescent="0.35">
      <c r="A948" t="s">
        <v>2039</v>
      </c>
      <c r="B948" s="1">
        <v>44501.936844236108</v>
      </c>
      <c r="C948" t="s">
        <v>2040</v>
      </c>
      <c r="D948" t="s">
        <v>34</v>
      </c>
      <c r="E948" t="s">
        <v>20</v>
      </c>
      <c r="F948">
        <v>1</v>
      </c>
      <c r="G948">
        <v>6</v>
      </c>
      <c r="H948" t="s">
        <v>14</v>
      </c>
      <c r="I948" t="s">
        <v>86</v>
      </c>
      <c r="J948" t="s">
        <v>404</v>
      </c>
      <c r="K948">
        <f>Pqp_supermarket_data[[#This Row],[Unit_Price]]*Pqp_supermarket_data[[#This Row],[Quantity]]</f>
        <v>6</v>
      </c>
      <c r="L948" t="str">
        <f>TEXT(Pqp_supermarket_data[[#This Row],[DateTime]],"ddd")</f>
        <v>Mon</v>
      </c>
      <c r="M948" t="str">
        <f>TEXT(Pqp_supermarket_data[[#This Row],[DateTime]],"mmm")</f>
        <v>Nov</v>
      </c>
      <c r="N948" t="str">
        <f>TEXT(Pqp_supermarket_data[[#This Row],[DateTime]],"yyy")</f>
        <v>2021</v>
      </c>
    </row>
    <row r="949" spans="1:14" x14ac:dyDescent="0.35">
      <c r="A949" t="s">
        <v>2041</v>
      </c>
      <c r="B949" s="1">
        <v>45671.879899803243</v>
      </c>
      <c r="C949" t="s">
        <v>2042</v>
      </c>
      <c r="D949" t="s">
        <v>171</v>
      </c>
      <c r="E949" t="s">
        <v>39</v>
      </c>
      <c r="F949">
        <v>3.2</v>
      </c>
      <c r="G949">
        <v>9</v>
      </c>
      <c r="H949" t="s">
        <v>14</v>
      </c>
      <c r="I949" t="s">
        <v>21</v>
      </c>
      <c r="J949" t="s">
        <v>397</v>
      </c>
      <c r="K949">
        <f>Pqp_supermarket_data[[#This Row],[Unit_Price]]*Pqp_supermarket_data[[#This Row],[Quantity]]</f>
        <v>28.8</v>
      </c>
      <c r="L949" t="str">
        <f>TEXT(Pqp_supermarket_data[[#This Row],[DateTime]],"ddd")</f>
        <v>Tue</v>
      </c>
      <c r="M949" t="str">
        <f>TEXT(Pqp_supermarket_data[[#This Row],[DateTime]],"mmm")</f>
        <v>Jan</v>
      </c>
      <c r="N949" t="str">
        <f>TEXT(Pqp_supermarket_data[[#This Row],[DateTime]],"yyy")</f>
        <v>2025</v>
      </c>
    </row>
    <row r="950" spans="1:14" x14ac:dyDescent="0.35">
      <c r="A950" t="s">
        <v>2043</v>
      </c>
      <c r="B950" s="1">
        <v>45359.779899803238</v>
      </c>
      <c r="C950" t="s">
        <v>2044</v>
      </c>
      <c r="D950" t="s">
        <v>44</v>
      </c>
      <c r="E950" t="s">
        <v>53</v>
      </c>
      <c r="F950">
        <v>2.8</v>
      </c>
      <c r="G950">
        <v>2</v>
      </c>
      <c r="H950" t="s">
        <v>14</v>
      </c>
      <c r="I950" t="s">
        <v>15</v>
      </c>
      <c r="J950" t="s">
        <v>339</v>
      </c>
      <c r="K950">
        <f>Pqp_supermarket_data[[#This Row],[Unit_Price]]*Pqp_supermarket_data[[#This Row],[Quantity]]</f>
        <v>5.6</v>
      </c>
      <c r="L950" t="str">
        <f>TEXT(Pqp_supermarket_data[[#This Row],[DateTime]],"ddd")</f>
        <v>Fri</v>
      </c>
      <c r="M950" t="str">
        <f>TEXT(Pqp_supermarket_data[[#This Row],[DateTime]],"mmm")</f>
        <v>Mar</v>
      </c>
      <c r="N950" t="str">
        <f>TEXT(Pqp_supermarket_data[[#This Row],[DateTime]],"yyy")</f>
        <v>2024</v>
      </c>
    </row>
    <row r="951" spans="1:14" x14ac:dyDescent="0.35">
      <c r="A951" t="s">
        <v>2045</v>
      </c>
      <c r="B951" s="1">
        <v>45723.126427581017</v>
      </c>
      <c r="C951" t="s">
        <v>2046</v>
      </c>
      <c r="D951" t="s">
        <v>30</v>
      </c>
      <c r="E951" t="s">
        <v>20</v>
      </c>
      <c r="F951">
        <v>1</v>
      </c>
      <c r="G951">
        <v>3</v>
      </c>
      <c r="H951" t="s">
        <v>14</v>
      </c>
      <c r="I951" t="s">
        <v>21</v>
      </c>
      <c r="J951" t="s">
        <v>538</v>
      </c>
      <c r="K951">
        <f>Pqp_supermarket_data[[#This Row],[Unit_Price]]*Pqp_supermarket_data[[#This Row],[Quantity]]</f>
        <v>3</v>
      </c>
      <c r="L951" t="str">
        <f>TEXT(Pqp_supermarket_data[[#This Row],[DateTime]],"ddd")</f>
        <v>Fri</v>
      </c>
      <c r="M951" t="str">
        <f>TEXT(Pqp_supermarket_data[[#This Row],[DateTime]],"mmm")</f>
        <v>Mar</v>
      </c>
      <c r="N951" t="str">
        <f>TEXT(Pqp_supermarket_data[[#This Row],[DateTime]],"yyy")</f>
        <v>2025</v>
      </c>
    </row>
    <row r="952" spans="1:14" x14ac:dyDescent="0.35">
      <c r="A952" t="s">
        <v>2047</v>
      </c>
      <c r="B952" s="1">
        <v>44989.325038703704</v>
      </c>
      <c r="C952" t="s">
        <v>2048</v>
      </c>
      <c r="D952" t="s">
        <v>77</v>
      </c>
      <c r="E952" t="s">
        <v>57</v>
      </c>
      <c r="F952">
        <v>4.5</v>
      </c>
      <c r="G952">
        <v>6</v>
      </c>
      <c r="H952" t="s">
        <v>14</v>
      </c>
      <c r="I952" t="s">
        <v>36</v>
      </c>
      <c r="J952" t="s">
        <v>74</v>
      </c>
      <c r="K952">
        <f>Pqp_supermarket_data[[#This Row],[Unit_Price]]*Pqp_supermarket_data[[#This Row],[Quantity]]</f>
        <v>27</v>
      </c>
      <c r="L952" t="str">
        <f>TEXT(Pqp_supermarket_data[[#This Row],[DateTime]],"ddd")</f>
        <v>Sat</v>
      </c>
      <c r="M952" t="str">
        <f>TEXT(Pqp_supermarket_data[[#This Row],[DateTime]],"mmm")</f>
        <v>Mar</v>
      </c>
      <c r="N952" t="str">
        <f>TEXT(Pqp_supermarket_data[[#This Row],[DateTime]],"yyy")</f>
        <v>2023</v>
      </c>
    </row>
    <row r="953" spans="1:14" x14ac:dyDescent="0.35">
      <c r="A953" t="s">
        <v>2049</v>
      </c>
      <c r="B953" s="1">
        <v>45230.014622037037</v>
      </c>
      <c r="C953" t="s">
        <v>2050</v>
      </c>
      <c r="D953" t="s">
        <v>98</v>
      </c>
      <c r="E953" t="s">
        <v>26</v>
      </c>
      <c r="F953">
        <v>2.5</v>
      </c>
      <c r="G953">
        <v>6</v>
      </c>
      <c r="H953" t="s">
        <v>14</v>
      </c>
      <c r="I953" t="s">
        <v>86</v>
      </c>
      <c r="J953" t="s">
        <v>108</v>
      </c>
      <c r="K953">
        <f>Pqp_supermarket_data[[#This Row],[Unit_Price]]*Pqp_supermarket_data[[#This Row],[Quantity]]</f>
        <v>15</v>
      </c>
      <c r="L953" t="str">
        <f>TEXT(Pqp_supermarket_data[[#This Row],[DateTime]],"ddd")</f>
        <v>Tue</v>
      </c>
      <c r="M953" t="str">
        <f>TEXT(Pqp_supermarket_data[[#This Row],[DateTime]],"mmm")</f>
        <v>Oct</v>
      </c>
      <c r="N953" t="str">
        <f>TEXT(Pqp_supermarket_data[[#This Row],[DateTime]],"yyy")</f>
        <v>2023</v>
      </c>
    </row>
    <row r="954" spans="1:14" x14ac:dyDescent="0.35">
      <c r="A954" t="s">
        <v>2051</v>
      </c>
      <c r="B954" s="1">
        <v>45343.879899826388</v>
      </c>
      <c r="C954" t="s">
        <v>2052</v>
      </c>
      <c r="D954" t="s">
        <v>69</v>
      </c>
      <c r="E954" t="s">
        <v>148</v>
      </c>
      <c r="F954">
        <v>5.5</v>
      </c>
      <c r="G954">
        <v>6</v>
      </c>
      <c r="H954" t="s">
        <v>14</v>
      </c>
      <c r="I954" t="s">
        <v>40</v>
      </c>
      <c r="J954" t="s">
        <v>267</v>
      </c>
      <c r="K954">
        <f>Pqp_supermarket_data[[#This Row],[Unit_Price]]*Pqp_supermarket_data[[#This Row],[Quantity]]</f>
        <v>33</v>
      </c>
      <c r="L954" t="str">
        <f>TEXT(Pqp_supermarket_data[[#This Row],[DateTime]],"ddd")</f>
        <v>Wed</v>
      </c>
      <c r="M954" t="str">
        <f>TEXT(Pqp_supermarket_data[[#This Row],[DateTime]],"mmm")</f>
        <v>Feb</v>
      </c>
      <c r="N954" t="str">
        <f>TEXT(Pqp_supermarket_data[[#This Row],[DateTime]],"yyy")</f>
        <v>2024</v>
      </c>
    </row>
    <row r="955" spans="1:14" x14ac:dyDescent="0.35">
      <c r="A955" t="s">
        <v>2053</v>
      </c>
      <c r="B955" s="1">
        <v>45373.456983159725</v>
      </c>
      <c r="C955" t="s">
        <v>2054</v>
      </c>
      <c r="D955" t="s">
        <v>85</v>
      </c>
      <c r="E955" t="s">
        <v>35</v>
      </c>
      <c r="F955">
        <v>1.2</v>
      </c>
      <c r="G955">
        <v>8</v>
      </c>
      <c r="H955" t="s">
        <v>14</v>
      </c>
      <c r="I955" t="s">
        <v>21</v>
      </c>
      <c r="J955" t="s">
        <v>744</v>
      </c>
      <c r="K955">
        <f>Pqp_supermarket_data[[#This Row],[Unit_Price]]*Pqp_supermarket_data[[#This Row],[Quantity]]</f>
        <v>9.6</v>
      </c>
      <c r="L955" t="str">
        <f>TEXT(Pqp_supermarket_data[[#This Row],[DateTime]],"ddd")</f>
        <v>Fri</v>
      </c>
      <c r="M955" t="str">
        <f>TEXT(Pqp_supermarket_data[[#This Row],[DateTime]],"mmm")</f>
        <v>Mar</v>
      </c>
      <c r="N955" t="str">
        <f>TEXT(Pqp_supermarket_data[[#This Row],[DateTime]],"yyy")</f>
        <v>2024</v>
      </c>
    </row>
    <row r="956" spans="1:14" x14ac:dyDescent="0.35">
      <c r="A956" t="s">
        <v>2055</v>
      </c>
      <c r="B956" s="1">
        <v>45397.102122048615</v>
      </c>
      <c r="C956" t="s">
        <v>2056</v>
      </c>
      <c r="D956" t="s">
        <v>98</v>
      </c>
      <c r="E956" t="s">
        <v>90</v>
      </c>
      <c r="F956">
        <v>1.8</v>
      </c>
      <c r="G956">
        <v>5</v>
      </c>
      <c r="H956" t="s">
        <v>14</v>
      </c>
      <c r="I956" t="s">
        <v>61</v>
      </c>
      <c r="J956" t="s">
        <v>209</v>
      </c>
      <c r="K956">
        <f>Pqp_supermarket_data[[#This Row],[Unit_Price]]*Pqp_supermarket_data[[#This Row],[Quantity]]</f>
        <v>9</v>
      </c>
      <c r="L956" t="str">
        <f>TEXT(Pqp_supermarket_data[[#This Row],[DateTime]],"ddd")</f>
        <v>Mon</v>
      </c>
      <c r="M956" t="str">
        <f>TEXT(Pqp_supermarket_data[[#This Row],[DateTime]],"mmm")</f>
        <v>Apr</v>
      </c>
      <c r="N956" t="str">
        <f>TEXT(Pqp_supermarket_data[[#This Row],[DateTime]],"yyy")</f>
        <v>2024</v>
      </c>
    </row>
    <row r="957" spans="1:14" x14ac:dyDescent="0.35">
      <c r="A957" t="s">
        <v>2057</v>
      </c>
      <c r="B957" s="1">
        <v>45584.863233159725</v>
      </c>
      <c r="C957" t="s">
        <v>2058</v>
      </c>
      <c r="D957" t="s">
        <v>69</v>
      </c>
      <c r="E957" t="s">
        <v>78</v>
      </c>
      <c r="F957">
        <v>4</v>
      </c>
      <c r="G957">
        <v>1</v>
      </c>
      <c r="H957" t="s">
        <v>14</v>
      </c>
      <c r="I957" t="s">
        <v>86</v>
      </c>
      <c r="J957" t="s">
        <v>423</v>
      </c>
      <c r="K957">
        <f>Pqp_supermarket_data[[#This Row],[Unit_Price]]*Pqp_supermarket_data[[#This Row],[Quantity]]</f>
        <v>4</v>
      </c>
      <c r="L957" t="str">
        <f>TEXT(Pqp_supermarket_data[[#This Row],[DateTime]],"ddd")</f>
        <v>Sat</v>
      </c>
      <c r="M957" t="str">
        <f>TEXT(Pqp_supermarket_data[[#This Row],[DateTime]],"mmm")</f>
        <v>Oct</v>
      </c>
      <c r="N957" t="str">
        <f>TEXT(Pqp_supermarket_data[[#This Row],[DateTime]],"yyy")</f>
        <v>2024</v>
      </c>
    </row>
    <row r="958" spans="1:14" x14ac:dyDescent="0.35">
      <c r="A958" t="s">
        <v>2059</v>
      </c>
      <c r="B958" s="1">
        <v>44717.434760949072</v>
      </c>
      <c r="C958" t="s">
        <v>2060</v>
      </c>
      <c r="D958" t="s">
        <v>127</v>
      </c>
      <c r="E958" t="s">
        <v>137</v>
      </c>
      <c r="F958">
        <v>2.5</v>
      </c>
      <c r="G958">
        <v>10</v>
      </c>
      <c r="H958" t="s">
        <v>14</v>
      </c>
      <c r="I958" t="s">
        <v>40</v>
      </c>
      <c r="J958" t="s">
        <v>517</v>
      </c>
      <c r="K958">
        <f>Pqp_supermarket_data[[#This Row],[Unit_Price]]*Pqp_supermarket_data[[#This Row],[Quantity]]</f>
        <v>25</v>
      </c>
      <c r="L958" t="str">
        <f>TEXT(Pqp_supermarket_data[[#This Row],[DateTime]],"ddd")</f>
        <v>Sun</v>
      </c>
      <c r="M958" t="str">
        <f>TEXT(Pqp_supermarket_data[[#This Row],[DateTime]],"mmm")</f>
        <v>Jun</v>
      </c>
      <c r="N958" t="str">
        <f>TEXT(Pqp_supermarket_data[[#This Row],[DateTime]],"yyy")</f>
        <v>2022</v>
      </c>
    </row>
    <row r="959" spans="1:14" x14ac:dyDescent="0.35">
      <c r="A959" t="s">
        <v>2061</v>
      </c>
      <c r="B959" s="1">
        <v>44830.513927615742</v>
      </c>
      <c r="C959" t="s">
        <v>2062</v>
      </c>
      <c r="D959" t="s">
        <v>85</v>
      </c>
      <c r="E959" t="s">
        <v>57</v>
      </c>
      <c r="F959">
        <v>4.5</v>
      </c>
      <c r="G959">
        <v>1</v>
      </c>
      <c r="H959" t="s">
        <v>14</v>
      </c>
      <c r="I959" t="s">
        <v>21</v>
      </c>
      <c r="J959" t="s">
        <v>302</v>
      </c>
      <c r="K959">
        <f>Pqp_supermarket_data[[#This Row],[Unit_Price]]*Pqp_supermarket_data[[#This Row],[Quantity]]</f>
        <v>4.5</v>
      </c>
      <c r="L959" t="str">
        <f>TEXT(Pqp_supermarket_data[[#This Row],[DateTime]],"ddd")</f>
        <v>Mon</v>
      </c>
      <c r="M959" t="str">
        <f>TEXT(Pqp_supermarket_data[[#This Row],[DateTime]],"mmm")</f>
        <v>Sep</v>
      </c>
      <c r="N959" t="str">
        <f>TEXT(Pqp_supermarket_data[[#This Row],[DateTime]],"yyy")</f>
        <v>2022</v>
      </c>
    </row>
    <row r="960" spans="1:14" x14ac:dyDescent="0.35">
      <c r="A960" t="s">
        <v>2063</v>
      </c>
      <c r="B960" s="1">
        <v>45146.686844282405</v>
      </c>
      <c r="C960" t="s">
        <v>2064</v>
      </c>
      <c r="D960" t="s">
        <v>25</v>
      </c>
      <c r="E960" t="s">
        <v>39</v>
      </c>
      <c r="F960">
        <v>3.2</v>
      </c>
      <c r="G960">
        <v>4</v>
      </c>
      <c r="H960" t="s">
        <v>14</v>
      </c>
      <c r="I960" t="s">
        <v>15</v>
      </c>
      <c r="J960" t="s">
        <v>429</v>
      </c>
      <c r="K960">
        <f>Pqp_supermarket_data[[#This Row],[Unit_Price]]*Pqp_supermarket_data[[#This Row],[Quantity]]</f>
        <v>12.8</v>
      </c>
      <c r="L960" t="str">
        <f>TEXT(Pqp_supermarket_data[[#This Row],[DateTime]],"ddd")</f>
        <v>Tue</v>
      </c>
      <c r="M960" t="str">
        <f>TEXT(Pqp_supermarket_data[[#This Row],[DateTime]],"mmm")</f>
        <v>Aug</v>
      </c>
      <c r="N960" t="str">
        <f>TEXT(Pqp_supermarket_data[[#This Row],[DateTime]],"yyy")</f>
        <v>2023</v>
      </c>
    </row>
    <row r="961" spans="1:14" x14ac:dyDescent="0.35">
      <c r="A961" t="s">
        <v>2065</v>
      </c>
      <c r="B961" s="1">
        <v>45219.837538749998</v>
      </c>
      <c r="C961" t="s">
        <v>2066</v>
      </c>
      <c r="D961" t="s">
        <v>226</v>
      </c>
      <c r="E961" t="s">
        <v>70</v>
      </c>
      <c r="F961">
        <v>5</v>
      </c>
      <c r="G961">
        <v>2</v>
      </c>
      <c r="H961" t="s">
        <v>14</v>
      </c>
      <c r="I961" t="s">
        <v>61</v>
      </c>
      <c r="J961" t="s">
        <v>744</v>
      </c>
      <c r="K961">
        <f>Pqp_supermarket_data[[#This Row],[Unit_Price]]*Pqp_supermarket_data[[#This Row],[Quantity]]</f>
        <v>10</v>
      </c>
      <c r="L961" t="str">
        <f>TEXT(Pqp_supermarket_data[[#This Row],[DateTime]],"ddd")</f>
        <v>Fri</v>
      </c>
      <c r="M961" t="str">
        <f>TEXT(Pqp_supermarket_data[[#This Row],[DateTime]],"mmm")</f>
        <v>Oct</v>
      </c>
      <c r="N961" t="str">
        <f>TEXT(Pqp_supermarket_data[[#This Row],[DateTime]],"yyy")</f>
        <v>2023</v>
      </c>
    </row>
    <row r="962" spans="1:14" x14ac:dyDescent="0.35">
      <c r="A962" t="s">
        <v>2067</v>
      </c>
      <c r="B962" s="1">
        <v>45464.221566527776</v>
      </c>
      <c r="C962" t="s">
        <v>2068</v>
      </c>
      <c r="D962" t="s">
        <v>208</v>
      </c>
      <c r="E962" t="s">
        <v>45</v>
      </c>
      <c r="F962">
        <v>1</v>
      </c>
      <c r="G962">
        <v>9</v>
      </c>
      <c r="H962" t="s">
        <v>14</v>
      </c>
      <c r="I962" t="s">
        <v>21</v>
      </c>
      <c r="J962" t="s">
        <v>192</v>
      </c>
      <c r="K962">
        <f>Pqp_supermarket_data[[#This Row],[Unit_Price]]*Pqp_supermarket_data[[#This Row],[Quantity]]</f>
        <v>9</v>
      </c>
      <c r="L962" t="str">
        <f>TEXT(Pqp_supermarket_data[[#This Row],[DateTime]],"ddd")</f>
        <v>Fri</v>
      </c>
      <c r="M962" t="str">
        <f>TEXT(Pqp_supermarket_data[[#This Row],[DateTime]],"mmm")</f>
        <v>Jun</v>
      </c>
      <c r="N962" t="str">
        <f>TEXT(Pqp_supermarket_data[[#This Row],[DateTime]],"yyy")</f>
        <v>2024</v>
      </c>
    </row>
    <row r="963" spans="1:14" x14ac:dyDescent="0.35">
      <c r="A963" t="s">
        <v>2069</v>
      </c>
      <c r="B963" s="1">
        <v>45362.836149861112</v>
      </c>
      <c r="C963" t="s">
        <v>2070</v>
      </c>
      <c r="D963" t="s">
        <v>85</v>
      </c>
      <c r="E963" t="s">
        <v>39</v>
      </c>
      <c r="F963">
        <v>3.2</v>
      </c>
      <c r="G963">
        <v>5</v>
      </c>
      <c r="H963" t="s">
        <v>14</v>
      </c>
      <c r="I963" t="s">
        <v>15</v>
      </c>
      <c r="J963" t="s">
        <v>54</v>
      </c>
      <c r="K963">
        <f>Pqp_supermarket_data[[#This Row],[Unit_Price]]*Pqp_supermarket_data[[#This Row],[Quantity]]</f>
        <v>16</v>
      </c>
      <c r="L963" t="str">
        <f>TEXT(Pqp_supermarket_data[[#This Row],[DateTime]],"ddd")</f>
        <v>Mon</v>
      </c>
      <c r="M963" t="str">
        <f>TEXT(Pqp_supermarket_data[[#This Row],[DateTime]],"mmm")</f>
        <v>Mar</v>
      </c>
      <c r="N963" t="str">
        <f>TEXT(Pqp_supermarket_data[[#This Row],[DateTime]],"yyy")</f>
        <v>2024</v>
      </c>
    </row>
    <row r="964" spans="1:14" x14ac:dyDescent="0.35">
      <c r="A964" t="s">
        <v>2071</v>
      </c>
      <c r="B964" s="1">
        <v>45205.799344317129</v>
      </c>
      <c r="C964" t="s">
        <v>2072</v>
      </c>
      <c r="D964" t="s">
        <v>69</v>
      </c>
      <c r="E964" t="s">
        <v>65</v>
      </c>
      <c r="F964">
        <v>3</v>
      </c>
      <c r="G964">
        <v>5</v>
      </c>
      <c r="H964" t="s">
        <v>14</v>
      </c>
      <c r="I964" t="s">
        <v>21</v>
      </c>
      <c r="J964" t="s">
        <v>102</v>
      </c>
      <c r="K964">
        <f>Pqp_supermarket_data[[#This Row],[Unit_Price]]*Pqp_supermarket_data[[#This Row],[Quantity]]</f>
        <v>15</v>
      </c>
      <c r="L964" t="str">
        <f>TEXT(Pqp_supermarket_data[[#This Row],[DateTime]],"ddd")</f>
        <v>Fri</v>
      </c>
      <c r="M964" t="str">
        <f>TEXT(Pqp_supermarket_data[[#This Row],[DateTime]],"mmm")</f>
        <v>Oct</v>
      </c>
      <c r="N964" t="str">
        <f>TEXT(Pqp_supermarket_data[[#This Row],[DateTime]],"yyy")</f>
        <v>2023</v>
      </c>
    </row>
    <row r="965" spans="1:14" x14ac:dyDescent="0.35">
      <c r="A965" t="s">
        <v>2073</v>
      </c>
      <c r="B965" s="1">
        <v>44678.974344317132</v>
      </c>
      <c r="C965" t="s">
        <v>2074</v>
      </c>
      <c r="D965" t="s">
        <v>69</v>
      </c>
      <c r="E965" t="s">
        <v>35</v>
      </c>
      <c r="F965">
        <v>1.2</v>
      </c>
      <c r="G965">
        <v>8</v>
      </c>
      <c r="H965" t="s">
        <v>14</v>
      </c>
      <c r="I965" t="s">
        <v>36</v>
      </c>
      <c r="J965" t="s">
        <v>166</v>
      </c>
      <c r="K965">
        <f>Pqp_supermarket_data[[#This Row],[Unit_Price]]*Pqp_supermarket_data[[#This Row],[Quantity]]</f>
        <v>9.6</v>
      </c>
      <c r="L965" t="str">
        <f>TEXT(Pqp_supermarket_data[[#This Row],[DateTime]],"ddd")</f>
        <v>Wed</v>
      </c>
      <c r="M965" t="str">
        <f>TEXT(Pqp_supermarket_data[[#This Row],[DateTime]],"mmm")</f>
        <v>Apr</v>
      </c>
      <c r="N965" t="str">
        <f>TEXT(Pqp_supermarket_data[[#This Row],[DateTime]],"yyy")</f>
        <v>2022</v>
      </c>
    </row>
    <row r="966" spans="1:14" x14ac:dyDescent="0.35">
      <c r="A966" t="s">
        <v>2075</v>
      </c>
      <c r="B966" s="1">
        <v>45570.05767765046</v>
      </c>
      <c r="C966" t="s">
        <v>2076</v>
      </c>
      <c r="D966" t="s">
        <v>77</v>
      </c>
      <c r="E966" t="s">
        <v>145</v>
      </c>
      <c r="F966">
        <v>1.7</v>
      </c>
      <c r="G966">
        <v>7</v>
      </c>
      <c r="H966" t="s">
        <v>14</v>
      </c>
      <c r="I966" t="s">
        <v>15</v>
      </c>
      <c r="J966" t="s">
        <v>54</v>
      </c>
      <c r="K966">
        <f>Pqp_supermarket_data[[#This Row],[Unit_Price]]*Pqp_supermarket_data[[#This Row],[Quantity]]</f>
        <v>11.9</v>
      </c>
      <c r="L966" t="str">
        <f>TEXT(Pqp_supermarket_data[[#This Row],[DateTime]],"ddd")</f>
        <v>Sat</v>
      </c>
      <c r="M966" t="str">
        <f>TEXT(Pqp_supermarket_data[[#This Row],[DateTime]],"mmm")</f>
        <v>Oct</v>
      </c>
      <c r="N966" t="str">
        <f>TEXT(Pqp_supermarket_data[[#This Row],[DateTime]],"yyy")</f>
        <v>2024</v>
      </c>
    </row>
    <row r="967" spans="1:14" x14ac:dyDescent="0.35">
      <c r="A967" t="s">
        <v>2077</v>
      </c>
      <c r="B967" s="1">
        <v>44565.781983217596</v>
      </c>
      <c r="C967" t="s">
        <v>2078</v>
      </c>
      <c r="D967" t="s">
        <v>34</v>
      </c>
      <c r="E967" t="s">
        <v>70</v>
      </c>
      <c r="F967">
        <v>5</v>
      </c>
      <c r="G967">
        <v>10</v>
      </c>
      <c r="H967" t="s">
        <v>14</v>
      </c>
      <c r="I967" t="s">
        <v>61</v>
      </c>
      <c r="J967" t="s">
        <v>245</v>
      </c>
      <c r="K967">
        <f>Pqp_supermarket_data[[#This Row],[Unit_Price]]*Pqp_supermarket_data[[#This Row],[Quantity]]</f>
        <v>50</v>
      </c>
      <c r="L967" t="str">
        <f>TEXT(Pqp_supermarket_data[[#This Row],[DateTime]],"ddd")</f>
        <v>Tue</v>
      </c>
      <c r="M967" t="str">
        <f>TEXT(Pqp_supermarket_data[[#This Row],[DateTime]],"mmm")</f>
        <v>Jan</v>
      </c>
      <c r="N967" t="str">
        <f>TEXT(Pqp_supermarket_data[[#This Row],[DateTime]],"yyy")</f>
        <v>2022</v>
      </c>
    </row>
    <row r="968" spans="1:14" x14ac:dyDescent="0.35">
      <c r="A968" t="s">
        <v>2079</v>
      </c>
      <c r="B968" s="1">
        <v>45106.278511006945</v>
      </c>
      <c r="C968" t="s">
        <v>2080</v>
      </c>
      <c r="D968" t="s">
        <v>226</v>
      </c>
      <c r="E968" t="s">
        <v>20</v>
      </c>
      <c r="F968">
        <v>1</v>
      </c>
      <c r="G968">
        <v>2</v>
      </c>
      <c r="H968" t="s">
        <v>14</v>
      </c>
      <c r="I968" t="s">
        <v>86</v>
      </c>
      <c r="J968" t="s">
        <v>323</v>
      </c>
      <c r="K968">
        <f>Pqp_supermarket_data[[#This Row],[Unit_Price]]*Pqp_supermarket_data[[#This Row],[Quantity]]</f>
        <v>2</v>
      </c>
      <c r="L968" t="str">
        <f>TEXT(Pqp_supermarket_data[[#This Row],[DateTime]],"ddd")</f>
        <v>Thu</v>
      </c>
      <c r="M968" t="str">
        <f>TEXT(Pqp_supermarket_data[[#This Row],[DateTime]],"mmm")</f>
        <v>Jun</v>
      </c>
      <c r="N968" t="str">
        <f>TEXT(Pqp_supermarket_data[[#This Row],[DateTime]],"yyy")</f>
        <v>2023</v>
      </c>
    </row>
    <row r="969" spans="1:14" x14ac:dyDescent="0.35">
      <c r="A969" t="s">
        <v>2081</v>
      </c>
      <c r="B969" s="1">
        <v>45517.440316574073</v>
      </c>
      <c r="C969" t="s">
        <v>2082</v>
      </c>
      <c r="D969" t="s">
        <v>226</v>
      </c>
      <c r="E969" t="s">
        <v>70</v>
      </c>
      <c r="F969">
        <v>5</v>
      </c>
      <c r="G969">
        <v>2</v>
      </c>
      <c r="H969" t="s">
        <v>14</v>
      </c>
      <c r="I969" t="s">
        <v>86</v>
      </c>
      <c r="J969" t="s">
        <v>245</v>
      </c>
      <c r="K969">
        <f>Pqp_supermarket_data[[#This Row],[Unit_Price]]*Pqp_supermarket_data[[#This Row],[Quantity]]</f>
        <v>10</v>
      </c>
      <c r="L969" t="str">
        <f>TEXT(Pqp_supermarket_data[[#This Row],[DateTime]],"ddd")</f>
        <v>Tue</v>
      </c>
      <c r="M969" t="str">
        <f>TEXT(Pqp_supermarket_data[[#This Row],[DateTime]],"mmm")</f>
        <v>Aug</v>
      </c>
      <c r="N969" t="str">
        <f>TEXT(Pqp_supermarket_data[[#This Row],[DateTime]],"yyy")</f>
        <v>2024</v>
      </c>
    </row>
    <row r="970" spans="1:14" x14ac:dyDescent="0.35">
      <c r="A970" t="s">
        <v>2083</v>
      </c>
      <c r="B970" s="1">
        <v>44384.695177685186</v>
      </c>
      <c r="C970" t="s">
        <v>2084</v>
      </c>
      <c r="D970" t="s">
        <v>226</v>
      </c>
      <c r="E970" t="s">
        <v>70</v>
      </c>
      <c r="F970">
        <v>5</v>
      </c>
      <c r="G970">
        <v>8</v>
      </c>
      <c r="H970" t="s">
        <v>14</v>
      </c>
      <c r="I970" t="s">
        <v>15</v>
      </c>
      <c r="J970" t="s">
        <v>499</v>
      </c>
      <c r="K970">
        <f>Pqp_supermarket_data[[#This Row],[Unit_Price]]*Pqp_supermarket_data[[#This Row],[Quantity]]</f>
        <v>40</v>
      </c>
      <c r="L970" t="str">
        <f>TEXT(Pqp_supermarket_data[[#This Row],[DateTime]],"ddd")</f>
        <v>Wed</v>
      </c>
      <c r="M970" t="str">
        <f>TEXT(Pqp_supermarket_data[[#This Row],[DateTime]],"mmm")</f>
        <v>Jul</v>
      </c>
      <c r="N970" t="str">
        <f>TEXT(Pqp_supermarket_data[[#This Row],[DateTime]],"yyy")</f>
        <v>2021</v>
      </c>
    </row>
    <row r="971" spans="1:14" x14ac:dyDescent="0.35">
      <c r="A971" t="s">
        <v>2085</v>
      </c>
      <c r="B971" s="1">
        <v>45491.756983252315</v>
      </c>
      <c r="C971" t="s">
        <v>2086</v>
      </c>
      <c r="D971" t="s">
        <v>19</v>
      </c>
      <c r="E971" t="s">
        <v>53</v>
      </c>
      <c r="F971">
        <v>2.8</v>
      </c>
      <c r="G971">
        <v>7</v>
      </c>
      <c r="H971" t="s">
        <v>14</v>
      </c>
      <c r="I971" t="s">
        <v>15</v>
      </c>
      <c r="J971" t="s">
        <v>160</v>
      </c>
      <c r="K971">
        <f>Pqp_supermarket_data[[#This Row],[Unit_Price]]*Pqp_supermarket_data[[#This Row],[Quantity]]</f>
        <v>19.599999999999998</v>
      </c>
      <c r="L971" t="str">
        <f>TEXT(Pqp_supermarket_data[[#This Row],[DateTime]],"ddd")</f>
        <v>Thu</v>
      </c>
      <c r="M971" t="str">
        <f>TEXT(Pqp_supermarket_data[[#This Row],[DateTime]],"mmm")</f>
        <v>Jul</v>
      </c>
      <c r="N971" t="str">
        <f>TEXT(Pqp_supermarket_data[[#This Row],[DateTime]],"yyy")</f>
        <v>2024</v>
      </c>
    </row>
    <row r="972" spans="1:14" x14ac:dyDescent="0.35">
      <c r="A972" t="s">
        <v>2087</v>
      </c>
      <c r="B972" s="1">
        <v>44424.108372141207</v>
      </c>
      <c r="C972" t="s">
        <v>2088</v>
      </c>
      <c r="D972" t="s">
        <v>34</v>
      </c>
      <c r="E972" t="s">
        <v>39</v>
      </c>
      <c r="F972">
        <v>3.2</v>
      </c>
      <c r="G972">
        <v>8</v>
      </c>
      <c r="H972" t="s">
        <v>14</v>
      </c>
      <c r="I972" t="s">
        <v>86</v>
      </c>
      <c r="J972" t="s">
        <v>27</v>
      </c>
      <c r="K972">
        <f>Pqp_supermarket_data[[#This Row],[Unit_Price]]*Pqp_supermarket_data[[#This Row],[Quantity]]</f>
        <v>25.6</v>
      </c>
      <c r="L972" t="str">
        <f>TEXT(Pqp_supermarket_data[[#This Row],[DateTime]],"ddd")</f>
        <v>Mon</v>
      </c>
      <c r="M972" t="str">
        <f>TEXT(Pqp_supermarket_data[[#This Row],[DateTime]],"mmm")</f>
        <v>Aug</v>
      </c>
      <c r="N972" t="str">
        <f>TEXT(Pqp_supermarket_data[[#This Row],[DateTime]],"yyy")</f>
        <v>2021</v>
      </c>
    </row>
    <row r="973" spans="1:14" x14ac:dyDescent="0.35">
      <c r="A973" t="s">
        <v>2089</v>
      </c>
      <c r="B973" s="1">
        <v>45652.929899918985</v>
      </c>
      <c r="C973" t="s">
        <v>2090</v>
      </c>
      <c r="D973" t="s">
        <v>44</v>
      </c>
      <c r="E973" t="s">
        <v>115</v>
      </c>
      <c r="F973">
        <v>1.5</v>
      </c>
      <c r="G973">
        <v>8</v>
      </c>
      <c r="H973" t="s">
        <v>14</v>
      </c>
      <c r="I973" t="s">
        <v>15</v>
      </c>
      <c r="J973" t="s">
        <v>429</v>
      </c>
      <c r="K973">
        <f>Pqp_supermarket_data[[#This Row],[Unit_Price]]*Pqp_supermarket_data[[#This Row],[Quantity]]</f>
        <v>12</v>
      </c>
      <c r="L973" t="str">
        <f>TEXT(Pqp_supermarket_data[[#This Row],[DateTime]],"ddd")</f>
        <v>Thu</v>
      </c>
      <c r="M973" t="str">
        <f>TEXT(Pqp_supermarket_data[[#This Row],[DateTime]],"mmm")</f>
        <v>Dec</v>
      </c>
      <c r="N973" t="str">
        <f>TEXT(Pqp_supermarket_data[[#This Row],[DateTime]],"yyy")</f>
        <v>2024</v>
      </c>
    </row>
    <row r="974" spans="1:14" x14ac:dyDescent="0.35">
      <c r="A974" t="s">
        <v>2091</v>
      </c>
      <c r="B974" s="1">
        <v>45072.743094363424</v>
      </c>
      <c r="C974" t="s">
        <v>2092</v>
      </c>
      <c r="D974" t="s">
        <v>69</v>
      </c>
      <c r="E974" t="s">
        <v>90</v>
      </c>
      <c r="F974">
        <v>1.8</v>
      </c>
      <c r="G974">
        <v>2</v>
      </c>
      <c r="H974" t="s">
        <v>14</v>
      </c>
      <c r="I974" t="s">
        <v>86</v>
      </c>
      <c r="J974" t="s">
        <v>541</v>
      </c>
      <c r="K974">
        <f>Pqp_supermarket_data[[#This Row],[Unit_Price]]*Pqp_supermarket_data[[#This Row],[Quantity]]</f>
        <v>3.6</v>
      </c>
      <c r="L974" t="str">
        <f>TEXT(Pqp_supermarket_data[[#This Row],[DateTime]],"ddd")</f>
        <v>Fri</v>
      </c>
      <c r="M974" t="str">
        <f>TEXT(Pqp_supermarket_data[[#This Row],[DateTime]],"mmm")</f>
        <v>May</v>
      </c>
      <c r="N974" t="str">
        <f>TEXT(Pqp_supermarket_data[[#This Row],[DateTime]],"yyy")</f>
        <v>2023</v>
      </c>
    </row>
    <row r="975" spans="1:14" x14ac:dyDescent="0.35">
      <c r="A975" t="s">
        <v>2093</v>
      </c>
      <c r="B975" s="1">
        <v>45567.118788831016</v>
      </c>
      <c r="C975" t="s">
        <v>2094</v>
      </c>
      <c r="D975" t="s">
        <v>30</v>
      </c>
      <c r="E975" t="s">
        <v>65</v>
      </c>
      <c r="F975">
        <v>3</v>
      </c>
      <c r="G975">
        <v>5</v>
      </c>
      <c r="H975" t="s">
        <v>14</v>
      </c>
      <c r="I975" t="s">
        <v>21</v>
      </c>
      <c r="J975" t="s">
        <v>311</v>
      </c>
      <c r="K975">
        <f>Pqp_supermarket_data[[#This Row],[Unit_Price]]*Pqp_supermarket_data[[#This Row],[Quantity]]</f>
        <v>15</v>
      </c>
      <c r="L975" t="str">
        <f>TEXT(Pqp_supermarket_data[[#This Row],[DateTime]],"ddd")</f>
        <v>Wed</v>
      </c>
      <c r="M975" t="str">
        <f>TEXT(Pqp_supermarket_data[[#This Row],[DateTime]],"mmm")</f>
        <v>Oct</v>
      </c>
      <c r="N975" t="str">
        <f>TEXT(Pqp_supermarket_data[[#This Row],[DateTime]],"yyy")</f>
        <v>2024</v>
      </c>
    </row>
    <row r="976" spans="1:14" x14ac:dyDescent="0.35">
      <c r="A976" t="s">
        <v>2095</v>
      </c>
      <c r="B976" s="1">
        <v>44965.791705497686</v>
      </c>
      <c r="C976" t="s">
        <v>2096</v>
      </c>
      <c r="D976" t="s">
        <v>25</v>
      </c>
      <c r="E976" t="s">
        <v>45</v>
      </c>
      <c r="F976">
        <v>1</v>
      </c>
      <c r="G976">
        <v>4</v>
      </c>
      <c r="H976" t="s">
        <v>14</v>
      </c>
      <c r="I976" t="s">
        <v>21</v>
      </c>
      <c r="J976" t="s">
        <v>769</v>
      </c>
      <c r="K976">
        <f>Pqp_supermarket_data[[#This Row],[Unit_Price]]*Pqp_supermarket_data[[#This Row],[Quantity]]</f>
        <v>4</v>
      </c>
      <c r="L976" t="str">
        <f>TEXT(Pqp_supermarket_data[[#This Row],[DateTime]],"ddd")</f>
        <v>Wed</v>
      </c>
      <c r="M976" t="str">
        <f>TEXT(Pqp_supermarket_data[[#This Row],[DateTime]],"mmm")</f>
        <v>Feb</v>
      </c>
      <c r="N976" t="str">
        <f>TEXT(Pqp_supermarket_data[[#This Row],[DateTime]],"yyy")</f>
        <v>2023</v>
      </c>
    </row>
    <row r="977" spans="1:14" x14ac:dyDescent="0.35">
      <c r="A977" t="s">
        <v>2097</v>
      </c>
      <c r="B977" s="1">
        <v>44799.056983275463</v>
      </c>
      <c r="C977" t="s">
        <v>2098</v>
      </c>
      <c r="D977" t="s">
        <v>44</v>
      </c>
      <c r="E977" t="s">
        <v>78</v>
      </c>
      <c r="F977">
        <v>4</v>
      </c>
      <c r="G977">
        <v>10</v>
      </c>
      <c r="H977" t="s">
        <v>14</v>
      </c>
      <c r="I977" t="s">
        <v>86</v>
      </c>
      <c r="J977" t="s">
        <v>236</v>
      </c>
      <c r="K977">
        <f>Pqp_supermarket_data[[#This Row],[Unit_Price]]*Pqp_supermarket_data[[#This Row],[Quantity]]</f>
        <v>40</v>
      </c>
      <c r="L977" t="str">
        <f>TEXT(Pqp_supermarket_data[[#This Row],[DateTime]],"ddd")</f>
        <v>Fri</v>
      </c>
      <c r="M977" t="str">
        <f>TEXT(Pqp_supermarket_data[[#This Row],[DateTime]],"mmm")</f>
        <v>Aug</v>
      </c>
      <c r="N977" t="str">
        <f>TEXT(Pqp_supermarket_data[[#This Row],[DateTime]],"yyy")</f>
        <v>2022</v>
      </c>
    </row>
    <row r="978" spans="1:14" x14ac:dyDescent="0.35">
      <c r="A978" t="s">
        <v>2099</v>
      </c>
      <c r="B978" s="1">
        <v>44625.119483275463</v>
      </c>
      <c r="C978" t="s">
        <v>2100</v>
      </c>
      <c r="D978" t="s">
        <v>12</v>
      </c>
      <c r="E978" t="s">
        <v>26</v>
      </c>
      <c r="F978">
        <v>2.5</v>
      </c>
      <c r="G978">
        <v>3</v>
      </c>
      <c r="H978" t="s">
        <v>14</v>
      </c>
      <c r="I978" t="s">
        <v>36</v>
      </c>
      <c r="J978" t="s">
        <v>178</v>
      </c>
      <c r="K978">
        <f>Pqp_supermarket_data[[#This Row],[Unit_Price]]*Pqp_supermarket_data[[#This Row],[Quantity]]</f>
        <v>7.5</v>
      </c>
      <c r="L978" t="str">
        <f>TEXT(Pqp_supermarket_data[[#This Row],[DateTime]],"ddd")</f>
        <v>Sat</v>
      </c>
      <c r="M978" t="str">
        <f>TEXT(Pqp_supermarket_data[[#This Row],[DateTime]],"mmm")</f>
        <v>Mar</v>
      </c>
      <c r="N978" t="str">
        <f>TEXT(Pqp_supermarket_data[[#This Row],[DateTime]],"yyy")</f>
        <v>2022</v>
      </c>
    </row>
    <row r="979" spans="1:14" x14ac:dyDescent="0.35">
      <c r="A979" t="s">
        <v>2101</v>
      </c>
      <c r="B979" s="1">
        <v>45626.560455497682</v>
      </c>
      <c r="C979" t="s">
        <v>2102</v>
      </c>
      <c r="D979" t="s">
        <v>12</v>
      </c>
      <c r="E979" t="s">
        <v>119</v>
      </c>
      <c r="F979">
        <v>4</v>
      </c>
      <c r="G979">
        <v>8</v>
      </c>
      <c r="H979" t="s">
        <v>14</v>
      </c>
      <c r="I979" t="s">
        <v>40</v>
      </c>
      <c r="J979" t="s">
        <v>131</v>
      </c>
      <c r="K979">
        <f>Pqp_supermarket_data[[#This Row],[Unit_Price]]*Pqp_supermarket_data[[#This Row],[Quantity]]</f>
        <v>32</v>
      </c>
      <c r="L979" t="str">
        <f>TEXT(Pqp_supermarket_data[[#This Row],[DateTime]],"ddd")</f>
        <v>Sat</v>
      </c>
      <c r="M979" t="str">
        <f>TEXT(Pqp_supermarket_data[[#This Row],[DateTime]],"mmm")</f>
        <v>Nov</v>
      </c>
      <c r="N979" t="str">
        <f>TEXT(Pqp_supermarket_data[[#This Row],[DateTime]],"yyy")</f>
        <v>2024</v>
      </c>
    </row>
    <row r="980" spans="1:14" x14ac:dyDescent="0.35">
      <c r="A980" t="s">
        <v>2103</v>
      </c>
      <c r="B980" s="1">
        <v>44565.962538842592</v>
      </c>
      <c r="C980" t="s">
        <v>2104</v>
      </c>
      <c r="D980" t="s">
        <v>85</v>
      </c>
      <c r="E980" t="s">
        <v>148</v>
      </c>
      <c r="F980">
        <v>5.5</v>
      </c>
      <c r="G980">
        <v>8</v>
      </c>
      <c r="H980" t="s">
        <v>14</v>
      </c>
      <c r="I980" t="s">
        <v>15</v>
      </c>
      <c r="J980" t="s">
        <v>245</v>
      </c>
      <c r="K980">
        <f>Pqp_supermarket_data[[#This Row],[Unit_Price]]*Pqp_supermarket_data[[#This Row],[Quantity]]</f>
        <v>44</v>
      </c>
      <c r="L980" t="str">
        <f>TEXT(Pqp_supermarket_data[[#This Row],[DateTime]],"ddd")</f>
        <v>Tue</v>
      </c>
      <c r="M980" t="str">
        <f>TEXT(Pqp_supermarket_data[[#This Row],[DateTime]],"mmm")</f>
        <v>Jan</v>
      </c>
      <c r="N980" t="str">
        <f>TEXT(Pqp_supermarket_data[[#This Row],[DateTime]],"yyy")</f>
        <v>2022</v>
      </c>
    </row>
    <row r="981" spans="1:14" x14ac:dyDescent="0.35">
      <c r="A981" t="s">
        <v>2105</v>
      </c>
      <c r="B981" s="1">
        <v>44955.450038842595</v>
      </c>
      <c r="C981" t="s">
        <v>2106</v>
      </c>
      <c r="D981" t="s">
        <v>77</v>
      </c>
      <c r="E981" t="s">
        <v>45</v>
      </c>
      <c r="F981">
        <v>1</v>
      </c>
      <c r="G981">
        <v>7</v>
      </c>
      <c r="H981" t="s">
        <v>14</v>
      </c>
      <c r="I981" t="s">
        <v>61</v>
      </c>
      <c r="J981" t="s">
        <v>336</v>
      </c>
      <c r="K981">
        <f>Pqp_supermarket_data[[#This Row],[Unit_Price]]*Pqp_supermarket_data[[#This Row],[Quantity]]</f>
        <v>7</v>
      </c>
      <c r="L981" t="str">
        <f>TEXT(Pqp_supermarket_data[[#This Row],[DateTime]],"ddd")</f>
        <v>Sun</v>
      </c>
      <c r="M981" t="str">
        <f>TEXT(Pqp_supermarket_data[[#This Row],[DateTime]],"mmm")</f>
        <v>Jan</v>
      </c>
      <c r="N981" t="str">
        <f>TEXT(Pqp_supermarket_data[[#This Row],[DateTime]],"yyy")</f>
        <v>2023</v>
      </c>
    </row>
    <row r="982" spans="1:14" x14ac:dyDescent="0.35">
      <c r="A982" t="s">
        <v>2107</v>
      </c>
      <c r="B982" s="1">
        <v>44465.682677731478</v>
      </c>
      <c r="C982" t="s">
        <v>2108</v>
      </c>
      <c r="D982" t="s">
        <v>77</v>
      </c>
      <c r="E982" t="s">
        <v>78</v>
      </c>
      <c r="F982">
        <v>4</v>
      </c>
      <c r="G982">
        <v>3</v>
      </c>
      <c r="H982" t="s">
        <v>14</v>
      </c>
      <c r="I982" t="s">
        <v>21</v>
      </c>
      <c r="J982" t="s">
        <v>91</v>
      </c>
      <c r="K982">
        <f>Pqp_supermarket_data[[#This Row],[Unit_Price]]*Pqp_supermarket_data[[#This Row],[Quantity]]</f>
        <v>12</v>
      </c>
      <c r="L982" t="str">
        <f>TEXT(Pqp_supermarket_data[[#This Row],[DateTime]],"ddd")</f>
        <v>Sun</v>
      </c>
      <c r="M982" t="str">
        <f>TEXT(Pqp_supermarket_data[[#This Row],[DateTime]],"mmm")</f>
        <v>Sep</v>
      </c>
      <c r="N982" t="str">
        <f>TEXT(Pqp_supermarket_data[[#This Row],[DateTime]],"yyy")</f>
        <v>2021</v>
      </c>
    </row>
    <row r="983" spans="1:14" x14ac:dyDescent="0.35">
      <c r="A983" t="s">
        <v>2109</v>
      </c>
      <c r="B983" s="1">
        <v>44484.526427743054</v>
      </c>
      <c r="C983" t="s">
        <v>2110</v>
      </c>
      <c r="D983" t="s">
        <v>69</v>
      </c>
      <c r="E983" t="s">
        <v>111</v>
      </c>
      <c r="F983">
        <v>2.2000000000000002</v>
      </c>
      <c r="G983">
        <v>8</v>
      </c>
      <c r="H983" t="s">
        <v>14</v>
      </c>
      <c r="I983" t="s">
        <v>21</v>
      </c>
      <c r="J983" t="s">
        <v>50</v>
      </c>
      <c r="K983">
        <f>Pqp_supermarket_data[[#This Row],[Unit_Price]]*Pqp_supermarket_data[[#This Row],[Quantity]]</f>
        <v>17.600000000000001</v>
      </c>
      <c r="L983" t="str">
        <f>TEXT(Pqp_supermarket_data[[#This Row],[DateTime]],"ddd")</f>
        <v>Fri</v>
      </c>
      <c r="M983" t="str">
        <f>TEXT(Pqp_supermarket_data[[#This Row],[DateTime]],"mmm")</f>
        <v>Oct</v>
      </c>
      <c r="N983" t="str">
        <f>TEXT(Pqp_supermarket_data[[#This Row],[DateTime]],"yyy")</f>
        <v>2021</v>
      </c>
    </row>
    <row r="984" spans="1:14" x14ac:dyDescent="0.35">
      <c r="A984" t="s">
        <v>2111</v>
      </c>
      <c r="B984" s="1">
        <v>44987.743094409721</v>
      </c>
      <c r="C984" t="s">
        <v>2112</v>
      </c>
      <c r="D984" t="s">
        <v>98</v>
      </c>
      <c r="E984" t="s">
        <v>78</v>
      </c>
      <c r="F984">
        <v>4</v>
      </c>
      <c r="G984">
        <v>4</v>
      </c>
      <c r="H984" t="s">
        <v>14</v>
      </c>
      <c r="I984" t="s">
        <v>36</v>
      </c>
      <c r="J984" t="s">
        <v>79</v>
      </c>
      <c r="K984">
        <f>Pqp_supermarket_data[[#This Row],[Unit_Price]]*Pqp_supermarket_data[[#This Row],[Quantity]]</f>
        <v>16</v>
      </c>
      <c r="L984" t="str">
        <f>TEXT(Pqp_supermarket_data[[#This Row],[DateTime]],"ddd")</f>
        <v>Thu</v>
      </c>
      <c r="M984" t="str">
        <f>TEXT(Pqp_supermarket_data[[#This Row],[DateTime]],"mmm")</f>
        <v>Mar</v>
      </c>
      <c r="N984" t="str">
        <f>TEXT(Pqp_supermarket_data[[#This Row],[DateTime]],"yyy")</f>
        <v>2023</v>
      </c>
    </row>
    <row r="985" spans="1:14" x14ac:dyDescent="0.35">
      <c r="A985" t="s">
        <v>2113</v>
      </c>
      <c r="B985" s="1">
        <v>45172.775038865744</v>
      </c>
      <c r="C985" t="s">
        <v>2114</v>
      </c>
      <c r="D985" t="s">
        <v>19</v>
      </c>
      <c r="E985" t="s">
        <v>57</v>
      </c>
      <c r="F985">
        <v>4.5</v>
      </c>
      <c r="G985">
        <v>7</v>
      </c>
      <c r="H985" t="s">
        <v>14</v>
      </c>
      <c r="I985" t="s">
        <v>36</v>
      </c>
      <c r="J985" t="s">
        <v>561</v>
      </c>
      <c r="K985">
        <f>Pqp_supermarket_data[[#This Row],[Unit_Price]]*Pqp_supermarket_data[[#This Row],[Quantity]]</f>
        <v>31.5</v>
      </c>
      <c r="L985" t="str">
        <f>TEXT(Pqp_supermarket_data[[#This Row],[DateTime]],"ddd")</f>
        <v>Sun</v>
      </c>
      <c r="M985" t="str">
        <f>TEXT(Pqp_supermarket_data[[#This Row],[DateTime]],"mmm")</f>
        <v>Sep</v>
      </c>
      <c r="N985" t="str">
        <f>TEXT(Pqp_supermarket_data[[#This Row],[DateTime]],"yyy")</f>
        <v>2023</v>
      </c>
    </row>
    <row r="986" spans="1:14" x14ac:dyDescent="0.35">
      <c r="A986" t="s">
        <v>2115</v>
      </c>
      <c r="B986" s="1">
        <v>45603.809761087963</v>
      </c>
      <c r="C986" t="s">
        <v>2116</v>
      </c>
      <c r="D986" t="s">
        <v>171</v>
      </c>
      <c r="E986" t="s">
        <v>90</v>
      </c>
      <c r="F986">
        <v>1.8</v>
      </c>
      <c r="G986">
        <v>7</v>
      </c>
      <c r="H986" t="s">
        <v>14</v>
      </c>
      <c r="I986" t="s">
        <v>15</v>
      </c>
      <c r="J986" t="s">
        <v>50</v>
      </c>
      <c r="K986">
        <f>Pqp_supermarket_data[[#This Row],[Unit_Price]]*Pqp_supermarket_data[[#This Row],[Quantity]]</f>
        <v>12.6</v>
      </c>
      <c r="L986" t="str">
        <f>TEXT(Pqp_supermarket_data[[#This Row],[DateTime]],"ddd")</f>
        <v>Thu</v>
      </c>
      <c r="M986" t="str">
        <f>TEXT(Pqp_supermarket_data[[#This Row],[DateTime]],"mmm")</f>
        <v>Nov</v>
      </c>
      <c r="N986" t="str">
        <f>TEXT(Pqp_supermarket_data[[#This Row],[DateTime]],"yyy")</f>
        <v>2024</v>
      </c>
    </row>
    <row r="987" spans="1:14" x14ac:dyDescent="0.35">
      <c r="A987" t="s">
        <v>2117</v>
      </c>
      <c r="B987" s="1">
        <v>45659.061844432872</v>
      </c>
      <c r="C987" t="s">
        <v>2118</v>
      </c>
      <c r="D987" t="s">
        <v>85</v>
      </c>
      <c r="E987" t="s">
        <v>137</v>
      </c>
      <c r="F987">
        <v>2.5</v>
      </c>
      <c r="G987">
        <v>1</v>
      </c>
      <c r="H987" t="s">
        <v>14</v>
      </c>
      <c r="I987" t="s">
        <v>36</v>
      </c>
      <c r="J987" t="s">
        <v>270</v>
      </c>
      <c r="K987">
        <f>Pqp_supermarket_data[[#This Row],[Unit_Price]]*Pqp_supermarket_data[[#This Row],[Quantity]]</f>
        <v>2.5</v>
      </c>
      <c r="L987" t="str">
        <f>TEXT(Pqp_supermarket_data[[#This Row],[DateTime]],"ddd")</f>
        <v>Thu</v>
      </c>
      <c r="M987" t="str">
        <f>TEXT(Pqp_supermarket_data[[#This Row],[DateTime]],"mmm")</f>
        <v>Jan</v>
      </c>
      <c r="N987" t="str">
        <f>TEXT(Pqp_supermarket_data[[#This Row],[DateTime]],"yyy")</f>
        <v>2025</v>
      </c>
    </row>
    <row r="988" spans="1:14" x14ac:dyDescent="0.35">
      <c r="A988" t="s">
        <v>2119</v>
      </c>
      <c r="B988" s="1">
        <v>45051.396566655094</v>
      </c>
      <c r="C988" t="s">
        <v>2120</v>
      </c>
      <c r="D988" t="s">
        <v>127</v>
      </c>
      <c r="E988" t="s">
        <v>35</v>
      </c>
      <c r="F988">
        <v>1.2</v>
      </c>
      <c r="G988">
        <v>4</v>
      </c>
      <c r="H988" t="s">
        <v>14</v>
      </c>
      <c r="I988" t="s">
        <v>86</v>
      </c>
      <c r="J988" t="s">
        <v>160</v>
      </c>
      <c r="K988">
        <f>Pqp_supermarket_data[[#This Row],[Unit_Price]]*Pqp_supermarket_data[[#This Row],[Quantity]]</f>
        <v>4.8</v>
      </c>
      <c r="L988" t="str">
        <f>TEXT(Pqp_supermarket_data[[#This Row],[DateTime]],"ddd")</f>
        <v>Fri</v>
      </c>
      <c r="M988" t="str">
        <f>TEXT(Pqp_supermarket_data[[#This Row],[DateTime]],"mmm")</f>
        <v>May</v>
      </c>
      <c r="N988" t="str">
        <f>TEXT(Pqp_supermarket_data[[#This Row],[DateTime]],"yyy")</f>
        <v>2023</v>
      </c>
    </row>
    <row r="989" spans="1:14" x14ac:dyDescent="0.35">
      <c r="A989" t="s">
        <v>2121</v>
      </c>
      <c r="B989" s="1">
        <v>44578.03198334491</v>
      </c>
      <c r="C989" t="s">
        <v>2122</v>
      </c>
      <c r="D989" t="s">
        <v>44</v>
      </c>
      <c r="E989" t="s">
        <v>49</v>
      </c>
      <c r="F989">
        <v>7</v>
      </c>
      <c r="G989">
        <v>7</v>
      </c>
      <c r="H989" t="s">
        <v>14</v>
      </c>
      <c r="I989" t="s">
        <v>86</v>
      </c>
      <c r="J989" t="s">
        <v>236</v>
      </c>
      <c r="K989">
        <f>Pqp_supermarket_data[[#This Row],[Unit_Price]]*Pqp_supermarket_data[[#This Row],[Quantity]]</f>
        <v>49</v>
      </c>
      <c r="L989" t="str">
        <f>TEXT(Pqp_supermarket_data[[#This Row],[DateTime]],"ddd")</f>
        <v>Mon</v>
      </c>
      <c r="M989" t="str">
        <f>TEXT(Pqp_supermarket_data[[#This Row],[DateTime]],"mmm")</f>
        <v>Jan</v>
      </c>
      <c r="N989" t="str">
        <f>TEXT(Pqp_supermarket_data[[#This Row],[DateTime]],"yyy")</f>
        <v>2022</v>
      </c>
    </row>
    <row r="990" spans="1:14" x14ac:dyDescent="0.35">
      <c r="A990" t="s">
        <v>2123</v>
      </c>
      <c r="B990" s="1">
        <v>44670.280594467593</v>
      </c>
      <c r="C990" t="s">
        <v>2124</v>
      </c>
      <c r="D990" t="s">
        <v>69</v>
      </c>
      <c r="E990" t="s">
        <v>115</v>
      </c>
      <c r="F990">
        <v>1.5</v>
      </c>
      <c r="G990">
        <v>3</v>
      </c>
      <c r="H990" t="s">
        <v>14</v>
      </c>
      <c r="I990" t="s">
        <v>15</v>
      </c>
      <c r="J990" t="s">
        <v>270</v>
      </c>
      <c r="K990">
        <f>Pqp_supermarket_data[[#This Row],[Unit_Price]]*Pqp_supermarket_data[[#This Row],[Quantity]]</f>
        <v>4.5</v>
      </c>
      <c r="L990" t="str">
        <f>TEXT(Pqp_supermarket_data[[#This Row],[DateTime]],"ddd")</f>
        <v>Tue</v>
      </c>
      <c r="M990" t="str">
        <f>TEXT(Pqp_supermarket_data[[#This Row],[DateTime]],"mmm")</f>
        <v>Apr</v>
      </c>
      <c r="N990" t="str">
        <f>TEXT(Pqp_supermarket_data[[#This Row],[DateTime]],"yyy")</f>
        <v>2022</v>
      </c>
    </row>
    <row r="991" spans="1:14" x14ac:dyDescent="0.35">
      <c r="A991" t="s">
        <v>2125</v>
      </c>
      <c r="B991" s="1">
        <v>44999.064622245372</v>
      </c>
      <c r="C991" t="s">
        <v>2126</v>
      </c>
      <c r="D991" t="s">
        <v>82</v>
      </c>
      <c r="E991" t="s">
        <v>111</v>
      </c>
      <c r="F991">
        <v>2.2000000000000002</v>
      </c>
      <c r="G991">
        <v>5</v>
      </c>
      <c r="H991" t="s">
        <v>14</v>
      </c>
      <c r="I991" t="s">
        <v>36</v>
      </c>
      <c r="J991" t="s">
        <v>295</v>
      </c>
      <c r="K991">
        <f>Pqp_supermarket_data[[#This Row],[Unit_Price]]*Pqp_supermarket_data[[#This Row],[Quantity]]</f>
        <v>11</v>
      </c>
      <c r="L991" t="str">
        <f>TEXT(Pqp_supermarket_data[[#This Row],[DateTime]],"ddd")</f>
        <v>Tue</v>
      </c>
      <c r="M991" t="str">
        <f>TEXT(Pqp_supermarket_data[[#This Row],[DateTime]],"mmm")</f>
        <v>Mar</v>
      </c>
      <c r="N991" t="str">
        <f>TEXT(Pqp_supermarket_data[[#This Row],[DateTime]],"yyy")</f>
        <v>2023</v>
      </c>
    </row>
    <row r="992" spans="1:14" x14ac:dyDescent="0.35">
      <c r="A992" t="s">
        <v>2127</v>
      </c>
      <c r="B992" s="1">
        <v>45511.556983368057</v>
      </c>
      <c r="C992" t="s">
        <v>2128</v>
      </c>
      <c r="D992" t="s">
        <v>30</v>
      </c>
      <c r="E992" t="s">
        <v>35</v>
      </c>
      <c r="F992">
        <v>1.2</v>
      </c>
      <c r="G992">
        <v>3</v>
      </c>
      <c r="H992" t="s">
        <v>14</v>
      </c>
      <c r="I992" t="s">
        <v>36</v>
      </c>
      <c r="J992" t="s">
        <v>723</v>
      </c>
      <c r="K992">
        <f>Pqp_supermarket_data[[#This Row],[Unit_Price]]*Pqp_supermarket_data[[#This Row],[Quantity]]</f>
        <v>3.5999999999999996</v>
      </c>
      <c r="L992" t="str">
        <f>TEXT(Pqp_supermarket_data[[#This Row],[DateTime]],"ddd")</f>
        <v>Wed</v>
      </c>
      <c r="M992" t="str">
        <f>TEXT(Pqp_supermarket_data[[#This Row],[DateTime]],"mmm")</f>
        <v>Aug</v>
      </c>
      <c r="N992" t="str">
        <f>TEXT(Pqp_supermarket_data[[#This Row],[DateTime]],"yyy")</f>
        <v>2024</v>
      </c>
    </row>
    <row r="993" spans="1:14" x14ac:dyDescent="0.35">
      <c r="A993" t="s">
        <v>2129</v>
      </c>
      <c r="B993" s="1">
        <v>44439.012538923613</v>
      </c>
      <c r="C993" t="s">
        <v>2130</v>
      </c>
      <c r="D993" t="s">
        <v>77</v>
      </c>
      <c r="E993" t="s">
        <v>111</v>
      </c>
      <c r="F993">
        <v>2.2000000000000002</v>
      </c>
      <c r="G993">
        <v>7</v>
      </c>
      <c r="H993" t="s">
        <v>14</v>
      </c>
      <c r="I993" t="s">
        <v>86</v>
      </c>
      <c r="J993" t="s">
        <v>160</v>
      </c>
      <c r="K993">
        <f>Pqp_supermarket_data[[#This Row],[Unit_Price]]*Pqp_supermarket_data[[#This Row],[Quantity]]</f>
        <v>15.400000000000002</v>
      </c>
      <c r="L993" t="str">
        <f>TEXT(Pqp_supermarket_data[[#This Row],[DateTime]],"ddd")</f>
        <v>Tue</v>
      </c>
      <c r="M993" t="str">
        <f>TEXT(Pqp_supermarket_data[[#This Row],[DateTime]],"mmm")</f>
        <v>Aug</v>
      </c>
      <c r="N993" t="str">
        <f>TEXT(Pqp_supermarket_data[[#This Row],[DateTime]],"yyy")</f>
        <v>2021</v>
      </c>
    </row>
    <row r="994" spans="1:14" x14ac:dyDescent="0.35">
      <c r="A994" t="s">
        <v>2131</v>
      </c>
      <c r="B994" s="1">
        <v>44548.99101114583</v>
      </c>
      <c r="C994" t="s">
        <v>2132</v>
      </c>
      <c r="D994" t="s">
        <v>69</v>
      </c>
      <c r="E994" t="s">
        <v>70</v>
      </c>
      <c r="F994">
        <v>5</v>
      </c>
      <c r="G994">
        <v>9</v>
      </c>
      <c r="H994" t="s">
        <v>14</v>
      </c>
      <c r="I994" t="s">
        <v>86</v>
      </c>
      <c r="J994" t="s">
        <v>153</v>
      </c>
      <c r="K994">
        <f>Pqp_supermarket_data[[#This Row],[Unit_Price]]*Pqp_supermarket_data[[#This Row],[Quantity]]</f>
        <v>45</v>
      </c>
      <c r="L994" t="str">
        <f>TEXT(Pqp_supermarket_data[[#This Row],[DateTime]],"ddd")</f>
        <v>Sat</v>
      </c>
      <c r="M994" t="str">
        <f>TEXT(Pqp_supermarket_data[[#This Row],[DateTime]],"mmm")</f>
        <v>Dec</v>
      </c>
      <c r="N994" t="str">
        <f>TEXT(Pqp_supermarket_data[[#This Row],[DateTime]],"yyy")</f>
        <v>2021</v>
      </c>
    </row>
    <row r="995" spans="1:14" x14ac:dyDescent="0.35">
      <c r="A995" t="s">
        <v>2133</v>
      </c>
      <c r="B995" s="1">
        <v>44865.044483379628</v>
      </c>
      <c r="C995" t="s">
        <v>2134</v>
      </c>
      <c r="D995" t="s">
        <v>25</v>
      </c>
      <c r="E995" t="s">
        <v>94</v>
      </c>
      <c r="F995">
        <v>0.8</v>
      </c>
      <c r="G995">
        <v>7</v>
      </c>
      <c r="H995" t="s">
        <v>14</v>
      </c>
      <c r="I995" t="s">
        <v>21</v>
      </c>
      <c r="J995" t="s">
        <v>288</v>
      </c>
      <c r="K995">
        <f>Pqp_supermarket_data[[#This Row],[Unit_Price]]*Pqp_supermarket_data[[#This Row],[Quantity]]</f>
        <v>5.6000000000000005</v>
      </c>
      <c r="L995" t="str">
        <f>TEXT(Pqp_supermarket_data[[#This Row],[DateTime]],"ddd")</f>
        <v>Mon</v>
      </c>
      <c r="M995" t="str">
        <f>TEXT(Pqp_supermarket_data[[#This Row],[DateTime]],"mmm")</f>
        <v>Oct</v>
      </c>
      <c r="N995" t="str">
        <f>TEXT(Pqp_supermarket_data[[#This Row],[DateTime]],"yyy")</f>
        <v>2022</v>
      </c>
    </row>
    <row r="996" spans="1:14" x14ac:dyDescent="0.35">
      <c r="A996" t="s">
        <v>2135</v>
      </c>
      <c r="B996" s="1">
        <v>44602.897261157406</v>
      </c>
      <c r="C996" t="s">
        <v>2136</v>
      </c>
      <c r="D996" t="s">
        <v>12</v>
      </c>
      <c r="E996" t="s">
        <v>26</v>
      </c>
      <c r="F996">
        <v>2.5</v>
      </c>
      <c r="G996">
        <v>9</v>
      </c>
      <c r="H996" t="s">
        <v>14</v>
      </c>
      <c r="I996" t="s">
        <v>61</v>
      </c>
      <c r="J996" t="s">
        <v>404</v>
      </c>
      <c r="K996">
        <f>Pqp_supermarket_data[[#This Row],[Unit_Price]]*Pqp_supermarket_data[[#This Row],[Quantity]]</f>
        <v>22.5</v>
      </c>
      <c r="L996" t="str">
        <f>TEXT(Pqp_supermarket_data[[#This Row],[DateTime]],"ddd")</f>
        <v>Thu</v>
      </c>
      <c r="M996" t="str">
        <f>TEXT(Pqp_supermarket_data[[#This Row],[DateTime]],"mmm")</f>
        <v>Feb</v>
      </c>
      <c r="N996" t="str">
        <f>TEXT(Pqp_supermarket_data[[#This Row],[DateTime]],"yyy")</f>
        <v>2022</v>
      </c>
    </row>
    <row r="997" spans="1:14" x14ac:dyDescent="0.35">
      <c r="A997" t="s">
        <v>2137</v>
      </c>
      <c r="B997" s="1">
        <v>44667.793788935189</v>
      </c>
      <c r="C997" t="s">
        <v>2138</v>
      </c>
      <c r="D997" t="s">
        <v>208</v>
      </c>
      <c r="E997" t="s">
        <v>137</v>
      </c>
      <c r="F997">
        <v>2.5</v>
      </c>
      <c r="G997">
        <v>10</v>
      </c>
      <c r="H997" t="s">
        <v>14</v>
      </c>
      <c r="I997" t="s">
        <v>86</v>
      </c>
      <c r="J997" t="s">
        <v>54</v>
      </c>
      <c r="K997">
        <f>Pqp_supermarket_data[[#This Row],[Unit_Price]]*Pqp_supermarket_data[[#This Row],[Quantity]]</f>
        <v>25</v>
      </c>
      <c r="L997" t="str">
        <f>TEXT(Pqp_supermarket_data[[#This Row],[DateTime]],"ddd")</f>
        <v>Sat</v>
      </c>
      <c r="M997" t="str">
        <f>TEXT(Pqp_supermarket_data[[#This Row],[DateTime]],"mmm")</f>
        <v>Apr</v>
      </c>
      <c r="N997" t="str">
        <f>TEXT(Pqp_supermarket_data[[#This Row],[DateTime]],"yyy")</f>
        <v>2022</v>
      </c>
    </row>
    <row r="998" spans="1:14" x14ac:dyDescent="0.35">
      <c r="A998" t="s">
        <v>2139</v>
      </c>
      <c r="B998" s="1">
        <v>45032.40906672454</v>
      </c>
      <c r="C998" t="s">
        <v>2140</v>
      </c>
      <c r="D998" t="s">
        <v>98</v>
      </c>
      <c r="E998" t="s">
        <v>65</v>
      </c>
      <c r="F998">
        <v>3</v>
      </c>
      <c r="G998">
        <v>3</v>
      </c>
      <c r="H998" t="s">
        <v>14</v>
      </c>
      <c r="I998" t="s">
        <v>36</v>
      </c>
      <c r="J998" t="s">
        <v>46</v>
      </c>
      <c r="K998">
        <f>Pqp_supermarket_data[[#This Row],[Unit_Price]]*Pqp_supermarket_data[[#This Row],[Quantity]]</f>
        <v>9</v>
      </c>
      <c r="L998" t="str">
        <f>TEXT(Pqp_supermarket_data[[#This Row],[DateTime]],"ddd")</f>
        <v>Sun</v>
      </c>
      <c r="M998" t="str">
        <f>TEXT(Pqp_supermarket_data[[#This Row],[DateTime]],"mmm")</f>
        <v>Apr</v>
      </c>
      <c r="N998" t="str">
        <f>TEXT(Pqp_supermarket_data[[#This Row],[DateTime]],"yyy")</f>
        <v>2023</v>
      </c>
    </row>
    <row r="999" spans="1:14" x14ac:dyDescent="0.35">
      <c r="A999" t="s">
        <v>2141</v>
      </c>
      <c r="B999" s="1">
        <v>44708.206288946756</v>
      </c>
      <c r="C999" t="s">
        <v>2142</v>
      </c>
      <c r="D999" t="s">
        <v>85</v>
      </c>
      <c r="E999" t="s">
        <v>65</v>
      </c>
      <c r="F999">
        <v>3</v>
      </c>
      <c r="G999">
        <v>9</v>
      </c>
      <c r="H999" t="s">
        <v>14</v>
      </c>
      <c r="I999" t="s">
        <v>21</v>
      </c>
      <c r="J999" t="s">
        <v>451</v>
      </c>
      <c r="K999">
        <f>Pqp_supermarket_data[[#This Row],[Unit_Price]]*Pqp_supermarket_data[[#This Row],[Quantity]]</f>
        <v>27</v>
      </c>
      <c r="L999" t="str">
        <f>TEXT(Pqp_supermarket_data[[#This Row],[DateTime]],"ddd")</f>
        <v>Fri</v>
      </c>
      <c r="M999" t="str">
        <f>TEXT(Pqp_supermarket_data[[#This Row],[DateTime]],"mmm")</f>
        <v>May</v>
      </c>
      <c r="N999" t="str">
        <f>TEXT(Pqp_supermarket_data[[#This Row],[DateTime]],"yyy")</f>
        <v>2022</v>
      </c>
    </row>
    <row r="1000" spans="1:14" x14ac:dyDescent="0.35">
      <c r="A1000" t="s">
        <v>2143</v>
      </c>
      <c r="B1000" s="1">
        <v>45283.906983391207</v>
      </c>
      <c r="C1000" t="s">
        <v>2144</v>
      </c>
      <c r="D1000" t="s">
        <v>12</v>
      </c>
      <c r="E1000" t="s">
        <v>65</v>
      </c>
      <c r="F1000">
        <v>3</v>
      </c>
      <c r="G1000">
        <v>9</v>
      </c>
      <c r="H1000" t="s">
        <v>14</v>
      </c>
      <c r="I1000" t="s">
        <v>21</v>
      </c>
      <c r="J1000" t="s">
        <v>245</v>
      </c>
      <c r="K1000">
        <f>Pqp_supermarket_data[[#This Row],[Unit_Price]]*Pqp_supermarket_data[[#This Row],[Quantity]]</f>
        <v>27</v>
      </c>
      <c r="L1000" t="str">
        <f>TEXT(Pqp_supermarket_data[[#This Row],[DateTime]],"ddd")</f>
        <v>Sat</v>
      </c>
      <c r="M1000" t="str">
        <f>TEXT(Pqp_supermarket_data[[#This Row],[DateTime]],"mmm")</f>
        <v>Dec</v>
      </c>
      <c r="N1000" t="str">
        <f>TEXT(Pqp_supermarket_data[[#This Row],[DateTime]],"yyy")</f>
        <v>2023</v>
      </c>
    </row>
    <row r="1001" spans="1:14" x14ac:dyDescent="0.35">
      <c r="A1001" t="s">
        <v>2145</v>
      </c>
      <c r="B1001" s="1">
        <v>44531.478511168978</v>
      </c>
      <c r="C1001" t="s">
        <v>2146</v>
      </c>
      <c r="D1001" t="s">
        <v>44</v>
      </c>
      <c r="E1001" t="s">
        <v>20</v>
      </c>
      <c r="F1001">
        <v>1</v>
      </c>
      <c r="G1001">
        <v>1</v>
      </c>
      <c r="H1001" t="s">
        <v>14</v>
      </c>
      <c r="I1001" t="s">
        <v>86</v>
      </c>
      <c r="J1001" t="s">
        <v>223</v>
      </c>
      <c r="K1001">
        <f>Pqp_supermarket_data[[#This Row],[Unit_Price]]*Pqp_supermarket_data[[#This Row],[Quantity]]</f>
        <v>1</v>
      </c>
      <c r="L1001" t="str">
        <f>TEXT(Pqp_supermarket_data[[#This Row],[DateTime]],"ddd")</f>
        <v>Wed</v>
      </c>
      <c r="M1001" t="str">
        <f>TEXT(Pqp_supermarket_data[[#This Row],[DateTime]],"mmm")</f>
        <v>Dec</v>
      </c>
      <c r="N1001" t="str">
        <f>TEXT(Pqp_supermarket_data[[#This Row],[DateTime]],"yyy")</f>
        <v>2021</v>
      </c>
    </row>
    <row r="1002" spans="1:14" x14ac:dyDescent="0.35">
      <c r="A1002" t="s">
        <v>2147</v>
      </c>
      <c r="B1002" s="1">
        <v>44736.909761180556</v>
      </c>
      <c r="C1002" t="s">
        <v>2148</v>
      </c>
      <c r="D1002" t="s">
        <v>12</v>
      </c>
      <c r="E1002" t="s">
        <v>39</v>
      </c>
      <c r="F1002">
        <v>3.2</v>
      </c>
      <c r="G1002">
        <v>7</v>
      </c>
      <c r="H1002" t="s">
        <v>14</v>
      </c>
      <c r="I1002" t="s">
        <v>61</v>
      </c>
      <c r="J1002" t="s">
        <v>50</v>
      </c>
      <c r="K1002">
        <f>Pqp_supermarket_data[[#This Row],[Unit_Price]]*Pqp_supermarket_data[[#This Row],[Quantity]]</f>
        <v>22.400000000000002</v>
      </c>
      <c r="L1002" t="str">
        <f>TEXT(Pqp_supermarket_data[[#This Row],[DateTime]],"ddd")</f>
        <v>Fri</v>
      </c>
      <c r="M1002" t="str">
        <f>TEXT(Pqp_supermarket_data[[#This Row],[DateTime]],"mmm")</f>
        <v>Jun</v>
      </c>
      <c r="N1002" t="str">
        <f>TEXT(Pqp_supermarket_data[[#This Row],[DateTime]],"yyy")</f>
        <v>2022</v>
      </c>
    </row>
    <row r="1003" spans="1:14" x14ac:dyDescent="0.35">
      <c r="A1003" t="s">
        <v>2149</v>
      </c>
      <c r="B1003" s="1">
        <v>45194.350038958335</v>
      </c>
      <c r="C1003" t="s">
        <v>2150</v>
      </c>
      <c r="D1003" t="s">
        <v>12</v>
      </c>
      <c r="E1003" t="s">
        <v>45</v>
      </c>
      <c r="F1003">
        <v>1</v>
      </c>
      <c r="G1003">
        <v>5</v>
      </c>
      <c r="H1003" t="s">
        <v>14</v>
      </c>
      <c r="I1003" t="s">
        <v>36</v>
      </c>
      <c r="J1003" t="s">
        <v>323</v>
      </c>
      <c r="K1003">
        <f>Pqp_supermarket_data[[#This Row],[Unit_Price]]*Pqp_supermarket_data[[#This Row],[Quantity]]</f>
        <v>5</v>
      </c>
      <c r="L1003" t="str">
        <f>TEXT(Pqp_supermarket_data[[#This Row],[DateTime]],"ddd")</f>
        <v>Mon</v>
      </c>
      <c r="M1003" t="str">
        <f>TEXT(Pqp_supermarket_data[[#This Row],[DateTime]],"mmm")</f>
        <v>Sep</v>
      </c>
      <c r="N1003" t="str">
        <f>TEXT(Pqp_supermarket_data[[#This Row],[DateTime]],"yyy")</f>
        <v>2023</v>
      </c>
    </row>
    <row r="1004" spans="1:14" x14ac:dyDescent="0.35">
      <c r="A1004" t="s">
        <v>2151</v>
      </c>
      <c r="B1004" s="1">
        <v>45253.490316736112</v>
      </c>
      <c r="C1004" t="s">
        <v>2152</v>
      </c>
      <c r="D1004" t="s">
        <v>98</v>
      </c>
      <c r="E1004" t="s">
        <v>119</v>
      </c>
      <c r="F1004">
        <v>4</v>
      </c>
      <c r="G1004">
        <v>3</v>
      </c>
      <c r="H1004" t="s">
        <v>14</v>
      </c>
      <c r="I1004" t="s">
        <v>21</v>
      </c>
      <c r="J1004" t="s">
        <v>166</v>
      </c>
      <c r="K1004">
        <f>Pqp_supermarket_data[[#This Row],[Unit_Price]]*Pqp_supermarket_data[[#This Row],[Quantity]]</f>
        <v>12</v>
      </c>
      <c r="L1004" t="str">
        <f>TEXT(Pqp_supermarket_data[[#This Row],[DateTime]],"ddd")</f>
        <v>Thu</v>
      </c>
      <c r="M1004" t="str">
        <f>TEXT(Pqp_supermarket_data[[#This Row],[DateTime]],"mmm")</f>
        <v>Nov</v>
      </c>
      <c r="N1004" t="str">
        <f>TEXT(Pqp_supermarket_data[[#This Row],[DateTime]],"yyy")</f>
        <v>2023</v>
      </c>
    </row>
    <row r="1005" spans="1:14" x14ac:dyDescent="0.35">
      <c r="A1005" t="s">
        <v>2153</v>
      </c>
      <c r="B1005" s="1">
        <v>44442.14934452546</v>
      </c>
      <c r="C1005" t="s">
        <v>2154</v>
      </c>
      <c r="D1005" t="s">
        <v>12</v>
      </c>
      <c r="E1005" t="s">
        <v>45</v>
      </c>
      <c r="F1005">
        <v>1</v>
      </c>
      <c r="G1005">
        <v>1</v>
      </c>
      <c r="H1005" t="s">
        <v>14</v>
      </c>
      <c r="I1005" t="s">
        <v>61</v>
      </c>
      <c r="J1005" t="s">
        <v>723</v>
      </c>
      <c r="K1005">
        <f>Pqp_supermarket_data[[#This Row],[Unit_Price]]*Pqp_supermarket_data[[#This Row],[Quantity]]</f>
        <v>1</v>
      </c>
      <c r="L1005" t="str">
        <f>TEXT(Pqp_supermarket_data[[#This Row],[DateTime]],"ddd")</f>
        <v>Fri</v>
      </c>
      <c r="M1005" t="str">
        <f>TEXT(Pqp_supermarket_data[[#This Row],[DateTime]],"mmm")</f>
        <v>Sep</v>
      </c>
      <c r="N1005" t="str">
        <f>TEXT(Pqp_supermarket_data[[#This Row],[DateTime]],"yyy")</f>
        <v>2021</v>
      </c>
    </row>
    <row r="1006" spans="1:14" x14ac:dyDescent="0.35">
      <c r="A1006" t="s">
        <v>2155</v>
      </c>
      <c r="B1006" s="1">
        <v>45618.37087230324</v>
      </c>
      <c r="C1006" t="s">
        <v>1599</v>
      </c>
      <c r="D1006" t="s">
        <v>77</v>
      </c>
      <c r="E1006" t="s">
        <v>13</v>
      </c>
      <c r="F1006">
        <v>3.1</v>
      </c>
      <c r="G1006">
        <v>5</v>
      </c>
      <c r="H1006" t="s">
        <v>14</v>
      </c>
      <c r="I1006" t="s">
        <v>15</v>
      </c>
      <c r="J1006" t="s">
        <v>262</v>
      </c>
      <c r="K1006">
        <f>Pqp_supermarket_data[[#This Row],[Unit_Price]]*Pqp_supermarket_data[[#This Row],[Quantity]]</f>
        <v>15.5</v>
      </c>
      <c r="L1006" t="str">
        <f>TEXT(Pqp_supermarket_data[[#This Row],[DateTime]],"ddd")</f>
        <v>Fri</v>
      </c>
      <c r="M1006" t="str">
        <f>TEXT(Pqp_supermarket_data[[#This Row],[DateTime]],"mmm")</f>
        <v>Nov</v>
      </c>
      <c r="N1006" t="str">
        <f>TEXT(Pqp_supermarket_data[[#This Row],[DateTime]],"yyy")</f>
        <v>2024</v>
      </c>
    </row>
    <row r="1007" spans="1:14" x14ac:dyDescent="0.35">
      <c r="A1007" t="s">
        <v>2156</v>
      </c>
      <c r="B1007" s="1">
        <v>45211.188927870367</v>
      </c>
      <c r="C1007" t="s">
        <v>2157</v>
      </c>
      <c r="D1007" t="s">
        <v>127</v>
      </c>
      <c r="E1007" t="s">
        <v>35</v>
      </c>
      <c r="F1007">
        <v>1.2</v>
      </c>
      <c r="G1007">
        <v>2</v>
      </c>
      <c r="H1007" t="s">
        <v>14</v>
      </c>
      <c r="I1007" t="s">
        <v>21</v>
      </c>
      <c r="J1007" t="s">
        <v>218</v>
      </c>
      <c r="K1007">
        <f>Pqp_supermarket_data[[#This Row],[Unit_Price]]*Pqp_supermarket_data[[#This Row],[Quantity]]</f>
        <v>2.4</v>
      </c>
      <c r="L1007" t="str">
        <f>TEXT(Pqp_supermarket_data[[#This Row],[DateTime]],"ddd")</f>
        <v>Thu</v>
      </c>
      <c r="M1007" t="str">
        <f>TEXT(Pqp_supermarket_data[[#This Row],[DateTime]],"mmm")</f>
        <v>Oct</v>
      </c>
      <c r="N1007" t="str">
        <f>TEXT(Pqp_supermarket_data[[#This Row],[DateTime]],"yyy")</f>
        <v>2023</v>
      </c>
    </row>
    <row r="1008" spans="1:14" x14ac:dyDescent="0.35">
      <c r="A1008" t="s">
        <v>2158</v>
      </c>
      <c r="B1008" s="1">
        <v>44574.595177870367</v>
      </c>
      <c r="C1008" t="s">
        <v>2159</v>
      </c>
      <c r="D1008" t="s">
        <v>30</v>
      </c>
      <c r="E1008" t="s">
        <v>70</v>
      </c>
      <c r="F1008">
        <v>5</v>
      </c>
      <c r="G1008">
        <v>6</v>
      </c>
      <c r="H1008" t="s">
        <v>14</v>
      </c>
      <c r="I1008" t="s">
        <v>15</v>
      </c>
      <c r="J1008" t="s">
        <v>924</v>
      </c>
      <c r="K1008">
        <f>Pqp_supermarket_data[[#This Row],[Unit_Price]]*Pqp_supermarket_data[[#This Row],[Quantity]]</f>
        <v>30</v>
      </c>
      <c r="L1008" t="str">
        <f>TEXT(Pqp_supermarket_data[[#This Row],[DateTime]],"ddd")</f>
        <v>Thu</v>
      </c>
      <c r="M1008" t="str">
        <f>TEXT(Pqp_supermarket_data[[#This Row],[DateTime]],"mmm")</f>
        <v>Jan</v>
      </c>
      <c r="N1008" t="str">
        <f>TEXT(Pqp_supermarket_data[[#This Row],[DateTime]],"yyy")</f>
        <v>2022</v>
      </c>
    </row>
    <row r="1009" spans="1:14" x14ac:dyDescent="0.35">
      <c r="A1009" t="s">
        <v>2160</v>
      </c>
      <c r="B1009" s="1">
        <v>44351.246566770831</v>
      </c>
      <c r="C1009" t="s">
        <v>2161</v>
      </c>
      <c r="D1009" t="s">
        <v>69</v>
      </c>
      <c r="E1009" t="s">
        <v>90</v>
      </c>
      <c r="F1009">
        <v>1.8</v>
      </c>
      <c r="G1009">
        <v>1</v>
      </c>
      <c r="H1009" t="s">
        <v>14</v>
      </c>
      <c r="I1009" t="s">
        <v>61</v>
      </c>
      <c r="J1009" t="s">
        <v>369</v>
      </c>
      <c r="K1009">
        <f>Pqp_supermarket_data[[#This Row],[Unit_Price]]*Pqp_supermarket_data[[#This Row],[Quantity]]</f>
        <v>1.8</v>
      </c>
      <c r="L1009" t="str">
        <f>TEXT(Pqp_supermarket_data[[#This Row],[DateTime]],"ddd")</f>
        <v>Fri</v>
      </c>
      <c r="M1009" t="str">
        <f>TEXT(Pqp_supermarket_data[[#This Row],[DateTime]],"mmm")</f>
        <v>Jun</v>
      </c>
      <c r="N1009" t="str">
        <f>TEXT(Pqp_supermarket_data[[#This Row],[DateTime]],"yyy")</f>
        <v>2021</v>
      </c>
    </row>
    <row r="1010" spans="1:14" x14ac:dyDescent="0.35">
      <c r="A1010" t="s">
        <v>2162</v>
      </c>
      <c r="B1010" s="1">
        <v>45488.727122337965</v>
      </c>
      <c r="C1010" t="s">
        <v>2163</v>
      </c>
      <c r="D1010" t="s">
        <v>34</v>
      </c>
      <c r="E1010" t="s">
        <v>111</v>
      </c>
      <c r="F1010">
        <v>2.2000000000000002</v>
      </c>
      <c r="G1010">
        <v>8</v>
      </c>
      <c r="H1010" t="s">
        <v>14</v>
      </c>
      <c r="I1010" t="s">
        <v>86</v>
      </c>
      <c r="J1010" t="s">
        <v>426</v>
      </c>
      <c r="K1010">
        <f>Pqp_supermarket_data[[#This Row],[Unit_Price]]*Pqp_supermarket_data[[#This Row],[Quantity]]</f>
        <v>17.600000000000001</v>
      </c>
      <c r="L1010" t="str">
        <f>TEXT(Pqp_supermarket_data[[#This Row],[DateTime]],"ddd")</f>
        <v>Mon</v>
      </c>
      <c r="M1010" t="str">
        <f>TEXT(Pqp_supermarket_data[[#This Row],[DateTime]],"mmm")</f>
        <v>Jul</v>
      </c>
      <c r="N1010" t="str">
        <f>TEXT(Pqp_supermarket_data[[#This Row],[DateTime]],"yyy")</f>
        <v>2024</v>
      </c>
    </row>
    <row r="1011" spans="1:14" x14ac:dyDescent="0.35">
      <c r="A1011" t="s">
        <v>2164</v>
      </c>
      <c r="B1011" s="1">
        <v>45002.238927893515</v>
      </c>
      <c r="C1011" t="s">
        <v>2165</v>
      </c>
      <c r="D1011" t="s">
        <v>98</v>
      </c>
      <c r="E1011" t="s">
        <v>94</v>
      </c>
      <c r="F1011">
        <v>0.8</v>
      </c>
      <c r="G1011">
        <v>4</v>
      </c>
      <c r="H1011" t="s">
        <v>14</v>
      </c>
      <c r="I1011" t="s">
        <v>21</v>
      </c>
      <c r="J1011" t="s">
        <v>46</v>
      </c>
      <c r="K1011">
        <f>Pqp_supermarket_data[[#This Row],[Unit_Price]]*Pqp_supermarket_data[[#This Row],[Quantity]]</f>
        <v>3.2</v>
      </c>
      <c r="L1011" t="str">
        <f>TEXT(Pqp_supermarket_data[[#This Row],[DateTime]],"ddd")</f>
        <v>Fri</v>
      </c>
      <c r="M1011" t="str">
        <f>TEXT(Pqp_supermarket_data[[#This Row],[DateTime]],"mmm")</f>
        <v>Mar</v>
      </c>
      <c r="N1011" t="str">
        <f>TEXT(Pqp_supermarket_data[[#This Row],[DateTime]],"yyy")</f>
        <v>2023</v>
      </c>
    </row>
    <row r="1012" spans="1:14" x14ac:dyDescent="0.35">
      <c r="A1012" t="s">
        <v>2166</v>
      </c>
      <c r="B1012" s="1">
        <v>45080.489622349538</v>
      </c>
      <c r="C1012" t="s">
        <v>2167</v>
      </c>
      <c r="D1012" t="s">
        <v>127</v>
      </c>
      <c r="E1012" t="s">
        <v>148</v>
      </c>
      <c r="F1012">
        <v>5.5</v>
      </c>
      <c r="G1012">
        <v>1</v>
      </c>
      <c r="H1012" t="s">
        <v>14</v>
      </c>
      <c r="I1012" t="s">
        <v>15</v>
      </c>
      <c r="J1012" t="s">
        <v>311</v>
      </c>
      <c r="K1012">
        <f>Pqp_supermarket_data[[#This Row],[Unit_Price]]*Pqp_supermarket_data[[#This Row],[Quantity]]</f>
        <v>5.5</v>
      </c>
      <c r="L1012" t="str">
        <f>TEXT(Pqp_supermarket_data[[#This Row],[DateTime]],"ddd")</f>
        <v>Sat</v>
      </c>
      <c r="M1012" t="str">
        <f>TEXT(Pqp_supermarket_data[[#This Row],[DateTime]],"mmm")</f>
        <v>Jun</v>
      </c>
      <c r="N1012" t="str">
        <f>TEXT(Pqp_supermarket_data[[#This Row],[DateTime]],"yyy")</f>
        <v>2023</v>
      </c>
    </row>
    <row r="1013" spans="1:14" x14ac:dyDescent="0.35">
      <c r="A1013" t="s">
        <v>2168</v>
      </c>
      <c r="B1013" s="1">
        <v>44969.921566793979</v>
      </c>
      <c r="C1013" t="s">
        <v>2169</v>
      </c>
      <c r="D1013" t="s">
        <v>98</v>
      </c>
      <c r="E1013" t="s">
        <v>20</v>
      </c>
      <c r="F1013">
        <v>1</v>
      </c>
      <c r="G1013">
        <v>4</v>
      </c>
      <c r="H1013" t="s">
        <v>14</v>
      </c>
      <c r="I1013" t="s">
        <v>86</v>
      </c>
      <c r="J1013" t="s">
        <v>382</v>
      </c>
      <c r="K1013">
        <f>Pqp_supermarket_data[[#This Row],[Unit_Price]]*Pqp_supermarket_data[[#This Row],[Quantity]]</f>
        <v>4</v>
      </c>
      <c r="L1013" t="str">
        <f>TEXT(Pqp_supermarket_data[[#This Row],[DateTime]],"ddd")</f>
        <v>Sun</v>
      </c>
      <c r="M1013" t="str">
        <f>TEXT(Pqp_supermarket_data[[#This Row],[DateTime]],"mmm")</f>
        <v>Feb</v>
      </c>
      <c r="N1013" t="str">
        <f>TEXT(Pqp_supermarket_data[[#This Row],[DateTime]],"yyy")</f>
        <v>2023</v>
      </c>
    </row>
    <row r="1014" spans="1:14" x14ac:dyDescent="0.35">
      <c r="A1014" t="s">
        <v>2170</v>
      </c>
      <c r="B1014" s="1">
        <v>44341.038927928239</v>
      </c>
      <c r="C1014" t="s">
        <v>2171</v>
      </c>
      <c r="D1014" t="s">
        <v>127</v>
      </c>
      <c r="E1014" t="s">
        <v>111</v>
      </c>
      <c r="F1014">
        <v>2.2000000000000002</v>
      </c>
      <c r="G1014">
        <v>9</v>
      </c>
      <c r="H1014" t="s">
        <v>14</v>
      </c>
      <c r="I1014" t="s">
        <v>86</v>
      </c>
      <c r="J1014" t="s">
        <v>99</v>
      </c>
      <c r="K1014">
        <f>Pqp_supermarket_data[[#This Row],[Unit_Price]]*Pqp_supermarket_data[[#This Row],[Quantity]]</f>
        <v>19.8</v>
      </c>
      <c r="L1014" t="str">
        <f>TEXT(Pqp_supermarket_data[[#This Row],[DateTime]],"ddd")</f>
        <v>Tue</v>
      </c>
      <c r="M1014" t="str">
        <f>TEXT(Pqp_supermarket_data[[#This Row],[DateTime]],"mmm")</f>
        <v>May</v>
      </c>
      <c r="N1014" t="str">
        <f>TEXT(Pqp_supermarket_data[[#This Row],[DateTime]],"yyy")</f>
        <v>2021</v>
      </c>
    </row>
    <row r="1015" spans="1:14" x14ac:dyDescent="0.35">
      <c r="A1015" t="s">
        <v>2172</v>
      </c>
      <c r="B1015" s="1">
        <v>45194.959761261576</v>
      </c>
      <c r="C1015" t="s">
        <v>2173</v>
      </c>
      <c r="D1015" t="s">
        <v>30</v>
      </c>
      <c r="E1015" t="s">
        <v>39</v>
      </c>
      <c r="F1015">
        <v>3.2</v>
      </c>
      <c r="G1015">
        <v>9</v>
      </c>
      <c r="H1015" t="s">
        <v>14</v>
      </c>
      <c r="I1015" t="s">
        <v>36</v>
      </c>
      <c r="J1015" t="s">
        <v>436</v>
      </c>
      <c r="K1015">
        <f>Pqp_supermarket_data[[#This Row],[Unit_Price]]*Pqp_supermarket_data[[#This Row],[Quantity]]</f>
        <v>28.8</v>
      </c>
      <c r="L1015" t="str">
        <f>TEXT(Pqp_supermarket_data[[#This Row],[DateTime]],"ddd")</f>
        <v>Mon</v>
      </c>
      <c r="M1015" t="str">
        <f>TEXT(Pqp_supermarket_data[[#This Row],[DateTime]],"mmm")</f>
        <v>Sep</v>
      </c>
      <c r="N1015" t="str">
        <f>TEXT(Pqp_supermarket_data[[#This Row],[DateTime]],"yyy")</f>
        <v>2023</v>
      </c>
    </row>
    <row r="1016" spans="1:14" x14ac:dyDescent="0.35">
      <c r="A1016" t="s">
        <v>2174</v>
      </c>
      <c r="B1016" s="1">
        <v>45586.823650162034</v>
      </c>
      <c r="C1016" t="s">
        <v>2175</v>
      </c>
      <c r="D1016" t="s">
        <v>44</v>
      </c>
      <c r="E1016" t="s">
        <v>145</v>
      </c>
      <c r="F1016">
        <v>1.7</v>
      </c>
      <c r="G1016">
        <v>10</v>
      </c>
      <c r="H1016" t="s">
        <v>14</v>
      </c>
      <c r="I1016" t="s">
        <v>36</v>
      </c>
      <c r="J1016" t="s">
        <v>195</v>
      </c>
      <c r="K1016">
        <f>Pqp_supermarket_data[[#This Row],[Unit_Price]]*Pqp_supermarket_data[[#This Row],[Quantity]]</f>
        <v>17</v>
      </c>
      <c r="L1016" t="str">
        <f>TEXT(Pqp_supermarket_data[[#This Row],[DateTime]],"ddd")</f>
        <v>Mon</v>
      </c>
      <c r="M1016" t="str">
        <f>TEXT(Pqp_supermarket_data[[#This Row],[DateTime]],"mmm")</f>
        <v>Oct</v>
      </c>
      <c r="N1016" t="str">
        <f>TEXT(Pqp_supermarket_data[[#This Row],[DateTime]],"yyy")</f>
        <v>2024</v>
      </c>
    </row>
    <row r="1017" spans="1:14" x14ac:dyDescent="0.35">
      <c r="A1017" t="s">
        <v>2176</v>
      </c>
      <c r="B1017" s="1">
        <v>45100.214622395833</v>
      </c>
      <c r="C1017" t="s">
        <v>2177</v>
      </c>
      <c r="D1017" t="s">
        <v>226</v>
      </c>
      <c r="E1017" t="s">
        <v>148</v>
      </c>
      <c r="F1017">
        <v>5.5</v>
      </c>
      <c r="G1017">
        <v>5</v>
      </c>
      <c r="H1017" t="s">
        <v>14</v>
      </c>
      <c r="I1017" t="s">
        <v>36</v>
      </c>
      <c r="J1017" t="s">
        <v>87</v>
      </c>
      <c r="K1017">
        <f>Pqp_supermarket_data[[#This Row],[Unit_Price]]*Pqp_supermarket_data[[#This Row],[Quantity]]</f>
        <v>27.5</v>
      </c>
      <c r="L1017" t="str">
        <f>TEXT(Pqp_supermarket_data[[#This Row],[DateTime]],"ddd")</f>
        <v>Fri</v>
      </c>
      <c r="M1017" t="str">
        <f>TEXT(Pqp_supermarket_data[[#This Row],[DateTime]],"mmm")</f>
        <v>Jun</v>
      </c>
      <c r="N1017" t="str">
        <f>TEXT(Pqp_supermarket_data[[#This Row],[DateTime]],"yyy")</f>
        <v>2023</v>
      </c>
    </row>
    <row r="1018" spans="1:14" x14ac:dyDescent="0.35">
      <c r="A1018" t="s">
        <v>2178</v>
      </c>
      <c r="B1018" s="1">
        <v>44984.942400173612</v>
      </c>
      <c r="C1018" t="s">
        <v>2179</v>
      </c>
      <c r="D1018" t="s">
        <v>30</v>
      </c>
      <c r="E1018" t="s">
        <v>26</v>
      </c>
      <c r="F1018">
        <v>2.5</v>
      </c>
      <c r="G1018">
        <v>10</v>
      </c>
      <c r="H1018" t="s">
        <v>14</v>
      </c>
      <c r="I1018" t="s">
        <v>15</v>
      </c>
      <c r="J1018" t="s">
        <v>128</v>
      </c>
      <c r="K1018">
        <f>Pqp_supermarket_data[[#This Row],[Unit_Price]]*Pqp_supermarket_data[[#This Row],[Quantity]]</f>
        <v>25</v>
      </c>
      <c r="L1018" t="str">
        <f>TEXT(Pqp_supermarket_data[[#This Row],[DateTime]],"ddd")</f>
        <v>Mon</v>
      </c>
      <c r="M1018" t="str">
        <f>TEXT(Pqp_supermarket_data[[#This Row],[DateTime]],"mmm")</f>
        <v>Feb</v>
      </c>
      <c r="N1018" t="str">
        <f>TEXT(Pqp_supermarket_data[[#This Row],[DateTime]],"yyy")</f>
        <v>2023</v>
      </c>
    </row>
    <row r="1019" spans="1:14" x14ac:dyDescent="0.35">
      <c r="A1019" t="s">
        <v>2180</v>
      </c>
      <c r="B1019" s="1">
        <v>45094.654205740742</v>
      </c>
      <c r="C1019" t="s">
        <v>2181</v>
      </c>
      <c r="D1019" t="s">
        <v>69</v>
      </c>
      <c r="E1019" t="s">
        <v>39</v>
      </c>
      <c r="F1019">
        <v>3.2</v>
      </c>
      <c r="G1019">
        <v>9</v>
      </c>
      <c r="H1019" t="s">
        <v>14</v>
      </c>
      <c r="I1019" t="s">
        <v>40</v>
      </c>
      <c r="J1019" t="s">
        <v>255</v>
      </c>
      <c r="K1019">
        <f>Pqp_supermarket_data[[#This Row],[Unit_Price]]*Pqp_supermarket_data[[#This Row],[Quantity]]</f>
        <v>28.8</v>
      </c>
      <c r="L1019" t="str">
        <f>TEXT(Pqp_supermarket_data[[#This Row],[DateTime]],"ddd")</f>
        <v>Sat</v>
      </c>
      <c r="M1019" t="str">
        <f>TEXT(Pqp_supermarket_data[[#This Row],[DateTime]],"mmm")</f>
        <v>Jun</v>
      </c>
      <c r="N1019" t="str">
        <f>TEXT(Pqp_supermarket_data[[#This Row],[DateTime]],"yyy")</f>
        <v>2023</v>
      </c>
    </row>
    <row r="1020" spans="1:14" x14ac:dyDescent="0.35">
      <c r="A1020" t="s">
        <v>2182</v>
      </c>
      <c r="B1020" s="1">
        <v>45769.476427974536</v>
      </c>
      <c r="C1020" t="s">
        <v>2183</v>
      </c>
      <c r="D1020" t="s">
        <v>82</v>
      </c>
      <c r="E1020" t="s">
        <v>148</v>
      </c>
      <c r="F1020">
        <v>5.5</v>
      </c>
      <c r="G1020">
        <v>9</v>
      </c>
      <c r="H1020" t="s">
        <v>14</v>
      </c>
      <c r="I1020" t="s">
        <v>40</v>
      </c>
      <c r="J1020" t="s">
        <v>382</v>
      </c>
      <c r="K1020">
        <f>Pqp_supermarket_data[[#This Row],[Unit_Price]]*Pqp_supermarket_data[[#This Row],[Quantity]]</f>
        <v>49.5</v>
      </c>
      <c r="L1020" t="str">
        <f>TEXT(Pqp_supermarket_data[[#This Row],[DateTime]],"ddd")</f>
        <v>Tue</v>
      </c>
      <c r="M1020" t="str">
        <f>TEXT(Pqp_supermarket_data[[#This Row],[DateTime]],"mmm")</f>
        <v>Apr</v>
      </c>
      <c r="N1020" t="str">
        <f>TEXT(Pqp_supermarket_data[[#This Row],[DateTime]],"yyy")</f>
        <v>2025</v>
      </c>
    </row>
    <row r="1021" spans="1:14" x14ac:dyDescent="0.35">
      <c r="A1021" t="s">
        <v>2184</v>
      </c>
      <c r="B1021" s="1">
        <v>44873.091705752318</v>
      </c>
      <c r="C1021" t="s">
        <v>2185</v>
      </c>
      <c r="D1021" t="s">
        <v>12</v>
      </c>
      <c r="E1021" t="s">
        <v>57</v>
      </c>
      <c r="F1021">
        <v>4.5</v>
      </c>
      <c r="G1021">
        <v>5</v>
      </c>
      <c r="H1021" t="s">
        <v>14</v>
      </c>
      <c r="I1021" t="s">
        <v>15</v>
      </c>
      <c r="J1021" t="s">
        <v>74</v>
      </c>
      <c r="K1021">
        <f>Pqp_supermarket_data[[#This Row],[Unit_Price]]*Pqp_supermarket_data[[#This Row],[Quantity]]</f>
        <v>22.5</v>
      </c>
      <c r="L1021" t="str">
        <f>TEXT(Pqp_supermarket_data[[#This Row],[DateTime]],"ddd")</f>
        <v>Tue</v>
      </c>
      <c r="M1021" t="str">
        <f>TEXT(Pqp_supermarket_data[[#This Row],[DateTime]],"mmm")</f>
        <v>Nov</v>
      </c>
      <c r="N1021" t="str">
        <f>TEXT(Pqp_supermarket_data[[#This Row],[DateTime]],"yyy")</f>
        <v>2022</v>
      </c>
    </row>
    <row r="1022" spans="1:14" x14ac:dyDescent="0.35">
      <c r="A1022" t="s">
        <v>2186</v>
      </c>
      <c r="B1022" s="1">
        <v>45737.764622430557</v>
      </c>
      <c r="C1022" t="s">
        <v>2187</v>
      </c>
      <c r="D1022" t="s">
        <v>208</v>
      </c>
      <c r="E1022" t="s">
        <v>45</v>
      </c>
      <c r="F1022">
        <v>1</v>
      </c>
      <c r="G1022">
        <v>4</v>
      </c>
      <c r="H1022" t="s">
        <v>14</v>
      </c>
      <c r="I1022" t="s">
        <v>21</v>
      </c>
      <c r="J1022" t="s">
        <v>71</v>
      </c>
      <c r="K1022">
        <f>Pqp_supermarket_data[[#This Row],[Unit_Price]]*Pqp_supermarket_data[[#This Row],[Quantity]]</f>
        <v>4</v>
      </c>
      <c r="L1022" t="str">
        <f>TEXT(Pqp_supermarket_data[[#This Row],[DateTime]],"ddd")</f>
        <v>Fri</v>
      </c>
      <c r="M1022" t="str">
        <f>TEXT(Pqp_supermarket_data[[#This Row],[DateTime]],"mmm")</f>
        <v>Mar</v>
      </c>
      <c r="N1022" t="str">
        <f>TEXT(Pqp_supermarket_data[[#This Row],[DateTime]],"yyy")</f>
        <v>2025</v>
      </c>
    </row>
    <row r="1023" spans="1:14" x14ac:dyDescent="0.35">
      <c r="A1023" t="s">
        <v>2188</v>
      </c>
      <c r="B1023" s="1">
        <v>45536.638233541664</v>
      </c>
      <c r="C1023" t="s">
        <v>2189</v>
      </c>
      <c r="D1023" t="s">
        <v>77</v>
      </c>
      <c r="E1023" t="s">
        <v>45</v>
      </c>
      <c r="F1023">
        <v>1</v>
      </c>
      <c r="G1023">
        <v>3</v>
      </c>
      <c r="H1023" t="s">
        <v>14</v>
      </c>
      <c r="I1023" t="s">
        <v>86</v>
      </c>
      <c r="J1023" t="s">
        <v>227</v>
      </c>
      <c r="K1023">
        <f>Pqp_supermarket_data[[#This Row],[Unit_Price]]*Pqp_supermarket_data[[#This Row],[Quantity]]</f>
        <v>3</v>
      </c>
      <c r="L1023" t="str">
        <f>TEXT(Pqp_supermarket_data[[#This Row],[DateTime]],"ddd")</f>
        <v>Sun</v>
      </c>
      <c r="M1023" t="str">
        <f>TEXT(Pqp_supermarket_data[[#This Row],[DateTime]],"mmm")</f>
        <v>Sep</v>
      </c>
      <c r="N1023" t="str">
        <f>TEXT(Pqp_supermarket_data[[#This Row],[DateTime]],"yyy")</f>
        <v>2024</v>
      </c>
    </row>
    <row r="1024" spans="1:14" x14ac:dyDescent="0.35">
      <c r="A1024" t="s">
        <v>2190</v>
      </c>
      <c r="B1024" s="1">
        <v>44459.774344652775</v>
      </c>
      <c r="C1024" t="s">
        <v>2191</v>
      </c>
      <c r="D1024" t="s">
        <v>69</v>
      </c>
      <c r="E1024" t="s">
        <v>148</v>
      </c>
      <c r="F1024">
        <v>5.5</v>
      </c>
      <c r="G1024">
        <v>3</v>
      </c>
      <c r="H1024" t="s">
        <v>14</v>
      </c>
      <c r="I1024" t="s">
        <v>61</v>
      </c>
      <c r="J1024" t="s">
        <v>50</v>
      </c>
      <c r="K1024">
        <f>Pqp_supermarket_data[[#This Row],[Unit_Price]]*Pqp_supermarket_data[[#This Row],[Quantity]]</f>
        <v>16.5</v>
      </c>
      <c r="L1024" t="str">
        <f>TEXT(Pqp_supermarket_data[[#This Row],[DateTime]],"ddd")</f>
        <v>Mon</v>
      </c>
      <c r="M1024" t="str">
        <f>TEXT(Pqp_supermarket_data[[#This Row],[DateTime]],"mmm")</f>
        <v>Sep</v>
      </c>
      <c r="N1024" t="str">
        <f>TEXT(Pqp_supermarket_data[[#This Row],[DateTime]],"yyy")</f>
        <v>2021</v>
      </c>
    </row>
    <row r="1025" spans="1:14" x14ac:dyDescent="0.35">
      <c r="A1025" t="s">
        <v>2192</v>
      </c>
      <c r="B1025" s="1">
        <v>44829.643789108799</v>
      </c>
      <c r="C1025" t="s">
        <v>2193</v>
      </c>
      <c r="D1025" t="s">
        <v>77</v>
      </c>
      <c r="E1025" t="s">
        <v>70</v>
      </c>
      <c r="F1025">
        <v>5</v>
      </c>
      <c r="G1025">
        <v>5</v>
      </c>
      <c r="H1025" t="s">
        <v>14</v>
      </c>
      <c r="I1025" t="s">
        <v>86</v>
      </c>
      <c r="J1025" t="s">
        <v>320</v>
      </c>
      <c r="K1025">
        <f>Pqp_supermarket_data[[#This Row],[Unit_Price]]*Pqp_supermarket_data[[#This Row],[Quantity]]</f>
        <v>25</v>
      </c>
      <c r="L1025" t="str">
        <f>TEXT(Pqp_supermarket_data[[#This Row],[DateTime]],"ddd")</f>
        <v>Sun</v>
      </c>
      <c r="M1025" t="str">
        <f>TEXT(Pqp_supermarket_data[[#This Row],[DateTime]],"mmm")</f>
        <v>Sep</v>
      </c>
      <c r="N1025" t="str">
        <f>TEXT(Pqp_supermarket_data[[#This Row],[DateTime]],"yyy")</f>
        <v>2022</v>
      </c>
    </row>
    <row r="1026" spans="1:14" x14ac:dyDescent="0.35">
      <c r="A1026" t="s">
        <v>2194</v>
      </c>
      <c r="B1026" s="1">
        <v>44419.131983553241</v>
      </c>
      <c r="C1026" t="s">
        <v>2195</v>
      </c>
      <c r="D1026" t="s">
        <v>69</v>
      </c>
      <c r="E1026" t="s">
        <v>65</v>
      </c>
      <c r="F1026">
        <v>3</v>
      </c>
      <c r="G1026">
        <v>5</v>
      </c>
      <c r="H1026" t="s">
        <v>14</v>
      </c>
      <c r="I1026" t="s">
        <v>40</v>
      </c>
      <c r="J1026" t="s">
        <v>41</v>
      </c>
      <c r="K1026">
        <f>Pqp_supermarket_data[[#This Row],[Unit_Price]]*Pqp_supermarket_data[[#This Row],[Quantity]]</f>
        <v>15</v>
      </c>
      <c r="L1026" t="str">
        <f>TEXT(Pqp_supermarket_data[[#This Row],[DateTime]],"ddd")</f>
        <v>Wed</v>
      </c>
      <c r="M1026" t="str">
        <f>TEXT(Pqp_supermarket_data[[#This Row],[DateTime]],"mmm")</f>
        <v>Aug</v>
      </c>
      <c r="N1026" t="str">
        <f>TEXT(Pqp_supermarket_data[[#This Row],[DateTime]],"yyy")</f>
        <v>2021</v>
      </c>
    </row>
    <row r="1027" spans="1:14" x14ac:dyDescent="0.35">
      <c r="A1027" t="s">
        <v>2196</v>
      </c>
      <c r="B1027" s="1">
        <v>44991.141011342595</v>
      </c>
      <c r="C1027" t="s">
        <v>2197</v>
      </c>
      <c r="D1027" t="s">
        <v>127</v>
      </c>
      <c r="E1027" t="s">
        <v>13</v>
      </c>
      <c r="F1027">
        <v>3.1</v>
      </c>
      <c r="G1027">
        <v>3</v>
      </c>
      <c r="H1027" t="s">
        <v>14</v>
      </c>
      <c r="I1027" t="s">
        <v>86</v>
      </c>
      <c r="J1027" t="s">
        <v>95</v>
      </c>
      <c r="K1027">
        <f>Pqp_supermarket_data[[#This Row],[Unit_Price]]*Pqp_supermarket_data[[#This Row],[Quantity]]</f>
        <v>9.3000000000000007</v>
      </c>
      <c r="L1027" t="str">
        <f>TEXT(Pqp_supermarket_data[[#This Row],[DateTime]],"ddd")</f>
        <v>Mon</v>
      </c>
      <c r="M1027" t="str">
        <f>TEXT(Pqp_supermarket_data[[#This Row],[DateTime]],"mmm")</f>
        <v>Mar</v>
      </c>
      <c r="N1027" t="str">
        <f>TEXT(Pqp_supermarket_data[[#This Row],[DateTime]],"yyy")</f>
        <v>2023</v>
      </c>
    </row>
    <row r="1028" spans="1:14" x14ac:dyDescent="0.35">
      <c r="A1028" t="s">
        <v>2198</v>
      </c>
      <c r="B1028" s="1">
        <v>44779.282678009258</v>
      </c>
      <c r="C1028" t="s">
        <v>2199</v>
      </c>
      <c r="D1028" t="s">
        <v>82</v>
      </c>
      <c r="E1028" t="s">
        <v>94</v>
      </c>
      <c r="F1028">
        <v>0.8</v>
      </c>
      <c r="G1028">
        <v>8</v>
      </c>
      <c r="H1028" t="s">
        <v>14</v>
      </c>
      <c r="I1028" t="s">
        <v>40</v>
      </c>
      <c r="J1028" t="s">
        <v>209</v>
      </c>
      <c r="K1028">
        <f>Pqp_supermarket_data[[#This Row],[Unit_Price]]*Pqp_supermarket_data[[#This Row],[Quantity]]</f>
        <v>6.4</v>
      </c>
      <c r="L1028" t="str">
        <f>TEXT(Pqp_supermarket_data[[#This Row],[DateTime]],"ddd")</f>
        <v>Sat</v>
      </c>
      <c r="M1028" t="str">
        <f>TEXT(Pqp_supermarket_data[[#This Row],[DateTime]],"mmm")</f>
        <v>Aug</v>
      </c>
      <c r="N1028" t="str">
        <f>TEXT(Pqp_supermarket_data[[#This Row],[DateTime]],"yyy")</f>
        <v>2022</v>
      </c>
    </row>
    <row r="1029" spans="1:14" x14ac:dyDescent="0.35">
      <c r="A1029" t="s">
        <v>2200</v>
      </c>
      <c r="B1029" s="1">
        <v>44679.009066909719</v>
      </c>
      <c r="C1029" t="s">
        <v>2201</v>
      </c>
      <c r="D1029" t="s">
        <v>171</v>
      </c>
      <c r="E1029" t="s">
        <v>148</v>
      </c>
      <c r="F1029">
        <v>5.5</v>
      </c>
      <c r="G1029">
        <v>8</v>
      </c>
      <c r="H1029" t="s">
        <v>14</v>
      </c>
      <c r="I1029" t="s">
        <v>36</v>
      </c>
      <c r="J1029" t="s">
        <v>924</v>
      </c>
      <c r="K1029">
        <f>Pqp_supermarket_data[[#This Row],[Unit_Price]]*Pqp_supermarket_data[[#This Row],[Quantity]]</f>
        <v>44</v>
      </c>
      <c r="L1029" t="str">
        <f>TEXT(Pqp_supermarket_data[[#This Row],[DateTime]],"ddd")</f>
        <v>Thu</v>
      </c>
      <c r="M1029" t="str">
        <f>TEXT(Pqp_supermarket_data[[#This Row],[DateTime]],"mmm")</f>
        <v>Apr</v>
      </c>
      <c r="N1029" t="str">
        <f>TEXT(Pqp_supermarket_data[[#This Row],[DateTime]],"yyy")</f>
        <v>2022</v>
      </c>
    </row>
    <row r="1030" spans="1:14" x14ac:dyDescent="0.35">
      <c r="A1030" t="s">
        <v>2202</v>
      </c>
      <c r="B1030" s="1">
        <v>45575.515316909725</v>
      </c>
      <c r="C1030" t="s">
        <v>2203</v>
      </c>
      <c r="D1030" t="s">
        <v>77</v>
      </c>
      <c r="E1030" t="s">
        <v>119</v>
      </c>
      <c r="F1030">
        <v>4</v>
      </c>
      <c r="G1030">
        <v>5</v>
      </c>
      <c r="H1030" t="s">
        <v>14</v>
      </c>
      <c r="I1030" t="s">
        <v>86</v>
      </c>
      <c r="J1030" t="s">
        <v>397</v>
      </c>
      <c r="K1030">
        <f>Pqp_supermarket_data[[#This Row],[Unit_Price]]*Pqp_supermarket_data[[#This Row],[Quantity]]</f>
        <v>20</v>
      </c>
      <c r="L1030" t="str">
        <f>TEXT(Pqp_supermarket_data[[#This Row],[DateTime]],"ddd")</f>
        <v>Thu</v>
      </c>
      <c r="M1030" t="str">
        <f>TEXT(Pqp_supermarket_data[[#This Row],[DateTime]],"mmm")</f>
        <v>Oct</v>
      </c>
      <c r="N1030" t="str">
        <f>TEXT(Pqp_supermarket_data[[#This Row],[DateTime]],"yyy")</f>
        <v>2024</v>
      </c>
    </row>
    <row r="1031" spans="1:14" x14ac:dyDescent="0.35">
      <c r="A1031" t="s">
        <v>2204</v>
      </c>
      <c r="B1031" s="1">
        <v>44767.364622465277</v>
      </c>
      <c r="C1031" t="s">
        <v>2205</v>
      </c>
      <c r="D1031" t="s">
        <v>30</v>
      </c>
      <c r="E1031" t="s">
        <v>35</v>
      </c>
      <c r="F1031">
        <v>1.2</v>
      </c>
      <c r="G1031">
        <v>1</v>
      </c>
      <c r="H1031" t="s">
        <v>14</v>
      </c>
      <c r="I1031" t="s">
        <v>36</v>
      </c>
      <c r="J1031" t="s">
        <v>423</v>
      </c>
      <c r="K1031">
        <f>Pqp_supermarket_data[[#This Row],[Unit_Price]]*Pqp_supermarket_data[[#This Row],[Quantity]]</f>
        <v>1.2</v>
      </c>
      <c r="L1031" t="str">
        <f>TEXT(Pqp_supermarket_data[[#This Row],[DateTime]],"ddd")</f>
        <v>Mon</v>
      </c>
      <c r="M1031" t="str">
        <f>TEXT(Pqp_supermarket_data[[#This Row],[DateTime]],"mmm")</f>
        <v>Jul</v>
      </c>
      <c r="N1031" t="str">
        <f>TEXT(Pqp_supermarket_data[[#This Row],[DateTime]],"yyy")</f>
        <v>2022</v>
      </c>
    </row>
    <row r="1032" spans="1:14" x14ac:dyDescent="0.35">
      <c r="A1032" t="s">
        <v>2206</v>
      </c>
      <c r="B1032" s="1">
        <v>45241.36253914352</v>
      </c>
      <c r="C1032" t="s">
        <v>2207</v>
      </c>
      <c r="D1032" t="s">
        <v>44</v>
      </c>
      <c r="E1032" t="s">
        <v>49</v>
      </c>
      <c r="F1032">
        <v>7</v>
      </c>
      <c r="G1032">
        <v>10</v>
      </c>
      <c r="H1032" t="s">
        <v>14</v>
      </c>
      <c r="I1032" t="s">
        <v>40</v>
      </c>
      <c r="J1032" t="s">
        <v>138</v>
      </c>
      <c r="K1032">
        <f>Pqp_supermarket_data[[#This Row],[Unit_Price]]*Pqp_supermarket_data[[#This Row],[Quantity]]</f>
        <v>70</v>
      </c>
      <c r="L1032" t="str">
        <f>TEXT(Pqp_supermarket_data[[#This Row],[DateTime]],"ddd")</f>
        <v>Sat</v>
      </c>
      <c r="M1032" t="str">
        <f>TEXT(Pqp_supermarket_data[[#This Row],[DateTime]],"mmm")</f>
        <v>Nov</v>
      </c>
      <c r="N1032" t="str">
        <f>TEXT(Pqp_supermarket_data[[#This Row],[DateTime]],"yyy")</f>
        <v>2023</v>
      </c>
    </row>
    <row r="1033" spans="1:14" x14ac:dyDescent="0.35">
      <c r="A1033" t="s">
        <v>2208</v>
      </c>
      <c r="B1033" s="1">
        <v>44336.913928032409</v>
      </c>
      <c r="C1033" t="s">
        <v>2209</v>
      </c>
      <c r="D1033" t="s">
        <v>82</v>
      </c>
      <c r="E1033" t="s">
        <v>49</v>
      </c>
      <c r="F1033">
        <v>7</v>
      </c>
      <c r="G1033">
        <v>2</v>
      </c>
      <c r="H1033" t="s">
        <v>14</v>
      </c>
      <c r="I1033" t="s">
        <v>21</v>
      </c>
      <c r="J1033" t="s">
        <v>499</v>
      </c>
      <c r="K1033">
        <f>Pqp_supermarket_data[[#This Row],[Unit_Price]]*Pqp_supermarket_data[[#This Row],[Quantity]]</f>
        <v>14</v>
      </c>
      <c r="L1033" t="str">
        <f>TEXT(Pqp_supermarket_data[[#This Row],[DateTime]],"ddd")</f>
        <v>Thu</v>
      </c>
      <c r="M1033" t="str">
        <f>TEXT(Pqp_supermarket_data[[#This Row],[DateTime]],"mmm")</f>
        <v>May</v>
      </c>
      <c r="N1033" t="str">
        <f>TEXT(Pqp_supermarket_data[[#This Row],[DateTime]],"yyy")</f>
        <v>2021</v>
      </c>
    </row>
    <row r="1034" spans="1:14" x14ac:dyDescent="0.35">
      <c r="A1034" t="s">
        <v>2210</v>
      </c>
      <c r="B1034" s="1">
        <v>45780.02920582176</v>
      </c>
      <c r="C1034" t="s">
        <v>2211</v>
      </c>
      <c r="D1034" t="s">
        <v>34</v>
      </c>
      <c r="E1034" t="s">
        <v>115</v>
      </c>
      <c r="F1034">
        <v>1.5</v>
      </c>
      <c r="G1034">
        <v>2</v>
      </c>
      <c r="H1034" t="s">
        <v>14</v>
      </c>
      <c r="I1034" t="s">
        <v>21</v>
      </c>
      <c r="J1034" t="s">
        <v>183</v>
      </c>
      <c r="K1034">
        <f>Pqp_supermarket_data[[#This Row],[Unit_Price]]*Pqp_supermarket_data[[#This Row],[Quantity]]</f>
        <v>3</v>
      </c>
      <c r="L1034" t="str">
        <f>TEXT(Pqp_supermarket_data[[#This Row],[DateTime]],"ddd")</f>
        <v>Sat</v>
      </c>
      <c r="M1034" t="str">
        <f>TEXT(Pqp_supermarket_data[[#This Row],[DateTime]],"mmm")</f>
        <v>May</v>
      </c>
      <c r="N1034" t="str">
        <f>TEXT(Pqp_supermarket_data[[#This Row],[DateTime]],"yyy")</f>
        <v>2025</v>
      </c>
    </row>
    <row r="1035" spans="1:14" x14ac:dyDescent="0.35">
      <c r="A1035" t="s">
        <v>2212</v>
      </c>
      <c r="B1035" s="1">
        <v>45051.113233599535</v>
      </c>
      <c r="C1035" t="s">
        <v>2213</v>
      </c>
      <c r="D1035" t="s">
        <v>127</v>
      </c>
      <c r="E1035" t="s">
        <v>49</v>
      </c>
      <c r="F1035">
        <v>7</v>
      </c>
      <c r="G1035">
        <v>1</v>
      </c>
      <c r="H1035" t="s">
        <v>14</v>
      </c>
      <c r="I1035" t="s">
        <v>36</v>
      </c>
      <c r="J1035" t="s">
        <v>230</v>
      </c>
      <c r="K1035">
        <f>Pqp_supermarket_data[[#This Row],[Unit_Price]]*Pqp_supermarket_data[[#This Row],[Quantity]]</f>
        <v>7</v>
      </c>
      <c r="L1035" t="str">
        <f>TEXT(Pqp_supermarket_data[[#This Row],[DateTime]],"ddd")</f>
        <v>Fri</v>
      </c>
      <c r="M1035" t="str">
        <f>TEXT(Pqp_supermarket_data[[#This Row],[DateTime]],"mmm")</f>
        <v>May</v>
      </c>
      <c r="N1035" t="str">
        <f>TEXT(Pqp_supermarket_data[[#This Row],[DateTime]],"yyy")</f>
        <v>2023</v>
      </c>
    </row>
    <row r="1036" spans="1:14" x14ac:dyDescent="0.35">
      <c r="A1036" t="s">
        <v>2214</v>
      </c>
      <c r="B1036" s="1">
        <v>45601.07781693287</v>
      </c>
      <c r="C1036" t="s">
        <v>2215</v>
      </c>
      <c r="D1036" t="s">
        <v>34</v>
      </c>
      <c r="E1036" t="s">
        <v>39</v>
      </c>
      <c r="F1036">
        <v>3.2</v>
      </c>
      <c r="G1036">
        <v>2</v>
      </c>
      <c r="H1036" t="s">
        <v>14</v>
      </c>
      <c r="I1036" t="s">
        <v>86</v>
      </c>
      <c r="J1036" t="s">
        <v>302</v>
      </c>
      <c r="K1036">
        <f>Pqp_supermarket_data[[#This Row],[Unit_Price]]*Pqp_supermarket_data[[#This Row],[Quantity]]</f>
        <v>6.4</v>
      </c>
      <c r="L1036" t="str">
        <f>TEXT(Pqp_supermarket_data[[#This Row],[DateTime]],"ddd")</f>
        <v>Tue</v>
      </c>
      <c r="M1036" t="str">
        <f>TEXT(Pqp_supermarket_data[[#This Row],[DateTime]],"mmm")</f>
        <v>Nov</v>
      </c>
      <c r="N1036" t="str">
        <f>TEXT(Pqp_supermarket_data[[#This Row],[DateTime]],"yyy")</f>
        <v>2024</v>
      </c>
    </row>
    <row r="1037" spans="1:14" x14ac:dyDescent="0.35">
      <c r="A1037" t="s">
        <v>2216</v>
      </c>
      <c r="B1037" s="1">
        <v>45192.718094733798</v>
      </c>
      <c r="C1037" t="s">
        <v>2217</v>
      </c>
      <c r="D1037" t="s">
        <v>69</v>
      </c>
      <c r="E1037" t="s">
        <v>20</v>
      </c>
      <c r="F1037">
        <v>1</v>
      </c>
      <c r="G1037">
        <v>1</v>
      </c>
      <c r="H1037" t="s">
        <v>14</v>
      </c>
      <c r="I1037" t="s">
        <v>86</v>
      </c>
      <c r="J1037" t="s">
        <v>227</v>
      </c>
      <c r="K1037">
        <f>Pqp_supermarket_data[[#This Row],[Unit_Price]]*Pqp_supermarket_data[[#This Row],[Quantity]]</f>
        <v>1</v>
      </c>
      <c r="L1037" t="str">
        <f>TEXT(Pqp_supermarket_data[[#This Row],[DateTime]],"ddd")</f>
        <v>Sat</v>
      </c>
      <c r="M1037" t="str">
        <f>TEXT(Pqp_supermarket_data[[#This Row],[DateTime]],"mmm")</f>
        <v>Sep</v>
      </c>
      <c r="N1037" t="str">
        <f>TEXT(Pqp_supermarket_data[[#This Row],[DateTime]],"yyy")</f>
        <v>2023</v>
      </c>
    </row>
    <row r="1038" spans="1:14" x14ac:dyDescent="0.35">
      <c r="A1038" t="s">
        <v>2218</v>
      </c>
      <c r="B1038" s="1">
        <v>45395.154205844905</v>
      </c>
      <c r="C1038" t="s">
        <v>1371</v>
      </c>
      <c r="D1038" t="s">
        <v>82</v>
      </c>
      <c r="E1038" t="s">
        <v>148</v>
      </c>
      <c r="F1038">
        <v>5.5</v>
      </c>
      <c r="G1038">
        <v>6</v>
      </c>
      <c r="H1038" t="s">
        <v>14</v>
      </c>
      <c r="I1038" t="s">
        <v>86</v>
      </c>
      <c r="J1038" t="s">
        <v>369</v>
      </c>
      <c r="K1038">
        <f>Pqp_supermarket_data[[#This Row],[Unit_Price]]*Pqp_supermarket_data[[#This Row],[Quantity]]</f>
        <v>33</v>
      </c>
      <c r="L1038" t="str">
        <f>TEXT(Pqp_supermarket_data[[#This Row],[DateTime]],"ddd")</f>
        <v>Sat</v>
      </c>
      <c r="M1038" t="str">
        <f>TEXT(Pqp_supermarket_data[[#This Row],[DateTime]],"mmm")</f>
        <v>Apr</v>
      </c>
      <c r="N1038" t="str">
        <f>TEXT(Pqp_supermarket_data[[#This Row],[DateTime]],"yyy")</f>
        <v>2024</v>
      </c>
    </row>
    <row r="1039" spans="1:14" x14ac:dyDescent="0.35">
      <c r="A1039" t="s">
        <v>2219</v>
      </c>
      <c r="B1039" s="1">
        <v>44490.943789189812</v>
      </c>
      <c r="C1039" t="s">
        <v>2220</v>
      </c>
      <c r="D1039" t="s">
        <v>25</v>
      </c>
      <c r="E1039" t="s">
        <v>111</v>
      </c>
      <c r="F1039">
        <v>2.2000000000000002</v>
      </c>
      <c r="G1039">
        <v>1</v>
      </c>
      <c r="H1039" t="s">
        <v>14</v>
      </c>
      <c r="I1039" t="s">
        <v>15</v>
      </c>
      <c r="J1039" t="s">
        <v>27</v>
      </c>
      <c r="K1039">
        <f>Pqp_supermarket_data[[#This Row],[Unit_Price]]*Pqp_supermarket_data[[#This Row],[Quantity]]</f>
        <v>2.2000000000000002</v>
      </c>
      <c r="L1039" t="str">
        <f>TEXT(Pqp_supermarket_data[[#This Row],[DateTime]],"ddd")</f>
        <v>Thu</v>
      </c>
      <c r="M1039" t="str">
        <f>TEXT(Pqp_supermarket_data[[#This Row],[DateTime]],"mmm")</f>
        <v>Oct</v>
      </c>
      <c r="N1039" t="str">
        <f>TEXT(Pqp_supermarket_data[[#This Row],[DateTime]],"yyy")</f>
        <v>2021</v>
      </c>
    </row>
    <row r="1040" spans="1:14" x14ac:dyDescent="0.35">
      <c r="A1040" t="s">
        <v>2221</v>
      </c>
      <c r="B1040" s="1">
        <v>44572.246566967595</v>
      </c>
      <c r="C1040" t="s">
        <v>2222</v>
      </c>
      <c r="D1040" t="s">
        <v>82</v>
      </c>
      <c r="E1040" t="s">
        <v>65</v>
      </c>
      <c r="F1040">
        <v>3</v>
      </c>
      <c r="G1040">
        <v>9</v>
      </c>
      <c r="H1040" t="s">
        <v>14</v>
      </c>
      <c r="I1040" t="s">
        <v>36</v>
      </c>
      <c r="J1040" t="s">
        <v>245</v>
      </c>
      <c r="K1040">
        <f>Pqp_supermarket_data[[#This Row],[Unit_Price]]*Pqp_supermarket_data[[#This Row],[Quantity]]</f>
        <v>27</v>
      </c>
      <c r="L1040" t="str">
        <f>TEXT(Pqp_supermarket_data[[#This Row],[DateTime]],"ddd")</f>
        <v>Tue</v>
      </c>
      <c r="M1040" t="str">
        <f>TEXT(Pqp_supermarket_data[[#This Row],[DateTime]],"mmm")</f>
        <v>Jan</v>
      </c>
      <c r="N1040" t="str">
        <f>TEXT(Pqp_supermarket_data[[#This Row],[DateTime]],"yyy")</f>
        <v>2022</v>
      </c>
    </row>
    <row r="1041" spans="1:14" x14ac:dyDescent="0.35">
      <c r="A1041" t="s">
        <v>2223</v>
      </c>
      <c r="B1041" s="1">
        <v>44762.814622534723</v>
      </c>
      <c r="C1041" t="s">
        <v>2224</v>
      </c>
      <c r="D1041" t="s">
        <v>226</v>
      </c>
      <c r="E1041" t="s">
        <v>70</v>
      </c>
      <c r="F1041">
        <v>5</v>
      </c>
      <c r="G1041">
        <v>1</v>
      </c>
      <c r="H1041" t="s">
        <v>14</v>
      </c>
      <c r="I1041" t="s">
        <v>40</v>
      </c>
      <c r="J1041" t="s">
        <v>102</v>
      </c>
      <c r="K1041">
        <f>Pqp_supermarket_data[[#This Row],[Unit_Price]]*Pqp_supermarket_data[[#This Row],[Quantity]]</f>
        <v>5</v>
      </c>
      <c r="L1041" t="str">
        <f>TEXT(Pqp_supermarket_data[[#This Row],[DateTime]],"ddd")</f>
        <v>Wed</v>
      </c>
      <c r="M1041" t="str">
        <f>TEXT(Pqp_supermarket_data[[#This Row],[DateTime]],"mmm")</f>
        <v>Jul</v>
      </c>
      <c r="N1041" t="str">
        <f>TEXT(Pqp_supermarket_data[[#This Row],[DateTime]],"yyy")</f>
        <v>2022</v>
      </c>
    </row>
    <row r="1042" spans="1:14" x14ac:dyDescent="0.35">
      <c r="A1042" t="s">
        <v>2225</v>
      </c>
      <c r="B1042" s="1">
        <v>45672.10837253472</v>
      </c>
      <c r="C1042" t="s">
        <v>2226</v>
      </c>
      <c r="D1042" t="s">
        <v>12</v>
      </c>
      <c r="E1042" t="s">
        <v>137</v>
      </c>
      <c r="F1042">
        <v>2.5</v>
      </c>
      <c r="G1042">
        <v>7</v>
      </c>
      <c r="H1042" t="s">
        <v>14</v>
      </c>
      <c r="I1042" t="s">
        <v>40</v>
      </c>
      <c r="J1042" t="s">
        <v>163</v>
      </c>
      <c r="K1042">
        <f>Pqp_supermarket_data[[#This Row],[Unit_Price]]*Pqp_supermarket_data[[#This Row],[Quantity]]</f>
        <v>17.5</v>
      </c>
      <c r="L1042" t="str">
        <f>TEXT(Pqp_supermarket_data[[#This Row],[DateTime]],"ddd")</f>
        <v>Wed</v>
      </c>
      <c r="M1042" t="str">
        <f>TEXT(Pqp_supermarket_data[[#This Row],[DateTime]],"mmm")</f>
        <v>Jan</v>
      </c>
      <c r="N1042" t="str">
        <f>TEXT(Pqp_supermarket_data[[#This Row],[DateTime]],"yyy")</f>
        <v>2025</v>
      </c>
    </row>
    <row r="1043" spans="1:14" x14ac:dyDescent="0.35">
      <c r="A1043" t="s">
        <v>2227</v>
      </c>
      <c r="B1043" s="1">
        <v>44446.661844768518</v>
      </c>
      <c r="C1043" t="s">
        <v>2228</v>
      </c>
      <c r="D1043" t="s">
        <v>98</v>
      </c>
      <c r="E1043" t="s">
        <v>20</v>
      </c>
      <c r="F1043">
        <v>1</v>
      </c>
      <c r="G1043">
        <v>3</v>
      </c>
      <c r="H1043" t="s">
        <v>14</v>
      </c>
      <c r="I1043" t="s">
        <v>36</v>
      </c>
      <c r="J1043" t="s">
        <v>87</v>
      </c>
      <c r="K1043">
        <f>Pqp_supermarket_data[[#This Row],[Unit_Price]]*Pqp_supermarket_data[[#This Row],[Quantity]]</f>
        <v>3</v>
      </c>
      <c r="L1043" t="str">
        <f>TEXT(Pqp_supermarket_data[[#This Row],[DateTime]],"ddd")</f>
        <v>Tue</v>
      </c>
      <c r="M1043" t="str">
        <f>TEXT(Pqp_supermarket_data[[#This Row],[DateTime]],"mmm")</f>
        <v>Sep</v>
      </c>
      <c r="N1043" t="str">
        <f>TEXT(Pqp_supermarket_data[[#This Row],[DateTime]],"yyy")</f>
        <v>2021</v>
      </c>
    </row>
    <row r="1044" spans="1:14" x14ac:dyDescent="0.35">
      <c r="A1044" t="s">
        <v>2229</v>
      </c>
      <c r="B1044" s="1">
        <v>45309.475039212964</v>
      </c>
      <c r="C1044" t="s">
        <v>2230</v>
      </c>
      <c r="D1044" t="s">
        <v>12</v>
      </c>
      <c r="E1044" t="s">
        <v>111</v>
      </c>
      <c r="F1044">
        <v>2.2000000000000002</v>
      </c>
      <c r="G1044">
        <v>8</v>
      </c>
      <c r="H1044" t="s">
        <v>14</v>
      </c>
      <c r="I1044" t="s">
        <v>36</v>
      </c>
      <c r="J1044" t="s">
        <v>397</v>
      </c>
      <c r="K1044">
        <f>Pqp_supermarket_data[[#This Row],[Unit_Price]]*Pqp_supermarket_data[[#This Row],[Quantity]]</f>
        <v>17.600000000000001</v>
      </c>
      <c r="L1044" t="str">
        <f>TEXT(Pqp_supermarket_data[[#This Row],[DateTime]],"ddd")</f>
        <v>Thu</v>
      </c>
      <c r="M1044" t="str">
        <f>TEXT(Pqp_supermarket_data[[#This Row],[DateTime]],"mmm")</f>
        <v>Jan</v>
      </c>
      <c r="N1044" t="str">
        <f>TEXT(Pqp_supermarket_data[[#This Row],[DateTime]],"yyy")</f>
        <v>2024</v>
      </c>
    </row>
    <row r="1045" spans="1:14" x14ac:dyDescent="0.35">
      <c r="A1045" t="s">
        <v>2231</v>
      </c>
      <c r="B1045" s="1">
        <v>44820.766705879629</v>
      </c>
      <c r="C1045" t="s">
        <v>2232</v>
      </c>
      <c r="D1045" t="s">
        <v>25</v>
      </c>
      <c r="E1045" t="s">
        <v>111</v>
      </c>
      <c r="F1045">
        <v>2.2000000000000002</v>
      </c>
      <c r="G1045">
        <v>1</v>
      </c>
      <c r="H1045" t="s">
        <v>14</v>
      </c>
      <c r="I1045" t="s">
        <v>15</v>
      </c>
      <c r="J1045" t="s">
        <v>134</v>
      </c>
      <c r="K1045">
        <f>Pqp_supermarket_data[[#This Row],[Unit_Price]]*Pqp_supermarket_data[[#This Row],[Quantity]]</f>
        <v>2.2000000000000002</v>
      </c>
      <c r="L1045" t="str">
        <f>TEXT(Pqp_supermarket_data[[#This Row],[DateTime]],"ddd")</f>
        <v>Fri</v>
      </c>
      <c r="M1045" t="str">
        <f>TEXT(Pqp_supermarket_data[[#This Row],[DateTime]],"mmm")</f>
        <v>Sep</v>
      </c>
      <c r="N1045" t="str">
        <f>TEXT(Pqp_supermarket_data[[#This Row],[DateTime]],"yyy")</f>
        <v>2022</v>
      </c>
    </row>
    <row r="1046" spans="1:14" x14ac:dyDescent="0.35">
      <c r="A1046" t="s">
        <v>2233</v>
      </c>
      <c r="B1046" s="1">
        <v>45684.148650347219</v>
      </c>
      <c r="C1046" t="s">
        <v>2234</v>
      </c>
      <c r="D1046" t="s">
        <v>226</v>
      </c>
      <c r="E1046" t="s">
        <v>148</v>
      </c>
      <c r="F1046">
        <v>5.5</v>
      </c>
      <c r="G1046">
        <v>8</v>
      </c>
      <c r="H1046" t="s">
        <v>14</v>
      </c>
      <c r="I1046" t="s">
        <v>21</v>
      </c>
      <c r="J1046" t="s">
        <v>66</v>
      </c>
      <c r="K1046">
        <f>Pqp_supermarket_data[[#This Row],[Unit_Price]]*Pqp_supermarket_data[[#This Row],[Quantity]]</f>
        <v>44</v>
      </c>
      <c r="L1046" t="str">
        <f>TEXT(Pqp_supermarket_data[[#This Row],[DateTime]],"ddd")</f>
        <v>Mon</v>
      </c>
      <c r="M1046" t="str">
        <f>TEXT(Pqp_supermarket_data[[#This Row],[DateTime]],"mmm")</f>
        <v>Jan</v>
      </c>
      <c r="N1046" t="str">
        <f>TEXT(Pqp_supermarket_data[[#This Row],[DateTime]],"yyy")</f>
        <v>2025</v>
      </c>
    </row>
    <row r="1047" spans="1:14" x14ac:dyDescent="0.35">
      <c r="A1047" t="s">
        <v>2235</v>
      </c>
      <c r="B1047" s="1">
        <v>44576.440317025466</v>
      </c>
      <c r="C1047" t="s">
        <v>2236</v>
      </c>
      <c r="D1047" t="s">
        <v>34</v>
      </c>
      <c r="E1047" t="s">
        <v>148</v>
      </c>
      <c r="F1047">
        <v>5.5</v>
      </c>
      <c r="G1047">
        <v>2</v>
      </c>
      <c r="H1047" t="s">
        <v>14</v>
      </c>
      <c r="I1047" t="s">
        <v>86</v>
      </c>
      <c r="J1047" t="s">
        <v>273</v>
      </c>
      <c r="K1047">
        <f>Pqp_supermarket_data[[#This Row],[Unit_Price]]*Pqp_supermarket_data[[#This Row],[Quantity]]</f>
        <v>11</v>
      </c>
      <c r="L1047" t="str">
        <f>TEXT(Pqp_supermarket_data[[#This Row],[DateTime]],"ddd")</f>
        <v>Sat</v>
      </c>
      <c r="M1047" t="str">
        <f>TEXT(Pqp_supermarket_data[[#This Row],[DateTime]],"mmm")</f>
        <v>Jan</v>
      </c>
      <c r="N1047" t="str">
        <f>TEXT(Pqp_supermarket_data[[#This Row],[DateTime]],"yyy")</f>
        <v>2022</v>
      </c>
    </row>
    <row r="1048" spans="1:14" x14ac:dyDescent="0.35">
      <c r="A1048" t="s">
        <v>2237</v>
      </c>
      <c r="B1048" s="1">
        <v>44526.265317037039</v>
      </c>
      <c r="C1048" t="s">
        <v>2238</v>
      </c>
      <c r="D1048" t="s">
        <v>226</v>
      </c>
      <c r="E1048" t="s">
        <v>78</v>
      </c>
      <c r="F1048">
        <v>4</v>
      </c>
      <c r="G1048">
        <v>7</v>
      </c>
      <c r="H1048" t="s">
        <v>14</v>
      </c>
      <c r="I1048" t="s">
        <v>61</v>
      </c>
      <c r="J1048" t="s">
        <v>202</v>
      </c>
      <c r="K1048">
        <f>Pqp_supermarket_data[[#This Row],[Unit_Price]]*Pqp_supermarket_data[[#This Row],[Quantity]]</f>
        <v>28</v>
      </c>
      <c r="L1048" t="str">
        <f>TEXT(Pqp_supermarket_data[[#This Row],[DateTime]],"ddd")</f>
        <v>Fri</v>
      </c>
      <c r="M1048" t="str">
        <f>TEXT(Pqp_supermarket_data[[#This Row],[DateTime]],"mmm")</f>
        <v>Nov</v>
      </c>
      <c r="N1048" t="str">
        <f>TEXT(Pqp_supermarket_data[[#This Row],[DateTime]],"yyy")</f>
        <v>2021</v>
      </c>
    </row>
    <row r="1049" spans="1:14" x14ac:dyDescent="0.35">
      <c r="A1049" t="s">
        <v>2239</v>
      </c>
      <c r="B1049" s="1">
        <v>44397.045872604169</v>
      </c>
      <c r="C1049" t="s">
        <v>2240</v>
      </c>
      <c r="D1049" t="s">
        <v>77</v>
      </c>
      <c r="E1049" t="s">
        <v>119</v>
      </c>
      <c r="F1049">
        <v>4</v>
      </c>
      <c r="G1049">
        <v>9</v>
      </c>
      <c r="H1049" t="s">
        <v>14</v>
      </c>
      <c r="I1049" t="s">
        <v>15</v>
      </c>
      <c r="J1049" t="s">
        <v>394</v>
      </c>
      <c r="K1049">
        <f>Pqp_supermarket_data[[#This Row],[Unit_Price]]*Pqp_supermarket_data[[#This Row],[Quantity]]</f>
        <v>36</v>
      </c>
      <c r="L1049" t="str">
        <f>TEXT(Pqp_supermarket_data[[#This Row],[DateTime]],"ddd")</f>
        <v>Tue</v>
      </c>
      <c r="M1049" t="str">
        <f>TEXT(Pqp_supermarket_data[[#This Row],[DateTime]],"mmm")</f>
        <v>Jul</v>
      </c>
      <c r="N1049" t="str">
        <f>TEXT(Pqp_supermarket_data[[#This Row],[DateTime]],"yyy")</f>
        <v>2021</v>
      </c>
    </row>
    <row r="1050" spans="1:14" x14ac:dyDescent="0.35">
      <c r="A1050" t="s">
        <v>2241</v>
      </c>
      <c r="B1050" s="1">
        <v>45350.492400393516</v>
      </c>
      <c r="C1050" t="s">
        <v>2242</v>
      </c>
      <c r="D1050" t="s">
        <v>69</v>
      </c>
      <c r="E1050" t="s">
        <v>39</v>
      </c>
      <c r="F1050">
        <v>3.2</v>
      </c>
      <c r="G1050">
        <v>2</v>
      </c>
      <c r="H1050" t="s">
        <v>14</v>
      </c>
      <c r="I1050" t="s">
        <v>40</v>
      </c>
      <c r="J1050" t="s">
        <v>339</v>
      </c>
      <c r="K1050">
        <f>Pqp_supermarket_data[[#This Row],[Unit_Price]]*Pqp_supermarket_data[[#This Row],[Quantity]]</f>
        <v>6.4</v>
      </c>
      <c r="L1050" t="str">
        <f>TEXT(Pqp_supermarket_data[[#This Row],[DateTime]],"ddd")</f>
        <v>Wed</v>
      </c>
      <c r="M1050" t="str">
        <f>TEXT(Pqp_supermarket_data[[#This Row],[DateTime]],"mmm")</f>
        <v>Feb</v>
      </c>
      <c r="N1050" t="str">
        <f>TEXT(Pqp_supermarket_data[[#This Row],[DateTime]],"yyy")</f>
        <v>2024</v>
      </c>
    </row>
    <row r="1051" spans="1:14" x14ac:dyDescent="0.35">
      <c r="A1051" t="s">
        <v>2243</v>
      </c>
      <c r="B1051" s="1">
        <v>45497.011150393519</v>
      </c>
      <c r="C1051" t="s">
        <v>2244</v>
      </c>
      <c r="D1051" t="s">
        <v>12</v>
      </c>
      <c r="E1051" t="s">
        <v>53</v>
      </c>
      <c r="F1051">
        <v>2.8</v>
      </c>
      <c r="G1051">
        <v>9</v>
      </c>
      <c r="H1051" t="s">
        <v>14</v>
      </c>
      <c r="I1051" t="s">
        <v>15</v>
      </c>
      <c r="J1051" t="s">
        <v>510</v>
      </c>
      <c r="K1051">
        <f>Pqp_supermarket_data[[#This Row],[Unit_Price]]*Pqp_supermarket_data[[#This Row],[Quantity]]</f>
        <v>25.2</v>
      </c>
      <c r="L1051" t="str">
        <f>TEXT(Pqp_supermarket_data[[#This Row],[DateTime]],"ddd")</f>
        <v>Wed</v>
      </c>
      <c r="M1051" t="str">
        <f>TEXT(Pqp_supermarket_data[[#This Row],[DateTime]],"mmm")</f>
        <v>Jul</v>
      </c>
      <c r="N1051" t="str">
        <f>TEXT(Pqp_supermarket_data[[#This Row],[DateTime]],"yyy")</f>
        <v>2024</v>
      </c>
    </row>
    <row r="1052" spans="1:14" x14ac:dyDescent="0.35">
      <c r="A1052" t="s">
        <v>2245</v>
      </c>
      <c r="B1052" s="1">
        <v>45287.808372627318</v>
      </c>
      <c r="C1052" t="s">
        <v>2246</v>
      </c>
      <c r="D1052" t="s">
        <v>69</v>
      </c>
      <c r="E1052" t="s">
        <v>148</v>
      </c>
      <c r="F1052">
        <v>5.5</v>
      </c>
      <c r="G1052">
        <v>10</v>
      </c>
      <c r="H1052" t="s">
        <v>14</v>
      </c>
      <c r="I1052" t="s">
        <v>86</v>
      </c>
      <c r="J1052" t="s">
        <v>267</v>
      </c>
      <c r="K1052">
        <f>Pqp_supermarket_data[[#This Row],[Unit_Price]]*Pqp_supermarket_data[[#This Row],[Quantity]]</f>
        <v>55</v>
      </c>
      <c r="L1052" t="str">
        <f>TEXT(Pqp_supermarket_data[[#This Row],[DateTime]],"ddd")</f>
        <v>Wed</v>
      </c>
      <c r="M1052" t="str">
        <f>TEXT(Pqp_supermarket_data[[#This Row],[DateTime]],"mmm")</f>
        <v>Dec</v>
      </c>
      <c r="N1052" t="str">
        <f>TEXT(Pqp_supermarket_data[[#This Row],[DateTime]],"yyy")</f>
        <v>2023</v>
      </c>
    </row>
    <row r="1053" spans="1:14" x14ac:dyDescent="0.35">
      <c r="A1053" t="s">
        <v>2247</v>
      </c>
      <c r="B1053" s="1">
        <v>45463.520872627312</v>
      </c>
      <c r="C1053" t="s">
        <v>2248</v>
      </c>
      <c r="D1053" t="s">
        <v>98</v>
      </c>
      <c r="E1053" t="s">
        <v>65</v>
      </c>
      <c r="F1053">
        <v>3</v>
      </c>
      <c r="G1053">
        <v>1</v>
      </c>
      <c r="H1053" t="s">
        <v>14</v>
      </c>
      <c r="I1053" t="s">
        <v>40</v>
      </c>
      <c r="J1053" t="s">
        <v>218</v>
      </c>
      <c r="K1053">
        <f>Pqp_supermarket_data[[#This Row],[Unit_Price]]*Pqp_supermarket_data[[#This Row],[Quantity]]</f>
        <v>3</v>
      </c>
      <c r="L1053" t="str">
        <f>TEXT(Pqp_supermarket_data[[#This Row],[DateTime]],"ddd")</f>
        <v>Thu</v>
      </c>
      <c r="M1053" t="str">
        <f>TEXT(Pqp_supermarket_data[[#This Row],[DateTime]],"mmm")</f>
        <v>Jun</v>
      </c>
      <c r="N1053" t="str">
        <f>TEXT(Pqp_supermarket_data[[#This Row],[DateTime]],"yyy")</f>
        <v>2024</v>
      </c>
    </row>
    <row r="1054" spans="1:14" x14ac:dyDescent="0.35">
      <c r="A1054" t="s">
        <v>2249</v>
      </c>
      <c r="B1054" s="1">
        <v>45603.614622627312</v>
      </c>
      <c r="C1054" t="s">
        <v>2250</v>
      </c>
      <c r="D1054" t="s">
        <v>171</v>
      </c>
      <c r="E1054" t="s">
        <v>57</v>
      </c>
      <c r="F1054">
        <v>4.5</v>
      </c>
      <c r="G1054">
        <v>7</v>
      </c>
      <c r="H1054" t="s">
        <v>14</v>
      </c>
      <c r="I1054" t="s">
        <v>36</v>
      </c>
      <c r="J1054" t="s">
        <v>426</v>
      </c>
      <c r="K1054">
        <f>Pqp_supermarket_data[[#This Row],[Unit_Price]]*Pqp_supermarket_data[[#This Row],[Quantity]]</f>
        <v>31.5</v>
      </c>
      <c r="L1054" t="str">
        <f>TEXT(Pqp_supermarket_data[[#This Row],[DateTime]],"ddd")</f>
        <v>Thu</v>
      </c>
      <c r="M1054" t="str">
        <f>TEXT(Pqp_supermarket_data[[#This Row],[DateTime]],"mmm")</f>
        <v>Nov</v>
      </c>
      <c r="N1054" t="str">
        <f>TEXT(Pqp_supermarket_data[[#This Row],[DateTime]],"yyy")</f>
        <v>2024</v>
      </c>
    </row>
    <row r="1055" spans="1:14" x14ac:dyDescent="0.35">
      <c r="A1055" t="s">
        <v>2251</v>
      </c>
      <c r="B1055" s="1">
        <v>44811.637539293981</v>
      </c>
      <c r="C1055" t="s">
        <v>2252</v>
      </c>
      <c r="D1055" t="s">
        <v>25</v>
      </c>
      <c r="E1055" t="s">
        <v>111</v>
      </c>
      <c r="F1055">
        <v>2.2000000000000002</v>
      </c>
      <c r="G1055">
        <v>5</v>
      </c>
      <c r="H1055" t="s">
        <v>14</v>
      </c>
      <c r="I1055" t="s">
        <v>21</v>
      </c>
      <c r="J1055" t="s">
        <v>31</v>
      </c>
      <c r="K1055">
        <f>Pqp_supermarket_data[[#This Row],[Unit_Price]]*Pqp_supermarket_data[[#This Row],[Quantity]]</f>
        <v>11</v>
      </c>
      <c r="L1055" t="str">
        <f>TEXT(Pqp_supermarket_data[[#This Row],[DateTime]],"ddd")</f>
        <v>Wed</v>
      </c>
      <c r="M1055" t="str">
        <f>TEXT(Pqp_supermarket_data[[#This Row],[DateTime]],"mmm")</f>
        <v>Sep</v>
      </c>
      <c r="N1055" t="str">
        <f>TEXT(Pqp_supermarket_data[[#This Row],[DateTime]],"yyy")</f>
        <v>2022</v>
      </c>
    </row>
    <row r="1056" spans="1:14" x14ac:dyDescent="0.35">
      <c r="A1056" t="s">
        <v>2253</v>
      </c>
      <c r="B1056" s="1">
        <v>44943.260455960648</v>
      </c>
      <c r="C1056" t="s">
        <v>2254</v>
      </c>
      <c r="D1056" t="s">
        <v>171</v>
      </c>
      <c r="E1056" t="s">
        <v>137</v>
      </c>
      <c r="F1056">
        <v>2.5</v>
      </c>
      <c r="G1056">
        <v>10</v>
      </c>
      <c r="H1056" t="s">
        <v>14</v>
      </c>
      <c r="I1056" t="s">
        <v>15</v>
      </c>
      <c r="J1056" t="s">
        <v>541</v>
      </c>
      <c r="K1056">
        <f>Pqp_supermarket_data[[#This Row],[Unit_Price]]*Pqp_supermarket_data[[#This Row],[Quantity]]</f>
        <v>25</v>
      </c>
      <c r="L1056" t="str">
        <f>TEXT(Pqp_supermarket_data[[#This Row],[DateTime]],"ddd")</f>
        <v>Tue</v>
      </c>
      <c r="M1056" t="str">
        <f>TEXT(Pqp_supermarket_data[[#This Row],[DateTime]],"mmm")</f>
        <v>Jan</v>
      </c>
      <c r="N1056" t="str">
        <f>TEXT(Pqp_supermarket_data[[#This Row],[DateTime]],"yyy")</f>
        <v>2023</v>
      </c>
    </row>
    <row r="1057" spans="1:14" x14ac:dyDescent="0.35">
      <c r="A1057" t="s">
        <v>2255</v>
      </c>
      <c r="B1057" s="1">
        <v>44762.764622627314</v>
      </c>
      <c r="C1057" t="s">
        <v>2256</v>
      </c>
      <c r="D1057" t="s">
        <v>30</v>
      </c>
      <c r="E1057" t="s">
        <v>57</v>
      </c>
      <c r="F1057">
        <v>4.5</v>
      </c>
      <c r="G1057">
        <v>6</v>
      </c>
      <c r="H1057" t="s">
        <v>14</v>
      </c>
      <c r="I1057" t="s">
        <v>86</v>
      </c>
      <c r="J1057" t="s">
        <v>288</v>
      </c>
      <c r="K1057">
        <f>Pqp_supermarket_data[[#This Row],[Unit_Price]]*Pqp_supermarket_data[[#This Row],[Quantity]]</f>
        <v>27</v>
      </c>
      <c r="L1057" t="str">
        <f>TEXT(Pqp_supermarket_data[[#This Row],[DateTime]],"ddd")</f>
        <v>Wed</v>
      </c>
      <c r="M1057" t="str">
        <f>TEXT(Pqp_supermarket_data[[#This Row],[DateTime]],"mmm")</f>
        <v>Jul</v>
      </c>
      <c r="N1057" t="str">
        <f>TEXT(Pqp_supermarket_data[[#This Row],[DateTime]],"yyy")</f>
        <v>2022</v>
      </c>
    </row>
    <row r="1058" spans="1:14" x14ac:dyDescent="0.35">
      <c r="A1058" t="s">
        <v>2257</v>
      </c>
      <c r="B1058" s="1">
        <v>44644.259761527777</v>
      </c>
      <c r="C1058" t="s">
        <v>2258</v>
      </c>
      <c r="D1058" t="s">
        <v>77</v>
      </c>
      <c r="E1058" t="s">
        <v>90</v>
      </c>
      <c r="F1058">
        <v>1.8</v>
      </c>
      <c r="G1058">
        <v>2</v>
      </c>
      <c r="H1058" t="s">
        <v>14</v>
      </c>
      <c r="I1058" t="s">
        <v>21</v>
      </c>
      <c r="J1058" t="s">
        <v>116</v>
      </c>
      <c r="K1058">
        <f>Pqp_supermarket_data[[#This Row],[Unit_Price]]*Pqp_supermarket_data[[#This Row],[Quantity]]</f>
        <v>3.6</v>
      </c>
      <c r="L1058" t="str">
        <f>TEXT(Pqp_supermarket_data[[#This Row],[DateTime]],"ddd")</f>
        <v>Thu</v>
      </c>
      <c r="M1058" t="str">
        <f>TEXT(Pqp_supermarket_data[[#This Row],[DateTime]],"mmm")</f>
        <v>Mar</v>
      </c>
      <c r="N1058" t="str">
        <f>TEXT(Pqp_supermarket_data[[#This Row],[DateTime]],"yyy")</f>
        <v>2022</v>
      </c>
    </row>
    <row r="1059" spans="1:14" x14ac:dyDescent="0.35">
      <c r="A1059" t="s">
        <v>2259</v>
      </c>
      <c r="B1059" s="1">
        <v>44680.883372638891</v>
      </c>
      <c r="C1059" t="s">
        <v>2260</v>
      </c>
      <c r="D1059" t="s">
        <v>98</v>
      </c>
      <c r="E1059" t="s">
        <v>78</v>
      </c>
      <c r="F1059">
        <v>4</v>
      </c>
      <c r="G1059">
        <v>5</v>
      </c>
      <c r="H1059" t="s">
        <v>14</v>
      </c>
      <c r="I1059" t="s">
        <v>40</v>
      </c>
      <c r="J1059" t="s">
        <v>248</v>
      </c>
      <c r="K1059">
        <f>Pqp_supermarket_data[[#This Row],[Unit_Price]]*Pqp_supermarket_data[[#This Row],[Quantity]]</f>
        <v>20</v>
      </c>
      <c r="L1059" t="str">
        <f>TEXT(Pqp_supermarket_data[[#This Row],[DateTime]],"ddd")</f>
        <v>Fri</v>
      </c>
      <c r="M1059" t="str">
        <f>TEXT(Pqp_supermarket_data[[#This Row],[DateTime]],"mmm")</f>
        <v>Apr</v>
      </c>
      <c r="N1059" t="str">
        <f>TEXT(Pqp_supermarket_data[[#This Row],[DateTime]],"yyy")</f>
        <v>2022</v>
      </c>
    </row>
    <row r="1060" spans="1:14" x14ac:dyDescent="0.35">
      <c r="A1060" t="s">
        <v>2261</v>
      </c>
      <c r="B1060" s="1">
        <v>45556.363233761571</v>
      </c>
      <c r="C1060" t="s">
        <v>2262</v>
      </c>
      <c r="D1060" t="s">
        <v>34</v>
      </c>
      <c r="E1060" t="s">
        <v>115</v>
      </c>
      <c r="F1060">
        <v>1.5</v>
      </c>
      <c r="G1060">
        <v>8</v>
      </c>
      <c r="H1060" t="s">
        <v>14</v>
      </c>
      <c r="I1060" t="s">
        <v>15</v>
      </c>
      <c r="J1060" t="s">
        <v>769</v>
      </c>
      <c r="K1060">
        <f>Pqp_supermarket_data[[#This Row],[Unit_Price]]*Pqp_supermarket_data[[#This Row],[Quantity]]</f>
        <v>12</v>
      </c>
      <c r="L1060" t="str">
        <f>TEXT(Pqp_supermarket_data[[#This Row],[DateTime]],"ddd")</f>
        <v>Sat</v>
      </c>
      <c r="M1060" t="str">
        <f>TEXT(Pqp_supermarket_data[[#This Row],[DateTime]],"mmm")</f>
        <v>Sep</v>
      </c>
      <c r="N1060" t="str">
        <f>TEXT(Pqp_supermarket_data[[#This Row],[DateTime]],"yyy")</f>
        <v>2024</v>
      </c>
    </row>
    <row r="1061" spans="1:14" x14ac:dyDescent="0.35">
      <c r="A1061" t="s">
        <v>2263</v>
      </c>
      <c r="B1061" s="1">
        <v>44414.516011539352</v>
      </c>
      <c r="C1061" t="s">
        <v>2264</v>
      </c>
      <c r="D1061" t="s">
        <v>30</v>
      </c>
      <c r="E1061" t="s">
        <v>53</v>
      </c>
      <c r="F1061">
        <v>2.8</v>
      </c>
      <c r="G1061">
        <v>5</v>
      </c>
      <c r="H1061" t="s">
        <v>14</v>
      </c>
      <c r="I1061" t="s">
        <v>15</v>
      </c>
      <c r="J1061" t="s">
        <v>236</v>
      </c>
      <c r="K1061">
        <f>Pqp_supermarket_data[[#This Row],[Unit_Price]]*Pqp_supermarket_data[[#This Row],[Quantity]]</f>
        <v>14</v>
      </c>
      <c r="L1061" t="str">
        <f>TEXT(Pqp_supermarket_data[[#This Row],[DateTime]],"ddd")</f>
        <v>Fri</v>
      </c>
      <c r="M1061" t="str">
        <f>TEXT(Pqp_supermarket_data[[#This Row],[DateTime]],"mmm")</f>
        <v>Aug</v>
      </c>
      <c r="N1061" t="str">
        <f>TEXT(Pqp_supermarket_data[[#This Row],[DateTime]],"yyy")</f>
        <v>2021</v>
      </c>
    </row>
    <row r="1062" spans="1:14" x14ac:dyDescent="0.35">
      <c r="A1062" t="s">
        <v>2265</v>
      </c>
      <c r="B1062" s="1">
        <v>45272.116011550926</v>
      </c>
      <c r="C1062" t="s">
        <v>2266</v>
      </c>
      <c r="D1062" t="s">
        <v>226</v>
      </c>
      <c r="E1062" t="s">
        <v>70</v>
      </c>
      <c r="F1062">
        <v>5</v>
      </c>
      <c r="G1062">
        <v>1</v>
      </c>
      <c r="H1062" t="s">
        <v>14</v>
      </c>
      <c r="I1062" t="s">
        <v>40</v>
      </c>
      <c r="J1062" t="s">
        <v>202</v>
      </c>
      <c r="K1062">
        <f>Pqp_supermarket_data[[#This Row],[Unit_Price]]*Pqp_supermarket_data[[#This Row],[Quantity]]</f>
        <v>5</v>
      </c>
      <c r="L1062" t="str">
        <f>TEXT(Pqp_supermarket_data[[#This Row],[DateTime]],"ddd")</f>
        <v>Tue</v>
      </c>
      <c r="M1062" t="str">
        <f>TEXT(Pqp_supermarket_data[[#This Row],[DateTime]],"mmm")</f>
        <v>Dec</v>
      </c>
      <c r="N1062" t="str">
        <f>TEXT(Pqp_supermarket_data[[#This Row],[DateTime]],"yyy")</f>
        <v>2023</v>
      </c>
    </row>
    <row r="1063" spans="1:14" x14ac:dyDescent="0.35">
      <c r="A1063" t="s">
        <v>2267</v>
      </c>
      <c r="B1063" s="1">
        <v>45678.843789328705</v>
      </c>
      <c r="C1063" t="s">
        <v>2268</v>
      </c>
      <c r="D1063" t="s">
        <v>69</v>
      </c>
      <c r="E1063" t="s">
        <v>35</v>
      </c>
      <c r="F1063">
        <v>1.2</v>
      </c>
      <c r="G1063">
        <v>8</v>
      </c>
      <c r="H1063" t="s">
        <v>14</v>
      </c>
      <c r="I1063" t="s">
        <v>21</v>
      </c>
      <c r="J1063" t="s">
        <v>233</v>
      </c>
      <c r="K1063">
        <f>Pqp_supermarket_data[[#This Row],[Unit_Price]]*Pqp_supermarket_data[[#This Row],[Quantity]]</f>
        <v>9.6</v>
      </c>
      <c r="L1063" t="str">
        <f>TEXT(Pqp_supermarket_data[[#This Row],[DateTime]],"ddd")</f>
        <v>Tue</v>
      </c>
      <c r="M1063" t="str">
        <f>TEXT(Pqp_supermarket_data[[#This Row],[DateTime]],"mmm")</f>
        <v>Jan</v>
      </c>
      <c r="N1063" t="str">
        <f>TEXT(Pqp_supermarket_data[[#This Row],[DateTime]],"yyy")</f>
        <v>2025</v>
      </c>
    </row>
    <row r="1064" spans="1:14" x14ac:dyDescent="0.35">
      <c r="A1064" t="s">
        <v>2269</v>
      </c>
      <c r="B1064" s="1">
        <v>45641.236150439814</v>
      </c>
      <c r="C1064" t="s">
        <v>2270</v>
      </c>
      <c r="D1064" t="s">
        <v>98</v>
      </c>
      <c r="E1064" t="s">
        <v>119</v>
      </c>
      <c r="F1064">
        <v>4</v>
      </c>
      <c r="G1064">
        <v>10</v>
      </c>
      <c r="H1064" t="s">
        <v>14</v>
      </c>
      <c r="I1064" t="s">
        <v>61</v>
      </c>
      <c r="J1064" t="s">
        <v>175</v>
      </c>
      <c r="K1064">
        <f>Pqp_supermarket_data[[#This Row],[Unit_Price]]*Pqp_supermarket_data[[#This Row],[Quantity]]</f>
        <v>40</v>
      </c>
      <c r="L1064" t="str">
        <f>TEXT(Pqp_supermarket_data[[#This Row],[DateTime]],"ddd")</f>
        <v>Sun</v>
      </c>
      <c r="M1064" t="str">
        <f>TEXT(Pqp_supermarket_data[[#This Row],[DateTime]],"mmm")</f>
        <v>Dec</v>
      </c>
      <c r="N1064" t="str">
        <f>TEXT(Pqp_supermarket_data[[#This Row],[DateTime]],"yyy")</f>
        <v>2024</v>
      </c>
    </row>
    <row r="1065" spans="1:14" x14ac:dyDescent="0.35">
      <c r="A1065" t="s">
        <v>2271</v>
      </c>
      <c r="B1065" s="1">
        <v>45378.571567118059</v>
      </c>
      <c r="C1065" t="s">
        <v>2272</v>
      </c>
      <c r="D1065" t="s">
        <v>19</v>
      </c>
      <c r="E1065" t="s">
        <v>39</v>
      </c>
      <c r="F1065">
        <v>3.2</v>
      </c>
      <c r="G1065">
        <v>4</v>
      </c>
      <c r="H1065" t="s">
        <v>14</v>
      </c>
      <c r="I1065" t="s">
        <v>40</v>
      </c>
      <c r="J1065" t="s">
        <v>394</v>
      </c>
      <c r="K1065">
        <f>Pqp_supermarket_data[[#This Row],[Unit_Price]]*Pqp_supermarket_data[[#This Row],[Quantity]]</f>
        <v>12.8</v>
      </c>
      <c r="L1065" t="str">
        <f>TEXT(Pqp_supermarket_data[[#This Row],[DateTime]],"ddd")</f>
        <v>Wed</v>
      </c>
      <c r="M1065" t="str">
        <f>TEXT(Pqp_supermarket_data[[#This Row],[DateTime]],"mmm")</f>
        <v>Mar</v>
      </c>
      <c r="N1065" t="str">
        <f>TEXT(Pqp_supermarket_data[[#This Row],[DateTime]],"yyy")</f>
        <v>2024</v>
      </c>
    </row>
    <row r="1066" spans="1:14" x14ac:dyDescent="0.35">
      <c r="A1066" t="s">
        <v>2273</v>
      </c>
      <c r="B1066" s="1">
        <v>45320.424344895837</v>
      </c>
      <c r="C1066" t="s">
        <v>2274</v>
      </c>
      <c r="D1066" t="s">
        <v>12</v>
      </c>
      <c r="E1066" t="s">
        <v>145</v>
      </c>
      <c r="F1066">
        <v>1.7</v>
      </c>
      <c r="G1066">
        <v>4</v>
      </c>
      <c r="H1066" t="s">
        <v>14</v>
      </c>
      <c r="I1066" t="s">
        <v>86</v>
      </c>
      <c r="J1066" t="s">
        <v>499</v>
      </c>
      <c r="K1066">
        <f>Pqp_supermarket_data[[#This Row],[Unit_Price]]*Pqp_supermarket_data[[#This Row],[Quantity]]</f>
        <v>6.8</v>
      </c>
      <c r="L1066" t="str">
        <f>TEXT(Pqp_supermarket_data[[#This Row],[DateTime]],"ddd")</f>
        <v>Mon</v>
      </c>
      <c r="M1066" t="str">
        <f>TEXT(Pqp_supermarket_data[[#This Row],[DateTime]],"mmm")</f>
        <v>Jan</v>
      </c>
      <c r="N1066" t="str">
        <f>TEXT(Pqp_supermarket_data[[#This Row],[DateTime]],"yyy")</f>
        <v>2024</v>
      </c>
    </row>
    <row r="1067" spans="1:14" x14ac:dyDescent="0.35">
      <c r="A1067" t="s">
        <v>2275</v>
      </c>
      <c r="B1067" s="1">
        <v>45635.909067129629</v>
      </c>
      <c r="C1067" t="s">
        <v>2276</v>
      </c>
      <c r="D1067" t="s">
        <v>98</v>
      </c>
      <c r="E1067" t="s">
        <v>137</v>
      </c>
      <c r="F1067">
        <v>2.5</v>
      </c>
      <c r="G1067">
        <v>7</v>
      </c>
      <c r="H1067" t="s">
        <v>14</v>
      </c>
      <c r="I1067" t="s">
        <v>15</v>
      </c>
      <c r="J1067" t="s">
        <v>163</v>
      </c>
      <c r="K1067">
        <f>Pqp_supermarket_data[[#This Row],[Unit_Price]]*Pqp_supermarket_data[[#This Row],[Quantity]]</f>
        <v>17.5</v>
      </c>
      <c r="L1067" t="str">
        <f>TEXT(Pqp_supermarket_data[[#This Row],[DateTime]],"ddd")</f>
        <v>Mon</v>
      </c>
      <c r="M1067" t="str">
        <f>TEXT(Pqp_supermarket_data[[#This Row],[DateTime]],"mmm")</f>
        <v>Dec</v>
      </c>
      <c r="N1067" t="str">
        <f>TEXT(Pqp_supermarket_data[[#This Row],[DateTime]],"yyy")</f>
        <v>2024</v>
      </c>
    </row>
    <row r="1068" spans="1:14" x14ac:dyDescent="0.35">
      <c r="A1068" t="s">
        <v>2277</v>
      </c>
      <c r="B1068" s="1">
        <v>44537.968789351849</v>
      </c>
      <c r="C1068" t="s">
        <v>2278</v>
      </c>
      <c r="D1068" t="s">
        <v>82</v>
      </c>
      <c r="E1068" t="s">
        <v>53</v>
      </c>
      <c r="F1068">
        <v>2.8</v>
      </c>
      <c r="G1068">
        <v>3</v>
      </c>
      <c r="H1068" t="s">
        <v>14</v>
      </c>
      <c r="I1068" t="s">
        <v>86</v>
      </c>
      <c r="J1068" t="s">
        <v>105</v>
      </c>
      <c r="K1068">
        <f>Pqp_supermarket_data[[#This Row],[Unit_Price]]*Pqp_supermarket_data[[#This Row],[Quantity]]</f>
        <v>8.3999999999999986</v>
      </c>
      <c r="L1068" t="str">
        <f>TEXT(Pqp_supermarket_data[[#This Row],[DateTime]],"ddd")</f>
        <v>Tue</v>
      </c>
      <c r="M1068" t="str">
        <f>TEXT(Pqp_supermarket_data[[#This Row],[DateTime]],"mmm")</f>
        <v>Dec</v>
      </c>
      <c r="N1068" t="str">
        <f>TEXT(Pqp_supermarket_data[[#This Row],[DateTime]],"yyy")</f>
        <v>2021</v>
      </c>
    </row>
    <row r="1069" spans="1:14" x14ac:dyDescent="0.35">
      <c r="A1069" t="s">
        <v>2279</v>
      </c>
      <c r="B1069" s="1">
        <v>45388.711150462965</v>
      </c>
      <c r="C1069" t="s">
        <v>2280</v>
      </c>
      <c r="D1069" t="s">
        <v>127</v>
      </c>
      <c r="E1069" t="s">
        <v>78</v>
      </c>
      <c r="F1069">
        <v>4</v>
      </c>
      <c r="G1069">
        <v>6</v>
      </c>
      <c r="H1069" t="s">
        <v>14</v>
      </c>
      <c r="I1069" t="s">
        <v>15</v>
      </c>
      <c r="J1069" t="s">
        <v>74</v>
      </c>
      <c r="K1069">
        <f>Pqp_supermarket_data[[#This Row],[Unit_Price]]*Pqp_supermarket_data[[#This Row],[Quantity]]</f>
        <v>24</v>
      </c>
      <c r="L1069" t="str">
        <f>TEXT(Pqp_supermarket_data[[#This Row],[DateTime]],"ddd")</f>
        <v>Sat</v>
      </c>
      <c r="M1069" t="str">
        <f>TEXT(Pqp_supermarket_data[[#This Row],[DateTime]],"mmm")</f>
        <v>Apr</v>
      </c>
      <c r="N1069" t="str">
        <f>TEXT(Pqp_supermarket_data[[#This Row],[DateTime]],"yyy")</f>
        <v>2024</v>
      </c>
    </row>
    <row r="1070" spans="1:14" x14ac:dyDescent="0.35">
      <c r="A1070" t="s">
        <v>2281</v>
      </c>
      <c r="B1070" s="1">
        <v>44368.807678252313</v>
      </c>
      <c r="C1070" t="s">
        <v>2282</v>
      </c>
      <c r="D1070" t="s">
        <v>127</v>
      </c>
      <c r="E1070" t="s">
        <v>111</v>
      </c>
      <c r="F1070">
        <v>2.2000000000000002</v>
      </c>
      <c r="G1070">
        <v>2</v>
      </c>
      <c r="H1070" t="s">
        <v>14</v>
      </c>
      <c r="I1070" t="s">
        <v>86</v>
      </c>
      <c r="J1070" t="s">
        <v>223</v>
      </c>
      <c r="K1070">
        <f>Pqp_supermarket_data[[#This Row],[Unit_Price]]*Pqp_supermarket_data[[#This Row],[Quantity]]</f>
        <v>4.4000000000000004</v>
      </c>
      <c r="L1070" t="str">
        <f>TEXT(Pqp_supermarket_data[[#This Row],[DateTime]],"ddd")</f>
        <v>Mon</v>
      </c>
      <c r="M1070" t="str">
        <f>TEXT(Pqp_supermarket_data[[#This Row],[DateTime]],"mmm")</f>
        <v>Jun</v>
      </c>
      <c r="N1070" t="str">
        <f>TEXT(Pqp_supermarket_data[[#This Row],[DateTime]],"yyy")</f>
        <v>2021</v>
      </c>
    </row>
    <row r="1071" spans="1:14" x14ac:dyDescent="0.35">
      <c r="A1071" t="s">
        <v>2283</v>
      </c>
      <c r="B1071" s="1">
        <v>44930.318094918985</v>
      </c>
      <c r="C1071" t="s">
        <v>2284</v>
      </c>
      <c r="D1071" t="s">
        <v>44</v>
      </c>
      <c r="E1071" t="s">
        <v>26</v>
      </c>
      <c r="F1071">
        <v>2.5</v>
      </c>
      <c r="G1071">
        <v>5</v>
      </c>
      <c r="H1071" t="s">
        <v>14</v>
      </c>
      <c r="I1071" t="s">
        <v>21</v>
      </c>
      <c r="J1071" t="s">
        <v>769</v>
      </c>
      <c r="K1071">
        <f>Pqp_supermarket_data[[#This Row],[Unit_Price]]*Pqp_supermarket_data[[#This Row],[Quantity]]</f>
        <v>12.5</v>
      </c>
      <c r="L1071" t="str">
        <f>TEXT(Pqp_supermarket_data[[#This Row],[DateTime]],"ddd")</f>
        <v>Wed</v>
      </c>
      <c r="M1071" t="str">
        <f>TEXT(Pqp_supermarket_data[[#This Row],[DateTime]],"mmm")</f>
        <v>Jan</v>
      </c>
      <c r="N1071" t="str">
        <f>TEXT(Pqp_supermarket_data[[#This Row],[DateTime]],"yyy")</f>
        <v>2023</v>
      </c>
    </row>
    <row r="1072" spans="1:14" x14ac:dyDescent="0.35">
      <c r="A1072" t="s">
        <v>2285</v>
      </c>
      <c r="B1072" s="1">
        <v>44479.728511597219</v>
      </c>
      <c r="C1072" t="s">
        <v>2286</v>
      </c>
      <c r="D1072" t="s">
        <v>69</v>
      </c>
      <c r="E1072" t="s">
        <v>119</v>
      </c>
      <c r="F1072">
        <v>4</v>
      </c>
      <c r="G1072">
        <v>9</v>
      </c>
      <c r="H1072" t="s">
        <v>14</v>
      </c>
      <c r="I1072" t="s">
        <v>15</v>
      </c>
      <c r="J1072" t="s">
        <v>451</v>
      </c>
      <c r="K1072">
        <f>Pqp_supermarket_data[[#This Row],[Unit_Price]]*Pqp_supermarket_data[[#This Row],[Quantity]]</f>
        <v>36</v>
      </c>
      <c r="L1072" t="str">
        <f>TEXT(Pqp_supermarket_data[[#This Row],[DateTime]],"ddd")</f>
        <v>Sun</v>
      </c>
      <c r="M1072" t="str">
        <f>TEXT(Pqp_supermarket_data[[#This Row],[DateTime]],"mmm")</f>
        <v>Oct</v>
      </c>
      <c r="N1072" t="str">
        <f>TEXT(Pqp_supermarket_data[[#This Row],[DateTime]],"yyy")</f>
        <v>2021</v>
      </c>
    </row>
    <row r="1073" spans="1:14" x14ac:dyDescent="0.35">
      <c r="A1073" t="s">
        <v>2287</v>
      </c>
      <c r="B1073" s="1">
        <v>44942.871567152775</v>
      </c>
      <c r="C1073" t="s">
        <v>2288</v>
      </c>
      <c r="D1073" t="s">
        <v>34</v>
      </c>
      <c r="E1073" t="s">
        <v>78</v>
      </c>
      <c r="F1073">
        <v>4</v>
      </c>
      <c r="G1073">
        <v>10</v>
      </c>
      <c r="H1073" t="s">
        <v>14</v>
      </c>
      <c r="I1073" t="s">
        <v>86</v>
      </c>
      <c r="J1073" t="s">
        <v>311</v>
      </c>
      <c r="K1073">
        <f>Pqp_supermarket_data[[#This Row],[Unit_Price]]*Pqp_supermarket_data[[#This Row],[Quantity]]</f>
        <v>40</v>
      </c>
      <c r="L1073" t="str">
        <f>TEXT(Pqp_supermarket_data[[#This Row],[DateTime]],"ddd")</f>
        <v>Mon</v>
      </c>
      <c r="M1073" t="str">
        <f>TEXT(Pqp_supermarket_data[[#This Row],[DateTime]],"mmm")</f>
        <v>Jan</v>
      </c>
      <c r="N1073" t="str">
        <f>TEXT(Pqp_supermarket_data[[#This Row],[DateTime]],"yyy")</f>
        <v>2023</v>
      </c>
    </row>
    <row r="1074" spans="1:14" x14ac:dyDescent="0.35">
      <c r="A1074" t="s">
        <v>2289</v>
      </c>
      <c r="B1074" s="1">
        <v>45215.527817164351</v>
      </c>
      <c r="C1074" t="s">
        <v>2290</v>
      </c>
      <c r="D1074" t="s">
        <v>82</v>
      </c>
      <c r="E1074" t="s">
        <v>26</v>
      </c>
      <c r="F1074">
        <v>2.5</v>
      </c>
      <c r="G1074">
        <v>4</v>
      </c>
      <c r="H1074" t="s">
        <v>14</v>
      </c>
      <c r="I1074" t="s">
        <v>61</v>
      </c>
      <c r="J1074" t="s">
        <v>236</v>
      </c>
      <c r="K1074">
        <f>Pqp_supermarket_data[[#This Row],[Unit_Price]]*Pqp_supermarket_data[[#This Row],[Quantity]]</f>
        <v>10</v>
      </c>
      <c r="L1074" t="str">
        <f>TEXT(Pqp_supermarket_data[[#This Row],[DateTime]],"ddd")</f>
        <v>Mon</v>
      </c>
      <c r="M1074" t="str">
        <f>TEXT(Pqp_supermarket_data[[#This Row],[DateTime]],"mmm")</f>
        <v>Oct</v>
      </c>
      <c r="N1074" t="str">
        <f>TEXT(Pqp_supermarket_data[[#This Row],[DateTime]],"yyy")</f>
        <v>2023</v>
      </c>
    </row>
    <row r="1075" spans="1:14" x14ac:dyDescent="0.35">
      <c r="A1075" t="s">
        <v>2291</v>
      </c>
      <c r="B1075" s="1">
        <v>44600.228511608795</v>
      </c>
      <c r="C1075" t="s">
        <v>2292</v>
      </c>
      <c r="D1075" t="s">
        <v>19</v>
      </c>
      <c r="E1075" t="s">
        <v>119</v>
      </c>
      <c r="F1075">
        <v>4</v>
      </c>
      <c r="G1075">
        <v>3</v>
      </c>
      <c r="H1075" t="s">
        <v>14</v>
      </c>
      <c r="I1075" t="s">
        <v>21</v>
      </c>
      <c r="J1075" t="s">
        <v>288</v>
      </c>
      <c r="K1075">
        <f>Pqp_supermarket_data[[#This Row],[Unit_Price]]*Pqp_supermarket_data[[#This Row],[Quantity]]</f>
        <v>12</v>
      </c>
      <c r="L1075" t="str">
        <f>TEXT(Pqp_supermarket_data[[#This Row],[DateTime]],"ddd")</f>
        <v>Tue</v>
      </c>
      <c r="M1075" t="str">
        <f>TEXT(Pqp_supermarket_data[[#This Row],[DateTime]],"mmm")</f>
        <v>Feb</v>
      </c>
      <c r="N1075" t="str">
        <f>TEXT(Pqp_supermarket_data[[#This Row],[DateTime]],"yyy")</f>
        <v>2022</v>
      </c>
    </row>
    <row r="1076" spans="1:14" x14ac:dyDescent="0.35">
      <c r="A1076" t="s">
        <v>2293</v>
      </c>
      <c r="B1076" s="1">
        <v>44931.51670605324</v>
      </c>
      <c r="C1076" t="s">
        <v>2294</v>
      </c>
      <c r="D1076" t="s">
        <v>98</v>
      </c>
      <c r="E1076" t="s">
        <v>90</v>
      </c>
      <c r="F1076">
        <v>1.8</v>
      </c>
      <c r="G1076">
        <v>1</v>
      </c>
      <c r="H1076" t="s">
        <v>14</v>
      </c>
      <c r="I1076" t="s">
        <v>86</v>
      </c>
      <c r="J1076" t="s">
        <v>716</v>
      </c>
      <c r="K1076">
        <f>Pqp_supermarket_data[[#This Row],[Unit_Price]]*Pqp_supermarket_data[[#This Row],[Quantity]]</f>
        <v>1.8</v>
      </c>
      <c r="L1076" t="str">
        <f>TEXT(Pqp_supermarket_data[[#This Row],[DateTime]],"ddd")</f>
        <v>Thu</v>
      </c>
      <c r="M1076" t="str">
        <f>TEXT(Pqp_supermarket_data[[#This Row],[DateTime]],"mmm")</f>
        <v>Jan</v>
      </c>
      <c r="N1076" t="str">
        <f>TEXT(Pqp_supermarket_data[[#This Row],[DateTime]],"yyy")</f>
        <v>2023</v>
      </c>
    </row>
    <row r="1077" spans="1:14" x14ac:dyDescent="0.35">
      <c r="A1077" t="s">
        <v>2295</v>
      </c>
      <c r="B1077" s="1">
        <v>44978.899344953701</v>
      </c>
      <c r="C1077" t="s">
        <v>2296</v>
      </c>
      <c r="D1077" t="s">
        <v>226</v>
      </c>
      <c r="E1077" t="s">
        <v>148</v>
      </c>
      <c r="F1077">
        <v>5.5</v>
      </c>
      <c r="G1077">
        <v>8</v>
      </c>
      <c r="H1077" t="s">
        <v>14</v>
      </c>
      <c r="I1077" t="s">
        <v>86</v>
      </c>
      <c r="J1077" t="s">
        <v>461</v>
      </c>
      <c r="K1077">
        <f>Pqp_supermarket_data[[#This Row],[Unit_Price]]*Pqp_supermarket_data[[#This Row],[Quantity]]</f>
        <v>44</v>
      </c>
      <c r="L1077" t="str">
        <f>TEXT(Pqp_supermarket_data[[#This Row],[DateTime]],"ddd")</f>
        <v>Tue</v>
      </c>
      <c r="M1077" t="str">
        <f>TEXT(Pqp_supermarket_data[[#This Row],[DateTime]],"mmm")</f>
        <v>Feb</v>
      </c>
      <c r="N1077" t="str">
        <f>TEXT(Pqp_supermarket_data[[#This Row],[DateTime]],"yyy")</f>
        <v>2023</v>
      </c>
    </row>
    <row r="1078" spans="1:14" x14ac:dyDescent="0.35">
      <c r="A1078" t="s">
        <v>2297</v>
      </c>
      <c r="B1078" s="1">
        <v>45615.818094953705</v>
      </c>
      <c r="C1078" t="s">
        <v>2298</v>
      </c>
      <c r="D1078" t="s">
        <v>208</v>
      </c>
      <c r="E1078" t="s">
        <v>145</v>
      </c>
      <c r="F1078">
        <v>1.7</v>
      </c>
      <c r="G1078">
        <v>4</v>
      </c>
      <c r="H1078" t="s">
        <v>14</v>
      </c>
      <c r="I1078" t="s">
        <v>15</v>
      </c>
      <c r="J1078" t="s">
        <v>62</v>
      </c>
      <c r="K1078">
        <f>Pqp_supermarket_data[[#This Row],[Unit_Price]]*Pqp_supermarket_data[[#This Row],[Quantity]]</f>
        <v>6.8</v>
      </c>
      <c r="L1078" t="str">
        <f>TEXT(Pqp_supermarket_data[[#This Row],[DateTime]],"ddd")</f>
        <v>Tue</v>
      </c>
      <c r="M1078" t="str">
        <f>TEXT(Pqp_supermarket_data[[#This Row],[DateTime]],"mmm")</f>
        <v>Nov</v>
      </c>
      <c r="N1078" t="str">
        <f>TEXT(Pqp_supermarket_data[[#This Row],[DateTime]],"yyy")</f>
        <v>2024</v>
      </c>
    </row>
    <row r="1079" spans="1:14" x14ac:dyDescent="0.35">
      <c r="A1079" t="s">
        <v>2299</v>
      </c>
      <c r="B1079" s="1">
        <v>45181.239622743058</v>
      </c>
      <c r="C1079" t="s">
        <v>2300</v>
      </c>
      <c r="D1079" t="s">
        <v>77</v>
      </c>
      <c r="E1079" t="s">
        <v>35</v>
      </c>
      <c r="F1079">
        <v>1.2</v>
      </c>
      <c r="G1079">
        <v>8</v>
      </c>
      <c r="H1079" t="s">
        <v>14</v>
      </c>
      <c r="I1079" t="s">
        <v>36</v>
      </c>
      <c r="J1079" t="s">
        <v>245</v>
      </c>
      <c r="K1079">
        <f>Pqp_supermarket_data[[#This Row],[Unit_Price]]*Pqp_supermarket_data[[#This Row],[Quantity]]</f>
        <v>9.6</v>
      </c>
      <c r="L1079" t="str">
        <f>TEXT(Pqp_supermarket_data[[#This Row],[DateTime]],"ddd")</f>
        <v>Tue</v>
      </c>
      <c r="M1079" t="str">
        <f>TEXT(Pqp_supermarket_data[[#This Row],[DateTime]],"mmm")</f>
        <v>Sep</v>
      </c>
      <c r="N1079" t="str">
        <f>TEXT(Pqp_supermarket_data[[#This Row],[DateTime]],"yyy")</f>
        <v>2023</v>
      </c>
    </row>
    <row r="1080" spans="1:14" x14ac:dyDescent="0.35">
      <c r="A1080" t="s">
        <v>2301</v>
      </c>
      <c r="B1080" s="1">
        <v>45454.62295607639</v>
      </c>
      <c r="C1080" t="s">
        <v>2302</v>
      </c>
      <c r="D1080" t="s">
        <v>34</v>
      </c>
      <c r="E1080" t="s">
        <v>119</v>
      </c>
      <c r="F1080">
        <v>4</v>
      </c>
      <c r="G1080">
        <v>10</v>
      </c>
      <c r="H1080" t="s">
        <v>14</v>
      </c>
      <c r="I1080" t="s">
        <v>40</v>
      </c>
      <c r="J1080" t="s">
        <v>223</v>
      </c>
      <c r="K1080">
        <f>Pqp_supermarket_data[[#This Row],[Unit_Price]]*Pqp_supermarket_data[[#This Row],[Quantity]]</f>
        <v>40</v>
      </c>
      <c r="L1080" t="str">
        <f>TEXT(Pqp_supermarket_data[[#This Row],[DateTime]],"ddd")</f>
        <v>Tue</v>
      </c>
      <c r="M1080" t="str">
        <f>TEXT(Pqp_supermarket_data[[#This Row],[DateTime]],"mmm")</f>
        <v>Jun</v>
      </c>
      <c r="N1080" t="str">
        <f>TEXT(Pqp_supermarket_data[[#This Row],[DateTime]],"yyy")</f>
        <v>2024</v>
      </c>
    </row>
    <row r="1081" spans="1:14" x14ac:dyDescent="0.35">
      <c r="A1081" t="s">
        <v>2303</v>
      </c>
      <c r="B1081" s="1">
        <v>44837.354900532409</v>
      </c>
      <c r="C1081" t="s">
        <v>2304</v>
      </c>
      <c r="D1081" t="s">
        <v>12</v>
      </c>
      <c r="E1081" t="s">
        <v>49</v>
      </c>
      <c r="F1081">
        <v>7</v>
      </c>
      <c r="G1081">
        <v>3</v>
      </c>
      <c r="H1081" t="s">
        <v>14</v>
      </c>
      <c r="I1081" t="s">
        <v>61</v>
      </c>
      <c r="J1081" t="s">
        <v>134</v>
      </c>
      <c r="K1081">
        <f>Pqp_supermarket_data[[#This Row],[Unit_Price]]*Pqp_supermarket_data[[#This Row],[Quantity]]</f>
        <v>21</v>
      </c>
      <c r="L1081" t="str">
        <f>TEXT(Pqp_supermarket_data[[#This Row],[DateTime]],"ddd")</f>
        <v>Mon</v>
      </c>
      <c r="M1081" t="str">
        <f>TEXT(Pqp_supermarket_data[[#This Row],[DateTime]],"mmm")</f>
        <v>Oct</v>
      </c>
      <c r="N1081" t="str">
        <f>TEXT(Pqp_supermarket_data[[#This Row],[DateTime]],"yyy")</f>
        <v>2022</v>
      </c>
    </row>
    <row r="1082" spans="1:14" x14ac:dyDescent="0.35">
      <c r="A1082" t="s">
        <v>2305</v>
      </c>
      <c r="B1082" s="1">
        <v>44835.615317199074</v>
      </c>
      <c r="C1082" t="s">
        <v>2306</v>
      </c>
      <c r="D1082" t="s">
        <v>208</v>
      </c>
      <c r="E1082" t="s">
        <v>65</v>
      </c>
      <c r="F1082">
        <v>3</v>
      </c>
      <c r="G1082">
        <v>7</v>
      </c>
      <c r="H1082" t="s">
        <v>14</v>
      </c>
      <c r="I1082" t="s">
        <v>36</v>
      </c>
      <c r="J1082" t="s">
        <v>517</v>
      </c>
      <c r="K1082">
        <f>Pqp_supermarket_data[[#This Row],[Unit_Price]]*Pqp_supermarket_data[[#This Row],[Quantity]]</f>
        <v>21</v>
      </c>
      <c r="L1082" t="str">
        <f>TEXT(Pqp_supermarket_data[[#This Row],[DateTime]],"ddd")</f>
        <v>Sat</v>
      </c>
      <c r="M1082" t="str">
        <f>TEXT(Pqp_supermarket_data[[#This Row],[DateTime]],"mmm")</f>
        <v>Oct</v>
      </c>
      <c r="N1082" t="str">
        <f>TEXT(Pqp_supermarket_data[[#This Row],[DateTime]],"yyy")</f>
        <v>2022</v>
      </c>
    </row>
    <row r="1083" spans="1:14" x14ac:dyDescent="0.35">
      <c r="A1083" t="s">
        <v>2307</v>
      </c>
      <c r="B1083" s="1">
        <v>44699.505594988426</v>
      </c>
      <c r="C1083" t="s">
        <v>2308</v>
      </c>
      <c r="D1083" t="s">
        <v>82</v>
      </c>
      <c r="E1083" t="s">
        <v>13</v>
      </c>
      <c r="F1083">
        <v>3.1</v>
      </c>
      <c r="G1083">
        <v>10</v>
      </c>
      <c r="H1083" t="s">
        <v>14</v>
      </c>
      <c r="I1083" t="s">
        <v>21</v>
      </c>
      <c r="J1083" t="s">
        <v>317</v>
      </c>
      <c r="K1083">
        <f>Pqp_supermarket_data[[#This Row],[Unit_Price]]*Pqp_supermarket_data[[#This Row],[Quantity]]</f>
        <v>31</v>
      </c>
      <c r="L1083" t="str">
        <f>TEXT(Pqp_supermarket_data[[#This Row],[DateTime]],"ddd")</f>
        <v>Wed</v>
      </c>
      <c r="M1083" t="str">
        <f>TEXT(Pqp_supermarket_data[[#This Row],[DateTime]],"mmm")</f>
        <v>May</v>
      </c>
      <c r="N1083" t="str">
        <f>TEXT(Pqp_supermarket_data[[#This Row],[DateTime]],"yyy")</f>
        <v>2022</v>
      </c>
    </row>
    <row r="1084" spans="1:14" x14ac:dyDescent="0.35">
      <c r="A1084" t="s">
        <v>2309</v>
      </c>
      <c r="B1084" s="1">
        <v>45361.681289444445</v>
      </c>
      <c r="C1084" t="s">
        <v>2310</v>
      </c>
      <c r="D1084" t="s">
        <v>171</v>
      </c>
      <c r="E1084" t="s">
        <v>39</v>
      </c>
      <c r="F1084">
        <v>3.2</v>
      </c>
      <c r="G1084">
        <v>1</v>
      </c>
      <c r="H1084" t="s">
        <v>14</v>
      </c>
      <c r="I1084" t="s">
        <v>21</v>
      </c>
      <c r="J1084" t="s">
        <v>255</v>
      </c>
      <c r="K1084">
        <f>Pqp_supermarket_data[[#This Row],[Unit_Price]]*Pqp_supermarket_data[[#This Row],[Quantity]]</f>
        <v>3.2</v>
      </c>
      <c r="L1084" t="str">
        <f>TEXT(Pqp_supermarket_data[[#This Row],[DateTime]],"ddd")</f>
        <v>Sun</v>
      </c>
      <c r="M1084" t="str">
        <f>TEXT(Pqp_supermarket_data[[#This Row],[DateTime]],"mmm")</f>
        <v>Mar</v>
      </c>
      <c r="N1084" t="str">
        <f>TEXT(Pqp_supermarket_data[[#This Row],[DateTime]],"yyy")</f>
        <v>2024</v>
      </c>
    </row>
    <row r="1085" spans="1:14" x14ac:dyDescent="0.35">
      <c r="A1085" t="s">
        <v>2311</v>
      </c>
      <c r="B1085" s="1">
        <v>45041.513233888887</v>
      </c>
      <c r="C1085" t="s">
        <v>2312</v>
      </c>
      <c r="D1085" t="s">
        <v>82</v>
      </c>
      <c r="E1085" t="s">
        <v>53</v>
      </c>
      <c r="F1085">
        <v>2.8</v>
      </c>
      <c r="G1085">
        <v>8</v>
      </c>
      <c r="H1085" t="s">
        <v>14</v>
      </c>
      <c r="I1085" t="s">
        <v>21</v>
      </c>
      <c r="J1085" t="s">
        <v>436</v>
      </c>
      <c r="K1085">
        <f>Pqp_supermarket_data[[#This Row],[Unit_Price]]*Pqp_supermarket_data[[#This Row],[Quantity]]</f>
        <v>22.4</v>
      </c>
      <c r="L1085" t="str">
        <f>TEXT(Pqp_supermarket_data[[#This Row],[DateTime]],"ddd")</f>
        <v>Tue</v>
      </c>
      <c r="M1085" t="str">
        <f>TEXT(Pqp_supermarket_data[[#This Row],[DateTime]],"mmm")</f>
        <v>Apr</v>
      </c>
      <c r="N1085" t="str">
        <f>TEXT(Pqp_supermarket_data[[#This Row],[DateTime]],"yyy")</f>
        <v>2023</v>
      </c>
    </row>
    <row r="1086" spans="1:14" x14ac:dyDescent="0.35">
      <c r="A1086" t="s">
        <v>2313</v>
      </c>
      <c r="B1086" s="1">
        <v>45038.093789456019</v>
      </c>
      <c r="C1086" t="s">
        <v>2314</v>
      </c>
      <c r="D1086" t="s">
        <v>30</v>
      </c>
      <c r="E1086" t="s">
        <v>20</v>
      </c>
      <c r="F1086">
        <v>1</v>
      </c>
      <c r="G1086">
        <v>2</v>
      </c>
      <c r="H1086" t="s">
        <v>14</v>
      </c>
      <c r="I1086" t="s">
        <v>21</v>
      </c>
      <c r="J1086" t="s">
        <v>54</v>
      </c>
      <c r="K1086">
        <f>Pqp_supermarket_data[[#This Row],[Unit_Price]]*Pqp_supermarket_data[[#This Row],[Quantity]]</f>
        <v>2</v>
      </c>
      <c r="L1086" t="str">
        <f>TEXT(Pqp_supermarket_data[[#This Row],[DateTime]],"ddd")</f>
        <v>Sat</v>
      </c>
      <c r="M1086" t="str">
        <f>TEXT(Pqp_supermarket_data[[#This Row],[DateTime]],"mmm")</f>
        <v>Apr</v>
      </c>
      <c r="N1086" t="str">
        <f>TEXT(Pqp_supermarket_data[[#This Row],[DateTime]],"yyy")</f>
        <v>2023</v>
      </c>
    </row>
    <row r="1087" spans="1:14" x14ac:dyDescent="0.35">
      <c r="A1087" t="s">
        <v>2315</v>
      </c>
      <c r="B1087" s="1">
        <v>45367.378511689814</v>
      </c>
      <c r="C1087" t="s">
        <v>2316</v>
      </c>
      <c r="D1087" t="s">
        <v>25</v>
      </c>
      <c r="E1087" t="s">
        <v>20</v>
      </c>
      <c r="F1087">
        <v>1</v>
      </c>
      <c r="G1087">
        <v>2</v>
      </c>
      <c r="H1087" t="s">
        <v>14</v>
      </c>
      <c r="I1087" t="s">
        <v>36</v>
      </c>
      <c r="J1087" t="s">
        <v>470</v>
      </c>
      <c r="K1087">
        <f>Pqp_supermarket_data[[#This Row],[Unit_Price]]*Pqp_supermarket_data[[#This Row],[Quantity]]</f>
        <v>2</v>
      </c>
      <c r="L1087" t="str">
        <f>TEXT(Pqp_supermarket_data[[#This Row],[DateTime]],"ddd")</f>
        <v>Sat</v>
      </c>
      <c r="M1087" t="str">
        <f>TEXT(Pqp_supermarket_data[[#This Row],[DateTime]],"mmm")</f>
        <v>Mar</v>
      </c>
      <c r="N1087" t="str">
        <f>TEXT(Pqp_supermarket_data[[#This Row],[DateTime]],"yyy")</f>
        <v>2024</v>
      </c>
    </row>
    <row r="1088" spans="1:14" x14ac:dyDescent="0.35">
      <c r="A1088" t="s">
        <v>2317</v>
      </c>
      <c r="B1088" s="1">
        <v>44597.634067245373</v>
      </c>
      <c r="C1088" t="s">
        <v>2318</v>
      </c>
      <c r="D1088" t="s">
        <v>226</v>
      </c>
      <c r="E1088" t="s">
        <v>26</v>
      </c>
      <c r="F1088">
        <v>2.5</v>
      </c>
      <c r="G1088">
        <v>6</v>
      </c>
      <c r="H1088" t="s">
        <v>14</v>
      </c>
      <c r="I1088" t="s">
        <v>61</v>
      </c>
      <c r="J1088" t="s">
        <v>195</v>
      </c>
      <c r="K1088">
        <f>Pqp_supermarket_data[[#This Row],[Unit_Price]]*Pqp_supermarket_data[[#This Row],[Quantity]]</f>
        <v>15</v>
      </c>
      <c r="L1088" t="str">
        <f>TEXT(Pqp_supermarket_data[[#This Row],[DateTime]],"ddd")</f>
        <v>Sat</v>
      </c>
      <c r="M1088" t="str">
        <f>TEXT(Pqp_supermarket_data[[#This Row],[DateTime]],"mmm")</f>
        <v>Feb</v>
      </c>
      <c r="N1088" t="str">
        <f>TEXT(Pqp_supermarket_data[[#This Row],[DateTime]],"yyy")</f>
        <v>2022</v>
      </c>
    </row>
    <row r="1089" spans="1:14" x14ac:dyDescent="0.35">
      <c r="A1089" t="s">
        <v>2319</v>
      </c>
      <c r="B1089" s="1">
        <v>44754.666011701389</v>
      </c>
      <c r="C1089" t="s">
        <v>2320</v>
      </c>
      <c r="D1089" t="s">
        <v>127</v>
      </c>
      <c r="E1089" t="s">
        <v>137</v>
      </c>
      <c r="F1089">
        <v>2.5</v>
      </c>
      <c r="G1089">
        <v>2</v>
      </c>
      <c r="H1089" t="s">
        <v>14</v>
      </c>
      <c r="I1089" t="s">
        <v>61</v>
      </c>
      <c r="J1089" t="s">
        <v>561</v>
      </c>
      <c r="K1089">
        <f>Pqp_supermarket_data[[#This Row],[Unit_Price]]*Pqp_supermarket_data[[#This Row],[Quantity]]</f>
        <v>5</v>
      </c>
      <c r="L1089" t="str">
        <f>TEXT(Pqp_supermarket_data[[#This Row],[DateTime]],"ddd")</f>
        <v>Tue</v>
      </c>
      <c r="M1089" t="str">
        <f>TEXT(Pqp_supermarket_data[[#This Row],[DateTime]],"mmm")</f>
        <v>Jul</v>
      </c>
      <c r="N1089" t="str">
        <f>TEXT(Pqp_supermarket_data[[#This Row],[DateTime]],"yyy")</f>
        <v>2022</v>
      </c>
    </row>
    <row r="1090" spans="1:14" x14ac:dyDescent="0.35">
      <c r="A1090" t="s">
        <v>2321</v>
      </c>
      <c r="B1090" s="1">
        <v>44859.91253947917</v>
      </c>
      <c r="C1090" t="s">
        <v>2322</v>
      </c>
      <c r="D1090" t="s">
        <v>85</v>
      </c>
      <c r="E1090" t="s">
        <v>148</v>
      </c>
      <c r="F1090">
        <v>5.5</v>
      </c>
      <c r="G1090">
        <v>8</v>
      </c>
      <c r="H1090" t="s">
        <v>14</v>
      </c>
      <c r="I1090" t="s">
        <v>36</v>
      </c>
      <c r="J1090" t="s">
        <v>183</v>
      </c>
      <c r="K1090">
        <f>Pqp_supermarket_data[[#This Row],[Unit_Price]]*Pqp_supermarket_data[[#This Row],[Quantity]]</f>
        <v>44</v>
      </c>
      <c r="L1090" t="str">
        <f>TEXT(Pqp_supermarket_data[[#This Row],[DateTime]],"ddd")</f>
        <v>Tue</v>
      </c>
      <c r="M1090" t="str">
        <f>TEXT(Pqp_supermarket_data[[#This Row],[DateTime]],"mmm")</f>
        <v>Oct</v>
      </c>
      <c r="N1090" t="str">
        <f>TEXT(Pqp_supermarket_data[[#This Row],[DateTime]],"yyy")</f>
        <v>2022</v>
      </c>
    </row>
    <row r="1091" spans="1:14" x14ac:dyDescent="0.35">
      <c r="A1091" t="s">
        <v>2323</v>
      </c>
      <c r="B1091" s="1">
        <v>44396.811845046293</v>
      </c>
      <c r="C1091" t="s">
        <v>2324</v>
      </c>
      <c r="D1091" t="s">
        <v>127</v>
      </c>
      <c r="E1091" t="s">
        <v>70</v>
      </c>
      <c r="F1091">
        <v>5</v>
      </c>
      <c r="G1091">
        <v>10</v>
      </c>
      <c r="H1091" t="s">
        <v>14</v>
      </c>
      <c r="I1091" t="s">
        <v>61</v>
      </c>
      <c r="J1091" t="s">
        <v>255</v>
      </c>
      <c r="K1091">
        <f>Pqp_supermarket_data[[#This Row],[Unit_Price]]*Pqp_supermarket_data[[#This Row],[Quantity]]</f>
        <v>50</v>
      </c>
      <c r="L1091" t="str">
        <f>TEXT(Pqp_supermarket_data[[#This Row],[DateTime]],"ddd")</f>
        <v>Mon</v>
      </c>
      <c r="M1091" t="str">
        <f>TEXT(Pqp_supermarket_data[[#This Row],[DateTime]],"mmm")</f>
        <v>Jul</v>
      </c>
      <c r="N1091" t="str">
        <f>TEXT(Pqp_supermarket_data[[#This Row],[DateTime]],"yyy")</f>
        <v>2021</v>
      </c>
    </row>
    <row r="1092" spans="1:14" x14ac:dyDescent="0.35">
      <c r="A1092" t="s">
        <v>2325</v>
      </c>
      <c r="B1092" s="1">
        <v>44367.468095046293</v>
      </c>
      <c r="C1092" t="s">
        <v>2326</v>
      </c>
      <c r="D1092" t="s">
        <v>19</v>
      </c>
      <c r="E1092" t="s">
        <v>70</v>
      </c>
      <c r="F1092">
        <v>5</v>
      </c>
      <c r="G1092">
        <v>2</v>
      </c>
      <c r="H1092" t="s">
        <v>14</v>
      </c>
      <c r="I1092" t="s">
        <v>40</v>
      </c>
      <c r="J1092" t="s">
        <v>662</v>
      </c>
      <c r="K1092">
        <f>Pqp_supermarket_data[[#This Row],[Unit_Price]]*Pqp_supermarket_data[[#This Row],[Quantity]]</f>
        <v>10</v>
      </c>
      <c r="L1092" t="str">
        <f>TEXT(Pqp_supermarket_data[[#This Row],[DateTime]],"ddd")</f>
        <v>Sun</v>
      </c>
      <c r="M1092" t="str">
        <f>TEXT(Pqp_supermarket_data[[#This Row],[DateTime]],"mmm")</f>
        <v>Jun</v>
      </c>
      <c r="N1092" t="str">
        <f>TEXT(Pqp_supermarket_data[[#This Row],[DateTime]],"yyy")</f>
        <v>2021</v>
      </c>
    </row>
    <row r="1093" spans="1:14" x14ac:dyDescent="0.35">
      <c r="A1093" t="s">
        <v>2327</v>
      </c>
      <c r="B1093" s="1">
        <v>45420.181983946757</v>
      </c>
      <c r="C1093" t="s">
        <v>2328</v>
      </c>
      <c r="D1093" t="s">
        <v>77</v>
      </c>
      <c r="E1093" t="s">
        <v>94</v>
      </c>
      <c r="F1093">
        <v>0.8</v>
      </c>
      <c r="G1093">
        <v>5</v>
      </c>
      <c r="H1093" t="s">
        <v>14</v>
      </c>
      <c r="I1093" t="s">
        <v>40</v>
      </c>
      <c r="J1093" t="s">
        <v>160</v>
      </c>
      <c r="K1093">
        <f>Pqp_supermarket_data[[#This Row],[Unit_Price]]*Pqp_supermarket_data[[#This Row],[Quantity]]</f>
        <v>4</v>
      </c>
      <c r="L1093" t="str">
        <f>TEXT(Pqp_supermarket_data[[#This Row],[DateTime]],"ddd")</f>
        <v>Wed</v>
      </c>
      <c r="M1093" t="str">
        <f>TEXT(Pqp_supermarket_data[[#This Row],[DateTime]],"mmm")</f>
        <v>May</v>
      </c>
      <c r="N1093" t="str">
        <f>TEXT(Pqp_supermarket_data[[#This Row],[DateTime]],"yyy")</f>
        <v>2024</v>
      </c>
    </row>
    <row r="1094" spans="1:14" x14ac:dyDescent="0.35">
      <c r="A1094" t="s">
        <v>2329</v>
      </c>
      <c r="B1094" s="1">
        <v>45482.928511736114</v>
      </c>
      <c r="C1094" t="s">
        <v>2330</v>
      </c>
      <c r="D1094" t="s">
        <v>34</v>
      </c>
      <c r="E1094" t="s">
        <v>78</v>
      </c>
      <c r="F1094">
        <v>4</v>
      </c>
      <c r="G1094">
        <v>9</v>
      </c>
      <c r="H1094" t="s">
        <v>14</v>
      </c>
      <c r="I1094" t="s">
        <v>36</v>
      </c>
      <c r="J1094" t="s">
        <v>397</v>
      </c>
      <c r="K1094">
        <f>Pqp_supermarket_data[[#This Row],[Unit_Price]]*Pqp_supermarket_data[[#This Row],[Quantity]]</f>
        <v>36</v>
      </c>
      <c r="L1094" t="str">
        <f>TEXT(Pqp_supermarket_data[[#This Row],[DateTime]],"ddd")</f>
        <v>Tue</v>
      </c>
      <c r="M1094" t="str">
        <f>TEXT(Pqp_supermarket_data[[#This Row],[DateTime]],"mmm")</f>
        <v>Jul</v>
      </c>
      <c r="N1094" t="str">
        <f>TEXT(Pqp_supermarket_data[[#This Row],[DateTime]],"yyy")</f>
        <v>2024</v>
      </c>
    </row>
    <row r="1095" spans="1:14" x14ac:dyDescent="0.35">
      <c r="A1095" t="s">
        <v>2331</v>
      </c>
      <c r="B1095" s="1">
        <v>45185.988233958335</v>
      </c>
      <c r="C1095" t="s">
        <v>2332</v>
      </c>
      <c r="D1095" t="s">
        <v>85</v>
      </c>
      <c r="E1095" t="s">
        <v>111</v>
      </c>
      <c r="F1095">
        <v>2.2000000000000002</v>
      </c>
      <c r="G1095">
        <v>8</v>
      </c>
      <c r="H1095" t="s">
        <v>14</v>
      </c>
      <c r="I1095" t="s">
        <v>61</v>
      </c>
      <c r="J1095" t="s">
        <v>175</v>
      </c>
      <c r="K1095">
        <f>Pqp_supermarket_data[[#This Row],[Unit_Price]]*Pqp_supermarket_data[[#This Row],[Quantity]]</f>
        <v>17.600000000000001</v>
      </c>
      <c r="L1095" t="str">
        <f>TEXT(Pqp_supermarket_data[[#This Row],[DateTime]],"ddd")</f>
        <v>Sat</v>
      </c>
      <c r="M1095" t="str">
        <f>TEXT(Pqp_supermarket_data[[#This Row],[DateTime]],"mmm")</f>
        <v>Sep</v>
      </c>
      <c r="N1095" t="str">
        <f>TEXT(Pqp_supermarket_data[[#This Row],[DateTime]],"yyy")</f>
        <v>2023</v>
      </c>
    </row>
    <row r="1096" spans="1:14" x14ac:dyDescent="0.35">
      <c r="A1096" t="s">
        <v>2333</v>
      </c>
      <c r="B1096" s="1">
        <v>44876.572956192133</v>
      </c>
      <c r="C1096" t="s">
        <v>1186</v>
      </c>
      <c r="D1096" t="s">
        <v>208</v>
      </c>
      <c r="E1096" t="s">
        <v>57</v>
      </c>
      <c r="F1096">
        <v>4.5</v>
      </c>
      <c r="G1096">
        <v>4</v>
      </c>
      <c r="H1096" t="s">
        <v>14</v>
      </c>
      <c r="I1096" t="s">
        <v>40</v>
      </c>
      <c r="J1096" t="s">
        <v>397</v>
      </c>
      <c r="K1096">
        <f>Pqp_supermarket_data[[#This Row],[Unit_Price]]*Pqp_supermarket_data[[#This Row],[Quantity]]</f>
        <v>18</v>
      </c>
      <c r="L1096" t="str">
        <f>TEXT(Pqp_supermarket_data[[#This Row],[DateTime]],"ddd")</f>
        <v>Fri</v>
      </c>
      <c r="M1096" t="str">
        <f>TEXT(Pqp_supermarket_data[[#This Row],[DateTime]],"mmm")</f>
        <v>Nov</v>
      </c>
      <c r="N1096" t="str">
        <f>TEXT(Pqp_supermarket_data[[#This Row],[DateTime]],"yyy")</f>
        <v>2022</v>
      </c>
    </row>
    <row r="1097" spans="1:14" x14ac:dyDescent="0.35">
      <c r="A1097" t="s">
        <v>2334</v>
      </c>
      <c r="B1097" s="1">
        <v>45310.864622870373</v>
      </c>
      <c r="C1097" t="s">
        <v>2335</v>
      </c>
      <c r="D1097" t="s">
        <v>44</v>
      </c>
      <c r="E1097" t="s">
        <v>145</v>
      </c>
      <c r="F1097">
        <v>1.7</v>
      </c>
      <c r="G1097">
        <v>10</v>
      </c>
      <c r="H1097" t="s">
        <v>14</v>
      </c>
      <c r="I1097" t="s">
        <v>61</v>
      </c>
      <c r="J1097" t="s">
        <v>189</v>
      </c>
      <c r="K1097">
        <f>Pqp_supermarket_data[[#This Row],[Unit_Price]]*Pqp_supermarket_data[[#This Row],[Quantity]]</f>
        <v>17</v>
      </c>
      <c r="L1097" t="str">
        <f>TEXT(Pqp_supermarket_data[[#This Row],[DateTime]],"ddd")</f>
        <v>Fri</v>
      </c>
      <c r="M1097" t="str">
        <f>TEXT(Pqp_supermarket_data[[#This Row],[DateTime]],"mmm")</f>
        <v>Jan</v>
      </c>
      <c r="N1097" t="str">
        <f>TEXT(Pqp_supermarket_data[[#This Row],[DateTime]],"yyy")</f>
        <v>2024</v>
      </c>
    </row>
    <row r="1098" spans="1:14" x14ac:dyDescent="0.35">
      <c r="A1098" t="s">
        <v>2336</v>
      </c>
      <c r="B1098" s="1">
        <v>44463.121567314818</v>
      </c>
      <c r="C1098" t="s">
        <v>2337</v>
      </c>
      <c r="D1098" t="s">
        <v>171</v>
      </c>
      <c r="E1098" t="s">
        <v>90</v>
      </c>
      <c r="F1098">
        <v>1.8</v>
      </c>
      <c r="G1098">
        <v>9</v>
      </c>
      <c r="H1098" t="s">
        <v>14</v>
      </c>
      <c r="I1098" t="s">
        <v>86</v>
      </c>
      <c r="J1098" t="s">
        <v>223</v>
      </c>
      <c r="K1098">
        <f>Pqp_supermarket_data[[#This Row],[Unit_Price]]*Pqp_supermarket_data[[#This Row],[Quantity]]</f>
        <v>16.2</v>
      </c>
      <c r="L1098" t="str">
        <f>TEXT(Pqp_supermarket_data[[#This Row],[DateTime]],"ddd")</f>
        <v>Fri</v>
      </c>
      <c r="M1098" t="str">
        <f>TEXT(Pqp_supermarket_data[[#This Row],[DateTime]],"mmm")</f>
        <v>Sep</v>
      </c>
      <c r="N1098" t="str">
        <f>TEXT(Pqp_supermarket_data[[#This Row],[DateTime]],"yyy")</f>
        <v>2021</v>
      </c>
    </row>
    <row r="1099" spans="1:14" x14ac:dyDescent="0.35">
      <c r="A1099" t="s">
        <v>2338</v>
      </c>
      <c r="B1099" s="1">
        <v>45163.804206215274</v>
      </c>
      <c r="C1099" t="s">
        <v>2339</v>
      </c>
      <c r="D1099" t="s">
        <v>19</v>
      </c>
      <c r="E1099" t="s">
        <v>57</v>
      </c>
      <c r="F1099">
        <v>4.5</v>
      </c>
      <c r="G1099">
        <v>3</v>
      </c>
      <c r="H1099" t="s">
        <v>14</v>
      </c>
      <c r="I1099" t="s">
        <v>61</v>
      </c>
      <c r="J1099" t="s">
        <v>496</v>
      </c>
      <c r="K1099">
        <f>Pqp_supermarket_data[[#This Row],[Unit_Price]]*Pqp_supermarket_data[[#This Row],[Quantity]]</f>
        <v>13.5</v>
      </c>
      <c r="L1099" t="str">
        <f>TEXT(Pqp_supermarket_data[[#This Row],[DateTime]],"ddd")</f>
        <v>Fri</v>
      </c>
      <c r="M1099" t="str">
        <f>TEXT(Pqp_supermarket_data[[#This Row],[DateTime]],"mmm")</f>
        <v>Aug</v>
      </c>
      <c r="N1099" t="str">
        <f>TEXT(Pqp_supermarket_data[[#This Row],[DateTime]],"yyy")</f>
        <v>2023</v>
      </c>
    </row>
    <row r="1100" spans="1:14" x14ac:dyDescent="0.35">
      <c r="A1100" t="s">
        <v>2340</v>
      </c>
      <c r="B1100" s="1">
        <v>44795.088928437501</v>
      </c>
      <c r="C1100" t="s">
        <v>2341</v>
      </c>
      <c r="D1100" t="s">
        <v>226</v>
      </c>
      <c r="E1100" t="s">
        <v>137</v>
      </c>
      <c r="F1100">
        <v>2.5</v>
      </c>
      <c r="G1100">
        <v>3</v>
      </c>
      <c r="H1100" t="s">
        <v>14</v>
      </c>
      <c r="I1100" t="s">
        <v>61</v>
      </c>
      <c r="J1100" t="s">
        <v>429</v>
      </c>
      <c r="K1100">
        <f>Pqp_supermarket_data[[#This Row],[Unit_Price]]*Pqp_supermarket_data[[#This Row],[Quantity]]</f>
        <v>7.5</v>
      </c>
      <c r="L1100" t="str">
        <f>TEXT(Pqp_supermarket_data[[#This Row],[DateTime]],"ddd")</f>
        <v>Mon</v>
      </c>
      <c r="M1100" t="str">
        <f>TEXT(Pqp_supermarket_data[[#This Row],[DateTime]],"mmm")</f>
        <v>Aug</v>
      </c>
      <c r="N1100" t="str">
        <f>TEXT(Pqp_supermarket_data[[#This Row],[DateTime]],"yyy")</f>
        <v>2022</v>
      </c>
    </row>
    <row r="1101" spans="1:14" x14ac:dyDescent="0.35">
      <c r="A1101" t="s">
        <v>2342</v>
      </c>
      <c r="B1101" s="1">
        <v>44853.32434511574</v>
      </c>
      <c r="C1101" t="s">
        <v>2343</v>
      </c>
      <c r="D1101" t="s">
        <v>19</v>
      </c>
      <c r="E1101" t="s">
        <v>94</v>
      </c>
      <c r="F1101">
        <v>0.8</v>
      </c>
      <c r="G1101">
        <v>9</v>
      </c>
      <c r="H1101" t="s">
        <v>14</v>
      </c>
      <c r="I1101" t="s">
        <v>61</v>
      </c>
      <c r="J1101" t="s">
        <v>458</v>
      </c>
      <c r="K1101">
        <f>Pqp_supermarket_data[[#This Row],[Unit_Price]]*Pqp_supermarket_data[[#This Row],[Quantity]]</f>
        <v>7.2</v>
      </c>
      <c r="L1101" t="str">
        <f>TEXT(Pqp_supermarket_data[[#This Row],[DateTime]],"ddd")</f>
        <v>Wed</v>
      </c>
      <c r="M1101" t="str">
        <f>TEXT(Pqp_supermarket_data[[#This Row],[DateTime]],"mmm")</f>
        <v>Oct</v>
      </c>
      <c r="N1101" t="str">
        <f>TEXT(Pqp_supermarket_data[[#This Row],[DateTime]],"yyy")</f>
        <v>2022</v>
      </c>
    </row>
    <row r="1102" spans="1:14" x14ac:dyDescent="0.35">
      <c r="A1102" t="s">
        <v>2344</v>
      </c>
      <c r="B1102" s="1">
        <v>45426.612539560185</v>
      </c>
      <c r="C1102" t="s">
        <v>2345</v>
      </c>
      <c r="D1102" t="s">
        <v>19</v>
      </c>
      <c r="E1102" t="s">
        <v>111</v>
      </c>
      <c r="F1102">
        <v>2.2000000000000002</v>
      </c>
      <c r="G1102">
        <v>3</v>
      </c>
      <c r="H1102" t="s">
        <v>14</v>
      </c>
      <c r="I1102" t="s">
        <v>15</v>
      </c>
      <c r="J1102" t="s">
        <v>233</v>
      </c>
      <c r="K1102">
        <f>Pqp_supermarket_data[[#This Row],[Unit_Price]]*Pqp_supermarket_data[[#This Row],[Quantity]]</f>
        <v>6.6000000000000005</v>
      </c>
      <c r="L1102" t="str">
        <f>TEXT(Pqp_supermarket_data[[#This Row],[DateTime]],"ddd")</f>
        <v>Tue</v>
      </c>
      <c r="M1102" t="str">
        <f>TEXT(Pqp_supermarket_data[[#This Row],[DateTime]],"mmm")</f>
        <v>May</v>
      </c>
      <c r="N1102" t="str">
        <f>TEXT(Pqp_supermarket_data[[#This Row],[DateTime]],"yyy")</f>
        <v>2024</v>
      </c>
    </row>
    <row r="1103" spans="1:14" x14ac:dyDescent="0.35">
      <c r="A1103" t="s">
        <v>2346</v>
      </c>
      <c r="B1103" s="1">
        <v>45702.118095127313</v>
      </c>
      <c r="C1103" t="s">
        <v>2347</v>
      </c>
      <c r="D1103" t="s">
        <v>69</v>
      </c>
      <c r="E1103" t="s">
        <v>70</v>
      </c>
      <c r="F1103">
        <v>5</v>
      </c>
      <c r="G1103">
        <v>5</v>
      </c>
      <c r="H1103" t="s">
        <v>14</v>
      </c>
      <c r="I1103" t="s">
        <v>61</v>
      </c>
      <c r="J1103" t="s">
        <v>458</v>
      </c>
      <c r="K1103">
        <f>Pqp_supermarket_data[[#This Row],[Unit_Price]]*Pqp_supermarket_data[[#This Row],[Quantity]]</f>
        <v>25</v>
      </c>
      <c r="L1103" t="str">
        <f>TEXT(Pqp_supermarket_data[[#This Row],[DateTime]],"ddd")</f>
        <v>Fri</v>
      </c>
      <c r="M1103" t="str">
        <f>TEXT(Pqp_supermarket_data[[#This Row],[DateTime]],"mmm")</f>
        <v>Feb</v>
      </c>
      <c r="N1103" t="str">
        <f>TEXT(Pqp_supermarket_data[[#This Row],[DateTime]],"yyy")</f>
        <v>2025</v>
      </c>
    </row>
    <row r="1104" spans="1:14" x14ac:dyDescent="0.35">
      <c r="A1104" t="s">
        <v>2348</v>
      </c>
      <c r="B1104" s="1">
        <v>45365.82017846065</v>
      </c>
      <c r="C1104" t="s">
        <v>2349</v>
      </c>
      <c r="D1104" t="s">
        <v>208</v>
      </c>
      <c r="E1104" t="s">
        <v>39</v>
      </c>
      <c r="F1104">
        <v>3.2</v>
      </c>
      <c r="G1104">
        <v>6</v>
      </c>
      <c r="H1104" t="s">
        <v>14</v>
      </c>
      <c r="I1104" t="s">
        <v>15</v>
      </c>
      <c r="J1104" t="s">
        <v>186</v>
      </c>
      <c r="K1104">
        <f>Pqp_supermarket_data[[#This Row],[Unit_Price]]*Pqp_supermarket_data[[#This Row],[Quantity]]</f>
        <v>19.200000000000003</v>
      </c>
      <c r="L1104" t="str">
        <f>TEXT(Pqp_supermarket_data[[#This Row],[DateTime]],"ddd")</f>
        <v>Thu</v>
      </c>
      <c r="M1104" t="str">
        <f>TEXT(Pqp_supermarket_data[[#This Row],[DateTime]],"mmm")</f>
        <v>Mar</v>
      </c>
      <c r="N1104" t="str">
        <f>TEXT(Pqp_supermarket_data[[#This Row],[DateTime]],"yyy")</f>
        <v>2024</v>
      </c>
    </row>
    <row r="1105" spans="1:14" x14ac:dyDescent="0.35">
      <c r="A1105" t="s">
        <v>2350</v>
      </c>
      <c r="B1105" s="1">
        <v>44867.844484016205</v>
      </c>
      <c r="C1105" t="s">
        <v>2351</v>
      </c>
      <c r="D1105" t="s">
        <v>85</v>
      </c>
      <c r="E1105" t="s">
        <v>57</v>
      </c>
      <c r="F1105">
        <v>4.5</v>
      </c>
      <c r="G1105">
        <v>2</v>
      </c>
      <c r="H1105" t="s">
        <v>14</v>
      </c>
      <c r="I1105" t="s">
        <v>40</v>
      </c>
      <c r="J1105" t="s">
        <v>548</v>
      </c>
      <c r="K1105">
        <f>Pqp_supermarket_data[[#This Row],[Unit_Price]]*Pqp_supermarket_data[[#This Row],[Quantity]]</f>
        <v>9</v>
      </c>
      <c r="L1105" t="str">
        <f>TEXT(Pqp_supermarket_data[[#This Row],[DateTime]],"ddd")</f>
        <v>Wed</v>
      </c>
      <c r="M1105" t="str">
        <f>TEXT(Pqp_supermarket_data[[#This Row],[DateTime]],"mmm")</f>
        <v>Nov</v>
      </c>
      <c r="N1105" t="str">
        <f>TEXT(Pqp_supermarket_data[[#This Row],[DateTime]],"yyy")</f>
        <v>2022</v>
      </c>
    </row>
    <row r="1106" spans="1:14" x14ac:dyDescent="0.35">
      <c r="A1106" t="s">
        <v>2352</v>
      </c>
      <c r="B1106" s="1">
        <v>44764.372956250001</v>
      </c>
      <c r="C1106" t="s">
        <v>2353</v>
      </c>
      <c r="D1106" t="s">
        <v>19</v>
      </c>
      <c r="E1106" t="s">
        <v>39</v>
      </c>
      <c r="F1106">
        <v>3.2</v>
      </c>
      <c r="G1106">
        <v>3</v>
      </c>
      <c r="H1106" t="s">
        <v>14</v>
      </c>
      <c r="I1106" t="s">
        <v>40</v>
      </c>
      <c r="J1106" t="s">
        <v>202</v>
      </c>
      <c r="K1106">
        <f>Pqp_supermarket_data[[#This Row],[Unit_Price]]*Pqp_supermarket_data[[#This Row],[Quantity]]</f>
        <v>9.6000000000000014</v>
      </c>
      <c r="L1106" t="str">
        <f>TEXT(Pqp_supermarket_data[[#This Row],[DateTime]],"ddd")</f>
        <v>Fri</v>
      </c>
      <c r="M1106" t="str">
        <f>TEXT(Pqp_supermarket_data[[#This Row],[DateTime]],"mmm")</f>
        <v>Jul</v>
      </c>
      <c r="N1106" t="str">
        <f>TEXT(Pqp_supermarket_data[[#This Row],[DateTime]],"yyy")</f>
        <v>2022</v>
      </c>
    </row>
    <row r="1107" spans="1:14" x14ac:dyDescent="0.35">
      <c r="A1107" t="s">
        <v>2354</v>
      </c>
      <c r="B1107" s="1">
        <v>44667.878511805553</v>
      </c>
      <c r="C1107" t="s">
        <v>2355</v>
      </c>
      <c r="D1107" t="s">
        <v>30</v>
      </c>
      <c r="E1107" t="s">
        <v>57</v>
      </c>
      <c r="F1107">
        <v>4.5</v>
      </c>
      <c r="G1107">
        <v>8</v>
      </c>
      <c r="H1107" t="s">
        <v>14</v>
      </c>
      <c r="I1107" t="s">
        <v>61</v>
      </c>
      <c r="J1107" t="s">
        <v>91</v>
      </c>
      <c r="K1107">
        <f>Pqp_supermarket_data[[#This Row],[Unit_Price]]*Pqp_supermarket_data[[#This Row],[Quantity]]</f>
        <v>36</v>
      </c>
      <c r="L1107" t="str">
        <f>TEXT(Pqp_supermarket_data[[#This Row],[DateTime]],"ddd")</f>
        <v>Sat</v>
      </c>
      <c r="M1107" t="str">
        <f>TEXT(Pqp_supermarket_data[[#This Row],[DateTime]],"mmm")</f>
        <v>Apr</v>
      </c>
      <c r="N1107" t="str">
        <f>TEXT(Pqp_supermarket_data[[#This Row],[DateTime]],"yyy")</f>
        <v>2022</v>
      </c>
    </row>
    <row r="1108" spans="1:14" x14ac:dyDescent="0.35">
      <c r="A1108" t="s">
        <v>2356</v>
      </c>
      <c r="B1108" s="1">
        <v>44611.678511817132</v>
      </c>
      <c r="C1108" t="s">
        <v>2357</v>
      </c>
      <c r="D1108" t="s">
        <v>226</v>
      </c>
      <c r="E1108" t="s">
        <v>119</v>
      </c>
      <c r="F1108">
        <v>4</v>
      </c>
      <c r="G1108">
        <v>8</v>
      </c>
      <c r="H1108" t="s">
        <v>14</v>
      </c>
      <c r="I1108" t="s">
        <v>61</v>
      </c>
      <c r="J1108" t="s">
        <v>320</v>
      </c>
      <c r="K1108">
        <f>Pqp_supermarket_data[[#This Row],[Unit_Price]]*Pqp_supermarket_data[[#This Row],[Quantity]]</f>
        <v>32</v>
      </c>
      <c r="L1108" t="str">
        <f>TEXT(Pqp_supermarket_data[[#This Row],[DateTime]],"ddd")</f>
        <v>Sat</v>
      </c>
      <c r="M1108" t="str">
        <f>TEXT(Pqp_supermarket_data[[#This Row],[DateTime]],"mmm")</f>
        <v>Feb</v>
      </c>
      <c r="N1108" t="str">
        <f>TEXT(Pqp_supermarket_data[[#This Row],[DateTime]],"yyy")</f>
        <v>2022</v>
      </c>
    </row>
    <row r="1109" spans="1:14" x14ac:dyDescent="0.35">
      <c r="A1109" t="s">
        <v>2358</v>
      </c>
      <c r="B1109" s="1">
        <v>45555.580595150466</v>
      </c>
      <c r="C1109" t="s">
        <v>2359</v>
      </c>
      <c r="D1109" t="s">
        <v>19</v>
      </c>
      <c r="E1109" t="s">
        <v>137</v>
      </c>
      <c r="F1109">
        <v>2.5</v>
      </c>
      <c r="G1109">
        <v>3</v>
      </c>
      <c r="H1109" t="s">
        <v>14</v>
      </c>
      <c r="I1109" t="s">
        <v>36</v>
      </c>
      <c r="J1109" t="s">
        <v>153</v>
      </c>
      <c r="K1109">
        <f>Pqp_supermarket_data[[#This Row],[Unit_Price]]*Pqp_supermarket_data[[#This Row],[Quantity]]</f>
        <v>7.5</v>
      </c>
      <c r="L1109" t="str">
        <f>TEXT(Pqp_supermarket_data[[#This Row],[DateTime]],"ddd")</f>
        <v>Fri</v>
      </c>
      <c r="M1109" t="str">
        <f>TEXT(Pqp_supermarket_data[[#This Row],[DateTime]],"mmm")</f>
        <v>Sep</v>
      </c>
      <c r="N1109" t="str">
        <f>TEXT(Pqp_supermarket_data[[#This Row],[DateTime]],"yyy")</f>
        <v>2024</v>
      </c>
    </row>
    <row r="1110" spans="1:14" x14ac:dyDescent="0.35">
      <c r="A1110" t="s">
        <v>2360</v>
      </c>
      <c r="B1110" s="1">
        <v>45547.18406738426</v>
      </c>
      <c r="C1110" t="s">
        <v>2361</v>
      </c>
      <c r="D1110" t="s">
        <v>82</v>
      </c>
      <c r="E1110" t="s">
        <v>45</v>
      </c>
      <c r="F1110">
        <v>1</v>
      </c>
      <c r="G1110">
        <v>4</v>
      </c>
      <c r="H1110" t="s">
        <v>14</v>
      </c>
      <c r="I1110" t="s">
        <v>86</v>
      </c>
      <c r="J1110" t="s">
        <v>62</v>
      </c>
      <c r="K1110">
        <f>Pqp_supermarket_data[[#This Row],[Unit_Price]]*Pqp_supermarket_data[[#This Row],[Quantity]]</f>
        <v>4</v>
      </c>
      <c r="L1110" t="str">
        <f>TEXT(Pqp_supermarket_data[[#This Row],[DateTime]],"ddd")</f>
        <v>Thu</v>
      </c>
      <c r="M1110" t="str">
        <f>TEXT(Pqp_supermarket_data[[#This Row],[DateTime]],"mmm")</f>
        <v>Sep</v>
      </c>
      <c r="N1110" t="str">
        <f>TEXT(Pqp_supermarket_data[[#This Row],[DateTime]],"yyy")</f>
        <v>2024</v>
      </c>
    </row>
    <row r="1111" spans="1:14" x14ac:dyDescent="0.35">
      <c r="A1111" t="s">
        <v>2362</v>
      </c>
      <c r="B1111" s="1">
        <v>45597.141011828702</v>
      </c>
      <c r="C1111" t="s">
        <v>2363</v>
      </c>
      <c r="D1111" t="s">
        <v>171</v>
      </c>
      <c r="E1111" t="s">
        <v>78</v>
      </c>
      <c r="F1111">
        <v>4</v>
      </c>
      <c r="G1111">
        <v>10</v>
      </c>
      <c r="H1111" t="s">
        <v>14</v>
      </c>
      <c r="I1111" t="s">
        <v>21</v>
      </c>
      <c r="J1111" t="s">
        <v>499</v>
      </c>
      <c r="K1111">
        <f>Pqp_supermarket_data[[#This Row],[Unit_Price]]*Pqp_supermarket_data[[#This Row],[Quantity]]</f>
        <v>40</v>
      </c>
      <c r="L1111" t="str">
        <f>TEXT(Pqp_supermarket_data[[#This Row],[DateTime]],"ddd")</f>
        <v>Fri</v>
      </c>
      <c r="M1111" t="str">
        <f>TEXT(Pqp_supermarket_data[[#This Row],[DateTime]],"mmm")</f>
        <v>Nov</v>
      </c>
      <c r="N1111" t="str">
        <f>TEXT(Pqp_supermarket_data[[#This Row],[DateTime]],"yyy")</f>
        <v>2024</v>
      </c>
    </row>
    <row r="1112" spans="1:14" x14ac:dyDescent="0.35">
      <c r="A1112" t="s">
        <v>2364</v>
      </c>
      <c r="B1112" s="1">
        <v>45217.309067395836</v>
      </c>
      <c r="C1112" t="s">
        <v>2365</v>
      </c>
      <c r="D1112" t="s">
        <v>77</v>
      </c>
      <c r="E1112" t="s">
        <v>20</v>
      </c>
      <c r="F1112">
        <v>1</v>
      </c>
      <c r="G1112">
        <v>8</v>
      </c>
      <c r="H1112" t="s">
        <v>14</v>
      </c>
      <c r="I1112" t="s">
        <v>36</v>
      </c>
      <c r="J1112" t="s">
        <v>178</v>
      </c>
      <c r="K1112">
        <f>Pqp_supermarket_data[[#This Row],[Unit_Price]]*Pqp_supermarket_data[[#This Row],[Quantity]]</f>
        <v>8</v>
      </c>
      <c r="L1112" t="str">
        <f>TEXT(Pqp_supermarket_data[[#This Row],[DateTime]],"ddd")</f>
        <v>Wed</v>
      </c>
      <c r="M1112" t="str">
        <f>TEXT(Pqp_supermarket_data[[#This Row],[DateTime]],"mmm")</f>
        <v>Oct</v>
      </c>
      <c r="N1112" t="str">
        <f>TEXT(Pqp_supermarket_data[[#This Row],[DateTime]],"yyy")</f>
        <v>2023</v>
      </c>
    </row>
    <row r="1113" spans="1:14" x14ac:dyDescent="0.35">
      <c r="A1113" t="s">
        <v>2366</v>
      </c>
      <c r="B1113" s="1">
        <v>45607.875734074078</v>
      </c>
      <c r="C1113" t="s">
        <v>2367</v>
      </c>
      <c r="D1113" t="s">
        <v>25</v>
      </c>
      <c r="E1113" t="s">
        <v>115</v>
      </c>
      <c r="F1113">
        <v>1.5</v>
      </c>
      <c r="G1113">
        <v>6</v>
      </c>
      <c r="H1113" t="s">
        <v>14</v>
      </c>
      <c r="I1113" t="s">
        <v>21</v>
      </c>
      <c r="J1113" t="s">
        <v>538</v>
      </c>
      <c r="K1113">
        <f>Pqp_supermarket_data[[#This Row],[Unit_Price]]*Pqp_supermarket_data[[#This Row],[Quantity]]</f>
        <v>9</v>
      </c>
      <c r="L1113" t="str">
        <f>TEXT(Pqp_supermarket_data[[#This Row],[DateTime]],"ddd")</f>
        <v>Mon</v>
      </c>
      <c r="M1113" t="str">
        <f>TEXT(Pqp_supermarket_data[[#This Row],[DateTime]],"mmm")</f>
        <v>Nov</v>
      </c>
      <c r="N1113" t="str">
        <f>TEXT(Pqp_supermarket_data[[#This Row],[DateTime]],"yyy")</f>
        <v>2024</v>
      </c>
    </row>
    <row r="1114" spans="1:14" x14ac:dyDescent="0.35">
      <c r="A1114" t="s">
        <v>2368</v>
      </c>
      <c r="B1114" s="1">
        <v>44739.477817407409</v>
      </c>
      <c r="C1114" t="s">
        <v>2369</v>
      </c>
      <c r="D1114" t="s">
        <v>30</v>
      </c>
      <c r="E1114" t="s">
        <v>53</v>
      </c>
      <c r="F1114">
        <v>2.8</v>
      </c>
      <c r="G1114">
        <v>7</v>
      </c>
      <c r="H1114" t="s">
        <v>14</v>
      </c>
      <c r="I1114" t="s">
        <v>15</v>
      </c>
      <c r="J1114" t="s">
        <v>541</v>
      </c>
      <c r="K1114">
        <f>Pqp_supermarket_data[[#This Row],[Unit_Price]]*Pqp_supermarket_data[[#This Row],[Quantity]]</f>
        <v>19.599999999999998</v>
      </c>
      <c r="L1114" t="str">
        <f>TEXT(Pqp_supermarket_data[[#This Row],[DateTime]],"ddd")</f>
        <v>Mon</v>
      </c>
      <c r="M1114" t="str">
        <f>TEXT(Pqp_supermarket_data[[#This Row],[DateTime]],"mmm")</f>
        <v>Jun</v>
      </c>
      <c r="N1114" t="str">
        <f>TEXT(Pqp_supermarket_data[[#This Row],[DateTime]],"yyy")</f>
        <v>2022</v>
      </c>
    </row>
    <row r="1115" spans="1:14" x14ac:dyDescent="0.35">
      <c r="A1115" t="s">
        <v>2370</v>
      </c>
      <c r="B1115" s="1">
        <v>44911.084761863429</v>
      </c>
      <c r="C1115" t="s">
        <v>2371</v>
      </c>
      <c r="D1115" t="s">
        <v>44</v>
      </c>
      <c r="E1115" t="s">
        <v>35</v>
      </c>
      <c r="F1115">
        <v>1.2</v>
      </c>
      <c r="G1115">
        <v>5</v>
      </c>
      <c r="H1115" t="s">
        <v>14</v>
      </c>
      <c r="I1115" t="s">
        <v>61</v>
      </c>
      <c r="J1115" t="s">
        <v>561</v>
      </c>
      <c r="K1115">
        <f>Pqp_supermarket_data[[#This Row],[Unit_Price]]*Pqp_supermarket_data[[#This Row],[Quantity]]</f>
        <v>6</v>
      </c>
      <c r="L1115" t="str">
        <f>TEXT(Pqp_supermarket_data[[#This Row],[DateTime]],"ddd")</f>
        <v>Fri</v>
      </c>
      <c r="M1115" t="str">
        <f>TEXT(Pqp_supermarket_data[[#This Row],[DateTime]],"mmm")</f>
        <v>Dec</v>
      </c>
      <c r="N1115" t="str">
        <f>TEXT(Pqp_supermarket_data[[#This Row],[DateTime]],"yyy")</f>
        <v>2022</v>
      </c>
    </row>
    <row r="1116" spans="1:14" x14ac:dyDescent="0.35">
      <c r="A1116" t="s">
        <v>2372</v>
      </c>
      <c r="B1116" s="1">
        <v>45155.938234108798</v>
      </c>
      <c r="C1116" t="s">
        <v>2373</v>
      </c>
      <c r="D1116" t="s">
        <v>85</v>
      </c>
      <c r="E1116" t="s">
        <v>65</v>
      </c>
      <c r="F1116">
        <v>3</v>
      </c>
      <c r="G1116">
        <v>4</v>
      </c>
      <c r="H1116" t="s">
        <v>14</v>
      </c>
      <c r="I1116" t="s">
        <v>36</v>
      </c>
      <c r="J1116" t="s">
        <v>510</v>
      </c>
      <c r="K1116">
        <f>Pqp_supermarket_data[[#This Row],[Unit_Price]]*Pqp_supermarket_data[[#This Row],[Quantity]]</f>
        <v>12</v>
      </c>
      <c r="L1116" t="str">
        <f>TEXT(Pqp_supermarket_data[[#This Row],[DateTime]],"ddd")</f>
        <v>Thu</v>
      </c>
      <c r="M1116" t="str">
        <f>TEXT(Pqp_supermarket_data[[#This Row],[DateTime]],"mmm")</f>
        <v>Aug</v>
      </c>
      <c r="N1116" t="str">
        <f>TEXT(Pqp_supermarket_data[[#This Row],[DateTime]],"yyy")</f>
        <v>2023</v>
      </c>
    </row>
    <row r="1117" spans="1:14" x14ac:dyDescent="0.35">
      <c r="A1117" t="s">
        <v>2374</v>
      </c>
      <c r="B1117" s="1">
        <v>44934.963928553239</v>
      </c>
      <c r="C1117" t="s">
        <v>2375</v>
      </c>
      <c r="D1117" t="s">
        <v>69</v>
      </c>
      <c r="E1117" t="s">
        <v>145</v>
      </c>
      <c r="F1117">
        <v>1.7</v>
      </c>
      <c r="G1117">
        <v>7</v>
      </c>
      <c r="H1117" t="s">
        <v>14</v>
      </c>
      <c r="I1117" t="s">
        <v>15</v>
      </c>
      <c r="J1117" t="s">
        <v>131</v>
      </c>
      <c r="K1117">
        <f>Pqp_supermarket_data[[#This Row],[Unit_Price]]*Pqp_supermarket_data[[#This Row],[Quantity]]</f>
        <v>11.9</v>
      </c>
      <c r="L1117" t="str">
        <f>TEXT(Pqp_supermarket_data[[#This Row],[DateTime]],"ddd")</f>
        <v>Sun</v>
      </c>
      <c r="M1117" t="str">
        <f>TEXT(Pqp_supermarket_data[[#This Row],[DateTime]],"mmm")</f>
        <v>Jan</v>
      </c>
      <c r="N1117" t="str">
        <f>TEXT(Pqp_supermarket_data[[#This Row],[DateTime]],"yyy")</f>
        <v>2023</v>
      </c>
    </row>
    <row r="1118" spans="1:14" x14ac:dyDescent="0.35">
      <c r="A1118" t="s">
        <v>2376</v>
      </c>
      <c r="B1118" s="1">
        <v>44562.470178553238</v>
      </c>
      <c r="C1118" t="s">
        <v>2377</v>
      </c>
      <c r="D1118" t="s">
        <v>25</v>
      </c>
      <c r="E1118" t="s">
        <v>57</v>
      </c>
      <c r="F1118">
        <v>4.5</v>
      </c>
      <c r="G1118">
        <v>8</v>
      </c>
      <c r="H1118" t="s">
        <v>14</v>
      </c>
      <c r="I1118" t="s">
        <v>21</v>
      </c>
      <c r="J1118" t="s">
        <v>517</v>
      </c>
      <c r="K1118">
        <f>Pqp_supermarket_data[[#This Row],[Unit_Price]]*Pqp_supermarket_data[[#This Row],[Quantity]]</f>
        <v>36</v>
      </c>
      <c r="L1118" t="str">
        <f>TEXT(Pqp_supermarket_data[[#This Row],[DateTime]],"ddd")</f>
        <v>Sat</v>
      </c>
      <c r="M1118" t="str">
        <f>TEXT(Pqp_supermarket_data[[#This Row],[DateTime]],"mmm")</f>
        <v>Jan</v>
      </c>
      <c r="N1118" t="str">
        <f>TEXT(Pqp_supermarket_data[[#This Row],[DateTime]],"yyy")</f>
        <v>2022</v>
      </c>
    </row>
    <row r="1119" spans="1:14" x14ac:dyDescent="0.35">
      <c r="A1119" t="s">
        <v>2378</v>
      </c>
      <c r="B1119" s="1">
        <v>45650.776428553239</v>
      </c>
      <c r="C1119" t="s">
        <v>2379</v>
      </c>
      <c r="D1119" t="s">
        <v>82</v>
      </c>
      <c r="E1119" t="s">
        <v>65</v>
      </c>
      <c r="F1119">
        <v>3</v>
      </c>
      <c r="G1119">
        <v>1</v>
      </c>
      <c r="H1119" t="s">
        <v>14</v>
      </c>
      <c r="I1119" t="s">
        <v>86</v>
      </c>
      <c r="J1119" t="s">
        <v>71</v>
      </c>
      <c r="K1119">
        <f>Pqp_supermarket_data[[#This Row],[Unit_Price]]*Pqp_supermarket_data[[#This Row],[Quantity]]</f>
        <v>3</v>
      </c>
      <c r="L1119" t="str">
        <f>TEXT(Pqp_supermarket_data[[#This Row],[DateTime]],"ddd")</f>
        <v>Tue</v>
      </c>
      <c r="M1119" t="str">
        <f>TEXT(Pqp_supermarket_data[[#This Row],[DateTime]],"mmm")</f>
        <v>Dec</v>
      </c>
      <c r="N1119" t="str">
        <f>TEXT(Pqp_supermarket_data[[#This Row],[DateTime]],"yyy")</f>
        <v>2024</v>
      </c>
    </row>
    <row r="1120" spans="1:14" x14ac:dyDescent="0.35">
      <c r="A1120" t="s">
        <v>2380</v>
      </c>
      <c r="B1120" s="1">
        <v>45227.010456342592</v>
      </c>
      <c r="C1120" t="s">
        <v>2381</v>
      </c>
      <c r="D1120" t="s">
        <v>85</v>
      </c>
      <c r="E1120" t="s">
        <v>70</v>
      </c>
      <c r="F1120">
        <v>5</v>
      </c>
      <c r="G1120">
        <v>10</v>
      </c>
      <c r="H1120" t="s">
        <v>14</v>
      </c>
      <c r="I1120" t="s">
        <v>15</v>
      </c>
      <c r="J1120" t="s">
        <v>485</v>
      </c>
      <c r="K1120">
        <f>Pqp_supermarket_data[[#This Row],[Unit_Price]]*Pqp_supermarket_data[[#This Row],[Quantity]]</f>
        <v>50</v>
      </c>
      <c r="L1120" t="str">
        <f>TEXT(Pqp_supermarket_data[[#This Row],[DateTime]],"ddd")</f>
        <v>Sat</v>
      </c>
      <c r="M1120" t="str">
        <f>TEXT(Pqp_supermarket_data[[#This Row],[DateTime]],"mmm")</f>
        <v>Oct</v>
      </c>
      <c r="N1120" t="str">
        <f>TEXT(Pqp_supermarket_data[[#This Row],[DateTime]],"yyy")</f>
        <v>2023</v>
      </c>
    </row>
    <row r="1121" spans="1:14" x14ac:dyDescent="0.35">
      <c r="A1121" t="s">
        <v>2382</v>
      </c>
      <c r="B1121" s="1">
        <v>45406.047261898151</v>
      </c>
      <c r="C1121" t="s">
        <v>2383</v>
      </c>
      <c r="D1121" t="s">
        <v>85</v>
      </c>
      <c r="E1121" t="s">
        <v>115</v>
      </c>
      <c r="F1121">
        <v>1.5</v>
      </c>
      <c r="G1121">
        <v>1</v>
      </c>
      <c r="H1121" t="s">
        <v>14</v>
      </c>
      <c r="I1121" t="s">
        <v>61</v>
      </c>
      <c r="J1121" t="s">
        <v>87</v>
      </c>
      <c r="K1121">
        <f>Pqp_supermarket_data[[#This Row],[Unit_Price]]*Pqp_supermarket_data[[#This Row],[Quantity]]</f>
        <v>1.5</v>
      </c>
      <c r="L1121" t="str">
        <f>TEXT(Pqp_supermarket_data[[#This Row],[DateTime]],"ddd")</f>
        <v>Wed</v>
      </c>
      <c r="M1121" t="str">
        <f>TEXT(Pqp_supermarket_data[[#This Row],[DateTime]],"mmm")</f>
        <v>Apr</v>
      </c>
      <c r="N1121" t="str">
        <f>TEXT(Pqp_supermarket_data[[#This Row],[DateTime]],"yyy")</f>
        <v>2024</v>
      </c>
    </row>
    <row r="1122" spans="1:14" x14ac:dyDescent="0.35">
      <c r="A1122" t="s">
        <v>2384</v>
      </c>
      <c r="B1122" s="1">
        <v>45163.91045635417</v>
      </c>
      <c r="C1122" t="s">
        <v>2385</v>
      </c>
      <c r="D1122" t="s">
        <v>12</v>
      </c>
      <c r="E1122" t="s">
        <v>70</v>
      </c>
      <c r="F1122">
        <v>5</v>
      </c>
      <c r="G1122">
        <v>4</v>
      </c>
      <c r="H1122" t="s">
        <v>14</v>
      </c>
      <c r="I1122" t="s">
        <v>40</v>
      </c>
      <c r="J1122" t="s">
        <v>288</v>
      </c>
      <c r="K1122">
        <f>Pqp_supermarket_data[[#This Row],[Unit_Price]]*Pqp_supermarket_data[[#This Row],[Quantity]]</f>
        <v>20</v>
      </c>
      <c r="L1122" t="str">
        <f>TEXT(Pqp_supermarket_data[[#This Row],[DateTime]],"ddd")</f>
        <v>Fri</v>
      </c>
      <c r="M1122" t="str">
        <f>TEXT(Pqp_supermarket_data[[#This Row],[DateTime]],"mmm")</f>
        <v>Aug</v>
      </c>
      <c r="N1122" t="str">
        <f>TEXT(Pqp_supermarket_data[[#This Row],[DateTime]],"yyy")</f>
        <v>2023</v>
      </c>
    </row>
    <row r="1123" spans="1:14" x14ac:dyDescent="0.35">
      <c r="A1123" t="s">
        <v>2386</v>
      </c>
      <c r="B1123" s="1">
        <v>45471.213234131945</v>
      </c>
      <c r="C1123" t="s">
        <v>2387</v>
      </c>
      <c r="D1123" t="s">
        <v>30</v>
      </c>
      <c r="E1123" t="s">
        <v>115</v>
      </c>
      <c r="F1123">
        <v>1.5</v>
      </c>
      <c r="G1123">
        <v>2</v>
      </c>
      <c r="H1123" t="s">
        <v>14</v>
      </c>
      <c r="I1123" t="s">
        <v>36</v>
      </c>
      <c r="J1123" t="s">
        <v>178</v>
      </c>
      <c r="K1123">
        <f>Pqp_supermarket_data[[#This Row],[Unit_Price]]*Pqp_supermarket_data[[#This Row],[Quantity]]</f>
        <v>3</v>
      </c>
      <c r="L1123" t="str">
        <f>TEXT(Pqp_supermarket_data[[#This Row],[DateTime]],"ddd")</f>
        <v>Fri</v>
      </c>
      <c r="M1123" t="str">
        <f>TEXT(Pqp_supermarket_data[[#This Row],[DateTime]],"mmm")</f>
        <v>Jun</v>
      </c>
      <c r="N1123" t="str">
        <f>TEXT(Pqp_supermarket_data[[#This Row],[DateTime]],"yyy")</f>
        <v>2024</v>
      </c>
    </row>
    <row r="1124" spans="1:14" x14ac:dyDescent="0.35">
      <c r="A1124" t="s">
        <v>2388</v>
      </c>
      <c r="B1124" s="1">
        <v>45197.010456365744</v>
      </c>
      <c r="C1124" t="s">
        <v>2389</v>
      </c>
      <c r="D1124" t="s">
        <v>98</v>
      </c>
      <c r="E1124" t="s">
        <v>26</v>
      </c>
      <c r="F1124">
        <v>2.5</v>
      </c>
      <c r="G1124">
        <v>1</v>
      </c>
      <c r="H1124" t="s">
        <v>14</v>
      </c>
      <c r="I1124" t="s">
        <v>40</v>
      </c>
      <c r="J1124" t="s">
        <v>302</v>
      </c>
      <c r="K1124">
        <f>Pqp_supermarket_data[[#This Row],[Unit_Price]]*Pqp_supermarket_data[[#This Row],[Quantity]]</f>
        <v>2.5</v>
      </c>
      <c r="L1124" t="str">
        <f>TEXT(Pqp_supermarket_data[[#This Row],[DateTime]],"ddd")</f>
        <v>Thu</v>
      </c>
      <c r="M1124" t="str">
        <f>TEXT(Pqp_supermarket_data[[#This Row],[DateTime]],"mmm")</f>
        <v>Sep</v>
      </c>
      <c r="N1124" t="str">
        <f>TEXT(Pqp_supermarket_data[[#This Row],[DateTime]],"yyy")</f>
        <v>2023</v>
      </c>
    </row>
    <row r="1125" spans="1:14" x14ac:dyDescent="0.35">
      <c r="A1125" t="s">
        <v>2390</v>
      </c>
      <c r="B1125" s="1">
        <v>45218.931984143521</v>
      </c>
      <c r="C1125" t="s">
        <v>2391</v>
      </c>
      <c r="D1125" t="s">
        <v>171</v>
      </c>
      <c r="E1125" t="s">
        <v>53</v>
      </c>
      <c r="F1125">
        <v>2.8</v>
      </c>
      <c r="G1125">
        <v>10</v>
      </c>
      <c r="H1125" t="s">
        <v>14</v>
      </c>
      <c r="I1125" t="s">
        <v>86</v>
      </c>
      <c r="J1125" t="s">
        <v>323</v>
      </c>
      <c r="K1125">
        <f>Pqp_supermarket_data[[#This Row],[Unit_Price]]*Pqp_supermarket_data[[#This Row],[Quantity]]</f>
        <v>28</v>
      </c>
      <c r="L1125" t="str">
        <f>TEXT(Pqp_supermarket_data[[#This Row],[DateTime]],"ddd")</f>
        <v>Thu</v>
      </c>
      <c r="M1125" t="str">
        <f>TEXT(Pqp_supermarket_data[[#This Row],[DateTime]],"mmm")</f>
        <v>Oct</v>
      </c>
      <c r="N1125" t="str">
        <f>TEXT(Pqp_supermarket_data[[#This Row],[DateTime]],"yyy")</f>
        <v>2023</v>
      </c>
    </row>
    <row r="1126" spans="1:14" x14ac:dyDescent="0.35">
      <c r="A1126" t="s">
        <v>2392</v>
      </c>
      <c r="B1126" s="1">
        <v>44893.19865082176</v>
      </c>
      <c r="C1126" t="s">
        <v>2393</v>
      </c>
      <c r="D1126" t="s">
        <v>30</v>
      </c>
      <c r="E1126" t="s">
        <v>115</v>
      </c>
      <c r="F1126">
        <v>1.5</v>
      </c>
      <c r="G1126">
        <v>2</v>
      </c>
      <c r="H1126" t="s">
        <v>14</v>
      </c>
      <c r="I1126" t="s">
        <v>61</v>
      </c>
      <c r="J1126" t="s">
        <v>138</v>
      </c>
      <c r="K1126">
        <f>Pqp_supermarket_data[[#This Row],[Unit_Price]]*Pqp_supermarket_data[[#This Row],[Quantity]]</f>
        <v>3</v>
      </c>
      <c r="L1126" t="str">
        <f>TEXT(Pqp_supermarket_data[[#This Row],[DateTime]],"ddd")</f>
        <v>Mon</v>
      </c>
      <c r="M1126" t="str">
        <f>TEXT(Pqp_supermarket_data[[#This Row],[DateTime]],"mmm")</f>
        <v>Nov</v>
      </c>
      <c r="N1126" t="str">
        <f>TEXT(Pqp_supermarket_data[[#This Row],[DateTime]],"yyy")</f>
        <v>2022</v>
      </c>
    </row>
    <row r="1127" spans="1:14" x14ac:dyDescent="0.35">
      <c r="A1127" t="s">
        <v>2394</v>
      </c>
      <c r="B1127" s="1">
        <v>44608.522261932871</v>
      </c>
      <c r="C1127" t="s">
        <v>2395</v>
      </c>
      <c r="D1127" t="s">
        <v>127</v>
      </c>
      <c r="E1127" t="s">
        <v>94</v>
      </c>
      <c r="F1127">
        <v>0.8</v>
      </c>
      <c r="G1127">
        <v>10</v>
      </c>
      <c r="H1127" t="s">
        <v>14</v>
      </c>
      <c r="I1127" t="s">
        <v>40</v>
      </c>
      <c r="J1127" t="s">
        <v>209</v>
      </c>
      <c r="K1127">
        <f>Pqp_supermarket_data[[#This Row],[Unit_Price]]*Pqp_supermarket_data[[#This Row],[Quantity]]</f>
        <v>8</v>
      </c>
      <c r="L1127" t="str">
        <f>TEXT(Pqp_supermarket_data[[#This Row],[DateTime]],"ddd")</f>
        <v>Wed</v>
      </c>
      <c r="M1127" t="str">
        <f>TEXT(Pqp_supermarket_data[[#This Row],[DateTime]],"mmm")</f>
        <v>Feb</v>
      </c>
      <c r="N1127" t="str">
        <f>TEXT(Pqp_supermarket_data[[#This Row],[DateTime]],"yyy")</f>
        <v>2022</v>
      </c>
    </row>
    <row r="1128" spans="1:14" x14ac:dyDescent="0.35">
      <c r="A1128" t="s">
        <v>2396</v>
      </c>
      <c r="B1128" s="1">
        <v>45131.937539722225</v>
      </c>
      <c r="C1128" t="s">
        <v>2397</v>
      </c>
      <c r="D1128" t="s">
        <v>12</v>
      </c>
      <c r="E1128" t="s">
        <v>111</v>
      </c>
      <c r="F1128">
        <v>2.2000000000000002</v>
      </c>
      <c r="G1128">
        <v>6</v>
      </c>
      <c r="H1128" t="s">
        <v>14</v>
      </c>
      <c r="I1128" t="s">
        <v>15</v>
      </c>
      <c r="J1128" t="s">
        <v>166</v>
      </c>
      <c r="K1128">
        <f>Pqp_supermarket_data[[#This Row],[Unit_Price]]*Pqp_supermarket_data[[#This Row],[Quantity]]</f>
        <v>13.200000000000001</v>
      </c>
      <c r="L1128" t="str">
        <f>TEXT(Pqp_supermarket_data[[#This Row],[DateTime]],"ddd")</f>
        <v>Mon</v>
      </c>
      <c r="M1128" t="str">
        <f>TEXT(Pqp_supermarket_data[[#This Row],[DateTime]],"mmm")</f>
        <v>Jul</v>
      </c>
      <c r="N1128" t="str">
        <f>TEXT(Pqp_supermarket_data[[#This Row],[DateTime]],"yyy")</f>
        <v>2023</v>
      </c>
    </row>
    <row r="1129" spans="1:14" x14ac:dyDescent="0.35">
      <c r="A1129" t="s">
        <v>2398</v>
      </c>
      <c r="B1129" s="1">
        <v>45228.083373067129</v>
      </c>
      <c r="C1129" t="s">
        <v>2399</v>
      </c>
      <c r="D1129" t="s">
        <v>30</v>
      </c>
      <c r="E1129" t="s">
        <v>53</v>
      </c>
      <c r="F1129">
        <v>2.8</v>
      </c>
      <c r="G1129">
        <v>1</v>
      </c>
      <c r="H1129" t="s">
        <v>14</v>
      </c>
      <c r="I1129" t="s">
        <v>61</v>
      </c>
      <c r="J1129" t="s">
        <v>50</v>
      </c>
      <c r="K1129">
        <f>Pqp_supermarket_data[[#This Row],[Unit_Price]]*Pqp_supermarket_data[[#This Row],[Quantity]]</f>
        <v>2.8</v>
      </c>
      <c r="L1129" t="str">
        <f>TEXT(Pqp_supermarket_data[[#This Row],[DateTime]],"ddd")</f>
        <v>Sun</v>
      </c>
      <c r="M1129" t="str">
        <f>TEXT(Pqp_supermarket_data[[#This Row],[DateTime]],"mmm")</f>
        <v>Oct</v>
      </c>
      <c r="N1129" t="str">
        <f>TEXT(Pqp_supermarket_data[[#This Row],[DateTime]],"yyy")</f>
        <v>2023</v>
      </c>
    </row>
    <row r="1130" spans="1:14" x14ac:dyDescent="0.35">
      <c r="A1130" t="s">
        <v>2400</v>
      </c>
      <c r="B1130" s="1">
        <v>44701.685456400461</v>
      </c>
      <c r="C1130" t="s">
        <v>2401</v>
      </c>
      <c r="D1130" t="s">
        <v>77</v>
      </c>
      <c r="E1130" t="s">
        <v>90</v>
      </c>
      <c r="F1130">
        <v>1.8</v>
      </c>
      <c r="G1130">
        <v>4</v>
      </c>
      <c r="H1130" t="s">
        <v>14</v>
      </c>
      <c r="I1130" t="s">
        <v>36</v>
      </c>
      <c r="J1130" t="s">
        <v>458</v>
      </c>
      <c r="K1130">
        <f>Pqp_supermarket_data[[#This Row],[Unit_Price]]*Pqp_supermarket_data[[#This Row],[Quantity]]</f>
        <v>7.2</v>
      </c>
      <c r="L1130" t="str">
        <f>TEXT(Pqp_supermarket_data[[#This Row],[DateTime]],"ddd")</f>
        <v>Fri</v>
      </c>
      <c r="M1130" t="str">
        <f>TEXT(Pqp_supermarket_data[[#This Row],[DateTime]],"mmm")</f>
        <v>May</v>
      </c>
      <c r="N1130" t="str">
        <f>TEXT(Pqp_supermarket_data[[#This Row],[DateTime]],"yyy")</f>
        <v>2022</v>
      </c>
    </row>
    <row r="1131" spans="1:14" x14ac:dyDescent="0.35">
      <c r="A1131" t="s">
        <v>2402</v>
      </c>
      <c r="B1131" s="1">
        <v>45592.734761967593</v>
      </c>
      <c r="C1131" t="s">
        <v>2403</v>
      </c>
      <c r="D1131" t="s">
        <v>69</v>
      </c>
      <c r="E1131" t="s">
        <v>20</v>
      </c>
      <c r="F1131">
        <v>1</v>
      </c>
      <c r="G1131">
        <v>6</v>
      </c>
      <c r="H1131" t="s">
        <v>14</v>
      </c>
      <c r="I1131" t="s">
        <v>61</v>
      </c>
      <c r="J1131" t="s">
        <v>382</v>
      </c>
      <c r="K1131">
        <f>Pqp_supermarket_data[[#This Row],[Unit_Price]]*Pqp_supermarket_data[[#This Row],[Quantity]]</f>
        <v>6</v>
      </c>
      <c r="L1131" t="str">
        <f>TEXT(Pqp_supermarket_data[[#This Row],[DateTime]],"ddd")</f>
        <v>Sun</v>
      </c>
      <c r="M1131" t="str">
        <f>TEXT(Pqp_supermarket_data[[#This Row],[DateTime]],"mmm")</f>
        <v>Oct</v>
      </c>
      <c r="N1131" t="str">
        <f>TEXT(Pqp_supermarket_data[[#This Row],[DateTime]],"yyy")</f>
        <v>2024</v>
      </c>
    </row>
    <row r="1132" spans="1:14" x14ac:dyDescent="0.35">
      <c r="A1132" t="s">
        <v>2404</v>
      </c>
      <c r="B1132" s="1">
        <v>45170.196567534724</v>
      </c>
      <c r="C1132" t="s">
        <v>2405</v>
      </c>
      <c r="D1132" t="s">
        <v>12</v>
      </c>
      <c r="E1132" t="s">
        <v>53</v>
      </c>
      <c r="F1132">
        <v>2.8</v>
      </c>
      <c r="G1132">
        <v>2</v>
      </c>
      <c r="H1132" t="s">
        <v>14</v>
      </c>
      <c r="I1132" t="s">
        <v>21</v>
      </c>
      <c r="J1132" t="s">
        <v>87</v>
      </c>
      <c r="K1132">
        <f>Pqp_supermarket_data[[#This Row],[Unit_Price]]*Pqp_supermarket_data[[#This Row],[Quantity]]</f>
        <v>5.6</v>
      </c>
      <c r="L1132" t="str">
        <f>TEXT(Pqp_supermarket_data[[#This Row],[DateTime]],"ddd")</f>
        <v>Fri</v>
      </c>
      <c r="M1132" t="str">
        <f>TEXT(Pqp_supermarket_data[[#This Row],[DateTime]],"mmm")</f>
        <v>Sep</v>
      </c>
      <c r="N1132" t="str">
        <f>TEXT(Pqp_supermarket_data[[#This Row],[DateTime]],"yyy")</f>
        <v>2023</v>
      </c>
    </row>
    <row r="1133" spans="1:14" x14ac:dyDescent="0.35">
      <c r="A1133" t="s">
        <v>2406</v>
      </c>
      <c r="B1133" s="1">
        <v>45066.393095324071</v>
      </c>
      <c r="C1133" t="s">
        <v>2407</v>
      </c>
      <c r="D1133" t="s">
        <v>69</v>
      </c>
      <c r="E1133" t="s">
        <v>90</v>
      </c>
      <c r="F1133">
        <v>1.8</v>
      </c>
      <c r="G1133">
        <v>5</v>
      </c>
      <c r="H1133" t="s">
        <v>14</v>
      </c>
      <c r="I1133" t="s">
        <v>61</v>
      </c>
      <c r="J1133" t="s">
        <v>267</v>
      </c>
      <c r="K1133">
        <f>Pqp_supermarket_data[[#This Row],[Unit_Price]]*Pqp_supermarket_data[[#This Row],[Quantity]]</f>
        <v>9</v>
      </c>
      <c r="L1133" t="str">
        <f>TEXT(Pqp_supermarket_data[[#This Row],[DateTime]],"ddd")</f>
        <v>Sat</v>
      </c>
      <c r="M1133" t="str">
        <f>TEXT(Pqp_supermarket_data[[#This Row],[DateTime]],"mmm")</f>
        <v>May</v>
      </c>
      <c r="N1133" t="str">
        <f>TEXT(Pqp_supermarket_data[[#This Row],[DateTime]],"yyy")</f>
        <v>2023</v>
      </c>
    </row>
    <row r="1134" spans="1:14" x14ac:dyDescent="0.35">
      <c r="A1134" t="s">
        <v>2408</v>
      </c>
      <c r="B1134" s="1">
        <v>44793.003511990741</v>
      </c>
      <c r="C1134" t="s">
        <v>2409</v>
      </c>
      <c r="D1134" t="s">
        <v>19</v>
      </c>
      <c r="E1134" t="s">
        <v>94</v>
      </c>
      <c r="F1134">
        <v>0.8</v>
      </c>
      <c r="G1134">
        <v>2</v>
      </c>
      <c r="H1134" t="s">
        <v>14</v>
      </c>
      <c r="I1134" t="s">
        <v>15</v>
      </c>
      <c r="J1134" t="s">
        <v>744</v>
      </c>
      <c r="K1134">
        <f>Pqp_supermarket_data[[#This Row],[Unit_Price]]*Pqp_supermarket_data[[#This Row],[Quantity]]</f>
        <v>1.6</v>
      </c>
      <c r="L1134" t="str">
        <f>TEXT(Pqp_supermarket_data[[#This Row],[DateTime]],"ddd")</f>
        <v>Sat</v>
      </c>
      <c r="M1134" t="str">
        <f>TEXT(Pqp_supermarket_data[[#This Row],[DateTime]],"mmm")</f>
        <v>Aug</v>
      </c>
      <c r="N1134" t="str">
        <f>TEXT(Pqp_supermarket_data[[#This Row],[DateTime]],"yyy")</f>
        <v>2022</v>
      </c>
    </row>
    <row r="1135" spans="1:14" x14ac:dyDescent="0.35">
      <c r="A1135" t="s">
        <v>2410</v>
      </c>
      <c r="B1135" s="1">
        <v>44756.231289780095</v>
      </c>
      <c r="C1135" t="s">
        <v>2411</v>
      </c>
      <c r="D1135" t="s">
        <v>25</v>
      </c>
      <c r="E1135" t="s">
        <v>20</v>
      </c>
      <c r="F1135">
        <v>1</v>
      </c>
      <c r="G1135">
        <v>10</v>
      </c>
      <c r="H1135" t="s">
        <v>14</v>
      </c>
      <c r="I1135" t="s">
        <v>36</v>
      </c>
      <c r="J1135" t="s">
        <v>716</v>
      </c>
      <c r="K1135">
        <f>Pqp_supermarket_data[[#This Row],[Unit_Price]]*Pqp_supermarket_data[[#This Row],[Quantity]]</f>
        <v>10</v>
      </c>
      <c r="L1135" t="str">
        <f>TEXT(Pqp_supermarket_data[[#This Row],[DateTime]],"ddd")</f>
        <v>Thu</v>
      </c>
      <c r="M1135" t="str">
        <f>TEXT(Pqp_supermarket_data[[#This Row],[DateTime]],"mmm")</f>
        <v>Jul</v>
      </c>
      <c r="N1135" t="str">
        <f>TEXT(Pqp_supermarket_data[[#This Row],[DateTime]],"yyy")</f>
        <v>2022</v>
      </c>
    </row>
    <row r="1136" spans="1:14" x14ac:dyDescent="0.35">
      <c r="A1136" t="s">
        <v>2412</v>
      </c>
      <c r="B1136" s="1">
        <v>44696.618789780092</v>
      </c>
      <c r="C1136" t="s">
        <v>2413</v>
      </c>
      <c r="D1136" t="s">
        <v>12</v>
      </c>
      <c r="E1136" t="s">
        <v>148</v>
      </c>
      <c r="F1136">
        <v>5.5</v>
      </c>
      <c r="G1136">
        <v>7</v>
      </c>
      <c r="H1136" t="s">
        <v>14</v>
      </c>
      <c r="I1136" t="s">
        <v>86</v>
      </c>
      <c r="J1136" t="s">
        <v>205</v>
      </c>
      <c r="K1136">
        <f>Pqp_supermarket_data[[#This Row],[Unit_Price]]*Pqp_supermarket_data[[#This Row],[Quantity]]</f>
        <v>38.5</v>
      </c>
      <c r="L1136" t="str">
        <f>TEXT(Pqp_supermarket_data[[#This Row],[DateTime]],"ddd")</f>
        <v>Sun</v>
      </c>
      <c r="M1136" t="str">
        <f>TEXT(Pqp_supermarket_data[[#This Row],[DateTime]],"mmm")</f>
        <v>May</v>
      </c>
      <c r="N1136" t="str">
        <f>TEXT(Pqp_supermarket_data[[#This Row],[DateTime]],"yyy")</f>
        <v>2022</v>
      </c>
    </row>
    <row r="1137" spans="1:14" x14ac:dyDescent="0.35">
      <c r="A1137" t="s">
        <v>2414</v>
      </c>
      <c r="B1137" s="1">
        <v>45548.352123124998</v>
      </c>
      <c r="C1137" t="s">
        <v>2415</v>
      </c>
      <c r="D1137" t="s">
        <v>208</v>
      </c>
      <c r="E1137" t="s">
        <v>115</v>
      </c>
      <c r="F1137">
        <v>1.5</v>
      </c>
      <c r="G1137">
        <v>6</v>
      </c>
      <c r="H1137" t="s">
        <v>14</v>
      </c>
      <c r="I1137" t="s">
        <v>61</v>
      </c>
      <c r="J1137" t="s">
        <v>320</v>
      </c>
      <c r="K1137">
        <f>Pqp_supermarket_data[[#This Row],[Unit_Price]]*Pqp_supermarket_data[[#This Row],[Quantity]]</f>
        <v>9</v>
      </c>
      <c r="L1137" t="str">
        <f>TEXT(Pqp_supermarket_data[[#This Row],[DateTime]],"ddd")</f>
        <v>Fri</v>
      </c>
      <c r="M1137" t="str">
        <f>TEXT(Pqp_supermarket_data[[#This Row],[DateTime]],"mmm")</f>
        <v>Sep</v>
      </c>
      <c r="N1137" t="str">
        <f>TEXT(Pqp_supermarket_data[[#This Row],[DateTime]],"yyy")</f>
        <v>2024</v>
      </c>
    </row>
    <row r="1138" spans="1:14" x14ac:dyDescent="0.35">
      <c r="A1138" t="s">
        <v>2416</v>
      </c>
      <c r="B1138" s="1">
        <v>45044.35698423611</v>
      </c>
      <c r="C1138" t="s">
        <v>2417</v>
      </c>
      <c r="D1138" t="s">
        <v>98</v>
      </c>
      <c r="E1138" t="s">
        <v>45</v>
      </c>
      <c r="F1138">
        <v>1</v>
      </c>
      <c r="G1138">
        <v>9</v>
      </c>
      <c r="H1138" t="s">
        <v>14</v>
      </c>
      <c r="I1138" t="s">
        <v>61</v>
      </c>
      <c r="J1138" t="s">
        <v>218</v>
      </c>
      <c r="K1138">
        <f>Pqp_supermarket_data[[#This Row],[Unit_Price]]*Pqp_supermarket_data[[#This Row],[Quantity]]</f>
        <v>9</v>
      </c>
      <c r="L1138" t="str">
        <f>TEXT(Pqp_supermarket_data[[#This Row],[DateTime]],"ddd")</f>
        <v>Fri</v>
      </c>
      <c r="M1138" t="str">
        <f>TEXT(Pqp_supermarket_data[[#This Row],[DateTime]],"mmm")</f>
        <v>Apr</v>
      </c>
      <c r="N1138" t="str">
        <f>TEXT(Pqp_supermarket_data[[#This Row],[DateTime]],"yyy")</f>
        <v>2023</v>
      </c>
    </row>
    <row r="1139" spans="1:14" x14ac:dyDescent="0.35">
      <c r="A1139" t="s">
        <v>2418</v>
      </c>
      <c r="B1139" s="1">
        <v>44333.184067569448</v>
      </c>
      <c r="C1139" t="s">
        <v>2419</v>
      </c>
      <c r="D1139" t="s">
        <v>12</v>
      </c>
      <c r="E1139" t="s">
        <v>148</v>
      </c>
      <c r="F1139">
        <v>5.5</v>
      </c>
      <c r="G1139">
        <v>4</v>
      </c>
      <c r="H1139" t="s">
        <v>14</v>
      </c>
      <c r="I1139" t="s">
        <v>15</v>
      </c>
      <c r="J1139" t="s">
        <v>320</v>
      </c>
      <c r="K1139">
        <f>Pqp_supermarket_data[[#This Row],[Unit_Price]]*Pqp_supermarket_data[[#This Row],[Quantity]]</f>
        <v>22</v>
      </c>
      <c r="L1139" t="str">
        <f>TEXT(Pqp_supermarket_data[[#This Row],[DateTime]],"ddd")</f>
        <v>Mon</v>
      </c>
      <c r="M1139" t="str">
        <f>TEXT(Pqp_supermarket_data[[#This Row],[DateTime]],"mmm")</f>
        <v>May</v>
      </c>
      <c r="N1139" t="str">
        <f>TEXT(Pqp_supermarket_data[[#This Row],[DateTime]],"yyy")</f>
        <v>2021</v>
      </c>
    </row>
    <row r="1140" spans="1:14" x14ac:dyDescent="0.35">
      <c r="A1140" t="s">
        <v>2420</v>
      </c>
      <c r="B1140" s="1">
        <v>45494.633373136574</v>
      </c>
      <c r="C1140" t="s">
        <v>2421</v>
      </c>
      <c r="D1140" t="s">
        <v>127</v>
      </c>
      <c r="E1140" t="s">
        <v>111</v>
      </c>
      <c r="F1140">
        <v>2.2000000000000002</v>
      </c>
      <c r="G1140">
        <v>4</v>
      </c>
      <c r="H1140" t="s">
        <v>14</v>
      </c>
      <c r="I1140" t="s">
        <v>15</v>
      </c>
      <c r="J1140" t="s">
        <v>369</v>
      </c>
      <c r="K1140">
        <f>Pqp_supermarket_data[[#This Row],[Unit_Price]]*Pqp_supermarket_data[[#This Row],[Quantity]]</f>
        <v>8.8000000000000007</v>
      </c>
      <c r="L1140" t="str">
        <f>TEXT(Pqp_supermarket_data[[#This Row],[DateTime]],"ddd")</f>
        <v>Sun</v>
      </c>
      <c r="M1140" t="str">
        <f>TEXT(Pqp_supermarket_data[[#This Row],[DateTime]],"mmm")</f>
        <v>Jul</v>
      </c>
      <c r="N1140" t="str">
        <f>TEXT(Pqp_supermarket_data[[#This Row],[DateTime]],"yyy")</f>
        <v>2024</v>
      </c>
    </row>
    <row r="1141" spans="1:14" x14ac:dyDescent="0.35">
      <c r="A1141" t="s">
        <v>2422</v>
      </c>
      <c r="B1141" s="1">
        <v>44915.609762025466</v>
      </c>
      <c r="C1141" t="s">
        <v>2423</v>
      </c>
      <c r="D1141" t="s">
        <v>226</v>
      </c>
      <c r="E1141" t="s">
        <v>148</v>
      </c>
      <c r="F1141">
        <v>5.5</v>
      </c>
      <c r="G1141">
        <v>2</v>
      </c>
      <c r="H1141" t="s">
        <v>14</v>
      </c>
      <c r="I1141" t="s">
        <v>40</v>
      </c>
      <c r="J1141" t="s">
        <v>267</v>
      </c>
      <c r="K1141">
        <f>Pqp_supermarket_data[[#This Row],[Unit_Price]]*Pqp_supermarket_data[[#This Row],[Quantity]]</f>
        <v>11</v>
      </c>
      <c r="L1141" t="str">
        <f>TEXT(Pqp_supermarket_data[[#This Row],[DateTime]],"ddd")</f>
        <v>Tue</v>
      </c>
      <c r="M1141" t="str">
        <f>TEXT(Pqp_supermarket_data[[#This Row],[DateTime]],"mmm")</f>
        <v>Dec</v>
      </c>
      <c r="N1141" t="str">
        <f>TEXT(Pqp_supermarket_data[[#This Row],[DateTime]],"yyy")</f>
        <v>2022</v>
      </c>
    </row>
    <row r="1142" spans="1:14" x14ac:dyDescent="0.35">
      <c r="A1142" t="s">
        <v>2424</v>
      </c>
      <c r="B1142" s="1">
        <v>44795.016706481481</v>
      </c>
      <c r="C1142" t="s">
        <v>2425</v>
      </c>
      <c r="D1142" t="s">
        <v>25</v>
      </c>
      <c r="E1142" t="s">
        <v>148</v>
      </c>
      <c r="F1142">
        <v>5.5</v>
      </c>
      <c r="G1142">
        <v>1</v>
      </c>
      <c r="H1142" t="s">
        <v>14</v>
      </c>
      <c r="I1142" t="s">
        <v>36</v>
      </c>
      <c r="J1142" t="s">
        <v>138</v>
      </c>
      <c r="K1142">
        <f>Pqp_supermarket_data[[#This Row],[Unit_Price]]*Pqp_supermarket_data[[#This Row],[Quantity]]</f>
        <v>5.5</v>
      </c>
      <c r="L1142" t="str">
        <f>TEXT(Pqp_supermarket_data[[#This Row],[DateTime]],"ddd")</f>
        <v>Mon</v>
      </c>
      <c r="M1142" t="str">
        <f>TEXT(Pqp_supermarket_data[[#This Row],[DateTime]],"mmm")</f>
        <v>Aug</v>
      </c>
      <c r="N1142" t="str">
        <f>TEXT(Pqp_supermarket_data[[#This Row],[DateTime]],"yyy")</f>
        <v>2022</v>
      </c>
    </row>
    <row r="1143" spans="1:14" x14ac:dyDescent="0.35">
      <c r="A1143" t="s">
        <v>2426</v>
      </c>
      <c r="B1143" s="1">
        <v>44572.497262060184</v>
      </c>
      <c r="C1143" t="s">
        <v>2427</v>
      </c>
      <c r="D1143" t="s">
        <v>77</v>
      </c>
      <c r="E1143" t="s">
        <v>13</v>
      </c>
      <c r="F1143">
        <v>3.1</v>
      </c>
      <c r="G1143">
        <v>1</v>
      </c>
      <c r="H1143" t="s">
        <v>14</v>
      </c>
      <c r="I1143" t="s">
        <v>40</v>
      </c>
      <c r="J1143" t="s">
        <v>108</v>
      </c>
      <c r="K1143">
        <f>Pqp_supermarket_data[[#This Row],[Unit_Price]]*Pqp_supermarket_data[[#This Row],[Quantity]]</f>
        <v>3.1</v>
      </c>
      <c r="L1143" t="str">
        <f>TEXT(Pqp_supermarket_data[[#This Row],[DateTime]],"ddd")</f>
        <v>Tue</v>
      </c>
      <c r="M1143" t="str">
        <f>TEXT(Pqp_supermarket_data[[#This Row],[DateTime]],"mmm")</f>
        <v>Jan</v>
      </c>
      <c r="N1143" t="str">
        <f>TEXT(Pqp_supermarket_data[[#This Row],[DateTime]],"yyy")</f>
        <v>2022</v>
      </c>
    </row>
    <row r="1144" spans="1:14" x14ac:dyDescent="0.35">
      <c r="A1144" t="s">
        <v>2428</v>
      </c>
      <c r="B1144" s="1">
        <v>44419.526428738427</v>
      </c>
      <c r="C1144" t="s">
        <v>2429</v>
      </c>
      <c r="D1144" t="s">
        <v>77</v>
      </c>
      <c r="E1144" t="s">
        <v>148</v>
      </c>
      <c r="F1144">
        <v>5.5</v>
      </c>
      <c r="G1144">
        <v>10</v>
      </c>
      <c r="H1144" t="s">
        <v>14</v>
      </c>
      <c r="I1144" t="s">
        <v>15</v>
      </c>
      <c r="J1144" t="s">
        <v>131</v>
      </c>
      <c r="K1144">
        <f>Pqp_supermarket_data[[#This Row],[Unit_Price]]*Pqp_supermarket_data[[#This Row],[Quantity]]</f>
        <v>55</v>
      </c>
      <c r="L1144" t="str">
        <f>TEXT(Pqp_supermarket_data[[#This Row],[DateTime]],"ddd")</f>
        <v>Wed</v>
      </c>
      <c r="M1144" t="str">
        <f>TEXT(Pqp_supermarket_data[[#This Row],[DateTime]],"mmm")</f>
        <v>Aug</v>
      </c>
      <c r="N1144" t="str">
        <f>TEXT(Pqp_supermarket_data[[#This Row],[DateTime]],"yyy")</f>
        <v>2021</v>
      </c>
    </row>
    <row r="1145" spans="1:14" x14ac:dyDescent="0.35">
      <c r="A1145" t="s">
        <v>2430</v>
      </c>
      <c r="B1145" s="1">
        <v>45377.322262071757</v>
      </c>
      <c r="C1145" t="s">
        <v>2431</v>
      </c>
      <c r="D1145" t="s">
        <v>44</v>
      </c>
      <c r="E1145" t="s">
        <v>35</v>
      </c>
      <c r="F1145">
        <v>1.2</v>
      </c>
      <c r="G1145">
        <v>2</v>
      </c>
      <c r="H1145" t="s">
        <v>14</v>
      </c>
      <c r="I1145" t="s">
        <v>15</v>
      </c>
      <c r="J1145" t="s">
        <v>314</v>
      </c>
      <c r="K1145">
        <f>Pqp_supermarket_data[[#This Row],[Unit_Price]]*Pqp_supermarket_data[[#This Row],[Quantity]]</f>
        <v>2.4</v>
      </c>
      <c r="L1145" t="str">
        <f>TEXT(Pqp_supermarket_data[[#This Row],[DateTime]],"ddd")</f>
        <v>Tue</v>
      </c>
      <c r="M1145" t="str">
        <f>TEXT(Pqp_supermarket_data[[#This Row],[DateTime]],"mmm")</f>
        <v>Mar</v>
      </c>
      <c r="N1145" t="str">
        <f>TEXT(Pqp_supermarket_data[[#This Row],[DateTime]],"yyy")</f>
        <v>2024</v>
      </c>
    </row>
    <row r="1146" spans="1:14" x14ac:dyDescent="0.35">
      <c r="A1146" t="s">
        <v>2432</v>
      </c>
      <c r="B1146" s="1">
        <v>45217.794484293983</v>
      </c>
      <c r="C1146" t="s">
        <v>2433</v>
      </c>
      <c r="D1146" t="s">
        <v>44</v>
      </c>
      <c r="E1146" t="s">
        <v>94</v>
      </c>
      <c r="F1146">
        <v>0.8</v>
      </c>
      <c r="G1146">
        <v>9</v>
      </c>
      <c r="H1146" t="s">
        <v>14</v>
      </c>
      <c r="I1146" t="s">
        <v>36</v>
      </c>
      <c r="J1146" t="s">
        <v>262</v>
      </c>
      <c r="K1146">
        <f>Pqp_supermarket_data[[#This Row],[Unit_Price]]*Pqp_supermarket_data[[#This Row],[Quantity]]</f>
        <v>7.2</v>
      </c>
      <c r="L1146" t="str">
        <f>TEXT(Pqp_supermarket_data[[#This Row],[DateTime]],"ddd")</f>
        <v>Wed</v>
      </c>
      <c r="M1146" t="str">
        <f>TEXT(Pqp_supermarket_data[[#This Row],[DateTime]],"mmm")</f>
        <v>Oct</v>
      </c>
      <c r="N1146" t="str">
        <f>TEXT(Pqp_supermarket_data[[#This Row],[DateTime]],"yyy")</f>
        <v>2023</v>
      </c>
    </row>
    <row r="1147" spans="1:14" x14ac:dyDescent="0.35">
      <c r="A1147" t="s">
        <v>2434</v>
      </c>
      <c r="B1147" s="1">
        <v>45290.86809541667</v>
      </c>
      <c r="C1147" t="s">
        <v>2435</v>
      </c>
      <c r="D1147" t="s">
        <v>77</v>
      </c>
      <c r="E1147" t="s">
        <v>148</v>
      </c>
      <c r="F1147">
        <v>5.5</v>
      </c>
      <c r="G1147">
        <v>10</v>
      </c>
      <c r="H1147" t="s">
        <v>14</v>
      </c>
      <c r="I1147" t="s">
        <v>40</v>
      </c>
      <c r="J1147" t="s">
        <v>716</v>
      </c>
      <c r="K1147">
        <f>Pqp_supermarket_data[[#This Row],[Unit_Price]]*Pqp_supermarket_data[[#This Row],[Quantity]]</f>
        <v>55</v>
      </c>
      <c r="L1147" t="str">
        <f>TEXT(Pqp_supermarket_data[[#This Row],[DateTime]],"ddd")</f>
        <v>Sat</v>
      </c>
      <c r="M1147" t="str">
        <f>TEXT(Pqp_supermarket_data[[#This Row],[DateTime]],"mmm")</f>
        <v>Dec</v>
      </c>
      <c r="N1147" t="str">
        <f>TEXT(Pqp_supermarket_data[[#This Row],[DateTime]],"yyy")</f>
        <v>2023</v>
      </c>
    </row>
    <row r="1148" spans="1:14" x14ac:dyDescent="0.35">
      <c r="A1148" t="s">
        <v>2436</v>
      </c>
      <c r="B1148" s="1">
        <v>45341.634762083333</v>
      </c>
      <c r="C1148" t="s">
        <v>2437</v>
      </c>
      <c r="D1148" t="s">
        <v>127</v>
      </c>
      <c r="E1148" t="s">
        <v>94</v>
      </c>
      <c r="F1148">
        <v>0.8</v>
      </c>
      <c r="G1148">
        <v>9</v>
      </c>
      <c r="H1148" t="s">
        <v>14</v>
      </c>
      <c r="I1148" t="s">
        <v>40</v>
      </c>
      <c r="J1148" t="s">
        <v>105</v>
      </c>
      <c r="K1148">
        <f>Pqp_supermarket_data[[#This Row],[Unit_Price]]*Pqp_supermarket_data[[#This Row],[Quantity]]</f>
        <v>7.2</v>
      </c>
      <c r="L1148" t="str">
        <f>TEXT(Pqp_supermarket_data[[#This Row],[DateTime]],"ddd")</f>
        <v>Mon</v>
      </c>
      <c r="M1148" t="str">
        <f>TEXT(Pqp_supermarket_data[[#This Row],[DateTime]],"mmm")</f>
        <v>Feb</v>
      </c>
      <c r="N1148" t="str">
        <f>TEXT(Pqp_supermarket_data[[#This Row],[DateTime]],"yyy")</f>
        <v>2024</v>
      </c>
    </row>
    <row r="1149" spans="1:14" x14ac:dyDescent="0.35">
      <c r="A1149" t="s">
        <v>2438</v>
      </c>
      <c r="B1149" s="1">
        <v>45584.269484317127</v>
      </c>
      <c r="C1149" t="s">
        <v>2439</v>
      </c>
      <c r="D1149" t="s">
        <v>85</v>
      </c>
      <c r="E1149" t="s">
        <v>115</v>
      </c>
      <c r="F1149">
        <v>1.5</v>
      </c>
      <c r="G1149">
        <v>6</v>
      </c>
      <c r="H1149" t="s">
        <v>14</v>
      </c>
      <c r="I1149" t="s">
        <v>36</v>
      </c>
      <c r="J1149" t="s">
        <v>131</v>
      </c>
      <c r="K1149">
        <f>Pqp_supermarket_data[[#This Row],[Unit_Price]]*Pqp_supermarket_data[[#This Row],[Quantity]]</f>
        <v>9</v>
      </c>
      <c r="L1149" t="str">
        <f>TEXT(Pqp_supermarket_data[[#This Row],[DateTime]],"ddd")</f>
        <v>Sat</v>
      </c>
      <c r="M1149" t="str">
        <f>TEXT(Pqp_supermarket_data[[#This Row],[DateTime]],"mmm")</f>
        <v>Oct</v>
      </c>
      <c r="N1149" t="str">
        <f>TEXT(Pqp_supermarket_data[[#This Row],[DateTime]],"yyy")</f>
        <v>2024</v>
      </c>
    </row>
    <row r="1150" spans="1:14" x14ac:dyDescent="0.35">
      <c r="A1150" t="s">
        <v>2440</v>
      </c>
      <c r="B1150" s="1">
        <v>45406.946567650462</v>
      </c>
      <c r="C1150" t="s">
        <v>2441</v>
      </c>
      <c r="D1150" t="s">
        <v>77</v>
      </c>
      <c r="E1150" t="s">
        <v>94</v>
      </c>
      <c r="F1150">
        <v>0.8</v>
      </c>
      <c r="G1150">
        <v>6</v>
      </c>
      <c r="H1150" t="s">
        <v>14</v>
      </c>
      <c r="I1150" t="s">
        <v>86</v>
      </c>
      <c r="J1150" t="s">
        <v>22</v>
      </c>
      <c r="K1150">
        <f>Pqp_supermarket_data[[#This Row],[Unit_Price]]*Pqp_supermarket_data[[#This Row],[Quantity]]</f>
        <v>4.8000000000000007</v>
      </c>
      <c r="L1150" t="str">
        <f>TEXT(Pqp_supermarket_data[[#This Row],[DateTime]],"ddd")</f>
        <v>Wed</v>
      </c>
      <c r="M1150" t="str">
        <f>TEXT(Pqp_supermarket_data[[#This Row],[DateTime]],"mmm")</f>
        <v>Apr</v>
      </c>
      <c r="N1150" t="str">
        <f>TEXT(Pqp_supermarket_data[[#This Row],[DateTime]],"yyy")</f>
        <v>2024</v>
      </c>
    </row>
    <row r="1151" spans="1:14" x14ac:dyDescent="0.35">
      <c r="A1151" t="s">
        <v>2442</v>
      </c>
      <c r="B1151" s="1">
        <v>45347.883373206016</v>
      </c>
      <c r="C1151" t="s">
        <v>2443</v>
      </c>
      <c r="D1151" t="s">
        <v>82</v>
      </c>
      <c r="E1151" t="s">
        <v>148</v>
      </c>
      <c r="F1151">
        <v>5.5</v>
      </c>
      <c r="G1151">
        <v>6</v>
      </c>
      <c r="H1151" t="s">
        <v>14</v>
      </c>
      <c r="I1151" t="s">
        <v>40</v>
      </c>
      <c r="J1151" t="s">
        <v>311</v>
      </c>
      <c r="K1151">
        <f>Pqp_supermarket_data[[#This Row],[Unit_Price]]*Pqp_supermarket_data[[#This Row],[Quantity]]</f>
        <v>33</v>
      </c>
      <c r="L1151" t="str">
        <f>TEXT(Pqp_supermarket_data[[#This Row],[DateTime]],"ddd")</f>
        <v>Sun</v>
      </c>
      <c r="M1151" t="str">
        <f>TEXT(Pqp_supermarket_data[[#This Row],[DateTime]],"mmm")</f>
        <v>Feb</v>
      </c>
      <c r="N1151" t="str">
        <f>TEXT(Pqp_supermarket_data[[#This Row],[DateTime]],"yyy")</f>
        <v>2024</v>
      </c>
    </row>
    <row r="1152" spans="1:14" x14ac:dyDescent="0.35">
      <c r="A1152" t="s">
        <v>2444</v>
      </c>
      <c r="B1152" s="1">
        <v>45560.887539895833</v>
      </c>
      <c r="C1152" t="s">
        <v>2445</v>
      </c>
      <c r="D1152" t="s">
        <v>98</v>
      </c>
      <c r="E1152" t="s">
        <v>53</v>
      </c>
      <c r="F1152">
        <v>2.8</v>
      </c>
      <c r="G1152">
        <v>5</v>
      </c>
      <c r="H1152" t="s">
        <v>14</v>
      </c>
      <c r="I1152" t="s">
        <v>21</v>
      </c>
      <c r="J1152" t="s">
        <v>105</v>
      </c>
      <c r="K1152">
        <f>Pqp_supermarket_data[[#This Row],[Unit_Price]]*Pqp_supermarket_data[[#This Row],[Quantity]]</f>
        <v>14</v>
      </c>
      <c r="L1152" t="str">
        <f>TEXT(Pqp_supermarket_data[[#This Row],[DateTime]],"ddd")</f>
        <v>Wed</v>
      </c>
      <c r="M1152" t="str">
        <f>TEXT(Pqp_supermarket_data[[#This Row],[DateTime]],"mmm")</f>
        <v>Sep</v>
      </c>
      <c r="N1152" t="str">
        <f>TEXT(Pqp_supermarket_data[[#This Row],[DateTime]],"yyy")</f>
        <v>2024</v>
      </c>
    </row>
    <row r="1153" spans="1:14" x14ac:dyDescent="0.35">
      <c r="A1153" t="s">
        <v>2446</v>
      </c>
      <c r="B1153" s="1">
        <v>45703.462539895831</v>
      </c>
      <c r="C1153" t="s">
        <v>2447</v>
      </c>
      <c r="D1153" t="s">
        <v>98</v>
      </c>
      <c r="E1153" t="s">
        <v>148</v>
      </c>
      <c r="F1153">
        <v>5.5</v>
      </c>
      <c r="G1153">
        <v>7</v>
      </c>
      <c r="H1153" t="s">
        <v>14</v>
      </c>
      <c r="I1153" t="s">
        <v>61</v>
      </c>
      <c r="J1153" t="s">
        <v>223</v>
      </c>
      <c r="K1153">
        <f>Pqp_supermarket_data[[#This Row],[Unit_Price]]*Pqp_supermarket_data[[#This Row],[Quantity]]</f>
        <v>38.5</v>
      </c>
      <c r="L1153" t="str">
        <f>TEXT(Pqp_supermarket_data[[#This Row],[DateTime]],"ddd")</f>
        <v>Sat</v>
      </c>
      <c r="M1153" t="str">
        <f>TEXT(Pqp_supermarket_data[[#This Row],[DateTime]],"mmm")</f>
        <v>Feb</v>
      </c>
      <c r="N1153" t="str">
        <f>TEXT(Pqp_supermarket_data[[#This Row],[DateTime]],"yyy")</f>
        <v>2025</v>
      </c>
    </row>
    <row r="1154" spans="1:14" x14ac:dyDescent="0.35">
      <c r="A1154" t="s">
        <v>2448</v>
      </c>
      <c r="B1154" s="1">
        <v>44556.588234351853</v>
      </c>
      <c r="C1154" t="s">
        <v>2449</v>
      </c>
      <c r="D1154" t="s">
        <v>30</v>
      </c>
      <c r="E1154" t="s">
        <v>70</v>
      </c>
      <c r="F1154">
        <v>5</v>
      </c>
      <c r="G1154">
        <v>4</v>
      </c>
      <c r="H1154" t="s">
        <v>14</v>
      </c>
      <c r="I1154" t="s">
        <v>21</v>
      </c>
      <c r="J1154" t="s">
        <v>404</v>
      </c>
      <c r="K1154">
        <f>Pqp_supermarket_data[[#This Row],[Unit_Price]]*Pqp_supermarket_data[[#This Row],[Quantity]]</f>
        <v>20</v>
      </c>
      <c r="L1154" t="str">
        <f>TEXT(Pqp_supermarket_data[[#This Row],[DateTime]],"ddd")</f>
        <v>Sun</v>
      </c>
      <c r="M1154" t="str">
        <f>TEXT(Pqp_supermarket_data[[#This Row],[DateTime]],"mmm")</f>
        <v>Dec</v>
      </c>
      <c r="N1154" t="str">
        <f>TEXT(Pqp_supermarket_data[[#This Row],[DateTime]],"yyy")</f>
        <v>2021</v>
      </c>
    </row>
    <row r="1155" spans="1:14" x14ac:dyDescent="0.35">
      <c r="A1155" t="s">
        <v>2450</v>
      </c>
      <c r="B1155" s="1">
        <v>45191.00976212963</v>
      </c>
      <c r="C1155" t="s">
        <v>2451</v>
      </c>
      <c r="D1155" t="s">
        <v>34</v>
      </c>
      <c r="E1155" t="s">
        <v>65</v>
      </c>
      <c r="F1155">
        <v>3</v>
      </c>
      <c r="G1155">
        <v>8</v>
      </c>
      <c r="H1155" t="s">
        <v>14</v>
      </c>
      <c r="I1155" t="s">
        <v>36</v>
      </c>
      <c r="J1155" t="s">
        <v>186</v>
      </c>
      <c r="K1155">
        <f>Pqp_supermarket_data[[#This Row],[Unit_Price]]*Pqp_supermarket_data[[#This Row],[Quantity]]</f>
        <v>24</v>
      </c>
      <c r="L1155" t="str">
        <f>TEXT(Pqp_supermarket_data[[#This Row],[DateTime]],"ddd")</f>
        <v>Fri</v>
      </c>
      <c r="M1155" t="str">
        <f>TEXT(Pqp_supermarket_data[[#This Row],[DateTime]],"mmm")</f>
        <v>Sep</v>
      </c>
      <c r="N1155" t="str">
        <f>TEXT(Pqp_supermarket_data[[#This Row],[DateTime]],"yyy")</f>
        <v>2023</v>
      </c>
    </row>
    <row r="1156" spans="1:14" x14ac:dyDescent="0.35">
      <c r="A1156" t="s">
        <v>2452</v>
      </c>
      <c r="B1156" s="1">
        <v>45419.529901030095</v>
      </c>
      <c r="C1156" t="s">
        <v>2453</v>
      </c>
      <c r="D1156" t="s">
        <v>98</v>
      </c>
      <c r="E1156" t="s">
        <v>148</v>
      </c>
      <c r="F1156">
        <v>5.5</v>
      </c>
      <c r="G1156">
        <v>7</v>
      </c>
      <c r="H1156" t="s">
        <v>14</v>
      </c>
      <c r="I1156" t="s">
        <v>86</v>
      </c>
      <c r="J1156" t="s">
        <v>128</v>
      </c>
      <c r="K1156">
        <f>Pqp_supermarket_data[[#This Row],[Unit_Price]]*Pqp_supermarket_data[[#This Row],[Quantity]]</f>
        <v>38.5</v>
      </c>
      <c r="L1156" t="str">
        <f>TEXT(Pqp_supermarket_data[[#This Row],[DateTime]],"ddd")</f>
        <v>Tue</v>
      </c>
      <c r="M1156" t="str">
        <f>TEXT(Pqp_supermarket_data[[#This Row],[DateTime]],"mmm")</f>
        <v>May</v>
      </c>
      <c r="N1156" t="str">
        <f>TEXT(Pqp_supermarket_data[[#This Row],[DateTime]],"yyy")</f>
        <v>2024</v>
      </c>
    </row>
    <row r="1157" spans="1:14" x14ac:dyDescent="0.35">
      <c r="A1157" t="s">
        <v>2454</v>
      </c>
      <c r="B1157" s="1">
        <v>44437.681289918983</v>
      </c>
      <c r="C1157" t="s">
        <v>2455</v>
      </c>
      <c r="D1157" t="s">
        <v>77</v>
      </c>
      <c r="E1157" t="s">
        <v>111</v>
      </c>
      <c r="F1157">
        <v>2.2000000000000002</v>
      </c>
      <c r="G1157">
        <v>7</v>
      </c>
      <c r="H1157" t="s">
        <v>14</v>
      </c>
      <c r="I1157" t="s">
        <v>86</v>
      </c>
      <c r="J1157" t="s">
        <v>320</v>
      </c>
      <c r="K1157">
        <f>Pqp_supermarket_data[[#This Row],[Unit_Price]]*Pqp_supermarket_data[[#This Row],[Quantity]]</f>
        <v>15.400000000000002</v>
      </c>
      <c r="L1157" t="str">
        <f>TEXT(Pqp_supermarket_data[[#This Row],[DateTime]],"ddd")</f>
        <v>Sun</v>
      </c>
      <c r="M1157" t="str">
        <f>TEXT(Pqp_supermarket_data[[#This Row],[DateTime]],"mmm")</f>
        <v>Aug</v>
      </c>
      <c r="N1157" t="str">
        <f>TEXT(Pqp_supermarket_data[[#This Row],[DateTime]],"yyy")</f>
        <v>2021</v>
      </c>
    </row>
    <row r="1158" spans="1:14" x14ac:dyDescent="0.35">
      <c r="A1158" t="s">
        <v>2456</v>
      </c>
      <c r="B1158" s="1">
        <v>44577.402123263892</v>
      </c>
      <c r="C1158" t="s">
        <v>2457</v>
      </c>
      <c r="D1158" t="s">
        <v>19</v>
      </c>
      <c r="E1158" t="s">
        <v>94</v>
      </c>
      <c r="F1158">
        <v>0.8</v>
      </c>
      <c r="G1158">
        <v>2</v>
      </c>
      <c r="H1158" t="s">
        <v>14</v>
      </c>
      <c r="I1158" t="s">
        <v>61</v>
      </c>
      <c r="J1158" t="s">
        <v>485</v>
      </c>
      <c r="K1158">
        <f>Pqp_supermarket_data[[#This Row],[Unit_Price]]*Pqp_supermarket_data[[#This Row],[Quantity]]</f>
        <v>1.6</v>
      </c>
      <c r="L1158" t="str">
        <f>TEXT(Pqp_supermarket_data[[#This Row],[DateTime]],"ddd")</f>
        <v>Sun</v>
      </c>
      <c r="M1158" t="str">
        <f>TEXT(Pqp_supermarket_data[[#This Row],[DateTime]],"mmm")</f>
        <v>Jan</v>
      </c>
      <c r="N1158" t="str">
        <f>TEXT(Pqp_supermarket_data[[#This Row],[DateTime]],"yyy")</f>
        <v>2022</v>
      </c>
    </row>
    <row r="1159" spans="1:14" x14ac:dyDescent="0.35">
      <c r="A1159" t="s">
        <v>2458</v>
      </c>
      <c r="B1159" s="1">
        <v>45093.28337326389</v>
      </c>
      <c r="C1159" t="s">
        <v>2459</v>
      </c>
      <c r="D1159" t="s">
        <v>34</v>
      </c>
      <c r="E1159" t="s">
        <v>49</v>
      </c>
      <c r="F1159">
        <v>7</v>
      </c>
      <c r="G1159">
        <v>2</v>
      </c>
      <c r="H1159" t="s">
        <v>14</v>
      </c>
      <c r="I1159" t="s">
        <v>15</v>
      </c>
      <c r="J1159" t="s">
        <v>22</v>
      </c>
      <c r="K1159">
        <f>Pqp_supermarket_data[[#This Row],[Unit_Price]]*Pqp_supermarket_data[[#This Row],[Quantity]]</f>
        <v>14</v>
      </c>
      <c r="L1159" t="str">
        <f>TEXT(Pqp_supermarket_data[[#This Row],[DateTime]],"ddd")</f>
        <v>Fri</v>
      </c>
      <c r="M1159" t="str">
        <f>TEXT(Pqp_supermarket_data[[#This Row],[DateTime]],"mmm")</f>
        <v>Jun</v>
      </c>
      <c r="N1159" t="str">
        <f>TEXT(Pqp_supermarket_data[[#This Row],[DateTime]],"yyy")</f>
        <v>2023</v>
      </c>
    </row>
    <row r="1160" spans="1:14" x14ac:dyDescent="0.35">
      <c r="A1160" t="s">
        <v>2460</v>
      </c>
      <c r="B1160" s="1">
        <v>44764.193095486109</v>
      </c>
      <c r="C1160" t="s">
        <v>2461</v>
      </c>
      <c r="D1160" t="s">
        <v>12</v>
      </c>
      <c r="E1160" t="s">
        <v>119</v>
      </c>
      <c r="F1160">
        <v>4</v>
      </c>
      <c r="G1160">
        <v>10</v>
      </c>
      <c r="H1160" t="s">
        <v>14</v>
      </c>
      <c r="I1160" t="s">
        <v>61</v>
      </c>
      <c r="J1160" t="s">
        <v>91</v>
      </c>
      <c r="K1160">
        <f>Pqp_supermarket_data[[#This Row],[Unit_Price]]*Pqp_supermarket_data[[#This Row],[Quantity]]</f>
        <v>40</v>
      </c>
      <c r="L1160" t="str">
        <f>TEXT(Pqp_supermarket_data[[#This Row],[DateTime]],"ddd")</f>
        <v>Fri</v>
      </c>
      <c r="M1160" t="str">
        <f>TEXT(Pqp_supermarket_data[[#This Row],[DateTime]],"mmm")</f>
        <v>Jul</v>
      </c>
      <c r="N1160" t="str">
        <f>TEXT(Pqp_supermarket_data[[#This Row],[DateTime]],"yyy")</f>
        <v>2022</v>
      </c>
    </row>
    <row r="1161" spans="1:14" x14ac:dyDescent="0.35">
      <c r="A1161" t="s">
        <v>2462</v>
      </c>
      <c r="B1161" s="1">
        <v>44468.044484386577</v>
      </c>
      <c r="C1161" t="s">
        <v>2463</v>
      </c>
      <c r="D1161" t="s">
        <v>98</v>
      </c>
      <c r="E1161" t="s">
        <v>45</v>
      </c>
      <c r="F1161">
        <v>1</v>
      </c>
      <c r="G1161">
        <v>7</v>
      </c>
      <c r="H1161" t="s">
        <v>14</v>
      </c>
      <c r="I1161" t="s">
        <v>86</v>
      </c>
      <c r="J1161" t="s">
        <v>138</v>
      </c>
      <c r="K1161">
        <f>Pqp_supermarket_data[[#This Row],[Unit_Price]]*Pqp_supermarket_data[[#This Row],[Quantity]]</f>
        <v>7</v>
      </c>
      <c r="L1161" t="str">
        <f>TEXT(Pqp_supermarket_data[[#This Row],[DateTime]],"ddd")</f>
        <v>Wed</v>
      </c>
      <c r="M1161" t="str">
        <f>TEXT(Pqp_supermarket_data[[#This Row],[DateTime]],"mmm")</f>
        <v>Sep</v>
      </c>
      <c r="N1161" t="str">
        <f>TEXT(Pqp_supermarket_data[[#This Row],[DateTime]],"yyy")</f>
        <v>2021</v>
      </c>
    </row>
    <row r="1162" spans="1:14" x14ac:dyDescent="0.35">
      <c r="A1162" t="s">
        <v>2464</v>
      </c>
      <c r="B1162" s="1">
        <v>45215.35906771991</v>
      </c>
      <c r="C1162" t="s">
        <v>2465</v>
      </c>
      <c r="D1162" t="s">
        <v>98</v>
      </c>
      <c r="E1162" t="s">
        <v>148</v>
      </c>
      <c r="F1162">
        <v>5.5</v>
      </c>
      <c r="G1162">
        <v>2</v>
      </c>
      <c r="H1162" t="s">
        <v>14</v>
      </c>
      <c r="I1162" t="s">
        <v>61</v>
      </c>
      <c r="J1162" t="s">
        <v>723</v>
      </c>
      <c r="K1162">
        <f>Pqp_supermarket_data[[#This Row],[Unit_Price]]*Pqp_supermarket_data[[#This Row],[Quantity]]</f>
        <v>11</v>
      </c>
      <c r="L1162" t="str">
        <f>TEXT(Pqp_supermarket_data[[#This Row],[DateTime]],"ddd")</f>
        <v>Mon</v>
      </c>
      <c r="M1162" t="str">
        <f>TEXT(Pqp_supermarket_data[[#This Row],[DateTime]],"mmm")</f>
        <v>Oct</v>
      </c>
      <c r="N1162" t="str">
        <f>TEXT(Pqp_supermarket_data[[#This Row],[DateTime]],"yyy")</f>
        <v>2023</v>
      </c>
    </row>
    <row r="1163" spans="1:14" x14ac:dyDescent="0.35">
      <c r="A1163" t="s">
        <v>2466</v>
      </c>
      <c r="B1163" s="1">
        <v>44768.240317731485</v>
      </c>
      <c r="C1163" t="s">
        <v>2467</v>
      </c>
      <c r="D1163" t="s">
        <v>69</v>
      </c>
      <c r="E1163" t="s">
        <v>35</v>
      </c>
      <c r="F1163">
        <v>1.2</v>
      </c>
      <c r="G1163">
        <v>2</v>
      </c>
      <c r="H1163" t="s">
        <v>14</v>
      </c>
      <c r="I1163" t="s">
        <v>36</v>
      </c>
      <c r="J1163" t="s">
        <v>166</v>
      </c>
      <c r="K1163">
        <f>Pqp_supermarket_data[[#This Row],[Unit_Price]]*Pqp_supermarket_data[[#This Row],[Quantity]]</f>
        <v>2.4</v>
      </c>
      <c r="L1163" t="str">
        <f>TEXT(Pqp_supermarket_data[[#This Row],[DateTime]],"ddd")</f>
        <v>Tue</v>
      </c>
      <c r="M1163" t="str">
        <f>TEXT(Pqp_supermarket_data[[#This Row],[DateTime]],"mmm")</f>
        <v>Jul</v>
      </c>
      <c r="N1163" t="str">
        <f>TEXT(Pqp_supermarket_data[[#This Row],[DateTime]],"yyy")</f>
        <v>2022</v>
      </c>
    </row>
    <row r="1164" spans="1:14" x14ac:dyDescent="0.35">
      <c r="A1164" t="s">
        <v>2468</v>
      </c>
      <c r="B1164" s="1">
        <v>45646.904901064816</v>
      </c>
      <c r="C1164" t="s">
        <v>2469</v>
      </c>
      <c r="D1164" t="s">
        <v>208</v>
      </c>
      <c r="E1164" t="s">
        <v>94</v>
      </c>
      <c r="F1164">
        <v>0.8</v>
      </c>
      <c r="G1164">
        <v>7</v>
      </c>
      <c r="H1164" t="s">
        <v>14</v>
      </c>
      <c r="I1164" t="s">
        <v>21</v>
      </c>
      <c r="J1164" t="s">
        <v>255</v>
      </c>
      <c r="K1164">
        <f>Pqp_supermarket_data[[#This Row],[Unit_Price]]*Pqp_supermarket_data[[#This Row],[Quantity]]</f>
        <v>5.6000000000000005</v>
      </c>
      <c r="L1164" t="str">
        <f>TEXT(Pqp_supermarket_data[[#This Row],[DateTime]],"ddd")</f>
        <v>Fri</v>
      </c>
      <c r="M1164" t="str">
        <f>TEXT(Pqp_supermarket_data[[#This Row],[DateTime]],"mmm")</f>
        <v>Dec</v>
      </c>
      <c r="N1164" t="str">
        <f>TEXT(Pqp_supermarket_data[[#This Row],[DateTime]],"yyy")</f>
        <v>2024</v>
      </c>
    </row>
    <row r="1165" spans="1:14" x14ac:dyDescent="0.35">
      <c r="A1165" t="s">
        <v>2470</v>
      </c>
      <c r="B1165" s="1">
        <v>45117.379901076391</v>
      </c>
      <c r="C1165" t="s">
        <v>2471</v>
      </c>
      <c r="D1165" t="s">
        <v>171</v>
      </c>
      <c r="E1165" t="s">
        <v>45</v>
      </c>
      <c r="F1165">
        <v>1</v>
      </c>
      <c r="G1165">
        <v>2</v>
      </c>
      <c r="H1165" t="s">
        <v>14</v>
      </c>
      <c r="I1165" t="s">
        <v>40</v>
      </c>
      <c r="J1165" t="s">
        <v>227</v>
      </c>
      <c r="K1165">
        <f>Pqp_supermarket_data[[#This Row],[Unit_Price]]*Pqp_supermarket_data[[#This Row],[Quantity]]</f>
        <v>2</v>
      </c>
      <c r="L1165" t="str">
        <f>TEXT(Pqp_supermarket_data[[#This Row],[DateTime]],"ddd")</f>
        <v>Mon</v>
      </c>
      <c r="M1165" t="str">
        <f>TEXT(Pqp_supermarket_data[[#This Row],[DateTime]],"mmm")</f>
        <v>Jul</v>
      </c>
      <c r="N1165" t="str">
        <f>TEXT(Pqp_supermarket_data[[#This Row],[DateTime]],"yyy")</f>
        <v>2023</v>
      </c>
    </row>
    <row r="1166" spans="1:14" x14ac:dyDescent="0.35">
      <c r="A1166" t="s">
        <v>2472</v>
      </c>
      <c r="B1166" s="1">
        <v>44721.900039976848</v>
      </c>
      <c r="C1166" t="s">
        <v>2473</v>
      </c>
      <c r="D1166" t="s">
        <v>98</v>
      </c>
      <c r="E1166" t="s">
        <v>78</v>
      </c>
      <c r="F1166">
        <v>4</v>
      </c>
      <c r="G1166">
        <v>5</v>
      </c>
      <c r="H1166" t="s">
        <v>14</v>
      </c>
      <c r="I1166" t="s">
        <v>36</v>
      </c>
      <c r="J1166" t="s">
        <v>336</v>
      </c>
      <c r="K1166">
        <f>Pqp_supermarket_data[[#This Row],[Unit_Price]]*Pqp_supermarket_data[[#This Row],[Quantity]]</f>
        <v>20</v>
      </c>
      <c r="L1166" t="str">
        <f>TEXT(Pqp_supermarket_data[[#This Row],[DateTime]],"ddd")</f>
        <v>Thu</v>
      </c>
      <c r="M1166" t="str">
        <f>TEXT(Pqp_supermarket_data[[#This Row],[DateTime]],"mmm")</f>
        <v>Jun</v>
      </c>
      <c r="N1166" t="str">
        <f>TEXT(Pqp_supermarket_data[[#This Row],[DateTime]],"yyy")</f>
        <v>2022</v>
      </c>
    </row>
    <row r="1167" spans="1:14" x14ac:dyDescent="0.35">
      <c r="A1167" t="s">
        <v>2474</v>
      </c>
      <c r="B1167" s="1">
        <v>44781.881984432868</v>
      </c>
      <c r="C1167" t="s">
        <v>2475</v>
      </c>
      <c r="D1167" t="s">
        <v>85</v>
      </c>
      <c r="E1167" t="s">
        <v>39</v>
      </c>
      <c r="F1167">
        <v>3.2</v>
      </c>
      <c r="G1167">
        <v>9</v>
      </c>
      <c r="H1167" t="s">
        <v>14</v>
      </c>
      <c r="I1167" t="s">
        <v>21</v>
      </c>
      <c r="J1167" t="s">
        <v>397</v>
      </c>
      <c r="K1167">
        <f>Pqp_supermarket_data[[#This Row],[Unit_Price]]*Pqp_supermarket_data[[#This Row],[Quantity]]</f>
        <v>28.8</v>
      </c>
      <c r="L1167" t="str">
        <f>TEXT(Pqp_supermarket_data[[#This Row],[DateTime]],"ddd")</f>
        <v>Mon</v>
      </c>
      <c r="M1167" t="str">
        <f>TEXT(Pqp_supermarket_data[[#This Row],[DateTime]],"mmm")</f>
        <v>Aug</v>
      </c>
      <c r="N1167" t="str">
        <f>TEXT(Pqp_supermarket_data[[#This Row],[DateTime]],"yyy")</f>
        <v>2022</v>
      </c>
    </row>
    <row r="1168" spans="1:14" x14ac:dyDescent="0.35">
      <c r="A1168" t="s">
        <v>2476</v>
      </c>
      <c r="B1168" s="1">
        <v>45721.979206655094</v>
      </c>
      <c r="C1168" t="s">
        <v>2477</v>
      </c>
      <c r="D1168" t="s">
        <v>19</v>
      </c>
      <c r="E1168" t="s">
        <v>148</v>
      </c>
      <c r="F1168">
        <v>5.5</v>
      </c>
      <c r="G1168">
        <v>7</v>
      </c>
      <c r="H1168" t="s">
        <v>14</v>
      </c>
      <c r="I1168" t="s">
        <v>86</v>
      </c>
      <c r="J1168" t="s">
        <v>79</v>
      </c>
      <c r="K1168">
        <f>Pqp_supermarket_data[[#This Row],[Unit_Price]]*Pqp_supermarket_data[[#This Row],[Quantity]]</f>
        <v>38.5</v>
      </c>
      <c r="L1168" t="str">
        <f>TEXT(Pqp_supermarket_data[[#This Row],[DateTime]],"ddd")</f>
        <v>Wed</v>
      </c>
      <c r="M1168" t="str">
        <f>TEXT(Pqp_supermarket_data[[#This Row],[DateTime]],"mmm")</f>
        <v>Mar</v>
      </c>
      <c r="N1168" t="str">
        <f>TEXT(Pqp_supermarket_data[[#This Row],[DateTime]],"yyy")</f>
        <v>2025</v>
      </c>
    </row>
    <row r="1169" spans="1:14" x14ac:dyDescent="0.35">
      <c r="A1169" t="s">
        <v>2478</v>
      </c>
      <c r="B1169" s="1">
        <v>45015.956290000002</v>
      </c>
      <c r="C1169" t="s">
        <v>2479</v>
      </c>
      <c r="D1169" t="s">
        <v>208</v>
      </c>
      <c r="E1169" t="s">
        <v>137</v>
      </c>
      <c r="F1169">
        <v>2.5</v>
      </c>
      <c r="G1169">
        <v>3</v>
      </c>
      <c r="H1169" t="s">
        <v>14</v>
      </c>
      <c r="I1169" t="s">
        <v>21</v>
      </c>
      <c r="J1169" t="s">
        <v>227</v>
      </c>
      <c r="K1169">
        <f>Pqp_supermarket_data[[#This Row],[Unit_Price]]*Pqp_supermarket_data[[#This Row],[Quantity]]</f>
        <v>7.5</v>
      </c>
      <c r="L1169" t="str">
        <f>TEXT(Pqp_supermarket_data[[#This Row],[DateTime]],"ddd")</f>
        <v>Thu</v>
      </c>
      <c r="M1169" t="str">
        <f>TEXT(Pqp_supermarket_data[[#This Row],[DateTime]],"mmm")</f>
        <v>Mar</v>
      </c>
      <c r="N1169" t="str">
        <f>TEXT(Pqp_supermarket_data[[#This Row],[DateTime]],"yyy")</f>
        <v>2023</v>
      </c>
    </row>
    <row r="1170" spans="1:14" x14ac:dyDescent="0.35">
      <c r="A1170" t="s">
        <v>2480</v>
      </c>
      <c r="B1170" s="1">
        <v>45165.636151145831</v>
      </c>
      <c r="C1170" t="s">
        <v>2481</v>
      </c>
      <c r="D1170" t="s">
        <v>98</v>
      </c>
      <c r="E1170" t="s">
        <v>145</v>
      </c>
      <c r="F1170">
        <v>1.7</v>
      </c>
      <c r="G1170">
        <v>3</v>
      </c>
      <c r="H1170" t="s">
        <v>14</v>
      </c>
      <c r="I1170" t="s">
        <v>61</v>
      </c>
      <c r="J1170" t="s">
        <v>541</v>
      </c>
      <c r="K1170">
        <f>Pqp_supermarket_data[[#This Row],[Unit_Price]]*Pqp_supermarket_data[[#This Row],[Quantity]]</f>
        <v>5.0999999999999996</v>
      </c>
      <c r="L1170" t="str">
        <f>TEXT(Pqp_supermarket_data[[#This Row],[DateTime]],"ddd")</f>
        <v>Sun</v>
      </c>
      <c r="M1170" t="str">
        <f>TEXT(Pqp_supermarket_data[[#This Row],[DateTime]],"mmm")</f>
        <v>Aug</v>
      </c>
      <c r="N1170" t="str">
        <f>TEXT(Pqp_supermarket_data[[#This Row],[DateTime]],"yyy")</f>
        <v>2023</v>
      </c>
    </row>
    <row r="1171" spans="1:14" x14ac:dyDescent="0.35">
      <c r="A1171" t="s">
        <v>2482</v>
      </c>
      <c r="B1171" s="1">
        <v>44989.90142894676</v>
      </c>
      <c r="C1171" t="s">
        <v>2483</v>
      </c>
      <c r="D1171" t="s">
        <v>77</v>
      </c>
      <c r="E1171" t="s">
        <v>119</v>
      </c>
      <c r="F1171">
        <v>4</v>
      </c>
      <c r="G1171">
        <v>8</v>
      </c>
      <c r="H1171" t="s">
        <v>14</v>
      </c>
      <c r="I1171" t="s">
        <v>36</v>
      </c>
      <c r="J1171" t="s">
        <v>153</v>
      </c>
      <c r="K1171">
        <f>Pqp_supermarket_data[[#This Row],[Unit_Price]]*Pqp_supermarket_data[[#This Row],[Quantity]]</f>
        <v>32</v>
      </c>
      <c r="L1171" t="str">
        <f>TEXT(Pqp_supermarket_data[[#This Row],[DateTime]],"ddd")</f>
        <v>Sat</v>
      </c>
      <c r="M1171" t="str">
        <f>TEXT(Pqp_supermarket_data[[#This Row],[DateTime]],"mmm")</f>
        <v>Mar</v>
      </c>
      <c r="N1171" t="str">
        <f>TEXT(Pqp_supermarket_data[[#This Row],[DateTime]],"yyy")</f>
        <v>2023</v>
      </c>
    </row>
    <row r="1172" spans="1:14" x14ac:dyDescent="0.35">
      <c r="A1172" t="s">
        <v>2484</v>
      </c>
      <c r="B1172" s="1">
        <v>44382.826428969907</v>
      </c>
      <c r="C1172" t="s">
        <v>2485</v>
      </c>
      <c r="D1172" t="s">
        <v>98</v>
      </c>
      <c r="E1172" t="s">
        <v>115</v>
      </c>
      <c r="F1172">
        <v>1.5</v>
      </c>
      <c r="G1172">
        <v>9</v>
      </c>
      <c r="H1172" t="s">
        <v>14</v>
      </c>
      <c r="I1172" t="s">
        <v>15</v>
      </c>
      <c r="J1172" t="s">
        <v>616</v>
      </c>
      <c r="K1172">
        <f>Pqp_supermarket_data[[#This Row],[Unit_Price]]*Pqp_supermarket_data[[#This Row],[Quantity]]</f>
        <v>13.5</v>
      </c>
      <c r="L1172" t="str">
        <f>TEXT(Pqp_supermarket_data[[#This Row],[DateTime]],"ddd")</f>
        <v>Mon</v>
      </c>
      <c r="M1172" t="str">
        <f>TEXT(Pqp_supermarket_data[[#This Row],[DateTime]],"mmm")</f>
        <v>Jul</v>
      </c>
      <c r="N1172" t="str">
        <f>TEXT(Pqp_supermarket_data[[#This Row],[DateTime]],"yyy")</f>
        <v>2021</v>
      </c>
    </row>
    <row r="1173" spans="1:14" x14ac:dyDescent="0.35">
      <c r="A1173" t="s">
        <v>2486</v>
      </c>
      <c r="B1173" s="1">
        <v>45672.048651203702</v>
      </c>
      <c r="C1173" t="s">
        <v>2487</v>
      </c>
      <c r="D1173" t="s">
        <v>98</v>
      </c>
      <c r="E1173" t="s">
        <v>119</v>
      </c>
      <c r="F1173">
        <v>4</v>
      </c>
      <c r="G1173">
        <v>7</v>
      </c>
      <c r="H1173" t="s">
        <v>14</v>
      </c>
      <c r="I1173" t="s">
        <v>21</v>
      </c>
      <c r="J1173" t="s">
        <v>255</v>
      </c>
      <c r="K1173">
        <f>Pqp_supermarket_data[[#This Row],[Unit_Price]]*Pqp_supermarket_data[[#This Row],[Quantity]]</f>
        <v>28</v>
      </c>
      <c r="L1173" t="str">
        <f>TEXT(Pqp_supermarket_data[[#This Row],[DateTime]],"ddd")</f>
        <v>Wed</v>
      </c>
      <c r="M1173" t="str">
        <f>TEXT(Pqp_supermarket_data[[#This Row],[DateTime]],"mmm")</f>
        <v>Jan</v>
      </c>
      <c r="N1173" t="str">
        <f>TEXT(Pqp_supermarket_data[[#This Row],[DateTime]],"yyy")</f>
        <v>2025</v>
      </c>
    </row>
    <row r="1174" spans="1:14" x14ac:dyDescent="0.35">
      <c r="A1174" t="s">
        <v>2488</v>
      </c>
      <c r="B1174" s="1">
        <v>45064.170873437499</v>
      </c>
      <c r="C1174" t="s">
        <v>2489</v>
      </c>
      <c r="D1174" t="s">
        <v>208</v>
      </c>
      <c r="E1174" t="s">
        <v>35</v>
      </c>
      <c r="F1174">
        <v>1.2</v>
      </c>
      <c r="G1174">
        <v>10</v>
      </c>
      <c r="H1174" t="s">
        <v>14</v>
      </c>
      <c r="I1174" t="s">
        <v>40</v>
      </c>
      <c r="J1174" t="s">
        <v>295</v>
      </c>
      <c r="K1174">
        <f>Pqp_supermarket_data[[#This Row],[Unit_Price]]*Pqp_supermarket_data[[#This Row],[Quantity]]</f>
        <v>12</v>
      </c>
      <c r="L1174" t="str">
        <f>TEXT(Pqp_supermarket_data[[#This Row],[DateTime]],"ddd")</f>
        <v>Thu</v>
      </c>
      <c r="M1174" t="str">
        <f>TEXT(Pqp_supermarket_data[[#This Row],[DateTime]],"mmm")</f>
        <v>May</v>
      </c>
      <c r="N1174" t="str">
        <f>TEXT(Pqp_supermarket_data[[#This Row],[DateTime]],"yyy")</f>
        <v>2023</v>
      </c>
    </row>
    <row r="1175" spans="1:14" x14ac:dyDescent="0.35">
      <c r="A1175" t="s">
        <v>2490</v>
      </c>
      <c r="B1175" s="1">
        <v>45036.066012337964</v>
      </c>
      <c r="C1175" t="s">
        <v>2491</v>
      </c>
      <c r="D1175" t="s">
        <v>12</v>
      </c>
      <c r="E1175" t="s">
        <v>119</v>
      </c>
      <c r="F1175">
        <v>4</v>
      </c>
      <c r="G1175">
        <v>1</v>
      </c>
      <c r="H1175" t="s">
        <v>14</v>
      </c>
      <c r="I1175" t="s">
        <v>36</v>
      </c>
      <c r="J1175" t="s">
        <v>102</v>
      </c>
      <c r="K1175">
        <f>Pqp_supermarket_data[[#This Row],[Unit_Price]]*Pqp_supermarket_data[[#This Row],[Quantity]]</f>
        <v>4</v>
      </c>
      <c r="L1175" t="str">
        <f>TEXT(Pqp_supermarket_data[[#This Row],[DateTime]],"ddd")</f>
        <v>Thu</v>
      </c>
      <c r="M1175" t="str">
        <f>TEXT(Pqp_supermarket_data[[#This Row],[DateTime]],"mmm")</f>
        <v>Apr</v>
      </c>
      <c r="N1175" t="str">
        <f>TEXT(Pqp_supermarket_data[[#This Row],[DateTime]],"yyy")</f>
        <v>2023</v>
      </c>
    </row>
    <row r="1176" spans="1:14" x14ac:dyDescent="0.35">
      <c r="A1176" t="s">
        <v>2492</v>
      </c>
      <c r="B1176" s="1">
        <v>45007.416012349539</v>
      </c>
      <c r="C1176" t="s">
        <v>2493</v>
      </c>
      <c r="D1176" t="s">
        <v>44</v>
      </c>
      <c r="E1176" t="s">
        <v>53</v>
      </c>
      <c r="F1176">
        <v>2.8</v>
      </c>
      <c r="G1176">
        <v>7</v>
      </c>
      <c r="H1176" t="s">
        <v>14</v>
      </c>
      <c r="I1176" t="s">
        <v>61</v>
      </c>
      <c r="J1176" t="s">
        <v>387</v>
      </c>
      <c r="K1176">
        <f>Pqp_supermarket_data[[#This Row],[Unit_Price]]*Pqp_supermarket_data[[#This Row],[Quantity]]</f>
        <v>19.599999999999998</v>
      </c>
      <c r="L1176" t="str">
        <f>TEXT(Pqp_supermarket_data[[#This Row],[DateTime]],"ddd")</f>
        <v>Wed</v>
      </c>
      <c r="M1176" t="str">
        <f>TEXT(Pqp_supermarket_data[[#This Row],[DateTime]],"mmm")</f>
        <v>Mar</v>
      </c>
      <c r="N1176" t="str">
        <f>TEXT(Pqp_supermarket_data[[#This Row],[DateTime]],"yyy")</f>
        <v>2023</v>
      </c>
    </row>
    <row r="1177" spans="1:14" x14ac:dyDescent="0.35">
      <c r="A1177" t="s">
        <v>2494</v>
      </c>
      <c r="B1177" s="1">
        <v>44432.257679027774</v>
      </c>
      <c r="C1177" t="s">
        <v>2495</v>
      </c>
      <c r="D1177" t="s">
        <v>25</v>
      </c>
      <c r="E1177" t="s">
        <v>57</v>
      </c>
      <c r="F1177">
        <v>4.5</v>
      </c>
      <c r="G1177">
        <v>10</v>
      </c>
      <c r="H1177" t="s">
        <v>14</v>
      </c>
      <c r="I1177" t="s">
        <v>40</v>
      </c>
      <c r="J1177" t="s">
        <v>320</v>
      </c>
      <c r="K1177">
        <f>Pqp_supermarket_data[[#This Row],[Unit_Price]]*Pqp_supermarket_data[[#This Row],[Quantity]]</f>
        <v>45</v>
      </c>
      <c r="L1177" t="str">
        <f>TEXT(Pqp_supermarket_data[[#This Row],[DateTime]],"ddd")</f>
        <v>Tue</v>
      </c>
      <c r="M1177" t="str">
        <f>TEXT(Pqp_supermarket_data[[#This Row],[DateTime]],"mmm")</f>
        <v>Aug</v>
      </c>
      <c r="N1177" t="str">
        <f>TEXT(Pqp_supermarket_data[[#This Row],[DateTime]],"yyy")</f>
        <v>2021</v>
      </c>
    </row>
    <row r="1178" spans="1:14" x14ac:dyDescent="0.35">
      <c r="A1178" t="s">
        <v>2496</v>
      </c>
      <c r="B1178" s="1">
        <v>45652.179901249998</v>
      </c>
      <c r="C1178" t="s">
        <v>2497</v>
      </c>
      <c r="D1178" t="s">
        <v>44</v>
      </c>
      <c r="E1178" t="s">
        <v>94</v>
      </c>
      <c r="F1178">
        <v>0.8</v>
      </c>
      <c r="G1178">
        <v>1</v>
      </c>
      <c r="H1178" t="s">
        <v>14</v>
      </c>
      <c r="I1178" t="s">
        <v>21</v>
      </c>
      <c r="J1178" t="s">
        <v>394</v>
      </c>
      <c r="K1178">
        <f>Pqp_supermarket_data[[#This Row],[Unit_Price]]*Pqp_supermarket_data[[#This Row],[Quantity]]</f>
        <v>0.8</v>
      </c>
      <c r="L1178" t="str">
        <f>TEXT(Pqp_supermarket_data[[#This Row],[DateTime]],"ddd")</f>
        <v>Thu</v>
      </c>
      <c r="M1178" t="str">
        <f>TEXT(Pqp_supermarket_data[[#This Row],[DateTime]],"mmm")</f>
        <v>Dec</v>
      </c>
      <c r="N1178" t="str">
        <f>TEXT(Pqp_supermarket_data[[#This Row],[DateTime]],"yyy")</f>
        <v>2024</v>
      </c>
    </row>
    <row r="1179" spans="1:14" x14ac:dyDescent="0.35">
      <c r="A1179" t="s">
        <v>2498</v>
      </c>
      <c r="B1179" s="1">
        <v>45709.947262372683</v>
      </c>
      <c r="C1179" t="s">
        <v>2499</v>
      </c>
      <c r="D1179" t="s">
        <v>34</v>
      </c>
      <c r="E1179" t="s">
        <v>145</v>
      </c>
      <c r="F1179">
        <v>1.7</v>
      </c>
      <c r="G1179">
        <v>10</v>
      </c>
      <c r="H1179" t="s">
        <v>14</v>
      </c>
      <c r="I1179" t="s">
        <v>21</v>
      </c>
      <c r="J1179" t="s">
        <v>175</v>
      </c>
      <c r="K1179">
        <f>Pqp_supermarket_data[[#This Row],[Unit_Price]]*Pqp_supermarket_data[[#This Row],[Quantity]]</f>
        <v>17</v>
      </c>
      <c r="L1179" t="str">
        <f>TEXT(Pqp_supermarket_data[[#This Row],[DateTime]],"ddd")</f>
        <v>Fri</v>
      </c>
      <c r="M1179" t="str">
        <f>TEXT(Pqp_supermarket_data[[#This Row],[DateTime]],"mmm")</f>
        <v>Feb</v>
      </c>
      <c r="N1179" t="str">
        <f>TEXT(Pqp_supermarket_data[[#This Row],[DateTime]],"yyy")</f>
        <v>2025</v>
      </c>
    </row>
    <row r="1180" spans="1:14" x14ac:dyDescent="0.35">
      <c r="A1180" t="s">
        <v>2500</v>
      </c>
      <c r="B1180" s="1">
        <v>45240.529206828702</v>
      </c>
      <c r="C1180" t="s">
        <v>2501</v>
      </c>
      <c r="D1180" t="s">
        <v>98</v>
      </c>
      <c r="E1180" t="s">
        <v>119</v>
      </c>
      <c r="F1180">
        <v>4</v>
      </c>
      <c r="G1180">
        <v>1</v>
      </c>
      <c r="H1180" t="s">
        <v>14</v>
      </c>
      <c r="I1180" t="s">
        <v>61</v>
      </c>
      <c r="J1180" t="s">
        <v>41</v>
      </c>
      <c r="K1180">
        <f>Pqp_supermarket_data[[#This Row],[Unit_Price]]*Pqp_supermarket_data[[#This Row],[Quantity]]</f>
        <v>4</v>
      </c>
      <c r="L1180" t="str">
        <f>TEXT(Pqp_supermarket_data[[#This Row],[DateTime]],"ddd")</f>
        <v>Fri</v>
      </c>
      <c r="M1180" t="str">
        <f>TEXT(Pqp_supermarket_data[[#This Row],[DateTime]],"mmm")</f>
        <v>Nov</v>
      </c>
      <c r="N1180" t="str">
        <f>TEXT(Pqp_supermarket_data[[#This Row],[DateTime]],"yyy")</f>
        <v>2023</v>
      </c>
    </row>
    <row r="1181" spans="1:14" x14ac:dyDescent="0.35">
      <c r="A1181" t="s">
        <v>2502</v>
      </c>
      <c r="B1181" s="1">
        <v>44618.045873506948</v>
      </c>
      <c r="C1181" t="s">
        <v>2503</v>
      </c>
      <c r="D1181" t="s">
        <v>171</v>
      </c>
      <c r="E1181" t="s">
        <v>148</v>
      </c>
      <c r="F1181">
        <v>5.5</v>
      </c>
      <c r="G1181">
        <v>8</v>
      </c>
      <c r="H1181" t="s">
        <v>14</v>
      </c>
      <c r="I1181" t="s">
        <v>40</v>
      </c>
      <c r="J1181" t="s">
        <v>320</v>
      </c>
      <c r="K1181">
        <f>Pqp_supermarket_data[[#This Row],[Unit_Price]]*Pqp_supermarket_data[[#This Row],[Quantity]]</f>
        <v>44</v>
      </c>
      <c r="L1181" t="str">
        <f>TEXT(Pqp_supermarket_data[[#This Row],[DateTime]],"ddd")</f>
        <v>Sat</v>
      </c>
      <c r="M1181" t="str">
        <f>TEXT(Pqp_supermarket_data[[#This Row],[DateTime]],"mmm")</f>
        <v>Feb</v>
      </c>
      <c r="N1181" t="str">
        <f>TEXT(Pqp_supermarket_data[[#This Row],[DateTime]],"yyy")</f>
        <v>2022</v>
      </c>
    </row>
    <row r="1182" spans="1:14" x14ac:dyDescent="0.35">
      <c r="A1182" t="s">
        <v>2504</v>
      </c>
      <c r="B1182" s="1">
        <v>44404.295179074077</v>
      </c>
      <c r="C1182" t="s">
        <v>2505</v>
      </c>
      <c r="D1182" t="s">
        <v>98</v>
      </c>
      <c r="E1182" t="s">
        <v>90</v>
      </c>
      <c r="F1182">
        <v>1.8</v>
      </c>
      <c r="G1182">
        <v>6</v>
      </c>
      <c r="H1182" t="s">
        <v>14</v>
      </c>
      <c r="I1182" t="s">
        <v>15</v>
      </c>
      <c r="J1182" t="s">
        <v>262</v>
      </c>
      <c r="K1182">
        <f>Pqp_supermarket_data[[#This Row],[Unit_Price]]*Pqp_supermarket_data[[#This Row],[Quantity]]</f>
        <v>10.8</v>
      </c>
      <c r="L1182" t="str">
        <f>TEXT(Pqp_supermarket_data[[#This Row],[DateTime]],"ddd")</f>
        <v>Tue</v>
      </c>
      <c r="M1182" t="str">
        <f>TEXT(Pqp_supermarket_data[[#This Row],[DateTime]],"mmm")</f>
        <v>Jul</v>
      </c>
      <c r="N1182" t="str">
        <f>TEXT(Pqp_supermarket_data[[#This Row],[DateTime]],"yyy")</f>
        <v>2021</v>
      </c>
    </row>
    <row r="1183" spans="1:14" x14ac:dyDescent="0.35">
      <c r="A1183" t="s">
        <v>2506</v>
      </c>
      <c r="B1183" s="1">
        <v>45173.082679074076</v>
      </c>
      <c r="C1183" t="s">
        <v>2507</v>
      </c>
      <c r="D1183" t="s">
        <v>25</v>
      </c>
      <c r="E1183" t="s">
        <v>115</v>
      </c>
      <c r="F1183">
        <v>1.5</v>
      </c>
      <c r="G1183">
        <v>2</v>
      </c>
      <c r="H1183" t="s">
        <v>14</v>
      </c>
      <c r="I1183" t="s">
        <v>21</v>
      </c>
      <c r="J1183" t="s">
        <v>163</v>
      </c>
      <c r="K1183">
        <f>Pqp_supermarket_data[[#This Row],[Unit_Price]]*Pqp_supermarket_data[[#This Row],[Quantity]]</f>
        <v>3</v>
      </c>
      <c r="L1183" t="str">
        <f>TEXT(Pqp_supermarket_data[[#This Row],[DateTime]],"ddd")</f>
        <v>Mon</v>
      </c>
      <c r="M1183" t="str">
        <f>TEXT(Pqp_supermarket_data[[#This Row],[DateTime]],"mmm")</f>
        <v>Sep</v>
      </c>
      <c r="N1183" t="str">
        <f>TEXT(Pqp_supermarket_data[[#This Row],[DateTime]],"yyy")</f>
        <v>2023</v>
      </c>
    </row>
    <row r="1184" spans="1:14" x14ac:dyDescent="0.35">
      <c r="A1184" t="s">
        <v>2508</v>
      </c>
      <c r="B1184" s="1">
        <v>45198.224345752315</v>
      </c>
      <c r="C1184" t="s">
        <v>2509</v>
      </c>
      <c r="D1184" t="s">
        <v>127</v>
      </c>
      <c r="E1184" t="s">
        <v>119</v>
      </c>
      <c r="F1184">
        <v>4</v>
      </c>
      <c r="G1184">
        <v>7</v>
      </c>
      <c r="H1184" t="s">
        <v>14</v>
      </c>
      <c r="I1184" t="s">
        <v>15</v>
      </c>
      <c r="J1184" t="s">
        <v>215</v>
      </c>
      <c r="K1184">
        <f>Pqp_supermarket_data[[#This Row],[Unit_Price]]*Pqp_supermarket_data[[#This Row],[Quantity]]</f>
        <v>28</v>
      </c>
      <c r="L1184" t="str">
        <f>TEXT(Pqp_supermarket_data[[#This Row],[DateTime]],"ddd")</f>
        <v>Fri</v>
      </c>
      <c r="M1184" t="str">
        <f>TEXT(Pqp_supermarket_data[[#This Row],[DateTime]],"mmm")</f>
        <v>Sep</v>
      </c>
      <c r="N1184" t="str">
        <f>TEXT(Pqp_supermarket_data[[#This Row],[DateTime]],"yyy")</f>
        <v>2023</v>
      </c>
    </row>
    <row r="1185" spans="1:14" x14ac:dyDescent="0.35">
      <c r="A1185" t="s">
        <v>2510</v>
      </c>
      <c r="B1185" s="1">
        <v>45597.60559579861</v>
      </c>
      <c r="C1185" t="s">
        <v>2511</v>
      </c>
      <c r="D1185" t="s">
        <v>171</v>
      </c>
      <c r="E1185" t="s">
        <v>148</v>
      </c>
      <c r="F1185">
        <v>5.5</v>
      </c>
      <c r="G1185">
        <v>10</v>
      </c>
      <c r="H1185" t="s">
        <v>14</v>
      </c>
      <c r="I1185" t="s">
        <v>61</v>
      </c>
      <c r="J1185" t="s">
        <v>195</v>
      </c>
      <c r="K1185">
        <f>Pqp_supermarket_data[[#This Row],[Unit_Price]]*Pqp_supermarket_data[[#This Row],[Quantity]]</f>
        <v>55</v>
      </c>
      <c r="L1185" t="str">
        <f>TEXT(Pqp_supermarket_data[[#This Row],[DateTime]],"ddd")</f>
        <v>Fri</v>
      </c>
      <c r="M1185" t="str">
        <f>TEXT(Pqp_supermarket_data[[#This Row],[DateTime]],"mmm")</f>
        <v>Nov</v>
      </c>
      <c r="N1185" t="str">
        <f>TEXT(Pqp_supermarket_data[[#This Row],[DateTime]],"yyy")</f>
        <v>2024</v>
      </c>
    </row>
    <row r="1186" spans="1:14" x14ac:dyDescent="0.35">
      <c r="A1186" t="s">
        <v>2512</v>
      </c>
      <c r="B1186" s="1">
        <v>45648.774345810183</v>
      </c>
      <c r="C1186" t="s">
        <v>2513</v>
      </c>
      <c r="D1186" t="s">
        <v>85</v>
      </c>
      <c r="E1186" t="s">
        <v>115</v>
      </c>
      <c r="F1186">
        <v>1.5</v>
      </c>
      <c r="G1186">
        <v>7</v>
      </c>
      <c r="H1186" t="s">
        <v>14</v>
      </c>
      <c r="I1186" t="s">
        <v>15</v>
      </c>
      <c r="J1186" t="s">
        <v>561</v>
      </c>
      <c r="K1186">
        <f>Pqp_supermarket_data[[#This Row],[Unit_Price]]*Pqp_supermarket_data[[#This Row],[Quantity]]</f>
        <v>10.5</v>
      </c>
      <c r="L1186" t="str">
        <f>TEXT(Pqp_supermarket_data[[#This Row],[DateTime]],"ddd")</f>
        <v>Sun</v>
      </c>
      <c r="M1186" t="str">
        <f>TEXT(Pqp_supermarket_data[[#This Row],[DateTime]],"mmm")</f>
        <v>Dec</v>
      </c>
      <c r="N1186" t="str">
        <f>TEXT(Pqp_supermarket_data[[#This Row],[DateTime]],"yyy")</f>
        <v>2024</v>
      </c>
    </row>
    <row r="1187" spans="1:14" x14ac:dyDescent="0.35">
      <c r="A1187" t="s">
        <v>2514</v>
      </c>
      <c r="B1187" s="1">
        <v>45628.690318043984</v>
      </c>
      <c r="C1187" t="s">
        <v>2515</v>
      </c>
      <c r="D1187" t="s">
        <v>127</v>
      </c>
      <c r="E1187" t="s">
        <v>90</v>
      </c>
      <c r="F1187">
        <v>1.8</v>
      </c>
      <c r="G1187">
        <v>5</v>
      </c>
      <c r="H1187" t="s">
        <v>14</v>
      </c>
      <c r="I1187" t="s">
        <v>86</v>
      </c>
      <c r="J1187" t="s">
        <v>227</v>
      </c>
      <c r="K1187">
        <f>Pqp_supermarket_data[[#This Row],[Unit_Price]]*Pqp_supermarket_data[[#This Row],[Quantity]]</f>
        <v>9</v>
      </c>
      <c r="L1187" t="str">
        <f>TEXT(Pqp_supermarket_data[[#This Row],[DateTime]],"ddd")</f>
        <v>Mon</v>
      </c>
      <c r="M1187" t="str">
        <f>TEXT(Pqp_supermarket_data[[#This Row],[DateTime]],"mmm")</f>
        <v>Dec</v>
      </c>
      <c r="N1187" t="str">
        <f>TEXT(Pqp_supermarket_data[[#This Row],[DateTime]],"yyy")</f>
        <v>2024</v>
      </c>
    </row>
    <row r="1188" spans="1:14" x14ac:dyDescent="0.35">
      <c r="A1188" t="s">
        <v>2516</v>
      </c>
      <c r="B1188" s="1">
        <v>44681.134762499998</v>
      </c>
      <c r="C1188" t="s">
        <v>455</v>
      </c>
      <c r="D1188" t="s">
        <v>82</v>
      </c>
      <c r="E1188" t="s">
        <v>49</v>
      </c>
      <c r="F1188">
        <v>7</v>
      </c>
      <c r="G1188">
        <v>5</v>
      </c>
      <c r="H1188" t="s">
        <v>14</v>
      </c>
      <c r="I1188" t="s">
        <v>21</v>
      </c>
      <c r="J1188" t="s">
        <v>138</v>
      </c>
      <c r="K1188">
        <f>Pqp_supermarket_data[[#This Row],[Unit_Price]]*Pqp_supermarket_data[[#This Row],[Quantity]]</f>
        <v>35</v>
      </c>
      <c r="L1188" t="str">
        <f>TEXT(Pqp_supermarket_data[[#This Row],[DateTime]],"ddd")</f>
        <v>Sat</v>
      </c>
      <c r="M1188" t="str">
        <f>TEXT(Pqp_supermarket_data[[#This Row],[DateTime]],"mmm")</f>
        <v>Apr</v>
      </c>
      <c r="N1188" t="str">
        <f>TEXT(Pqp_supermarket_data[[#This Row],[DateTime]],"yyy")</f>
        <v>2022</v>
      </c>
    </row>
    <row r="1189" spans="1:14" x14ac:dyDescent="0.35">
      <c r="A1189" t="s">
        <v>2517</v>
      </c>
      <c r="B1189" s="1">
        <v>44857.651429178244</v>
      </c>
      <c r="C1189" t="s">
        <v>2518</v>
      </c>
      <c r="D1189" t="s">
        <v>85</v>
      </c>
      <c r="E1189" t="s">
        <v>94</v>
      </c>
      <c r="F1189">
        <v>0.8</v>
      </c>
      <c r="G1189">
        <v>1</v>
      </c>
      <c r="H1189" t="s">
        <v>14</v>
      </c>
      <c r="I1189" t="s">
        <v>36</v>
      </c>
      <c r="J1189" t="s">
        <v>54</v>
      </c>
      <c r="K1189">
        <f>Pqp_supermarket_data[[#This Row],[Unit_Price]]*Pqp_supermarket_data[[#This Row],[Quantity]]</f>
        <v>0.8</v>
      </c>
      <c r="L1189" t="str">
        <f>TEXT(Pqp_supermarket_data[[#This Row],[DateTime]],"ddd")</f>
        <v>Sun</v>
      </c>
      <c r="M1189" t="str">
        <f>TEXT(Pqp_supermarket_data[[#This Row],[DateTime]],"mmm")</f>
        <v>Oct</v>
      </c>
      <c r="N1189" t="str">
        <f>TEXT(Pqp_supermarket_data[[#This Row],[DateTime]],"yyy")</f>
        <v>2022</v>
      </c>
    </row>
    <row r="1190" spans="1:14" x14ac:dyDescent="0.35">
      <c r="A1190" t="s">
        <v>2519</v>
      </c>
      <c r="B1190" s="1">
        <v>44729.326429189816</v>
      </c>
      <c r="C1190" t="s">
        <v>2520</v>
      </c>
      <c r="D1190" t="s">
        <v>98</v>
      </c>
      <c r="E1190" t="s">
        <v>78</v>
      </c>
      <c r="F1190">
        <v>4</v>
      </c>
      <c r="G1190">
        <v>8</v>
      </c>
      <c r="H1190" t="s">
        <v>14</v>
      </c>
      <c r="I1190" t="s">
        <v>61</v>
      </c>
      <c r="J1190" t="s">
        <v>71</v>
      </c>
      <c r="K1190">
        <f>Pqp_supermarket_data[[#This Row],[Unit_Price]]*Pqp_supermarket_data[[#This Row],[Quantity]]</f>
        <v>32</v>
      </c>
      <c r="L1190" t="str">
        <f>TEXT(Pqp_supermarket_data[[#This Row],[DateTime]],"ddd")</f>
        <v>Fri</v>
      </c>
      <c r="M1190" t="str">
        <f>TEXT(Pqp_supermarket_data[[#This Row],[DateTime]],"mmm")</f>
        <v>Jun</v>
      </c>
      <c r="N1190" t="str">
        <f>TEXT(Pqp_supermarket_data[[#This Row],[DateTime]],"yyy")</f>
        <v>2022</v>
      </c>
    </row>
    <row r="1191" spans="1:14" x14ac:dyDescent="0.35">
      <c r="A1191" t="s">
        <v>2521</v>
      </c>
      <c r="B1191" s="1">
        <v>44694.730595868059</v>
      </c>
      <c r="C1191" t="s">
        <v>2522</v>
      </c>
      <c r="D1191" t="s">
        <v>226</v>
      </c>
      <c r="E1191" t="s">
        <v>145</v>
      </c>
      <c r="F1191">
        <v>1.7</v>
      </c>
      <c r="G1191">
        <v>10</v>
      </c>
      <c r="H1191" t="s">
        <v>14</v>
      </c>
      <c r="I1191" t="s">
        <v>36</v>
      </c>
      <c r="J1191" t="s">
        <v>134</v>
      </c>
      <c r="K1191">
        <f>Pqp_supermarket_data[[#This Row],[Unit_Price]]*Pqp_supermarket_data[[#This Row],[Quantity]]</f>
        <v>17</v>
      </c>
      <c r="L1191" t="str">
        <f>TEXT(Pqp_supermarket_data[[#This Row],[DateTime]],"ddd")</f>
        <v>Fri</v>
      </c>
      <c r="M1191" t="str">
        <f>TEXT(Pqp_supermarket_data[[#This Row],[DateTime]],"mmm")</f>
        <v>May</v>
      </c>
      <c r="N1191" t="str">
        <f>TEXT(Pqp_supermarket_data[[#This Row],[DateTime]],"yyy")</f>
        <v>2022</v>
      </c>
    </row>
    <row r="1192" spans="1:14" x14ac:dyDescent="0.35">
      <c r="A1192" t="s">
        <v>2523</v>
      </c>
      <c r="B1192" s="1">
        <v>45663.884762534719</v>
      </c>
      <c r="C1192" t="s">
        <v>2524</v>
      </c>
      <c r="D1192" t="s">
        <v>44</v>
      </c>
      <c r="E1192" t="s">
        <v>70</v>
      </c>
      <c r="F1192">
        <v>5</v>
      </c>
      <c r="G1192">
        <v>3</v>
      </c>
      <c r="H1192" t="s">
        <v>14</v>
      </c>
      <c r="I1192" t="s">
        <v>15</v>
      </c>
      <c r="J1192" t="s">
        <v>744</v>
      </c>
      <c r="K1192">
        <f>Pqp_supermarket_data[[#This Row],[Unit_Price]]*Pqp_supermarket_data[[#This Row],[Quantity]]</f>
        <v>15</v>
      </c>
      <c r="L1192" t="str">
        <f>TEXT(Pqp_supermarket_data[[#This Row],[DateTime]],"ddd")</f>
        <v>Mon</v>
      </c>
      <c r="M1192" t="str">
        <f>TEXT(Pqp_supermarket_data[[#This Row],[DateTime]],"mmm")</f>
        <v>Jan</v>
      </c>
      <c r="N1192" t="str">
        <f>TEXT(Pqp_supermarket_data[[#This Row],[DateTime]],"yyy")</f>
        <v>2025</v>
      </c>
    </row>
    <row r="1193" spans="1:14" x14ac:dyDescent="0.35">
      <c r="A1193" t="s">
        <v>2525</v>
      </c>
      <c r="B1193" s="1">
        <v>44383.147262557868</v>
      </c>
      <c r="C1193" t="s">
        <v>2526</v>
      </c>
      <c r="D1193" t="s">
        <v>82</v>
      </c>
      <c r="E1193" t="s">
        <v>145</v>
      </c>
      <c r="F1193">
        <v>1.7</v>
      </c>
      <c r="G1193">
        <v>6</v>
      </c>
      <c r="H1193" t="s">
        <v>14</v>
      </c>
      <c r="I1193" t="s">
        <v>40</v>
      </c>
      <c r="J1193" t="s">
        <v>71</v>
      </c>
      <c r="K1193">
        <f>Pqp_supermarket_data[[#This Row],[Unit_Price]]*Pqp_supermarket_data[[#This Row],[Quantity]]</f>
        <v>10.199999999999999</v>
      </c>
      <c r="L1193" t="str">
        <f>TEXT(Pqp_supermarket_data[[#This Row],[DateTime]],"ddd")</f>
        <v>Tue</v>
      </c>
      <c r="M1193" t="str">
        <f>TEXT(Pqp_supermarket_data[[#This Row],[DateTime]],"mmm")</f>
        <v>Jul</v>
      </c>
      <c r="N1193" t="str">
        <f>TEXT(Pqp_supermarket_data[[#This Row],[DateTime]],"yyy")</f>
        <v>2021</v>
      </c>
    </row>
    <row r="1194" spans="1:14" x14ac:dyDescent="0.35">
      <c r="A1194" t="s">
        <v>2527</v>
      </c>
      <c r="B1194" s="1">
        <v>45370.006290347221</v>
      </c>
      <c r="C1194" t="s">
        <v>2528</v>
      </c>
      <c r="D1194" t="s">
        <v>34</v>
      </c>
      <c r="E1194" t="s">
        <v>57</v>
      </c>
      <c r="F1194">
        <v>4.5</v>
      </c>
      <c r="G1194">
        <v>3</v>
      </c>
      <c r="H1194" t="s">
        <v>14</v>
      </c>
      <c r="I1194" t="s">
        <v>61</v>
      </c>
      <c r="J1194" t="s">
        <v>382</v>
      </c>
      <c r="K1194">
        <f>Pqp_supermarket_data[[#This Row],[Unit_Price]]*Pqp_supermarket_data[[#This Row],[Quantity]]</f>
        <v>13.5</v>
      </c>
      <c r="L1194" t="str">
        <f>TEXT(Pqp_supermarket_data[[#This Row],[DateTime]],"ddd")</f>
        <v>Tue</v>
      </c>
      <c r="M1194" t="str">
        <f>TEXT(Pqp_supermarket_data[[#This Row],[DateTime]],"mmm")</f>
        <v>Mar</v>
      </c>
      <c r="N1194" t="str">
        <f>TEXT(Pqp_supermarket_data[[#This Row],[DateTime]],"yyy")</f>
        <v>2024</v>
      </c>
    </row>
    <row r="1195" spans="1:14" x14ac:dyDescent="0.35">
      <c r="A1195" t="s">
        <v>2529</v>
      </c>
      <c r="B1195" s="1">
        <v>44555.250734803238</v>
      </c>
      <c r="C1195" t="s">
        <v>2530</v>
      </c>
      <c r="D1195" t="s">
        <v>25</v>
      </c>
      <c r="E1195" t="s">
        <v>148</v>
      </c>
      <c r="F1195">
        <v>5.5</v>
      </c>
      <c r="G1195">
        <v>3</v>
      </c>
      <c r="H1195" t="s">
        <v>14</v>
      </c>
      <c r="I1195" t="s">
        <v>15</v>
      </c>
      <c r="J1195" t="s">
        <v>27</v>
      </c>
      <c r="K1195">
        <f>Pqp_supermarket_data[[#This Row],[Unit_Price]]*Pqp_supermarket_data[[#This Row],[Quantity]]</f>
        <v>16.5</v>
      </c>
      <c r="L1195" t="str">
        <f>TEXT(Pqp_supermarket_data[[#This Row],[DateTime]],"ddd")</f>
        <v>Sat</v>
      </c>
      <c r="M1195" t="str">
        <f>TEXT(Pqp_supermarket_data[[#This Row],[DateTime]],"mmm")</f>
        <v>Dec</v>
      </c>
      <c r="N1195" t="str">
        <f>TEXT(Pqp_supermarket_data[[#This Row],[DateTime]],"yyy")</f>
        <v>2021</v>
      </c>
    </row>
    <row r="1196" spans="1:14" x14ac:dyDescent="0.35">
      <c r="A1196" t="s">
        <v>2531</v>
      </c>
      <c r="B1196" s="1">
        <v>45284.164623715275</v>
      </c>
      <c r="C1196" t="s">
        <v>2532</v>
      </c>
      <c r="D1196" t="s">
        <v>98</v>
      </c>
      <c r="E1196" t="s">
        <v>20</v>
      </c>
      <c r="F1196">
        <v>1</v>
      </c>
      <c r="G1196">
        <v>7</v>
      </c>
      <c r="H1196" t="s">
        <v>14</v>
      </c>
      <c r="I1196" t="s">
        <v>86</v>
      </c>
      <c r="J1196" t="s">
        <v>230</v>
      </c>
      <c r="K1196">
        <f>Pqp_supermarket_data[[#This Row],[Unit_Price]]*Pqp_supermarket_data[[#This Row],[Quantity]]</f>
        <v>7</v>
      </c>
      <c r="L1196" t="str">
        <f>TEXT(Pqp_supermarket_data[[#This Row],[DateTime]],"ddd")</f>
        <v>Sun</v>
      </c>
      <c r="M1196" t="str">
        <f>TEXT(Pqp_supermarket_data[[#This Row],[DateTime]],"mmm")</f>
        <v>Dec</v>
      </c>
      <c r="N1196" t="str">
        <f>TEXT(Pqp_supermarket_data[[#This Row],[DateTime]],"yyy")</f>
        <v>2023</v>
      </c>
    </row>
    <row r="1197" spans="1:14" x14ac:dyDescent="0.35">
      <c r="A1197" t="s">
        <v>2533</v>
      </c>
      <c r="B1197" s="1">
        <v>45711.302818159726</v>
      </c>
      <c r="C1197" t="s">
        <v>2534</v>
      </c>
      <c r="D1197" t="s">
        <v>127</v>
      </c>
      <c r="E1197" t="s">
        <v>111</v>
      </c>
      <c r="F1197">
        <v>2.2000000000000002</v>
      </c>
      <c r="G1197">
        <v>1</v>
      </c>
      <c r="H1197" t="s">
        <v>14</v>
      </c>
      <c r="I1197" t="s">
        <v>61</v>
      </c>
      <c r="J1197" t="s">
        <v>339</v>
      </c>
      <c r="K1197">
        <f>Pqp_supermarket_data[[#This Row],[Unit_Price]]*Pqp_supermarket_data[[#This Row],[Quantity]]</f>
        <v>2.2000000000000002</v>
      </c>
      <c r="L1197" t="str">
        <f>TEXT(Pqp_supermarket_data[[#This Row],[DateTime]],"ddd")</f>
        <v>Sun</v>
      </c>
      <c r="M1197" t="str">
        <f>TEXT(Pqp_supermarket_data[[#This Row],[DateTime]],"mmm")</f>
        <v>Feb</v>
      </c>
      <c r="N1197" t="str">
        <f>TEXT(Pqp_supermarket_data[[#This Row],[DateTime]],"yyy")</f>
        <v>2025</v>
      </c>
    </row>
    <row r="1198" spans="1:14" x14ac:dyDescent="0.35">
      <c r="A1198" t="s">
        <v>2535</v>
      </c>
      <c r="B1198" s="1">
        <v>44437.843790405095</v>
      </c>
      <c r="C1198" t="s">
        <v>2536</v>
      </c>
      <c r="D1198" t="s">
        <v>30</v>
      </c>
      <c r="E1198" t="s">
        <v>137</v>
      </c>
      <c r="F1198">
        <v>2.5</v>
      </c>
      <c r="G1198">
        <v>8</v>
      </c>
      <c r="H1198" t="s">
        <v>14</v>
      </c>
      <c r="I1198" t="s">
        <v>40</v>
      </c>
      <c r="J1198" t="s">
        <v>387</v>
      </c>
      <c r="K1198">
        <f>Pqp_supermarket_data[[#This Row],[Unit_Price]]*Pqp_supermarket_data[[#This Row],[Quantity]]</f>
        <v>20</v>
      </c>
      <c r="L1198" t="str">
        <f>TEXT(Pqp_supermarket_data[[#This Row],[DateTime]],"ddd")</f>
        <v>Sun</v>
      </c>
      <c r="M1198" t="str">
        <f>TEXT(Pqp_supermarket_data[[#This Row],[DateTime]],"mmm")</f>
        <v>Aug</v>
      </c>
      <c r="N1198" t="str">
        <f>TEXT(Pqp_supermarket_data[[#This Row],[DateTime]],"yyy")</f>
        <v>2021</v>
      </c>
    </row>
    <row r="1199" spans="1:14" x14ac:dyDescent="0.35">
      <c r="A1199" t="s">
        <v>2537</v>
      </c>
      <c r="B1199" s="1">
        <v>45615.116707083333</v>
      </c>
      <c r="C1199" t="s">
        <v>2538</v>
      </c>
      <c r="D1199" t="s">
        <v>127</v>
      </c>
      <c r="E1199" t="s">
        <v>65</v>
      </c>
      <c r="F1199">
        <v>3</v>
      </c>
      <c r="G1199">
        <v>7</v>
      </c>
      <c r="H1199" t="s">
        <v>14</v>
      </c>
      <c r="I1199" t="s">
        <v>61</v>
      </c>
      <c r="J1199" t="s">
        <v>178</v>
      </c>
      <c r="K1199">
        <f>Pqp_supermarket_data[[#This Row],[Unit_Price]]*Pqp_supermarket_data[[#This Row],[Quantity]]</f>
        <v>21</v>
      </c>
      <c r="L1199" t="str">
        <f>TEXT(Pqp_supermarket_data[[#This Row],[DateTime]],"ddd")</f>
        <v>Tue</v>
      </c>
      <c r="M1199" t="str">
        <f>TEXT(Pqp_supermarket_data[[#This Row],[DateTime]],"mmm")</f>
        <v>Nov</v>
      </c>
      <c r="N1199" t="str">
        <f>TEXT(Pqp_supermarket_data[[#This Row],[DateTime]],"yyy")</f>
        <v>2024</v>
      </c>
    </row>
    <row r="1200" spans="1:14" x14ac:dyDescent="0.35">
      <c r="A1200" t="s">
        <v>2539</v>
      </c>
      <c r="B1200" s="1">
        <v>44440.459068229167</v>
      </c>
      <c r="C1200" t="s">
        <v>2540</v>
      </c>
      <c r="D1200" t="s">
        <v>34</v>
      </c>
      <c r="E1200" t="s">
        <v>111</v>
      </c>
      <c r="F1200">
        <v>2.2000000000000002</v>
      </c>
      <c r="G1200">
        <v>4</v>
      </c>
      <c r="H1200" t="s">
        <v>14</v>
      </c>
      <c r="I1200" t="s">
        <v>40</v>
      </c>
      <c r="J1200" t="s">
        <v>317</v>
      </c>
      <c r="K1200">
        <f>Pqp_supermarket_data[[#This Row],[Unit_Price]]*Pqp_supermarket_data[[#This Row],[Quantity]]</f>
        <v>8.8000000000000007</v>
      </c>
      <c r="L1200" t="str">
        <f>TEXT(Pqp_supermarket_data[[#This Row],[DateTime]],"ddd")</f>
        <v>Wed</v>
      </c>
      <c r="M1200" t="str">
        <f>TEXT(Pqp_supermarket_data[[#This Row],[DateTime]],"mmm")</f>
        <v>Sep</v>
      </c>
      <c r="N1200" t="str">
        <f>TEXT(Pqp_supermarket_data[[#This Row],[DateTime]],"yyy")</f>
        <v>2021</v>
      </c>
    </row>
    <row r="1201" spans="1:14" x14ac:dyDescent="0.35">
      <c r="A1201" t="s">
        <v>2541</v>
      </c>
      <c r="B1201" s="1">
        <v>44762.41184601852</v>
      </c>
      <c r="C1201" t="s">
        <v>2542</v>
      </c>
      <c r="D1201" t="s">
        <v>30</v>
      </c>
      <c r="E1201" t="s">
        <v>119</v>
      </c>
      <c r="F1201">
        <v>4</v>
      </c>
      <c r="G1201">
        <v>9</v>
      </c>
      <c r="H1201" t="s">
        <v>14</v>
      </c>
      <c r="I1201" t="s">
        <v>61</v>
      </c>
      <c r="J1201" t="s">
        <v>336</v>
      </c>
      <c r="K1201">
        <f>Pqp_supermarket_data[[#This Row],[Unit_Price]]*Pqp_supermarket_data[[#This Row],[Quantity]]</f>
        <v>36</v>
      </c>
      <c r="L1201" t="str">
        <f>TEXT(Pqp_supermarket_data[[#This Row],[DateTime]],"ddd")</f>
        <v>Wed</v>
      </c>
      <c r="M1201" t="str">
        <f>TEXT(Pqp_supermarket_data[[#This Row],[DateTime]],"mmm")</f>
        <v>Jul</v>
      </c>
      <c r="N1201" t="str">
        <f>TEXT(Pqp_supermarket_data[[#This Row],[DateTime]],"yyy")</f>
        <v>2022</v>
      </c>
    </row>
    <row r="1202" spans="1:14" x14ac:dyDescent="0.35">
      <c r="A1202" t="s">
        <v>2543</v>
      </c>
      <c r="B1202" s="1">
        <v>45602.241707141206</v>
      </c>
      <c r="C1202" t="s">
        <v>2544</v>
      </c>
      <c r="D1202" t="s">
        <v>77</v>
      </c>
      <c r="E1202" t="s">
        <v>39</v>
      </c>
      <c r="F1202">
        <v>3.2</v>
      </c>
      <c r="G1202">
        <v>6</v>
      </c>
      <c r="H1202" t="s">
        <v>14</v>
      </c>
      <c r="I1202" t="s">
        <v>21</v>
      </c>
      <c r="J1202" t="s">
        <v>202</v>
      </c>
      <c r="K1202">
        <f>Pqp_supermarket_data[[#This Row],[Unit_Price]]*Pqp_supermarket_data[[#This Row],[Quantity]]</f>
        <v>19.200000000000003</v>
      </c>
      <c r="L1202" t="str">
        <f>TEXT(Pqp_supermarket_data[[#This Row],[DateTime]],"ddd")</f>
        <v>Wed</v>
      </c>
      <c r="M1202" t="str">
        <f>TEXT(Pqp_supermarket_data[[#This Row],[DateTime]],"mmm")</f>
        <v>Nov</v>
      </c>
      <c r="N1202" t="str">
        <f>TEXT(Pqp_supermarket_data[[#This Row],[DateTime]],"yyy")</f>
        <v>2024</v>
      </c>
    </row>
    <row r="1203" spans="1:14" x14ac:dyDescent="0.35">
      <c r="A1203" t="s">
        <v>2545</v>
      </c>
      <c r="B1203" s="1">
        <v>44987.568790486112</v>
      </c>
      <c r="C1203" t="s">
        <v>2546</v>
      </c>
      <c r="D1203" t="s">
        <v>25</v>
      </c>
      <c r="E1203" t="s">
        <v>145</v>
      </c>
      <c r="F1203">
        <v>1.7</v>
      </c>
      <c r="G1203">
        <v>4</v>
      </c>
      <c r="H1203" t="s">
        <v>14</v>
      </c>
      <c r="I1203" t="s">
        <v>15</v>
      </c>
      <c r="J1203" t="s">
        <v>192</v>
      </c>
      <c r="K1203">
        <f>Pqp_supermarket_data[[#This Row],[Unit_Price]]*Pqp_supermarket_data[[#This Row],[Quantity]]</f>
        <v>6.8</v>
      </c>
      <c r="L1203" t="str">
        <f>TEXT(Pqp_supermarket_data[[#This Row],[DateTime]],"ddd")</f>
        <v>Thu</v>
      </c>
      <c r="M1203" t="str">
        <f>TEXT(Pqp_supermarket_data[[#This Row],[DateTime]],"mmm")</f>
        <v>Mar</v>
      </c>
      <c r="N1203" t="str">
        <f>TEXT(Pqp_supermarket_data[[#This Row],[DateTime]],"yyy")</f>
        <v>2023</v>
      </c>
    </row>
    <row r="1204" spans="1:14" x14ac:dyDescent="0.35">
      <c r="A1204" t="s">
        <v>2547</v>
      </c>
      <c r="B1204" s="1">
        <v>45428.297957152776</v>
      </c>
      <c r="C1204" t="s">
        <v>2548</v>
      </c>
      <c r="D1204" t="s">
        <v>98</v>
      </c>
      <c r="E1204" t="s">
        <v>145</v>
      </c>
      <c r="F1204">
        <v>1.7</v>
      </c>
      <c r="G1204">
        <v>5</v>
      </c>
      <c r="H1204" t="s">
        <v>14</v>
      </c>
      <c r="I1204" t="s">
        <v>21</v>
      </c>
      <c r="J1204" t="s">
        <v>387</v>
      </c>
      <c r="K1204">
        <f>Pqp_supermarket_data[[#This Row],[Unit_Price]]*Pqp_supermarket_data[[#This Row],[Quantity]]</f>
        <v>8.5</v>
      </c>
      <c r="L1204" t="str">
        <f>TEXT(Pqp_supermarket_data[[#This Row],[DateTime]],"ddd")</f>
        <v>Thu</v>
      </c>
      <c r="M1204" t="str">
        <f>TEXT(Pqp_supermarket_data[[#This Row],[DateTime]],"mmm")</f>
        <v>May</v>
      </c>
      <c r="N1204" t="str">
        <f>TEXT(Pqp_supermarket_data[[#This Row],[DateTime]],"yyy")</f>
        <v>2024</v>
      </c>
    </row>
    <row r="1205" spans="1:14" x14ac:dyDescent="0.35">
      <c r="A1205" t="s">
        <v>2549</v>
      </c>
      <c r="B1205" s="1">
        <v>44781.83545716435</v>
      </c>
      <c r="C1205" t="s">
        <v>2550</v>
      </c>
      <c r="D1205" t="s">
        <v>12</v>
      </c>
      <c r="E1205" t="s">
        <v>148</v>
      </c>
      <c r="F1205">
        <v>5.5</v>
      </c>
      <c r="G1205">
        <v>6</v>
      </c>
      <c r="H1205" t="s">
        <v>14</v>
      </c>
      <c r="I1205" t="s">
        <v>21</v>
      </c>
      <c r="J1205" t="s">
        <v>22</v>
      </c>
      <c r="K1205">
        <f>Pqp_supermarket_data[[#This Row],[Unit_Price]]*Pqp_supermarket_data[[#This Row],[Quantity]]</f>
        <v>33</v>
      </c>
      <c r="L1205" t="str">
        <f>TEXT(Pqp_supermarket_data[[#This Row],[DateTime]],"ddd")</f>
        <v>Mon</v>
      </c>
      <c r="M1205" t="str">
        <f>TEXT(Pqp_supermarket_data[[#This Row],[DateTime]],"mmm")</f>
        <v>Aug</v>
      </c>
      <c r="N1205" t="str">
        <f>TEXT(Pqp_supermarket_data[[#This Row],[DateTime]],"yyy")</f>
        <v>2022</v>
      </c>
    </row>
    <row r="1206" spans="1:14" x14ac:dyDescent="0.35">
      <c r="A1206" t="s">
        <v>2551</v>
      </c>
      <c r="B1206" s="1">
        <v>44813.674346064814</v>
      </c>
      <c r="C1206" t="s">
        <v>1373</v>
      </c>
      <c r="D1206" t="s">
        <v>127</v>
      </c>
      <c r="E1206" t="s">
        <v>111</v>
      </c>
      <c r="F1206">
        <v>2.2000000000000002</v>
      </c>
      <c r="G1206">
        <v>6</v>
      </c>
      <c r="H1206" t="s">
        <v>14</v>
      </c>
      <c r="I1206" t="s">
        <v>86</v>
      </c>
      <c r="J1206" t="s">
        <v>541</v>
      </c>
      <c r="K1206">
        <f>Pqp_supermarket_data[[#This Row],[Unit_Price]]*Pqp_supermarket_data[[#This Row],[Quantity]]</f>
        <v>13.200000000000001</v>
      </c>
      <c r="L1206" t="str">
        <f>TEXT(Pqp_supermarket_data[[#This Row],[DateTime]],"ddd")</f>
        <v>Fri</v>
      </c>
      <c r="M1206" t="str">
        <f>TEXT(Pqp_supermarket_data[[#This Row],[DateTime]],"mmm")</f>
        <v>Sep</v>
      </c>
      <c r="N1206" t="str">
        <f>TEXT(Pqp_supermarket_data[[#This Row],[DateTime]],"yyy")</f>
        <v>2022</v>
      </c>
    </row>
    <row r="1207" spans="1:14" x14ac:dyDescent="0.35">
      <c r="A1207" t="s">
        <v>2552</v>
      </c>
      <c r="B1207" s="1">
        <v>45033.184068298608</v>
      </c>
      <c r="C1207" t="s">
        <v>2553</v>
      </c>
      <c r="D1207" t="s">
        <v>30</v>
      </c>
      <c r="E1207" t="s">
        <v>45</v>
      </c>
      <c r="F1207">
        <v>1</v>
      </c>
      <c r="G1207">
        <v>1</v>
      </c>
      <c r="H1207" t="s">
        <v>14</v>
      </c>
      <c r="I1207" t="s">
        <v>36</v>
      </c>
      <c r="J1207" t="s">
        <v>227</v>
      </c>
      <c r="K1207">
        <f>Pqp_supermarket_data[[#This Row],[Unit_Price]]*Pqp_supermarket_data[[#This Row],[Quantity]]</f>
        <v>1</v>
      </c>
      <c r="L1207" t="str">
        <f>TEXT(Pqp_supermarket_data[[#This Row],[DateTime]],"ddd")</f>
        <v>Mon</v>
      </c>
      <c r="M1207" t="str">
        <f>TEXT(Pqp_supermarket_data[[#This Row],[DateTime]],"mmm")</f>
        <v>Apr</v>
      </c>
      <c r="N1207" t="str">
        <f>TEXT(Pqp_supermarket_data[[#This Row],[DateTime]],"yyy")</f>
        <v>2023</v>
      </c>
    </row>
    <row r="1208" spans="1:14" x14ac:dyDescent="0.35">
      <c r="A1208" t="s">
        <v>2554</v>
      </c>
      <c r="B1208" s="1">
        <v>45674.602818310188</v>
      </c>
      <c r="C1208" t="s">
        <v>2555</v>
      </c>
      <c r="D1208" t="s">
        <v>226</v>
      </c>
      <c r="E1208" t="s">
        <v>26</v>
      </c>
      <c r="F1208">
        <v>2.5</v>
      </c>
      <c r="G1208">
        <v>5</v>
      </c>
      <c r="H1208" t="s">
        <v>14</v>
      </c>
      <c r="I1208" t="s">
        <v>21</v>
      </c>
      <c r="J1208" t="s">
        <v>423</v>
      </c>
      <c r="K1208">
        <f>Pqp_supermarket_data[[#This Row],[Unit_Price]]*Pqp_supermarket_data[[#This Row],[Quantity]]</f>
        <v>12.5</v>
      </c>
      <c r="L1208" t="str">
        <f>TEXT(Pqp_supermarket_data[[#This Row],[DateTime]],"ddd")</f>
        <v>Fri</v>
      </c>
      <c r="M1208" t="str">
        <f>TEXT(Pqp_supermarket_data[[#This Row],[DateTime]],"mmm")</f>
        <v>Jan</v>
      </c>
      <c r="N1208" t="str">
        <f>TEXT(Pqp_supermarket_data[[#This Row],[DateTime]],"yyy")</f>
        <v>2025</v>
      </c>
    </row>
    <row r="1209" spans="1:14" x14ac:dyDescent="0.35">
      <c r="A1209" t="s">
        <v>2556</v>
      </c>
      <c r="B1209" s="1">
        <v>45152.695873877317</v>
      </c>
      <c r="C1209" t="s">
        <v>2557</v>
      </c>
      <c r="D1209" t="s">
        <v>44</v>
      </c>
      <c r="E1209" t="s">
        <v>148</v>
      </c>
      <c r="F1209">
        <v>5.5</v>
      </c>
      <c r="G1209">
        <v>9</v>
      </c>
      <c r="H1209" t="s">
        <v>14</v>
      </c>
      <c r="I1209" t="s">
        <v>15</v>
      </c>
      <c r="J1209" t="s">
        <v>510</v>
      </c>
      <c r="K1209">
        <f>Pqp_supermarket_data[[#This Row],[Unit_Price]]*Pqp_supermarket_data[[#This Row],[Quantity]]</f>
        <v>49.5</v>
      </c>
      <c r="L1209" t="str">
        <f>TEXT(Pqp_supermarket_data[[#This Row],[DateTime]],"ddd")</f>
        <v>Mon</v>
      </c>
      <c r="M1209" t="str">
        <f>TEXT(Pqp_supermarket_data[[#This Row],[DateTime]],"mmm")</f>
        <v>Aug</v>
      </c>
      <c r="N1209" t="str">
        <f>TEXT(Pqp_supermarket_data[[#This Row],[DateTime]],"yyy")</f>
        <v>2023</v>
      </c>
    </row>
    <row r="1210" spans="1:14" x14ac:dyDescent="0.35">
      <c r="A1210" t="s">
        <v>2558</v>
      </c>
      <c r="B1210" s="1">
        <v>44991.519484988428</v>
      </c>
      <c r="C1210" t="s">
        <v>2559</v>
      </c>
      <c r="D1210" t="s">
        <v>82</v>
      </c>
      <c r="E1210" t="s">
        <v>13</v>
      </c>
      <c r="F1210">
        <v>3.1</v>
      </c>
      <c r="G1210">
        <v>5</v>
      </c>
      <c r="H1210" t="s">
        <v>14</v>
      </c>
      <c r="I1210" t="s">
        <v>40</v>
      </c>
      <c r="J1210" t="s">
        <v>91</v>
      </c>
      <c r="K1210">
        <f>Pqp_supermarket_data[[#This Row],[Unit_Price]]*Pqp_supermarket_data[[#This Row],[Quantity]]</f>
        <v>15.5</v>
      </c>
      <c r="L1210" t="str">
        <f>TEXT(Pqp_supermarket_data[[#This Row],[DateTime]],"ddd")</f>
        <v>Mon</v>
      </c>
      <c r="M1210" t="str">
        <f>TEXT(Pqp_supermarket_data[[#This Row],[DateTime]],"mmm")</f>
        <v>Mar</v>
      </c>
      <c r="N1210" t="str">
        <f>TEXT(Pqp_supermarket_data[[#This Row],[DateTime]],"yyy")</f>
        <v>2023</v>
      </c>
    </row>
    <row r="1211" spans="1:14" x14ac:dyDescent="0.35">
      <c r="A1211" t="s">
        <v>2560</v>
      </c>
      <c r="B1211" s="1">
        <v>45304.175734999997</v>
      </c>
      <c r="C1211" t="s">
        <v>2561</v>
      </c>
      <c r="D1211" t="s">
        <v>34</v>
      </c>
      <c r="E1211" t="s">
        <v>94</v>
      </c>
      <c r="F1211">
        <v>0.8</v>
      </c>
      <c r="G1211">
        <v>8</v>
      </c>
      <c r="H1211" t="s">
        <v>14</v>
      </c>
      <c r="I1211" t="s">
        <v>36</v>
      </c>
      <c r="J1211" t="s">
        <v>79</v>
      </c>
      <c r="K1211">
        <f>Pqp_supermarket_data[[#This Row],[Unit_Price]]*Pqp_supermarket_data[[#This Row],[Quantity]]</f>
        <v>6.4</v>
      </c>
      <c r="L1211" t="str">
        <f>TEXT(Pqp_supermarket_data[[#This Row],[DateTime]],"ddd")</f>
        <v>Sat</v>
      </c>
      <c r="M1211" t="str">
        <f>TEXT(Pqp_supermarket_data[[#This Row],[DateTime]],"mmm")</f>
        <v>Jan</v>
      </c>
      <c r="N1211" t="str">
        <f>TEXT(Pqp_supermarket_data[[#This Row],[DateTime]],"yyy")</f>
        <v>2024</v>
      </c>
    </row>
    <row r="1212" spans="1:14" x14ac:dyDescent="0.35">
      <c r="A1212" t="s">
        <v>2562</v>
      </c>
      <c r="B1212" s="1">
        <v>44466.983373900461</v>
      </c>
      <c r="C1212" t="s">
        <v>2563</v>
      </c>
      <c r="D1212" t="s">
        <v>208</v>
      </c>
      <c r="E1212" t="s">
        <v>13</v>
      </c>
      <c r="F1212">
        <v>3.1</v>
      </c>
      <c r="G1212">
        <v>2</v>
      </c>
      <c r="H1212" t="s">
        <v>14</v>
      </c>
      <c r="I1212" t="s">
        <v>86</v>
      </c>
      <c r="J1212" t="s">
        <v>122</v>
      </c>
      <c r="K1212">
        <f>Pqp_supermarket_data[[#This Row],[Unit_Price]]*Pqp_supermarket_data[[#This Row],[Quantity]]</f>
        <v>6.2</v>
      </c>
      <c r="L1212" t="str">
        <f>TEXT(Pqp_supermarket_data[[#This Row],[DateTime]],"ddd")</f>
        <v>Mon</v>
      </c>
      <c r="M1212" t="str">
        <f>TEXT(Pqp_supermarket_data[[#This Row],[DateTime]],"mmm")</f>
        <v>Sep</v>
      </c>
      <c r="N1212" t="str">
        <f>TEXT(Pqp_supermarket_data[[#This Row],[DateTime]],"yyy")</f>
        <v>2021</v>
      </c>
    </row>
    <row r="1213" spans="1:14" x14ac:dyDescent="0.35">
      <c r="A1213" t="s">
        <v>2564</v>
      </c>
      <c r="B1213" s="1">
        <v>44941.111846134256</v>
      </c>
      <c r="C1213" t="s">
        <v>2565</v>
      </c>
      <c r="D1213" t="s">
        <v>82</v>
      </c>
      <c r="E1213" t="s">
        <v>148</v>
      </c>
      <c r="F1213">
        <v>5.5</v>
      </c>
      <c r="G1213">
        <v>3</v>
      </c>
      <c r="H1213" t="s">
        <v>14</v>
      </c>
      <c r="I1213" t="s">
        <v>36</v>
      </c>
      <c r="J1213" t="s">
        <v>924</v>
      </c>
      <c r="K1213">
        <f>Pqp_supermarket_data[[#This Row],[Unit_Price]]*Pqp_supermarket_data[[#This Row],[Quantity]]</f>
        <v>16.5</v>
      </c>
      <c r="L1213" t="str">
        <f>TEXT(Pqp_supermarket_data[[#This Row],[DateTime]],"ddd")</f>
        <v>Sun</v>
      </c>
      <c r="M1213" t="str">
        <f>TEXT(Pqp_supermarket_data[[#This Row],[DateTime]],"mmm")</f>
        <v>Jan</v>
      </c>
      <c r="N1213" t="str">
        <f>TEXT(Pqp_supermarket_data[[#This Row],[DateTime]],"yyy")</f>
        <v>2023</v>
      </c>
    </row>
    <row r="1214" spans="1:14" x14ac:dyDescent="0.35">
      <c r="A1214" t="s">
        <v>2566</v>
      </c>
      <c r="B1214" s="1">
        <v>44750.46115171296</v>
      </c>
      <c r="C1214" t="s">
        <v>2567</v>
      </c>
      <c r="D1214" t="s">
        <v>82</v>
      </c>
      <c r="E1214" t="s">
        <v>45</v>
      </c>
      <c r="F1214">
        <v>1</v>
      </c>
      <c r="G1214">
        <v>9</v>
      </c>
      <c r="H1214" t="s">
        <v>14</v>
      </c>
      <c r="I1214" t="s">
        <v>36</v>
      </c>
      <c r="J1214" t="s">
        <v>394</v>
      </c>
      <c r="K1214">
        <f>Pqp_supermarket_data[[#This Row],[Unit_Price]]*Pqp_supermarket_data[[#This Row],[Quantity]]</f>
        <v>9</v>
      </c>
      <c r="L1214" t="str">
        <f>TEXT(Pqp_supermarket_data[[#This Row],[DateTime]],"ddd")</f>
        <v>Fri</v>
      </c>
      <c r="M1214" t="str">
        <f>TEXT(Pqp_supermarket_data[[#This Row],[DateTime]],"mmm")</f>
        <v>Jul</v>
      </c>
      <c r="N1214" t="str">
        <f>TEXT(Pqp_supermarket_data[[#This Row],[DateTime]],"yyy")</f>
        <v>2022</v>
      </c>
    </row>
    <row r="1215" spans="1:14" x14ac:dyDescent="0.35">
      <c r="A1215" t="s">
        <v>2568</v>
      </c>
      <c r="B1215" s="1">
        <v>44857.642401736113</v>
      </c>
      <c r="C1215" t="s">
        <v>2569</v>
      </c>
      <c r="D1215" t="s">
        <v>226</v>
      </c>
      <c r="E1215" t="s">
        <v>137</v>
      </c>
      <c r="F1215">
        <v>2.5</v>
      </c>
      <c r="G1215">
        <v>3</v>
      </c>
      <c r="H1215" t="s">
        <v>14</v>
      </c>
      <c r="I1215" t="s">
        <v>36</v>
      </c>
      <c r="J1215" t="s">
        <v>510</v>
      </c>
      <c r="K1215">
        <f>Pqp_supermarket_data[[#This Row],[Unit_Price]]*Pqp_supermarket_data[[#This Row],[Quantity]]</f>
        <v>7.5</v>
      </c>
      <c r="L1215" t="str">
        <f>TEXT(Pqp_supermarket_data[[#This Row],[DateTime]],"ddd")</f>
        <v>Sun</v>
      </c>
      <c r="M1215" t="str">
        <f>TEXT(Pqp_supermarket_data[[#This Row],[DateTime]],"mmm")</f>
        <v>Oct</v>
      </c>
      <c r="N1215" t="str">
        <f>TEXT(Pqp_supermarket_data[[#This Row],[DateTime]],"yyy")</f>
        <v>2022</v>
      </c>
    </row>
    <row r="1216" spans="1:14" x14ac:dyDescent="0.35">
      <c r="A1216" t="s">
        <v>2570</v>
      </c>
      <c r="B1216" s="1">
        <v>44474.393096203705</v>
      </c>
      <c r="C1216" t="s">
        <v>2571</v>
      </c>
      <c r="D1216" t="s">
        <v>82</v>
      </c>
      <c r="E1216" t="s">
        <v>78</v>
      </c>
      <c r="F1216">
        <v>4</v>
      </c>
      <c r="G1216">
        <v>5</v>
      </c>
      <c r="H1216" t="s">
        <v>14</v>
      </c>
      <c r="I1216" t="s">
        <v>61</v>
      </c>
      <c r="J1216" t="s">
        <v>317</v>
      </c>
      <c r="K1216">
        <f>Pqp_supermarket_data[[#This Row],[Unit_Price]]*Pqp_supermarket_data[[#This Row],[Quantity]]</f>
        <v>20</v>
      </c>
      <c r="L1216" t="str">
        <f>TEXT(Pqp_supermarket_data[[#This Row],[DateTime]],"ddd")</f>
        <v>Tue</v>
      </c>
      <c r="M1216" t="str">
        <f>TEXT(Pqp_supermarket_data[[#This Row],[DateTime]],"mmm")</f>
        <v>Oct</v>
      </c>
      <c r="N1216" t="str">
        <f>TEXT(Pqp_supermarket_data[[#This Row],[DateTime]],"yyy")</f>
        <v>2021</v>
      </c>
    </row>
    <row r="1217" spans="1:14" x14ac:dyDescent="0.35">
      <c r="A1217" t="s">
        <v>2572</v>
      </c>
      <c r="B1217" s="1">
        <v>45618.427818425924</v>
      </c>
      <c r="C1217" t="s">
        <v>2573</v>
      </c>
      <c r="D1217" t="s">
        <v>25</v>
      </c>
      <c r="E1217" t="s">
        <v>90</v>
      </c>
      <c r="F1217">
        <v>1.8</v>
      </c>
      <c r="G1217">
        <v>3</v>
      </c>
      <c r="H1217" t="s">
        <v>14</v>
      </c>
      <c r="I1217" t="s">
        <v>21</v>
      </c>
      <c r="J1217" t="s">
        <v>382</v>
      </c>
      <c r="K1217">
        <f>Pqp_supermarket_data[[#This Row],[Unit_Price]]*Pqp_supermarket_data[[#This Row],[Quantity]]</f>
        <v>5.4</v>
      </c>
      <c r="L1217" t="str">
        <f>TEXT(Pqp_supermarket_data[[#This Row],[DateTime]],"ddd")</f>
        <v>Fri</v>
      </c>
      <c r="M1217" t="str">
        <f>TEXT(Pqp_supermarket_data[[#This Row],[DateTime]],"mmm")</f>
        <v>Nov</v>
      </c>
      <c r="N1217" t="str">
        <f>TEXT(Pqp_supermarket_data[[#This Row],[DateTime]],"yyy")</f>
        <v>2024</v>
      </c>
    </row>
    <row r="1218" spans="1:14" x14ac:dyDescent="0.35">
      <c r="A1218" t="s">
        <v>2574</v>
      </c>
      <c r="B1218" s="1">
        <v>44946.123651770831</v>
      </c>
      <c r="C1218" t="s">
        <v>2575</v>
      </c>
      <c r="D1218" t="s">
        <v>98</v>
      </c>
      <c r="E1218" t="s">
        <v>111</v>
      </c>
      <c r="F1218">
        <v>2.2000000000000002</v>
      </c>
      <c r="G1218">
        <v>5</v>
      </c>
      <c r="H1218" t="s">
        <v>14</v>
      </c>
      <c r="I1218" t="s">
        <v>15</v>
      </c>
      <c r="J1218" t="s">
        <v>382</v>
      </c>
      <c r="K1218">
        <f>Pqp_supermarket_data[[#This Row],[Unit_Price]]*Pqp_supermarket_data[[#This Row],[Quantity]]</f>
        <v>11</v>
      </c>
      <c r="L1218" t="str">
        <f>TEXT(Pqp_supermarket_data[[#This Row],[DateTime]],"ddd")</f>
        <v>Fri</v>
      </c>
      <c r="M1218" t="str">
        <f>TEXT(Pqp_supermarket_data[[#This Row],[DateTime]],"mmm")</f>
        <v>Jan</v>
      </c>
      <c r="N1218" t="str">
        <f>TEXT(Pqp_supermarket_data[[#This Row],[DateTime]],"yyy")</f>
        <v>2023</v>
      </c>
    </row>
    <row r="1219" spans="1:14" x14ac:dyDescent="0.35">
      <c r="A1219" t="s">
        <v>2576</v>
      </c>
      <c r="B1219" s="1">
        <v>44572.107679560184</v>
      </c>
      <c r="C1219" t="s">
        <v>2577</v>
      </c>
      <c r="D1219" t="s">
        <v>127</v>
      </c>
      <c r="E1219" t="s">
        <v>78</v>
      </c>
      <c r="F1219">
        <v>4</v>
      </c>
      <c r="G1219">
        <v>2</v>
      </c>
      <c r="H1219" t="s">
        <v>14</v>
      </c>
      <c r="I1219" t="s">
        <v>86</v>
      </c>
      <c r="J1219" t="s">
        <v>186</v>
      </c>
      <c r="K1219">
        <f>Pqp_supermarket_data[[#This Row],[Unit_Price]]*Pqp_supermarket_data[[#This Row],[Quantity]]</f>
        <v>8</v>
      </c>
      <c r="L1219" t="str">
        <f>TEXT(Pqp_supermarket_data[[#This Row],[DateTime]],"ddd")</f>
        <v>Tue</v>
      </c>
      <c r="M1219" t="str">
        <f>TEXT(Pqp_supermarket_data[[#This Row],[DateTime]],"mmm")</f>
        <v>Jan</v>
      </c>
      <c r="N1219" t="str">
        <f>TEXT(Pqp_supermarket_data[[#This Row],[DateTime]],"yyy")</f>
        <v>2022</v>
      </c>
    </row>
    <row r="1220" spans="1:14" x14ac:dyDescent="0.35">
      <c r="A1220" t="s">
        <v>2578</v>
      </c>
      <c r="B1220" s="1">
        <v>45414.020874016205</v>
      </c>
      <c r="C1220" t="s">
        <v>2579</v>
      </c>
      <c r="D1220" t="s">
        <v>82</v>
      </c>
      <c r="E1220" t="s">
        <v>119</v>
      </c>
      <c r="F1220">
        <v>4</v>
      </c>
      <c r="G1220">
        <v>4</v>
      </c>
      <c r="H1220" t="s">
        <v>14</v>
      </c>
      <c r="I1220" t="s">
        <v>40</v>
      </c>
      <c r="J1220" t="s">
        <v>397</v>
      </c>
      <c r="K1220">
        <f>Pqp_supermarket_data[[#This Row],[Unit_Price]]*Pqp_supermarket_data[[#This Row],[Quantity]]</f>
        <v>16</v>
      </c>
      <c r="L1220" t="str">
        <f>TEXT(Pqp_supermarket_data[[#This Row],[DateTime]],"ddd")</f>
        <v>Thu</v>
      </c>
      <c r="M1220" t="str">
        <f>TEXT(Pqp_supermarket_data[[#This Row],[DateTime]],"mmm")</f>
        <v>May</v>
      </c>
      <c r="N1220" t="str">
        <f>TEXT(Pqp_supermarket_data[[#This Row],[DateTime]],"yyy")</f>
        <v>2024</v>
      </c>
    </row>
    <row r="1221" spans="1:14" x14ac:dyDescent="0.35">
      <c r="A1221" t="s">
        <v>2580</v>
      </c>
      <c r="B1221" s="1">
        <v>44642.699346250003</v>
      </c>
      <c r="C1221" t="s">
        <v>2581</v>
      </c>
      <c r="D1221" t="s">
        <v>30</v>
      </c>
      <c r="E1221" t="s">
        <v>26</v>
      </c>
      <c r="F1221">
        <v>2.5</v>
      </c>
      <c r="G1221">
        <v>2</v>
      </c>
      <c r="H1221" t="s">
        <v>14</v>
      </c>
      <c r="I1221" t="s">
        <v>86</v>
      </c>
      <c r="J1221" t="s">
        <v>485</v>
      </c>
      <c r="K1221">
        <f>Pqp_supermarket_data[[#This Row],[Unit_Price]]*Pqp_supermarket_data[[#This Row],[Quantity]]</f>
        <v>5</v>
      </c>
      <c r="L1221" t="str">
        <f>TEXT(Pqp_supermarket_data[[#This Row],[DateTime]],"ddd")</f>
        <v>Tue</v>
      </c>
      <c r="M1221" t="str">
        <f>TEXT(Pqp_supermarket_data[[#This Row],[DateTime]],"mmm")</f>
        <v>Mar</v>
      </c>
      <c r="N1221" t="str">
        <f>TEXT(Pqp_supermarket_data[[#This Row],[DateTime]],"yyy")</f>
        <v>2022</v>
      </c>
    </row>
    <row r="1222" spans="1:14" x14ac:dyDescent="0.35">
      <c r="A1222" t="s">
        <v>2582</v>
      </c>
      <c r="B1222" s="1">
        <v>45249.605596250003</v>
      </c>
      <c r="C1222" t="s">
        <v>2583</v>
      </c>
      <c r="D1222" t="s">
        <v>69</v>
      </c>
      <c r="E1222" t="s">
        <v>137</v>
      </c>
      <c r="F1222">
        <v>2.5</v>
      </c>
      <c r="G1222">
        <v>7</v>
      </c>
      <c r="H1222" t="s">
        <v>14</v>
      </c>
      <c r="I1222" t="s">
        <v>21</v>
      </c>
      <c r="J1222" t="s">
        <v>22</v>
      </c>
      <c r="K1222">
        <f>Pqp_supermarket_data[[#This Row],[Unit_Price]]*Pqp_supermarket_data[[#This Row],[Quantity]]</f>
        <v>17.5</v>
      </c>
      <c r="L1222" t="str">
        <f>TEXT(Pqp_supermarket_data[[#This Row],[DateTime]],"ddd")</f>
        <v>Sun</v>
      </c>
      <c r="M1222" t="str">
        <f>TEXT(Pqp_supermarket_data[[#This Row],[DateTime]],"mmm")</f>
        <v>Nov</v>
      </c>
      <c r="N1222" t="str">
        <f>TEXT(Pqp_supermarket_data[[#This Row],[DateTime]],"yyy")</f>
        <v>2023</v>
      </c>
    </row>
    <row r="1223" spans="1:14" x14ac:dyDescent="0.35">
      <c r="A1223" t="s">
        <v>2584</v>
      </c>
      <c r="B1223" s="1">
        <v>44557.220179594908</v>
      </c>
      <c r="C1223" t="s">
        <v>2585</v>
      </c>
      <c r="D1223" t="s">
        <v>77</v>
      </c>
      <c r="E1223" t="s">
        <v>53</v>
      </c>
      <c r="F1223">
        <v>2.8</v>
      </c>
      <c r="G1223">
        <v>3</v>
      </c>
      <c r="H1223" t="s">
        <v>14</v>
      </c>
      <c r="I1223" t="s">
        <v>21</v>
      </c>
      <c r="J1223" t="s">
        <v>172</v>
      </c>
      <c r="K1223">
        <f>Pqp_supermarket_data[[#This Row],[Unit_Price]]*Pqp_supermarket_data[[#This Row],[Quantity]]</f>
        <v>8.3999999999999986</v>
      </c>
      <c r="L1223" t="str">
        <f>TEXT(Pqp_supermarket_data[[#This Row],[DateTime]],"ddd")</f>
        <v>Mon</v>
      </c>
      <c r="M1223" t="str">
        <f>TEXT(Pqp_supermarket_data[[#This Row],[DateTime]],"mmm")</f>
        <v>Dec</v>
      </c>
      <c r="N1223" t="str">
        <f>TEXT(Pqp_supermarket_data[[#This Row],[DateTime]],"yyy")</f>
        <v>2021</v>
      </c>
    </row>
    <row r="1224" spans="1:14" x14ac:dyDescent="0.35">
      <c r="A1224" t="s">
        <v>2586</v>
      </c>
      <c r="B1224" s="1">
        <v>45757.620179594909</v>
      </c>
      <c r="C1224" t="s">
        <v>2587</v>
      </c>
      <c r="D1224" t="s">
        <v>82</v>
      </c>
      <c r="E1224" t="s">
        <v>70</v>
      </c>
      <c r="F1224">
        <v>5</v>
      </c>
      <c r="G1224">
        <v>8</v>
      </c>
      <c r="H1224" t="s">
        <v>14</v>
      </c>
      <c r="I1224" t="s">
        <v>40</v>
      </c>
      <c r="J1224" t="s">
        <v>499</v>
      </c>
      <c r="K1224">
        <f>Pqp_supermarket_data[[#This Row],[Unit_Price]]*Pqp_supermarket_data[[#This Row],[Quantity]]</f>
        <v>40</v>
      </c>
      <c r="L1224" t="str">
        <f>TEXT(Pqp_supermarket_data[[#This Row],[DateTime]],"ddd")</f>
        <v>Thu</v>
      </c>
      <c r="M1224" t="str">
        <f>TEXT(Pqp_supermarket_data[[#This Row],[DateTime]],"mmm")</f>
        <v>Apr</v>
      </c>
      <c r="N1224" t="str">
        <f>TEXT(Pqp_supermarket_data[[#This Row],[DateTime]],"yyy")</f>
        <v>2025</v>
      </c>
    </row>
    <row r="1225" spans="1:14" x14ac:dyDescent="0.35">
      <c r="A1225" t="s">
        <v>2588</v>
      </c>
      <c r="B1225" s="1">
        <v>45370.271568495373</v>
      </c>
      <c r="C1225" t="s">
        <v>2589</v>
      </c>
      <c r="D1225" t="s">
        <v>34</v>
      </c>
      <c r="E1225" t="s">
        <v>13</v>
      </c>
      <c r="F1225">
        <v>3.1</v>
      </c>
      <c r="G1225">
        <v>5</v>
      </c>
      <c r="H1225" t="s">
        <v>14</v>
      </c>
      <c r="I1225" t="s">
        <v>36</v>
      </c>
      <c r="J1225" t="s">
        <v>336</v>
      </c>
      <c r="K1225">
        <f>Pqp_supermarket_data[[#This Row],[Unit_Price]]*Pqp_supermarket_data[[#This Row],[Quantity]]</f>
        <v>15.5</v>
      </c>
      <c r="L1225" t="str">
        <f>TEXT(Pqp_supermarket_data[[#This Row],[DateTime]],"ddd")</f>
        <v>Tue</v>
      </c>
      <c r="M1225" t="str">
        <f>TEXT(Pqp_supermarket_data[[#This Row],[DateTime]],"mmm")</f>
        <v>Mar</v>
      </c>
      <c r="N1225" t="str">
        <f>TEXT(Pqp_supermarket_data[[#This Row],[DateTime]],"yyy")</f>
        <v>2024</v>
      </c>
    </row>
    <row r="1226" spans="1:14" x14ac:dyDescent="0.35">
      <c r="A1226" t="s">
        <v>2590</v>
      </c>
      <c r="B1226" s="1">
        <v>45004.374346273151</v>
      </c>
      <c r="C1226" t="s">
        <v>2591</v>
      </c>
      <c r="D1226" t="s">
        <v>34</v>
      </c>
      <c r="E1226" t="s">
        <v>78</v>
      </c>
      <c r="F1226">
        <v>4</v>
      </c>
      <c r="G1226">
        <v>10</v>
      </c>
      <c r="H1226" t="s">
        <v>14</v>
      </c>
      <c r="I1226" t="s">
        <v>15</v>
      </c>
      <c r="J1226" t="s">
        <v>429</v>
      </c>
      <c r="K1226">
        <f>Pqp_supermarket_data[[#This Row],[Unit_Price]]*Pqp_supermarket_data[[#This Row],[Quantity]]</f>
        <v>40</v>
      </c>
      <c r="L1226" t="str">
        <f>TEXT(Pqp_supermarket_data[[#This Row],[DateTime]],"ddd")</f>
        <v>Sun</v>
      </c>
      <c r="M1226" t="str">
        <f>TEXT(Pqp_supermarket_data[[#This Row],[DateTime]],"mmm")</f>
        <v>Mar</v>
      </c>
      <c r="N1226" t="str">
        <f>TEXT(Pqp_supermarket_data[[#This Row],[DateTime]],"yyy")</f>
        <v>2023</v>
      </c>
    </row>
    <row r="1227" spans="1:14" x14ac:dyDescent="0.35">
      <c r="A1227" t="s">
        <v>2592</v>
      </c>
      <c r="B1227" s="1">
        <v>44400.291707395831</v>
      </c>
      <c r="C1227" t="s">
        <v>2593</v>
      </c>
      <c r="D1227" t="s">
        <v>69</v>
      </c>
      <c r="E1227" t="s">
        <v>145</v>
      </c>
      <c r="F1227">
        <v>1.7</v>
      </c>
      <c r="G1227">
        <v>3</v>
      </c>
      <c r="H1227" t="s">
        <v>14</v>
      </c>
      <c r="I1227" t="s">
        <v>40</v>
      </c>
      <c r="J1227" t="s">
        <v>50</v>
      </c>
      <c r="K1227">
        <f>Pqp_supermarket_data[[#This Row],[Unit_Price]]*Pqp_supermarket_data[[#This Row],[Quantity]]</f>
        <v>5.0999999999999996</v>
      </c>
      <c r="L1227" t="str">
        <f>TEXT(Pqp_supermarket_data[[#This Row],[DateTime]],"ddd")</f>
        <v>Fri</v>
      </c>
      <c r="M1227" t="str">
        <f>TEXT(Pqp_supermarket_data[[#This Row],[DateTime]],"mmm")</f>
        <v>Jul</v>
      </c>
      <c r="N1227" t="str">
        <f>TEXT(Pqp_supermarket_data[[#This Row],[DateTime]],"yyy")</f>
        <v>2021</v>
      </c>
    </row>
    <row r="1228" spans="1:14" x14ac:dyDescent="0.35">
      <c r="A1228" t="s">
        <v>2594</v>
      </c>
      <c r="B1228" s="1">
        <v>45250.241012951388</v>
      </c>
      <c r="C1228" t="s">
        <v>2595</v>
      </c>
      <c r="D1228" t="s">
        <v>98</v>
      </c>
      <c r="E1228" t="s">
        <v>26</v>
      </c>
      <c r="F1228">
        <v>2.5</v>
      </c>
      <c r="G1228">
        <v>6</v>
      </c>
      <c r="H1228" t="s">
        <v>14</v>
      </c>
      <c r="I1228" t="s">
        <v>21</v>
      </c>
      <c r="J1228" t="s">
        <v>382</v>
      </c>
      <c r="K1228">
        <f>Pqp_supermarket_data[[#This Row],[Unit_Price]]*Pqp_supermarket_data[[#This Row],[Quantity]]</f>
        <v>15</v>
      </c>
      <c r="L1228" t="str">
        <f>TEXT(Pqp_supermarket_data[[#This Row],[DateTime]],"ddd")</f>
        <v>Mon</v>
      </c>
      <c r="M1228" t="str">
        <f>TEXT(Pqp_supermarket_data[[#This Row],[DateTime]],"mmm")</f>
        <v>Nov</v>
      </c>
      <c r="N1228" t="str">
        <f>TEXT(Pqp_supermarket_data[[#This Row],[DateTime]],"yyy")</f>
        <v>2023</v>
      </c>
    </row>
    <row r="1229" spans="1:14" x14ac:dyDescent="0.35">
      <c r="A1229" t="s">
        <v>2596</v>
      </c>
      <c r="B1229" s="1">
        <v>44460.972957407408</v>
      </c>
      <c r="C1229" t="s">
        <v>2597</v>
      </c>
      <c r="D1229" t="s">
        <v>208</v>
      </c>
      <c r="E1229" t="s">
        <v>115</v>
      </c>
      <c r="F1229">
        <v>1.5</v>
      </c>
      <c r="G1229">
        <v>3</v>
      </c>
      <c r="H1229" t="s">
        <v>14</v>
      </c>
      <c r="I1229" t="s">
        <v>61</v>
      </c>
      <c r="J1229" t="s">
        <v>320</v>
      </c>
      <c r="K1229">
        <f>Pqp_supermarket_data[[#This Row],[Unit_Price]]*Pqp_supermarket_data[[#This Row],[Quantity]]</f>
        <v>4.5</v>
      </c>
      <c r="L1229" t="str">
        <f>TEXT(Pqp_supermarket_data[[#This Row],[DateTime]],"ddd")</f>
        <v>Tue</v>
      </c>
      <c r="M1229" t="str">
        <f>TEXT(Pqp_supermarket_data[[#This Row],[DateTime]],"mmm")</f>
        <v>Sep</v>
      </c>
      <c r="N1229" t="str">
        <f>TEXT(Pqp_supermarket_data[[#This Row],[DateTime]],"yyy")</f>
        <v>2021</v>
      </c>
    </row>
    <row r="1230" spans="1:14" x14ac:dyDescent="0.35">
      <c r="A1230" t="s">
        <v>2598</v>
      </c>
      <c r="B1230" s="1">
        <v>44971.675735185185</v>
      </c>
      <c r="C1230" t="s">
        <v>711</v>
      </c>
      <c r="D1230" t="s">
        <v>12</v>
      </c>
      <c r="E1230" t="s">
        <v>49</v>
      </c>
      <c r="F1230">
        <v>7</v>
      </c>
      <c r="G1230">
        <v>7</v>
      </c>
      <c r="H1230" t="s">
        <v>14</v>
      </c>
      <c r="I1230" t="s">
        <v>36</v>
      </c>
      <c r="J1230" t="s">
        <v>273</v>
      </c>
      <c r="K1230">
        <f>Pqp_supermarket_data[[#This Row],[Unit_Price]]*Pqp_supermarket_data[[#This Row],[Quantity]]</f>
        <v>49</v>
      </c>
      <c r="L1230" t="str">
        <f>TEXT(Pqp_supermarket_data[[#This Row],[DateTime]],"ddd")</f>
        <v>Tue</v>
      </c>
      <c r="M1230" t="str">
        <f>TEXT(Pqp_supermarket_data[[#This Row],[DateTime]],"mmm")</f>
        <v>Feb</v>
      </c>
      <c r="N1230" t="str">
        <f>TEXT(Pqp_supermarket_data[[#This Row],[DateTime]],"yyy")</f>
        <v>2023</v>
      </c>
    </row>
    <row r="1231" spans="1:14" x14ac:dyDescent="0.35">
      <c r="A1231" t="s">
        <v>2599</v>
      </c>
      <c r="B1231" s="1">
        <v>45262.472262974537</v>
      </c>
      <c r="C1231" t="s">
        <v>2600</v>
      </c>
      <c r="D1231" t="s">
        <v>85</v>
      </c>
      <c r="E1231" t="s">
        <v>137</v>
      </c>
      <c r="F1231">
        <v>2.5</v>
      </c>
      <c r="G1231">
        <v>1</v>
      </c>
      <c r="H1231" t="s">
        <v>14</v>
      </c>
      <c r="I1231" t="s">
        <v>61</v>
      </c>
      <c r="J1231" t="s">
        <v>461</v>
      </c>
      <c r="K1231">
        <f>Pqp_supermarket_data[[#This Row],[Unit_Price]]*Pqp_supermarket_data[[#This Row],[Quantity]]</f>
        <v>2.5</v>
      </c>
      <c r="L1231" t="str">
        <f>TEXT(Pqp_supermarket_data[[#This Row],[DateTime]],"ddd")</f>
        <v>Sat</v>
      </c>
      <c r="M1231" t="str">
        <f>TEXT(Pqp_supermarket_data[[#This Row],[DateTime]],"mmm")</f>
        <v>Dec</v>
      </c>
      <c r="N1231" t="str">
        <f>TEXT(Pqp_supermarket_data[[#This Row],[DateTime]],"yyy")</f>
        <v>2023</v>
      </c>
    </row>
    <row r="1232" spans="1:14" x14ac:dyDescent="0.35">
      <c r="A1232" t="s">
        <v>2601</v>
      </c>
      <c r="B1232" s="1">
        <v>44822.075040763892</v>
      </c>
      <c r="C1232" t="s">
        <v>2602</v>
      </c>
      <c r="D1232" t="s">
        <v>30</v>
      </c>
      <c r="E1232" t="s">
        <v>45</v>
      </c>
      <c r="F1232">
        <v>1</v>
      </c>
      <c r="G1232">
        <v>1</v>
      </c>
      <c r="H1232" t="s">
        <v>14</v>
      </c>
      <c r="I1232" t="s">
        <v>40</v>
      </c>
      <c r="J1232" t="s">
        <v>364</v>
      </c>
      <c r="K1232">
        <f>Pqp_supermarket_data[[#This Row],[Unit_Price]]*Pqp_supermarket_data[[#This Row],[Quantity]]</f>
        <v>1</v>
      </c>
      <c r="L1232" t="str">
        <f>TEXT(Pqp_supermarket_data[[#This Row],[DateTime]],"ddd")</f>
        <v>Sun</v>
      </c>
      <c r="M1232" t="str">
        <f>TEXT(Pqp_supermarket_data[[#This Row],[DateTime]],"mmm")</f>
        <v>Sep</v>
      </c>
      <c r="N1232" t="str">
        <f>TEXT(Pqp_supermarket_data[[#This Row],[DateTime]],"yyy")</f>
        <v>2022</v>
      </c>
    </row>
    <row r="1233" spans="1:14" x14ac:dyDescent="0.35">
      <c r="A1233" t="s">
        <v>2603</v>
      </c>
      <c r="B1233" s="1">
        <v>44752.751429664349</v>
      </c>
      <c r="C1233" t="s">
        <v>2604</v>
      </c>
      <c r="D1233" t="s">
        <v>127</v>
      </c>
      <c r="E1233" t="s">
        <v>49</v>
      </c>
      <c r="F1233">
        <v>7</v>
      </c>
      <c r="G1233">
        <v>6</v>
      </c>
      <c r="H1233" t="s">
        <v>14</v>
      </c>
      <c r="I1233" t="s">
        <v>15</v>
      </c>
      <c r="J1233" t="s">
        <v>270</v>
      </c>
      <c r="K1233">
        <f>Pqp_supermarket_data[[#This Row],[Unit_Price]]*Pqp_supermarket_data[[#This Row],[Quantity]]</f>
        <v>42</v>
      </c>
      <c r="L1233" t="str">
        <f>TEXT(Pqp_supermarket_data[[#This Row],[DateTime]],"ddd")</f>
        <v>Sun</v>
      </c>
      <c r="M1233" t="str">
        <f>TEXT(Pqp_supermarket_data[[#This Row],[DateTime]],"mmm")</f>
        <v>Jul</v>
      </c>
      <c r="N1233" t="str">
        <f>TEXT(Pqp_supermarket_data[[#This Row],[DateTime]],"yyy")</f>
        <v>2022</v>
      </c>
    </row>
    <row r="1234" spans="1:14" x14ac:dyDescent="0.35">
      <c r="A1234" t="s">
        <v>2605</v>
      </c>
      <c r="B1234" s="1">
        <v>45701.802124108799</v>
      </c>
      <c r="C1234" t="s">
        <v>2606</v>
      </c>
      <c r="D1234" t="s">
        <v>127</v>
      </c>
      <c r="E1234" t="s">
        <v>94</v>
      </c>
      <c r="F1234">
        <v>0.8</v>
      </c>
      <c r="G1234">
        <v>9</v>
      </c>
      <c r="H1234" t="s">
        <v>14</v>
      </c>
      <c r="I1234" t="s">
        <v>86</v>
      </c>
      <c r="J1234" t="s">
        <v>102</v>
      </c>
      <c r="K1234">
        <f>Pqp_supermarket_data[[#This Row],[Unit_Price]]*Pqp_supermarket_data[[#This Row],[Quantity]]</f>
        <v>7.2</v>
      </c>
      <c r="L1234" t="str">
        <f>TEXT(Pqp_supermarket_data[[#This Row],[DateTime]],"ddd")</f>
        <v>Thu</v>
      </c>
      <c r="M1234" t="str">
        <f>TEXT(Pqp_supermarket_data[[#This Row],[DateTime]],"mmm")</f>
        <v>Feb</v>
      </c>
      <c r="N1234" t="str">
        <f>TEXT(Pqp_supermarket_data[[#This Row],[DateTime]],"yyy")</f>
        <v>2025</v>
      </c>
    </row>
    <row r="1235" spans="1:14" x14ac:dyDescent="0.35">
      <c r="A1235" t="s">
        <v>2607</v>
      </c>
      <c r="B1235" s="1">
        <v>44828.389624143521</v>
      </c>
      <c r="C1235" t="s">
        <v>2608</v>
      </c>
      <c r="D1235" t="s">
        <v>44</v>
      </c>
      <c r="E1235" t="s">
        <v>90</v>
      </c>
      <c r="F1235">
        <v>1.8</v>
      </c>
      <c r="G1235">
        <v>7</v>
      </c>
      <c r="H1235" t="s">
        <v>14</v>
      </c>
      <c r="I1235" t="s">
        <v>15</v>
      </c>
      <c r="J1235" t="s">
        <v>924</v>
      </c>
      <c r="K1235">
        <f>Pqp_supermarket_data[[#This Row],[Unit_Price]]*Pqp_supermarket_data[[#This Row],[Quantity]]</f>
        <v>12.6</v>
      </c>
      <c r="L1235" t="str">
        <f>TEXT(Pqp_supermarket_data[[#This Row],[DateTime]],"ddd")</f>
        <v>Sat</v>
      </c>
      <c r="M1235" t="str">
        <f>TEXT(Pqp_supermarket_data[[#This Row],[DateTime]],"mmm")</f>
        <v>Sep</v>
      </c>
      <c r="N1235" t="str">
        <f>TEXT(Pqp_supermarket_data[[#This Row],[DateTime]],"yyy")</f>
        <v>2022</v>
      </c>
    </row>
    <row r="1236" spans="1:14" x14ac:dyDescent="0.35">
      <c r="A1236" t="s">
        <v>2609</v>
      </c>
      <c r="B1236" s="1">
        <v>45547.141707476854</v>
      </c>
      <c r="C1236" t="s">
        <v>2610</v>
      </c>
      <c r="D1236" t="s">
        <v>69</v>
      </c>
      <c r="E1236" t="s">
        <v>115</v>
      </c>
      <c r="F1236">
        <v>1.5</v>
      </c>
      <c r="G1236">
        <v>5</v>
      </c>
      <c r="H1236" t="s">
        <v>14</v>
      </c>
      <c r="I1236" t="s">
        <v>36</v>
      </c>
      <c r="J1236" t="s">
        <v>116</v>
      </c>
      <c r="K1236">
        <f>Pqp_supermarket_data[[#This Row],[Unit_Price]]*Pqp_supermarket_data[[#This Row],[Quantity]]</f>
        <v>7.5</v>
      </c>
      <c r="L1236" t="str">
        <f>TEXT(Pqp_supermarket_data[[#This Row],[DateTime]],"ddd")</f>
        <v>Thu</v>
      </c>
      <c r="M1236" t="str">
        <f>TEXT(Pqp_supermarket_data[[#This Row],[DateTime]],"mmm")</f>
        <v>Sep</v>
      </c>
      <c r="N1236" t="str">
        <f>TEXT(Pqp_supermarket_data[[#This Row],[DateTime]],"yyy")</f>
        <v>2024</v>
      </c>
    </row>
    <row r="1237" spans="1:14" x14ac:dyDescent="0.35">
      <c r="A1237" t="s">
        <v>2611</v>
      </c>
      <c r="B1237" s="1">
        <v>44906.145179722225</v>
      </c>
      <c r="C1237" t="s">
        <v>310</v>
      </c>
      <c r="D1237" t="s">
        <v>19</v>
      </c>
      <c r="E1237" t="s">
        <v>13</v>
      </c>
      <c r="F1237">
        <v>3.1</v>
      </c>
      <c r="G1237">
        <v>10</v>
      </c>
      <c r="H1237" t="s">
        <v>14</v>
      </c>
      <c r="I1237" t="s">
        <v>61</v>
      </c>
      <c r="J1237" t="s">
        <v>128</v>
      </c>
      <c r="K1237">
        <f>Pqp_supermarket_data[[#This Row],[Unit_Price]]*Pqp_supermarket_data[[#This Row],[Quantity]]</f>
        <v>31</v>
      </c>
      <c r="L1237" t="str">
        <f>TEXT(Pqp_supermarket_data[[#This Row],[DateTime]],"ddd")</f>
        <v>Sun</v>
      </c>
      <c r="M1237" t="str">
        <f>TEXT(Pqp_supermarket_data[[#This Row],[DateTime]],"mmm")</f>
        <v>Dec</v>
      </c>
      <c r="N1237" t="str">
        <f>TEXT(Pqp_supermarket_data[[#This Row],[DateTime]],"yyy")</f>
        <v>2022</v>
      </c>
    </row>
    <row r="1238" spans="1:14" x14ac:dyDescent="0.35">
      <c r="A1238" t="s">
        <v>2612</v>
      </c>
      <c r="B1238" s="1">
        <v>45144.97851306713</v>
      </c>
      <c r="C1238" t="s">
        <v>2613</v>
      </c>
      <c r="D1238" t="s">
        <v>69</v>
      </c>
      <c r="E1238" t="s">
        <v>39</v>
      </c>
      <c r="F1238">
        <v>3.2</v>
      </c>
      <c r="G1238">
        <v>8</v>
      </c>
      <c r="H1238" t="s">
        <v>14</v>
      </c>
      <c r="I1238" t="s">
        <v>15</v>
      </c>
      <c r="J1238" t="s">
        <v>270</v>
      </c>
      <c r="K1238">
        <f>Pqp_supermarket_data[[#This Row],[Unit_Price]]*Pqp_supermarket_data[[#This Row],[Quantity]]</f>
        <v>25.6</v>
      </c>
      <c r="L1238" t="str">
        <f>TEXT(Pqp_supermarket_data[[#This Row],[DateTime]],"ddd")</f>
        <v>Sun</v>
      </c>
      <c r="M1238" t="str">
        <f>TEXT(Pqp_supermarket_data[[#This Row],[DateTime]],"mmm")</f>
        <v>Aug</v>
      </c>
      <c r="N1238" t="str">
        <f>TEXT(Pqp_supermarket_data[[#This Row],[DateTime]],"yyy")</f>
        <v>2023</v>
      </c>
    </row>
    <row r="1239" spans="1:14" x14ac:dyDescent="0.35">
      <c r="A1239" t="s">
        <v>2614</v>
      </c>
      <c r="B1239" s="1">
        <v>44439.691013067131</v>
      </c>
      <c r="C1239" t="s">
        <v>2615</v>
      </c>
      <c r="D1239" t="s">
        <v>98</v>
      </c>
      <c r="E1239" t="s">
        <v>137</v>
      </c>
      <c r="F1239">
        <v>2.5</v>
      </c>
      <c r="G1239">
        <v>4</v>
      </c>
      <c r="H1239" t="s">
        <v>14</v>
      </c>
      <c r="I1239" t="s">
        <v>15</v>
      </c>
      <c r="J1239" t="s">
        <v>166</v>
      </c>
      <c r="K1239">
        <f>Pqp_supermarket_data[[#This Row],[Unit_Price]]*Pqp_supermarket_data[[#This Row],[Quantity]]</f>
        <v>10</v>
      </c>
      <c r="L1239" t="str">
        <f>TEXT(Pqp_supermarket_data[[#This Row],[DateTime]],"ddd")</f>
        <v>Tue</v>
      </c>
      <c r="M1239" t="str">
        <f>TEXT(Pqp_supermarket_data[[#This Row],[DateTime]],"mmm")</f>
        <v>Aug</v>
      </c>
      <c r="N1239" t="str">
        <f>TEXT(Pqp_supermarket_data[[#This Row],[DateTime]],"yyy")</f>
        <v>2021</v>
      </c>
    </row>
    <row r="1240" spans="1:14" x14ac:dyDescent="0.35">
      <c r="A1240" t="s">
        <v>2616</v>
      </c>
      <c r="B1240" s="1">
        <v>45316.35004085648</v>
      </c>
      <c r="C1240" t="s">
        <v>2617</v>
      </c>
      <c r="D1240" t="s">
        <v>98</v>
      </c>
      <c r="E1240" t="s">
        <v>13</v>
      </c>
      <c r="F1240">
        <v>3.1</v>
      </c>
      <c r="G1240">
        <v>3</v>
      </c>
      <c r="H1240" t="s">
        <v>14</v>
      </c>
      <c r="I1240" t="s">
        <v>36</v>
      </c>
      <c r="J1240" t="s">
        <v>311</v>
      </c>
      <c r="K1240">
        <f>Pqp_supermarket_data[[#This Row],[Unit_Price]]*Pqp_supermarket_data[[#This Row],[Quantity]]</f>
        <v>9.3000000000000007</v>
      </c>
      <c r="L1240" t="str">
        <f>TEXT(Pqp_supermarket_data[[#This Row],[DateTime]],"ddd")</f>
        <v>Thu</v>
      </c>
      <c r="M1240" t="str">
        <f>TEXT(Pqp_supermarket_data[[#This Row],[DateTime]],"mmm")</f>
        <v>Jan</v>
      </c>
      <c r="N1240" t="str">
        <f>TEXT(Pqp_supermarket_data[[#This Row],[DateTime]],"yyy")</f>
        <v>2024</v>
      </c>
    </row>
    <row r="1241" spans="1:14" x14ac:dyDescent="0.35">
      <c r="A1241" t="s">
        <v>2618</v>
      </c>
      <c r="B1241" s="1">
        <v>44893.39517974537</v>
      </c>
      <c r="C1241" t="s">
        <v>2619</v>
      </c>
      <c r="D1241" t="s">
        <v>19</v>
      </c>
      <c r="E1241" t="s">
        <v>115</v>
      </c>
      <c r="F1241">
        <v>1.5</v>
      </c>
      <c r="G1241">
        <v>1</v>
      </c>
      <c r="H1241" t="s">
        <v>14</v>
      </c>
      <c r="I1241" t="s">
        <v>86</v>
      </c>
      <c r="J1241" t="s">
        <v>62</v>
      </c>
      <c r="K1241">
        <f>Pqp_supermarket_data[[#This Row],[Unit_Price]]*Pqp_supermarket_data[[#This Row],[Quantity]]</f>
        <v>1.5</v>
      </c>
      <c r="L1241" t="str">
        <f>TEXT(Pqp_supermarket_data[[#This Row],[DateTime]],"ddd")</f>
        <v>Mon</v>
      </c>
      <c r="M1241" t="str">
        <f>TEXT(Pqp_supermarket_data[[#This Row],[DateTime]],"mmm")</f>
        <v>Nov</v>
      </c>
      <c r="N1241" t="str">
        <f>TEXT(Pqp_supermarket_data[[#This Row],[DateTime]],"yyy")</f>
        <v>2022</v>
      </c>
    </row>
    <row r="1242" spans="1:14" x14ac:dyDescent="0.35">
      <c r="A1242" t="s">
        <v>2620</v>
      </c>
      <c r="B1242" s="1">
        <v>44333.829901979167</v>
      </c>
      <c r="C1242" t="s">
        <v>2621</v>
      </c>
      <c r="D1242" t="s">
        <v>98</v>
      </c>
      <c r="E1242" t="s">
        <v>115</v>
      </c>
      <c r="F1242">
        <v>1.5</v>
      </c>
      <c r="G1242">
        <v>2</v>
      </c>
      <c r="H1242" t="s">
        <v>14</v>
      </c>
      <c r="I1242" t="s">
        <v>36</v>
      </c>
      <c r="J1242" t="s">
        <v>209</v>
      </c>
      <c r="K1242">
        <f>Pqp_supermarket_data[[#This Row],[Unit_Price]]*Pqp_supermarket_data[[#This Row],[Quantity]]</f>
        <v>3</v>
      </c>
      <c r="L1242" t="str">
        <f>TEXT(Pqp_supermarket_data[[#This Row],[DateTime]],"ddd")</f>
        <v>Mon</v>
      </c>
      <c r="M1242" t="str">
        <f>TEXT(Pqp_supermarket_data[[#This Row],[DateTime]],"mmm")</f>
        <v>May</v>
      </c>
      <c r="N1242" t="str">
        <f>TEXT(Pqp_supermarket_data[[#This Row],[DateTime]],"yyy")</f>
        <v>2021</v>
      </c>
    </row>
    <row r="1243" spans="1:14" x14ac:dyDescent="0.35">
      <c r="A1243" t="s">
        <v>2622</v>
      </c>
      <c r="B1243" s="1">
        <v>45533.097957534723</v>
      </c>
      <c r="C1243" t="s">
        <v>2623</v>
      </c>
      <c r="D1243" t="s">
        <v>25</v>
      </c>
      <c r="E1243" t="s">
        <v>57</v>
      </c>
      <c r="F1243">
        <v>4.5</v>
      </c>
      <c r="G1243">
        <v>3</v>
      </c>
      <c r="H1243" t="s">
        <v>14</v>
      </c>
      <c r="I1243" t="s">
        <v>15</v>
      </c>
      <c r="J1243" t="s">
        <v>314</v>
      </c>
      <c r="K1243">
        <f>Pqp_supermarket_data[[#This Row],[Unit_Price]]*Pqp_supermarket_data[[#This Row],[Quantity]]</f>
        <v>13.5</v>
      </c>
      <c r="L1243" t="str">
        <f>TEXT(Pqp_supermarket_data[[#This Row],[DateTime]],"ddd")</f>
        <v>Thu</v>
      </c>
      <c r="M1243" t="str">
        <f>TEXT(Pqp_supermarket_data[[#This Row],[DateTime]],"mmm")</f>
        <v>Aug</v>
      </c>
      <c r="N1243" t="str">
        <f>TEXT(Pqp_supermarket_data[[#This Row],[DateTime]],"yyy")</f>
        <v>2024</v>
      </c>
    </row>
    <row r="1244" spans="1:14" x14ac:dyDescent="0.35">
      <c r="A1244" t="s">
        <v>2624</v>
      </c>
      <c r="B1244" s="1">
        <v>44745.201429756948</v>
      </c>
      <c r="C1244" t="s">
        <v>2625</v>
      </c>
      <c r="D1244" t="s">
        <v>19</v>
      </c>
      <c r="E1244" t="s">
        <v>119</v>
      </c>
      <c r="F1244">
        <v>4</v>
      </c>
      <c r="G1244">
        <v>4</v>
      </c>
      <c r="H1244" t="s">
        <v>14</v>
      </c>
      <c r="I1244" t="s">
        <v>21</v>
      </c>
      <c r="J1244" t="s">
        <v>288</v>
      </c>
      <c r="K1244">
        <f>Pqp_supermarket_data[[#This Row],[Unit_Price]]*Pqp_supermarket_data[[#This Row],[Quantity]]</f>
        <v>16</v>
      </c>
      <c r="L1244" t="str">
        <f>TEXT(Pqp_supermarket_data[[#This Row],[DateTime]],"ddd")</f>
        <v>Sun</v>
      </c>
      <c r="M1244" t="str">
        <f>TEXT(Pqp_supermarket_data[[#This Row],[DateTime]],"mmm")</f>
        <v>Jul</v>
      </c>
      <c r="N1244" t="str">
        <f>TEXT(Pqp_supermarket_data[[#This Row],[DateTime]],"yyy")</f>
        <v>2022</v>
      </c>
    </row>
    <row r="1245" spans="1:14" x14ac:dyDescent="0.35">
      <c r="A1245" t="s">
        <v>2626</v>
      </c>
      <c r="B1245" s="1">
        <v>44708.802124212962</v>
      </c>
      <c r="C1245" t="s">
        <v>2627</v>
      </c>
      <c r="D1245" t="s">
        <v>82</v>
      </c>
      <c r="E1245" t="s">
        <v>65</v>
      </c>
      <c r="F1245">
        <v>3</v>
      </c>
      <c r="G1245">
        <v>4</v>
      </c>
      <c r="H1245" t="s">
        <v>14</v>
      </c>
      <c r="I1245" t="s">
        <v>86</v>
      </c>
      <c r="J1245" t="s">
        <v>255</v>
      </c>
      <c r="K1245">
        <f>Pqp_supermarket_data[[#This Row],[Unit_Price]]*Pqp_supermarket_data[[#This Row],[Quantity]]</f>
        <v>12</v>
      </c>
      <c r="L1245" t="str">
        <f>TEXT(Pqp_supermarket_data[[#This Row],[DateTime]],"ddd")</f>
        <v>Fri</v>
      </c>
      <c r="M1245" t="str">
        <f>TEXT(Pqp_supermarket_data[[#This Row],[DateTime]],"mmm")</f>
        <v>May</v>
      </c>
      <c r="N1245" t="str">
        <f>TEXT(Pqp_supermarket_data[[#This Row],[DateTime]],"yyy")</f>
        <v>2022</v>
      </c>
    </row>
    <row r="1246" spans="1:14" x14ac:dyDescent="0.35">
      <c r="A1246" t="s">
        <v>2628</v>
      </c>
      <c r="B1246" s="1">
        <v>45593.142402002311</v>
      </c>
      <c r="C1246" t="s">
        <v>2629</v>
      </c>
      <c r="D1246" t="s">
        <v>127</v>
      </c>
      <c r="E1246" t="s">
        <v>148</v>
      </c>
      <c r="F1246">
        <v>5.5</v>
      </c>
      <c r="G1246">
        <v>7</v>
      </c>
      <c r="H1246" t="s">
        <v>14</v>
      </c>
      <c r="I1246" t="s">
        <v>61</v>
      </c>
      <c r="J1246" t="s">
        <v>131</v>
      </c>
      <c r="K1246">
        <f>Pqp_supermarket_data[[#This Row],[Unit_Price]]*Pqp_supermarket_data[[#This Row],[Quantity]]</f>
        <v>38.5</v>
      </c>
      <c r="L1246" t="str">
        <f>TEXT(Pqp_supermarket_data[[#This Row],[DateTime]],"ddd")</f>
        <v>Mon</v>
      </c>
      <c r="M1246" t="str">
        <f>TEXT(Pqp_supermarket_data[[#This Row],[DateTime]],"mmm")</f>
        <v>Oct</v>
      </c>
      <c r="N1246" t="str">
        <f>TEXT(Pqp_supermarket_data[[#This Row],[DateTime]],"yyy")</f>
        <v>2024</v>
      </c>
    </row>
    <row r="1247" spans="1:14" x14ac:dyDescent="0.35">
      <c r="A1247" t="s">
        <v>2630</v>
      </c>
      <c r="B1247" s="1">
        <v>45569.13684644676</v>
      </c>
      <c r="C1247" t="s">
        <v>2631</v>
      </c>
      <c r="D1247" t="s">
        <v>208</v>
      </c>
      <c r="E1247" t="s">
        <v>65</v>
      </c>
      <c r="F1247">
        <v>3</v>
      </c>
      <c r="G1247">
        <v>8</v>
      </c>
      <c r="H1247" t="s">
        <v>14</v>
      </c>
      <c r="I1247" t="s">
        <v>36</v>
      </c>
      <c r="J1247" t="s">
        <v>227</v>
      </c>
      <c r="K1247">
        <f>Pqp_supermarket_data[[#This Row],[Unit_Price]]*Pqp_supermarket_data[[#This Row],[Quantity]]</f>
        <v>24</v>
      </c>
      <c r="L1247" t="str">
        <f>TEXT(Pqp_supermarket_data[[#This Row],[DateTime]],"ddd")</f>
        <v>Fri</v>
      </c>
      <c r="M1247" t="str">
        <f>TEXT(Pqp_supermarket_data[[#This Row],[DateTime]],"mmm")</f>
        <v>Oct</v>
      </c>
      <c r="N1247" t="str">
        <f>TEXT(Pqp_supermarket_data[[#This Row],[DateTime]],"yyy")</f>
        <v>2024</v>
      </c>
    </row>
    <row r="1248" spans="1:14" x14ac:dyDescent="0.35">
      <c r="A1248" t="s">
        <v>2632</v>
      </c>
      <c r="B1248" s="1">
        <v>44803.948652013889</v>
      </c>
      <c r="C1248" t="s">
        <v>2633</v>
      </c>
      <c r="D1248" t="s">
        <v>127</v>
      </c>
      <c r="E1248" t="s">
        <v>45</v>
      </c>
      <c r="F1248">
        <v>1</v>
      </c>
      <c r="G1248">
        <v>1</v>
      </c>
      <c r="H1248" t="s">
        <v>14</v>
      </c>
      <c r="I1248" t="s">
        <v>61</v>
      </c>
      <c r="J1248" t="s">
        <v>436</v>
      </c>
      <c r="K1248">
        <f>Pqp_supermarket_data[[#This Row],[Unit_Price]]*Pqp_supermarket_data[[#This Row],[Quantity]]</f>
        <v>1</v>
      </c>
      <c r="L1248" t="str">
        <f>TEXT(Pqp_supermarket_data[[#This Row],[DateTime]],"ddd")</f>
        <v>Tue</v>
      </c>
      <c r="M1248" t="str">
        <f>TEXT(Pqp_supermarket_data[[#This Row],[DateTime]],"mmm")</f>
        <v>Aug</v>
      </c>
      <c r="N1248" t="str">
        <f>TEXT(Pqp_supermarket_data[[#This Row],[DateTime]],"yyy")</f>
        <v>2022</v>
      </c>
    </row>
    <row r="1249" spans="1:14" x14ac:dyDescent="0.35">
      <c r="A1249" t="s">
        <v>2634</v>
      </c>
      <c r="B1249" s="1">
        <v>44442.748652025461</v>
      </c>
      <c r="C1249" t="s">
        <v>2635</v>
      </c>
      <c r="D1249" t="s">
        <v>44</v>
      </c>
      <c r="E1249" t="s">
        <v>119</v>
      </c>
      <c r="F1249">
        <v>4</v>
      </c>
      <c r="G1249">
        <v>3</v>
      </c>
      <c r="H1249" t="s">
        <v>14</v>
      </c>
      <c r="I1249" t="s">
        <v>15</v>
      </c>
      <c r="J1249" t="s">
        <v>166</v>
      </c>
      <c r="K1249">
        <f>Pqp_supermarket_data[[#This Row],[Unit_Price]]*Pqp_supermarket_data[[#This Row],[Quantity]]</f>
        <v>12</v>
      </c>
      <c r="L1249" t="str">
        <f>TEXT(Pqp_supermarket_data[[#This Row],[DateTime]],"ddd")</f>
        <v>Fri</v>
      </c>
      <c r="M1249" t="str">
        <f>TEXT(Pqp_supermarket_data[[#This Row],[DateTime]],"mmm")</f>
        <v>Sep</v>
      </c>
      <c r="N1249" t="str">
        <f>TEXT(Pqp_supermarket_data[[#This Row],[DateTime]],"yyy")</f>
        <v>2021</v>
      </c>
    </row>
    <row r="1250" spans="1:14" x14ac:dyDescent="0.35">
      <c r="A1250" t="s">
        <v>2636</v>
      </c>
      <c r="B1250" s="1">
        <v>44468.17087425926</v>
      </c>
      <c r="C1250" t="s">
        <v>2637</v>
      </c>
      <c r="D1250" t="s">
        <v>226</v>
      </c>
      <c r="E1250" t="s">
        <v>137</v>
      </c>
      <c r="F1250">
        <v>2.5</v>
      </c>
      <c r="G1250">
        <v>2</v>
      </c>
      <c r="H1250" t="s">
        <v>14</v>
      </c>
      <c r="I1250" t="s">
        <v>21</v>
      </c>
      <c r="J1250" t="s">
        <v>538</v>
      </c>
      <c r="K1250">
        <f>Pqp_supermarket_data[[#This Row],[Unit_Price]]*Pqp_supermarket_data[[#This Row],[Quantity]]</f>
        <v>5</v>
      </c>
      <c r="L1250" t="str">
        <f>TEXT(Pqp_supermarket_data[[#This Row],[DateTime]],"ddd")</f>
        <v>Wed</v>
      </c>
      <c r="M1250" t="str">
        <f>TEXT(Pqp_supermarket_data[[#This Row],[DateTime]],"mmm")</f>
        <v>Sep</v>
      </c>
      <c r="N1250" t="str">
        <f>TEXT(Pqp_supermarket_data[[#This Row],[DateTime]],"yyy")</f>
        <v>2021</v>
      </c>
    </row>
    <row r="1251" spans="1:14" x14ac:dyDescent="0.35">
      <c r="A1251" t="s">
        <v>2638</v>
      </c>
      <c r="B1251" s="1">
        <v>45005.459068703705</v>
      </c>
      <c r="C1251" t="s">
        <v>2639</v>
      </c>
      <c r="D1251" t="s">
        <v>127</v>
      </c>
      <c r="E1251" t="s">
        <v>94</v>
      </c>
      <c r="F1251">
        <v>0.8</v>
      </c>
      <c r="G1251">
        <v>4</v>
      </c>
      <c r="H1251" t="s">
        <v>14</v>
      </c>
      <c r="I1251" t="s">
        <v>86</v>
      </c>
      <c r="J1251" t="s">
        <v>451</v>
      </c>
      <c r="K1251">
        <f>Pqp_supermarket_data[[#This Row],[Unit_Price]]*Pqp_supermarket_data[[#This Row],[Quantity]]</f>
        <v>3.2</v>
      </c>
      <c r="L1251" t="str">
        <f>TEXT(Pqp_supermarket_data[[#This Row],[DateTime]],"ddd")</f>
        <v>Mon</v>
      </c>
      <c r="M1251" t="str">
        <f>TEXT(Pqp_supermarket_data[[#This Row],[DateTime]],"mmm")</f>
        <v>Mar</v>
      </c>
      <c r="N1251" t="str">
        <f>TEXT(Pqp_supermarket_data[[#This Row],[DateTime]],"yyy")</f>
        <v>2023</v>
      </c>
    </row>
    <row r="1252" spans="1:14" x14ac:dyDescent="0.35">
      <c r="A1252" t="s">
        <v>2640</v>
      </c>
      <c r="B1252" s="1">
        <v>45744.302818715281</v>
      </c>
      <c r="C1252" t="s">
        <v>2641</v>
      </c>
      <c r="D1252" t="s">
        <v>82</v>
      </c>
      <c r="E1252" t="s">
        <v>49</v>
      </c>
      <c r="F1252">
        <v>7</v>
      </c>
      <c r="G1252">
        <v>5</v>
      </c>
      <c r="H1252" t="s">
        <v>14</v>
      </c>
      <c r="I1252" t="s">
        <v>36</v>
      </c>
      <c r="J1252" t="s">
        <v>91</v>
      </c>
      <c r="K1252">
        <f>Pqp_supermarket_data[[#This Row],[Unit_Price]]*Pqp_supermarket_data[[#This Row],[Quantity]]</f>
        <v>35</v>
      </c>
      <c r="L1252" t="str">
        <f>TEXT(Pqp_supermarket_data[[#This Row],[DateTime]],"ddd")</f>
        <v>Fri</v>
      </c>
      <c r="M1252" t="str">
        <f>TEXT(Pqp_supermarket_data[[#This Row],[DateTime]],"mmm")</f>
        <v>Mar</v>
      </c>
      <c r="N1252" t="str">
        <f>TEXT(Pqp_supermarket_data[[#This Row],[DateTime]],"yyy")</f>
        <v>2025</v>
      </c>
    </row>
    <row r="1253" spans="1:14" x14ac:dyDescent="0.35">
      <c r="A1253" t="s">
        <v>2642</v>
      </c>
      <c r="B1253" s="1">
        <v>44447.388235393519</v>
      </c>
      <c r="C1253" t="s">
        <v>2643</v>
      </c>
      <c r="D1253" t="s">
        <v>127</v>
      </c>
      <c r="E1253" t="s">
        <v>115</v>
      </c>
      <c r="F1253">
        <v>1.5</v>
      </c>
      <c r="G1253">
        <v>7</v>
      </c>
      <c r="H1253" t="s">
        <v>14</v>
      </c>
      <c r="I1253" t="s">
        <v>36</v>
      </c>
      <c r="J1253" t="s">
        <v>245</v>
      </c>
      <c r="K1253">
        <f>Pqp_supermarket_data[[#This Row],[Unit_Price]]*Pqp_supermarket_data[[#This Row],[Quantity]]</f>
        <v>10.5</v>
      </c>
      <c r="L1253" t="str">
        <f>TEXT(Pqp_supermarket_data[[#This Row],[DateTime]],"ddd")</f>
        <v>Wed</v>
      </c>
      <c r="M1253" t="str">
        <f>TEXT(Pqp_supermarket_data[[#This Row],[DateTime]],"mmm")</f>
        <v>Sep</v>
      </c>
      <c r="N1253" t="str">
        <f>TEXT(Pqp_supermarket_data[[#This Row],[DateTime]],"yyy")</f>
        <v>2021</v>
      </c>
    </row>
    <row r="1254" spans="1:14" x14ac:dyDescent="0.35">
      <c r="A1254" t="s">
        <v>2644</v>
      </c>
      <c r="B1254" s="1">
        <v>44383.762540960648</v>
      </c>
      <c r="C1254" t="s">
        <v>2645</v>
      </c>
      <c r="D1254" t="s">
        <v>44</v>
      </c>
      <c r="E1254" t="s">
        <v>148</v>
      </c>
      <c r="F1254">
        <v>5.5</v>
      </c>
      <c r="G1254">
        <v>6</v>
      </c>
      <c r="H1254" t="s">
        <v>14</v>
      </c>
      <c r="I1254" t="s">
        <v>21</v>
      </c>
      <c r="J1254" t="s">
        <v>485</v>
      </c>
      <c r="K1254">
        <f>Pqp_supermarket_data[[#This Row],[Unit_Price]]*Pqp_supermarket_data[[#This Row],[Quantity]]</f>
        <v>33</v>
      </c>
      <c r="L1254" t="str">
        <f>TEXT(Pqp_supermarket_data[[#This Row],[DateTime]],"ddd")</f>
        <v>Tue</v>
      </c>
      <c r="M1254" t="str">
        <f>TEXT(Pqp_supermarket_data[[#This Row],[DateTime]],"mmm")</f>
        <v>Jul</v>
      </c>
      <c r="N1254" t="str">
        <f>TEXT(Pqp_supermarket_data[[#This Row],[DateTime]],"yyy")</f>
        <v>2021</v>
      </c>
    </row>
    <row r="1255" spans="1:14" x14ac:dyDescent="0.35">
      <c r="A1255" t="s">
        <v>2646</v>
      </c>
      <c r="B1255" s="1">
        <v>44783.93754097222</v>
      </c>
      <c r="C1255" t="s">
        <v>2647</v>
      </c>
      <c r="D1255" t="s">
        <v>82</v>
      </c>
      <c r="E1255" t="s">
        <v>115</v>
      </c>
      <c r="F1255">
        <v>1.5</v>
      </c>
      <c r="G1255">
        <v>5</v>
      </c>
      <c r="H1255" t="s">
        <v>14</v>
      </c>
      <c r="I1255" t="s">
        <v>21</v>
      </c>
      <c r="J1255" t="s">
        <v>273</v>
      </c>
      <c r="K1255">
        <f>Pqp_supermarket_data[[#This Row],[Unit_Price]]*Pqp_supermarket_data[[#This Row],[Quantity]]</f>
        <v>7.5</v>
      </c>
      <c r="L1255" t="str">
        <f>TEXT(Pqp_supermarket_data[[#This Row],[DateTime]],"ddd")</f>
        <v>Wed</v>
      </c>
      <c r="M1255" t="str">
        <f>TEXT(Pqp_supermarket_data[[#This Row],[DateTime]],"mmm")</f>
        <v>Aug</v>
      </c>
      <c r="N1255" t="str">
        <f>TEXT(Pqp_supermarket_data[[#This Row],[DateTime]],"yyy")</f>
        <v>2022</v>
      </c>
    </row>
    <row r="1256" spans="1:14" x14ac:dyDescent="0.35">
      <c r="A1256" t="s">
        <v>2648</v>
      </c>
      <c r="B1256" s="1">
        <v>44920.443096527779</v>
      </c>
      <c r="C1256" t="s">
        <v>2649</v>
      </c>
      <c r="D1256" t="s">
        <v>82</v>
      </c>
      <c r="E1256" t="s">
        <v>53</v>
      </c>
      <c r="F1256">
        <v>2.8</v>
      </c>
      <c r="G1256">
        <v>10</v>
      </c>
      <c r="H1256" t="s">
        <v>14</v>
      </c>
      <c r="I1256" t="s">
        <v>15</v>
      </c>
      <c r="J1256" t="s">
        <v>236</v>
      </c>
      <c r="K1256">
        <f>Pqp_supermarket_data[[#This Row],[Unit_Price]]*Pqp_supermarket_data[[#This Row],[Quantity]]</f>
        <v>28</v>
      </c>
      <c r="L1256" t="str">
        <f>TEXT(Pqp_supermarket_data[[#This Row],[DateTime]],"ddd")</f>
        <v>Sun</v>
      </c>
      <c r="M1256" t="str">
        <f>TEXT(Pqp_supermarket_data[[#This Row],[DateTime]],"mmm")</f>
        <v>Dec</v>
      </c>
      <c r="N1256" t="str">
        <f>TEXT(Pqp_supermarket_data[[#This Row],[DateTime]],"yyy")</f>
        <v>2022</v>
      </c>
    </row>
    <row r="1257" spans="1:14" x14ac:dyDescent="0.35">
      <c r="A1257" t="s">
        <v>2650</v>
      </c>
      <c r="B1257" s="1">
        <v>44495.014624328702</v>
      </c>
      <c r="C1257" t="s">
        <v>2651</v>
      </c>
      <c r="D1257" t="s">
        <v>208</v>
      </c>
      <c r="E1257" t="s">
        <v>90</v>
      </c>
      <c r="F1257">
        <v>1.8</v>
      </c>
      <c r="G1257">
        <v>6</v>
      </c>
      <c r="H1257" t="s">
        <v>14</v>
      </c>
      <c r="I1257" t="s">
        <v>86</v>
      </c>
      <c r="J1257" t="s">
        <v>255</v>
      </c>
      <c r="K1257">
        <f>Pqp_supermarket_data[[#This Row],[Unit_Price]]*Pqp_supermarket_data[[#This Row],[Quantity]]</f>
        <v>10.8</v>
      </c>
      <c r="L1257" t="str">
        <f>TEXT(Pqp_supermarket_data[[#This Row],[DateTime]],"ddd")</f>
        <v>Tue</v>
      </c>
      <c r="M1257" t="str">
        <f>TEXT(Pqp_supermarket_data[[#This Row],[DateTime]],"mmm")</f>
        <v>Oct</v>
      </c>
      <c r="N1257" t="str">
        <f>TEXT(Pqp_supermarket_data[[#This Row],[DateTime]],"yyy")</f>
        <v>2021</v>
      </c>
    </row>
    <row r="1258" spans="1:14" x14ac:dyDescent="0.35">
      <c r="A1258" t="s">
        <v>2652</v>
      </c>
      <c r="B1258" s="1">
        <v>45326.696568796295</v>
      </c>
      <c r="C1258" t="s">
        <v>2653</v>
      </c>
      <c r="D1258" t="s">
        <v>12</v>
      </c>
      <c r="E1258" t="s">
        <v>111</v>
      </c>
      <c r="F1258">
        <v>2.2000000000000002</v>
      </c>
      <c r="G1258">
        <v>8</v>
      </c>
      <c r="H1258" t="s">
        <v>14</v>
      </c>
      <c r="I1258" t="s">
        <v>21</v>
      </c>
      <c r="J1258" t="s">
        <v>134</v>
      </c>
      <c r="K1258">
        <f>Pqp_supermarket_data[[#This Row],[Unit_Price]]*Pqp_supermarket_data[[#This Row],[Quantity]]</f>
        <v>17.600000000000001</v>
      </c>
      <c r="L1258" t="str">
        <f>TEXT(Pqp_supermarket_data[[#This Row],[DateTime]],"ddd")</f>
        <v>Sun</v>
      </c>
      <c r="M1258" t="str">
        <f>TEXT(Pqp_supermarket_data[[#This Row],[DateTime]],"mmm")</f>
        <v>Feb</v>
      </c>
      <c r="N1258" t="str">
        <f>TEXT(Pqp_supermarket_data[[#This Row],[DateTime]],"yyy")</f>
        <v>2024</v>
      </c>
    </row>
    <row r="1259" spans="1:14" x14ac:dyDescent="0.35">
      <c r="A1259" t="s">
        <v>2654</v>
      </c>
      <c r="B1259" s="1">
        <v>44460.889624363423</v>
      </c>
      <c r="C1259" t="s">
        <v>2655</v>
      </c>
      <c r="D1259" t="s">
        <v>127</v>
      </c>
      <c r="E1259" t="s">
        <v>70</v>
      </c>
      <c r="F1259">
        <v>5</v>
      </c>
      <c r="G1259">
        <v>7</v>
      </c>
      <c r="H1259" t="s">
        <v>14</v>
      </c>
      <c r="I1259" t="s">
        <v>40</v>
      </c>
      <c r="J1259" t="s">
        <v>470</v>
      </c>
      <c r="K1259">
        <f>Pqp_supermarket_data[[#This Row],[Unit_Price]]*Pqp_supermarket_data[[#This Row],[Quantity]]</f>
        <v>35</v>
      </c>
      <c r="L1259" t="str">
        <f>TEXT(Pqp_supermarket_data[[#This Row],[DateTime]],"ddd")</f>
        <v>Tue</v>
      </c>
      <c r="M1259" t="str">
        <f>TEXT(Pqp_supermarket_data[[#This Row],[DateTime]],"mmm")</f>
        <v>Sep</v>
      </c>
      <c r="N1259" t="str">
        <f>TEXT(Pqp_supermarket_data[[#This Row],[DateTime]],"yyy")</f>
        <v>2021</v>
      </c>
    </row>
    <row r="1260" spans="1:14" x14ac:dyDescent="0.35">
      <c r="A1260" t="s">
        <v>2656</v>
      </c>
      <c r="B1260" s="1">
        <v>45171.387541041666</v>
      </c>
      <c r="C1260" t="s">
        <v>2657</v>
      </c>
      <c r="D1260" t="s">
        <v>30</v>
      </c>
      <c r="E1260" t="s">
        <v>57</v>
      </c>
      <c r="F1260">
        <v>4.5</v>
      </c>
      <c r="G1260">
        <v>4</v>
      </c>
      <c r="H1260" t="s">
        <v>14</v>
      </c>
      <c r="I1260" t="s">
        <v>21</v>
      </c>
      <c r="J1260" t="s">
        <v>22</v>
      </c>
      <c r="K1260">
        <f>Pqp_supermarket_data[[#This Row],[Unit_Price]]*Pqp_supermarket_data[[#This Row],[Quantity]]</f>
        <v>18</v>
      </c>
      <c r="L1260" t="str">
        <f>TEXT(Pqp_supermarket_data[[#This Row],[DateTime]],"ddd")</f>
        <v>Sat</v>
      </c>
      <c r="M1260" t="str">
        <f>TEXT(Pqp_supermarket_data[[#This Row],[DateTime]],"mmm")</f>
        <v>Sep</v>
      </c>
      <c r="N1260" t="str">
        <f>TEXT(Pqp_supermarket_data[[#This Row],[DateTime]],"yyy")</f>
        <v>2023</v>
      </c>
    </row>
    <row r="1261" spans="1:14" x14ac:dyDescent="0.35">
      <c r="A1261" t="s">
        <v>2658</v>
      </c>
      <c r="B1261" s="1">
        <v>45180.807679942132</v>
      </c>
      <c r="C1261" t="s">
        <v>2659</v>
      </c>
      <c r="D1261" t="s">
        <v>85</v>
      </c>
      <c r="E1261" t="s">
        <v>65</v>
      </c>
      <c r="F1261">
        <v>3</v>
      </c>
      <c r="G1261">
        <v>1</v>
      </c>
      <c r="H1261" t="s">
        <v>14</v>
      </c>
      <c r="I1261" t="s">
        <v>21</v>
      </c>
      <c r="J1261" t="s">
        <v>192</v>
      </c>
      <c r="K1261">
        <f>Pqp_supermarket_data[[#This Row],[Unit_Price]]*Pqp_supermarket_data[[#This Row],[Quantity]]</f>
        <v>3</v>
      </c>
      <c r="L1261" t="str">
        <f>TEXT(Pqp_supermarket_data[[#This Row],[DateTime]],"ddd")</f>
        <v>Mon</v>
      </c>
      <c r="M1261" t="str">
        <f>TEXT(Pqp_supermarket_data[[#This Row],[DateTime]],"mmm")</f>
        <v>Sep</v>
      </c>
      <c r="N1261" t="str">
        <f>TEXT(Pqp_supermarket_data[[#This Row],[DateTime]],"yyy")</f>
        <v>2023</v>
      </c>
    </row>
    <row r="1262" spans="1:14" x14ac:dyDescent="0.35">
      <c r="A1262" t="s">
        <v>2660</v>
      </c>
      <c r="B1262" s="1">
        <v>44741.000041064814</v>
      </c>
      <c r="C1262" t="s">
        <v>2661</v>
      </c>
      <c r="D1262" t="s">
        <v>77</v>
      </c>
      <c r="E1262" t="s">
        <v>70</v>
      </c>
      <c r="F1262">
        <v>5</v>
      </c>
      <c r="G1262">
        <v>10</v>
      </c>
      <c r="H1262" t="s">
        <v>14</v>
      </c>
      <c r="I1262" t="s">
        <v>61</v>
      </c>
      <c r="J1262" t="s">
        <v>62</v>
      </c>
      <c r="K1262">
        <f>Pqp_supermarket_data[[#This Row],[Unit_Price]]*Pqp_supermarket_data[[#This Row],[Quantity]]</f>
        <v>50</v>
      </c>
      <c r="L1262" t="str">
        <f>TEXT(Pqp_supermarket_data[[#This Row],[DateTime]],"ddd")</f>
        <v>Wed</v>
      </c>
      <c r="M1262" t="str">
        <f>TEXT(Pqp_supermarket_data[[#This Row],[DateTime]],"mmm")</f>
        <v>Jun</v>
      </c>
      <c r="N1262" t="str">
        <f>TEXT(Pqp_supermarket_data[[#This Row],[DateTime]],"yyy")</f>
        <v>2022</v>
      </c>
    </row>
    <row r="1263" spans="1:14" x14ac:dyDescent="0.35">
      <c r="A1263" t="s">
        <v>2662</v>
      </c>
      <c r="B1263" s="1">
        <v>45264.806291076391</v>
      </c>
      <c r="C1263" t="s">
        <v>2663</v>
      </c>
      <c r="D1263" t="s">
        <v>226</v>
      </c>
      <c r="E1263" t="s">
        <v>90</v>
      </c>
      <c r="F1263">
        <v>1.8</v>
      </c>
      <c r="G1263">
        <v>1</v>
      </c>
      <c r="H1263" t="s">
        <v>14</v>
      </c>
      <c r="I1263" t="s">
        <v>40</v>
      </c>
      <c r="J1263" t="s">
        <v>202</v>
      </c>
      <c r="K1263">
        <f>Pqp_supermarket_data[[#This Row],[Unit_Price]]*Pqp_supermarket_data[[#This Row],[Quantity]]</f>
        <v>1.8</v>
      </c>
      <c r="L1263" t="str">
        <f>TEXT(Pqp_supermarket_data[[#This Row],[DateTime]],"ddd")</f>
        <v>Mon</v>
      </c>
      <c r="M1263" t="str">
        <f>TEXT(Pqp_supermarket_data[[#This Row],[DateTime]],"mmm")</f>
        <v>Dec</v>
      </c>
      <c r="N1263" t="str">
        <f>TEXT(Pqp_supermarket_data[[#This Row],[DateTime]],"yyy")</f>
        <v>2023</v>
      </c>
    </row>
    <row r="1264" spans="1:14" x14ac:dyDescent="0.35">
      <c r="A1264" t="s">
        <v>2664</v>
      </c>
      <c r="B1264" s="1">
        <v>44431.96879107639</v>
      </c>
      <c r="C1264" t="s">
        <v>2665</v>
      </c>
      <c r="D1264" t="s">
        <v>226</v>
      </c>
      <c r="E1264" t="s">
        <v>94</v>
      </c>
      <c r="F1264">
        <v>0.8</v>
      </c>
      <c r="G1264">
        <v>7</v>
      </c>
      <c r="H1264" t="s">
        <v>14</v>
      </c>
      <c r="I1264" t="s">
        <v>40</v>
      </c>
      <c r="J1264" t="s">
        <v>369</v>
      </c>
      <c r="K1264">
        <f>Pqp_supermarket_data[[#This Row],[Unit_Price]]*Pqp_supermarket_data[[#This Row],[Quantity]]</f>
        <v>5.6000000000000005</v>
      </c>
      <c r="L1264" t="str">
        <f>TEXT(Pqp_supermarket_data[[#This Row],[DateTime]],"ddd")</f>
        <v>Mon</v>
      </c>
      <c r="M1264" t="str">
        <f>TEXT(Pqp_supermarket_data[[#This Row],[DateTime]],"mmm")</f>
        <v>Aug</v>
      </c>
      <c r="N1264" t="str">
        <f>TEXT(Pqp_supermarket_data[[#This Row],[DateTime]],"yyy")</f>
        <v>2021</v>
      </c>
    </row>
    <row r="1265" spans="1:14" x14ac:dyDescent="0.35">
      <c r="A1265" t="s">
        <v>2666</v>
      </c>
      <c r="B1265" s="1">
        <v>44933.629902199071</v>
      </c>
      <c r="C1265" t="s">
        <v>2667</v>
      </c>
      <c r="D1265" t="s">
        <v>44</v>
      </c>
      <c r="E1265" t="s">
        <v>119</v>
      </c>
      <c r="F1265">
        <v>4</v>
      </c>
      <c r="G1265">
        <v>8</v>
      </c>
      <c r="H1265" t="s">
        <v>14</v>
      </c>
      <c r="I1265" t="s">
        <v>36</v>
      </c>
      <c r="J1265" t="s">
        <v>31</v>
      </c>
      <c r="K1265">
        <f>Pqp_supermarket_data[[#This Row],[Unit_Price]]*Pqp_supermarket_data[[#This Row],[Quantity]]</f>
        <v>32</v>
      </c>
      <c r="L1265" t="str">
        <f>TEXT(Pqp_supermarket_data[[#This Row],[DateTime]],"ddd")</f>
        <v>Sat</v>
      </c>
      <c r="M1265" t="str">
        <f>TEXT(Pqp_supermarket_data[[#This Row],[DateTime]],"mmm")</f>
        <v>Jan</v>
      </c>
      <c r="N1265" t="str">
        <f>TEXT(Pqp_supermarket_data[[#This Row],[DateTime]],"yyy")</f>
        <v>2023</v>
      </c>
    </row>
    <row r="1266" spans="1:14" x14ac:dyDescent="0.35">
      <c r="A1266" t="s">
        <v>2668</v>
      </c>
      <c r="B1266" s="1">
        <v>44509.211846655089</v>
      </c>
      <c r="C1266" t="s">
        <v>2669</v>
      </c>
      <c r="D1266" t="s">
        <v>19</v>
      </c>
      <c r="E1266" t="s">
        <v>94</v>
      </c>
      <c r="F1266">
        <v>0.8</v>
      </c>
      <c r="G1266">
        <v>4</v>
      </c>
      <c r="H1266" t="s">
        <v>14</v>
      </c>
      <c r="I1266" t="s">
        <v>15</v>
      </c>
      <c r="J1266" t="s">
        <v>369</v>
      </c>
      <c r="K1266">
        <f>Pqp_supermarket_data[[#This Row],[Unit_Price]]*Pqp_supermarket_data[[#This Row],[Quantity]]</f>
        <v>3.2</v>
      </c>
      <c r="L1266" t="str">
        <f>TEXT(Pqp_supermarket_data[[#This Row],[DateTime]],"ddd")</f>
        <v>Tue</v>
      </c>
      <c r="M1266" t="str">
        <f>TEXT(Pqp_supermarket_data[[#This Row],[DateTime]],"mmm")</f>
        <v>Nov</v>
      </c>
      <c r="N1266" t="str">
        <f>TEXT(Pqp_supermarket_data[[#This Row],[DateTime]],"yyy")</f>
        <v>2021</v>
      </c>
    </row>
    <row r="1267" spans="1:14" x14ac:dyDescent="0.35">
      <c r="A1267" t="s">
        <v>2670</v>
      </c>
      <c r="B1267" s="1">
        <v>44549.188235543981</v>
      </c>
      <c r="C1267" t="s">
        <v>2671</v>
      </c>
      <c r="D1267" t="s">
        <v>30</v>
      </c>
      <c r="E1267" t="s">
        <v>148</v>
      </c>
      <c r="F1267">
        <v>5.5</v>
      </c>
      <c r="G1267">
        <v>7</v>
      </c>
      <c r="H1267" t="s">
        <v>14</v>
      </c>
      <c r="I1267" t="s">
        <v>21</v>
      </c>
      <c r="J1267" t="s">
        <v>397</v>
      </c>
      <c r="K1267">
        <f>Pqp_supermarket_data[[#This Row],[Unit_Price]]*Pqp_supermarket_data[[#This Row],[Quantity]]</f>
        <v>38.5</v>
      </c>
      <c r="L1267" t="str">
        <f>TEXT(Pqp_supermarket_data[[#This Row],[DateTime]],"ddd")</f>
        <v>Sun</v>
      </c>
      <c r="M1267" t="str">
        <f>TEXT(Pqp_supermarket_data[[#This Row],[DateTime]],"mmm")</f>
        <v>Dec</v>
      </c>
      <c r="N1267" t="str">
        <f>TEXT(Pqp_supermarket_data[[#This Row],[DateTime]],"yyy")</f>
        <v>2021</v>
      </c>
    </row>
    <row r="1268" spans="1:14" x14ac:dyDescent="0.35">
      <c r="A1268" t="s">
        <v>2672</v>
      </c>
      <c r="B1268" s="1">
        <v>45775.05490221065</v>
      </c>
      <c r="C1268" t="s">
        <v>2673</v>
      </c>
      <c r="D1268" t="s">
        <v>208</v>
      </c>
      <c r="E1268" t="s">
        <v>94</v>
      </c>
      <c r="F1268">
        <v>0.8</v>
      </c>
      <c r="G1268">
        <v>8</v>
      </c>
      <c r="H1268" t="s">
        <v>14</v>
      </c>
      <c r="I1268" t="s">
        <v>86</v>
      </c>
      <c r="J1268" t="s">
        <v>320</v>
      </c>
      <c r="K1268">
        <f>Pqp_supermarket_data[[#This Row],[Unit_Price]]*Pqp_supermarket_data[[#This Row],[Quantity]]</f>
        <v>6.4</v>
      </c>
      <c r="L1268" t="str">
        <f>TEXT(Pqp_supermarket_data[[#This Row],[DateTime]],"ddd")</f>
        <v>Mon</v>
      </c>
      <c r="M1268" t="str">
        <f>TEXT(Pqp_supermarket_data[[#This Row],[DateTime]],"mmm")</f>
        <v>Apr</v>
      </c>
      <c r="N1268" t="str">
        <f>TEXT(Pqp_supermarket_data[[#This Row],[DateTime]],"yyy")</f>
        <v>2025</v>
      </c>
    </row>
    <row r="1269" spans="1:14" x14ac:dyDescent="0.35">
      <c r="A1269" t="s">
        <v>2674</v>
      </c>
      <c r="B1269" s="1">
        <v>44956.652124444445</v>
      </c>
      <c r="C1269" t="s">
        <v>2675</v>
      </c>
      <c r="D1269" t="s">
        <v>171</v>
      </c>
      <c r="E1269" t="s">
        <v>115</v>
      </c>
      <c r="F1269">
        <v>1.5</v>
      </c>
      <c r="G1269">
        <v>5</v>
      </c>
      <c r="H1269" t="s">
        <v>14</v>
      </c>
      <c r="I1269" t="s">
        <v>21</v>
      </c>
      <c r="J1269" t="s">
        <v>262</v>
      </c>
      <c r="K1269">
        <f>Pqp_supermarket_data[[#This Row],[Unit_Price]]*Pqp_supermarket_data[[#This Row],[Quantity]]</f>
        <v>7.5</v>
      </c>
      <c r="L1269" t="str">
        <f>TEXT(Pqp_supermarket_data[[#This Row],[DateTime]],"ddd")</f>
        <v>Mon</v>
      </c>
      <c r="M1269" t="str">
        <f>TEXT(Pqp_supermarket_data[[#This Row],[DateTime]],"mmm")</f>
        <v>Jan</v>
      </c>
      <c r="N1269" t="str">
        <f>TEXT(Pqp_supermarket_data[[#This Row],[DateTime]],"yyy")</f>
        <v>2023</v>
      </c>
    </row>
    <row r="1270" spans="1:14" x14ac:dyDescent="0.35">
      <c r="A1270" t="s">
        <v>2676</v>
      </c>
      <c r="B1270" s="1">
        <v>45047.613235567129</v>
      </c>
      <c r="C1270" t="s">
        <v>2677</v>
      </c>
      <c r="D1270" t="s">
        <v>12</v>
      </c>
      <c r="E1270" t="s">
        <v>49</v>
      </c>
      <c r="F1270">
        <v>7</v>
      </c>
      <c r="G1270">
        <v>5</v>
      </c>
      <c r="H1270" t="s">
        <v>14</v>
      </c>
      <c r="I1270" t="s">
        <v>40</v>
      </c>
      <c r="J1270" t="s">
        <v>295</v>
      </c>
      <c r="K1270">
        <f>Pqp_supermarket_data[[#This Row],[Unit_Price]]*Pqp_supermarket_data[[#This Row],[Quantity]]</f>
        <v>35</v>
      </c>
      <c r="L1270" t="str">
        <f>TEXT(Pqp_supermarket_data[[#This Row],[DateTime]],"ddd")</f>
        <v>Mon</v>
      </c>
      <c r="M1270" t="str">
        <f>TEXT(Pqp_supermarket_data[[#This Row],[DateTime]],"mmm")</f>
        <v>May</v>
      </c>
      <c r="N1270" t="str">
        <f>TEXT(Pqp_supermarket_data[[#This Row],[DateTime]],"yyy")</f>
        <v>2023</v>
      </c>
    </row>
    <row r="1271" spans="1:14" x14ac:dyDescent="0.35">
      <c r="A1271" t="s">
        <v>2678</v>
      </c>
      <c r="B1271" s="1">
        <v>45510.551430011576</v>
      </c>
      <c r="C1271" t="s">
        <v>2679</v>
      </c>
      <c r="D1271" t="s">
        <v>77</v>
      </c>
      <c r="E1271" t="s">
        <v>35</v>
      </c>
      <c r="F1271">
        <v>1.2</v>
      </c>
      <c r="G1271">
        <v>4</v>
      </c>
      <c r="H1271" t="s">
        <v>14</v>
      </c>
      <c r="I1271" t="s">
        <v>40</v>
      </c>
      <c r="J1271" t="s">
        <v>212</v>
      </c>
      <c r="K1271">
        <f>Pqp_supermarket_data[[#This Row],[Unit_Price]]*Pqp_supermarket_data[[#This Row],[Quantity]]</f>
        <v>4.8</v>
      </c>
      <c r="L1271" t="str">
        <f>TEXT(Pqp_supermarket_data[[#This Row],[DateTime]],"ddd")</f>
        <v>Tue</v>
      </c>
      <c r="M1271" t="str">
        <f>TEXT(Pqp_supermarket_data[[#This Row],[DateTime]],"mmm")</f>
        <v>Aug</v>
      </c>
      <c r="N1271" t="str">
        <f>TEXT(Pqp_supermarket_data[[#This Row],[DateTime]],"yyy")</f>
        <v>2024</v>
      </c>
    </row>
    <row r="1272" spans="1:14" x14ac:dyDescent="0.35">
      <c r="A1272" t="s">
        <v>2680</v>
      </c>
      <c r="B1272" s="1">
        <v>44800.720180011573</v>
      </c>
      <c r="C1272" t="s">
        <v>2681</v>
      </c>
      <c r="D1272" t="s">
        <v>30</v>
      </c>
      <c r="E1272" t="s">
        <v>26</v>
      </c>
      <c r="F1272">
        <v>2.5</v>
      </c>
      <c r="G1272">
        <v>7</v>
      </c>
      <c r="H1272" t="s">
        <v>14</v>
      </c>
      <c r="I1272" t="s">
        <v>36</v>
      </c>
      <c r="J1272" t="s">
        <v>183</v>
      </c>
      <c r="K1272">
        <f>Pqp_supermarket_data[[#This Row],[Unit_Price]]*Pqp_supermarket_data[[#This Row],[Quantity]]</f>
        <v>17.5</v>
      </c>
      <c r="L1272" t="str">
        <f>TEXT(Pqp_supermarket_data[[#This Row],[DateTime]],"ddd")</f>
        <v>Sat</v>
      </c>
      <c r="M1272" t="str">
        <f>TEXT(Pqp_supermarket_data[[#This Row],[DateTime]],"mmm")</f>
        <v>Aug</v>
      </c>
      <c r="N1272" t="str">
        <f>TEXT(Pqp_supermarket_data[[#This Row],[DateTime]],"yyy")</f>
        <v>2022</v>
      </c>
    </row>
    <row r="1273" spans="1:14" x14ac:dyDescent="0.35">
      <c r="A1273" t="s">
        <v>2682</v>
      </c>
      <c r="B1273" s="1">
        <v>45396.463235578703</v>
      </c>
      <c r="C1273" t="s">
        <v>2683</v>
      </c>
      <c r="D1273" t="s">
        <v>226</v>
      </c>
      <c r="E1273" t="s">
        <v>70</v>
      </c>
      <c r="F1273">
        <v>5</v>
      </c>
      <c r="G1273">
        <v>3</v>
      </c>
      <c r="H1273" t="s">
        <v>14</v>
      </c>
      <c r="I1273" t="s">
        <v>86</v>
      </c>
      <c r="J1273" t="s">
        <v>22</v>
      </c>
      <c r="K1273">
        <f>Pqp_supermarket_data[[#This Row],[Unit_Price]]*Pqp_supermarket_data[[#This Row],[Quantity]]</f>
        <v>15</v>
      </c>
      <c r="L1273" t="str">
        <f>TEXT(Pqp_supermarket_data[[#This Row],[DateTime]],"ddd")</f>
        <v>Sun</v>
      </c>
      <c r="M1273" t="str">
        <f>TEXT(Pqp_supermarket_data[[#This Row],[DateTime]],"mmm")</f>
        <v>Apr</v>
      </c>
      <c r="N1273" t="str">
        <f>TEXT(Pqp_supermarket_data[[#This Row],[DateTime]],"yyy")</f>
        <v>2024</v>
      </c>
    </row>
    <row r="1274" spans="1:14" x14ac:dyDescent="0.35">
      <c r="A1274" t="s">
        <v>2684</v>
      </c>
      <c r="B1274" s="1">
        <v>45742.427818912038</v>
      </c>
      <c r="C1274" t="s">
        <v>2685</v>
      </c>
      <c r="D1274" t="s">
        <v>19</v>
      </c>
      <c r="E1274" t="s">
        <v>111</v>
      </c>
      <c r="F1274">
        <v>2.2000000000000002</v>
      </c>
      <c r="G1274">
        <v>8</v>
      </c>
      <c r="H1274" t="s">
        <v>14</v>
      </c>
      <c r="I1274" t="s">
        <v>86</v>
      </c>
      <c r="J1274" t="s">
        <v>122</v>
      </c>
      <c r="K1274">
        <f>Pqp_supermarket_data[[#This Row],[Unit_Price]]*Pqp_supermarket_data[[#This Row],[Quantity]]</f>
        <v>17.600000000000001</v>
      </c>
      <c r="L1274" t="str">
        <f>TEXT(Pqp_supermarket_data[[#This Row],[DateTime]],"ddd")</f>
        <v>Wed</v>
      </c>
      <c r="M1274" t="str">
        <f>TEXT(Pqp_supermarket_data[[#This Row],[DateTime]],"mmm")</f>
        <v>Mar</v>
      </c>
      <c r="N1274" t="str">
        <f>TEXT(Pqp_supermarket_data[[#This Row],[DateTime]],"yyy")</f>
        <v>2025</v>
      </c>
    </row>
    <row r="1275" spans="1:14" x14ac:dyDescent="0.35">
      <c r="A1275" t="s">
        <v>2686</v>
      </c>
      <c r="B1275" s="1">
        <v>45745.950735578706</v>
      </c>
      <c r="C1275" t="s">
        <v>2687</v>
      </c>
      <c r="D1275" t="s">
        <v>25</v>
      </c>
      <c r="E1275" t="s">
        <v>78</v>
      </c>
      <c r="F1275">
        <v>4</v>
      </c>
      <c r="G1275">
        <v>5</v>
      </c>
      <c r="H1275" t="s">
        <v>14</v>
      </c>
      <c r="I1275" t="s">
        <v>21</v>
      </c>
      <c r="J1275" t="s">
        <v>662</v>
      </c>
      <c r="K1275">
        <f>Pqp_supermarket_data[[#This Row],[Unit_Price]]*Pqp_supermarket_data[[#This Row],[Quantity]]</f>
        <v>20</v>
      </c>
      <c r="L1275" t="str">
        <f>TEXT(Pqp_supermarket_data[[#This Row],[DateTime]],"ddd")</f>
        <v>Sat</v>
      </c>
      <c r="M1275" t="str">
        <f>TEXT(Pqp_supermarket_data[[#This Row],[DateTime]],"mmm")</f>
        <v>Mar</v>
      </c>
      <c r="N1275" t="str">
        <f>TEXT(Pqp_supermarket_data[[#This Row],[DateTime]],"yyy")</f>
        <v>2025</v>
      </c>
    </row>
    <row r="1276" spans="1:14" x14ac:dyDescent="0.35">
      <c r="A1276" t="s">
        <v>2688</v>
      </c>
      <c r="B1276" s="1">
        <v>45682.143096701388</v>
      </c>
      <c r="C1276" t="s">
        <v>2689</v>
      </c>
      <c r="D1276" t="s">
        <v>77</v>
      </c>
      <c r="E1276" t="s">
        <v>145</v>
      </c>
      <c r="F1276">
        <v>1.7</v>
      </c>
      <c r="G1276">
        <v>7</v>
      </c>
      <c r="H1276" t="s">
        <v>14</v>
      </c>
      <c r="I1276" t="s">
        <v>86</v>
      </c>
      <c r="J1276" t="s">
        <v>202</v>
      </c>
      <c r="K1276">
        <f>Pqp_supermarket_data[[#This Row],[Unit_Price]]*Pqp_supermarket_data[[#This Row],[Quantity]]</f>
        <v>11.9</v>
      </c>
      <c r="L1276" t="str">
        <f>TEXT(Pqp_supermarket_data[[#This Row],[DateTime]],"ddd")</f>
        <v>Sat</v>
      </c>
      <c r="M1276" t="str">
        <f>TEXT(Pqp_supermarket_data[[#This Row],[DateTime]],"mmm")</f>
        <v>Jan</v>
      </c>
      <c r="N1276" t="str">
        <f>TEXT(Pqp_supermarket_data[[#This Row],[DateTime]],"yyy")</f>
        <v>2025</v>
      </c>
    </row>
    <row r="1277" spans="1:14" x14ac:dyDescent="0.35">
      <c r="A1277" t="s">
        <v>2690</v>
      </c>
      <c r="B1277" s="1">
        <v>44600.736152256941</v>
      </c>
      <c r="C1277" t="s">
        <v>2691</v>
      </c>
      <c r="D1277" t="s">
        <v>85</v>
      </c>
      <c r="E1277" t="s">
        <v>57</v>
      </c>
      <c r="F1277">
        <v>4.5</v>
      </c>
      <c r="G1277">
        <v>1</v>
      </c>
      <c r="H1277" t="s">
        <v>14</v>
      </c>
      <c r="I1277" t="s">
        <v>86</v>
      </c>
      <c r="J1277" t="s">
        <v>548</v>
      </c>
      <c r="K1277">
        <f>Pqp_supermarket_data[[#This Row],[Unit_Price]]*Pqp_supermarket_data[[#This Row],[Quantity]]</f>
        <v>4.5</v>
      </c>
      <c r="L1277" t="str">
        <f>TEXT(Pqp_supermarket_data[[#This Row],[DateTime]],"ddd")</f>
        <v>Tue</v>
      </c>
      <c r="M1277" t="str">
        <f>TEXT(Pqp_supermarket_data[[#This Row],[DateTime]],"mmm")</f>
        <v>Feb</v>
      </c>
      <c r="N1277" t="str">
        <f>TEXT(Pqp_supermarket_data[[#This Row],[DateTime]],"yyy")</f>
        <v>2022</v>
      </c>
    </row>
    <row r="1278" spans="1:14" x14ac:dyDescent="0.35">
      <c r="A1278" t="s">
        <v>2692</v>
      </c>
      <c r="B1278" s="1">
        <v>44790.867402256947</v>
      </c>
      <c r="C1278" t="s">
        <v>2693</v>
      </c>
      <c r="D1278" t="s">
        <v>12</v>
      </c>
      <c r="E1278" t="s">
        <v>45</v>
      </c>
      <c r="F1278">
        <v>1</v>
      </c>
      <c r="G1278">
        <v>8</v>
      </c>
      <c r="H1278" t="s">
        <v>14</v>
      </c>
      <c r="I1278" t="s">
        <v>15</v>
      </c>
      <c r="J1278" t="s">
        <v>541</v>
      </c>
      <c r="K1278">
        <f>Pqp_supermarket_data[[#This Row],[Unit_Price]]*Pqp_supermarket_data[[#This Row],[Quantity]]</f>
        <v>8</v>
      </c>
      <c r="L1278" t="str">
        <f>TEXT(Pqp_supermarket_data[[#This Row],[DateTime]],"ddd")</f>
        <v>Wed</v>
      </c>
      <c r="M1278" t="str">
        <f>TEXT(Pqp_supermarket_data[[#This Row],[DateTime]],"mmm")</f>
        <v>Aug</v>
      </c>
      <c r="N1278" t="str">
        <f>TEXT(Pqp_supermarket_data[[#This Row],[DateTime]],"yyy")</f>
        <v>2022</v>
      </c>
    </row>
    <row r="1279" spans="1:14" x14ac:dyDescent="0.35">
      <c r="A1279" t="s">
        <v>2694</v>
      </c>
      <c r="B1279" s="1">
        <v>45661.892402256941</v>
      </c>
      <c r="C1279" t="s">
        <v>2695</v>
      </c>
      <c r="D1279" t="s">
        <v>82</v>
      </c>
      <c r="E1279" t="s">
        <v>119</v>
      </c>
      <c r="F1279">
        <v>4</v>
      </c>
      <c r="G1279">
        <v>6</v>
      </c>
      <c r="H1279" t="s">
        <v>14</v>
      </c>
      <c r="I1279" t="s">
        <v>21</v>
      </c>
      <c r="J1279" t="s">
        <v>95</v>
      </c>
      <c r="K1279">
        <f>Pqp_supermarket_data[[#This Row],[Unit_Price]]*Pqp_supermarket_data[[#This Row],[Quantity]]</f>
        <v>24</v>
      </c>
      <c r="L1279" t="str">
        <f>TEXT(Pqp_supermarket_data[[#This Row],[DateTime]],"ddd")</f>
        <v>Sat</v>
      </c>
      <c r="M1279" t="str">
        <f>TEXT(Pqp_supermarket_data[[#This Row],[DateTime]],"mmm")</f>
        <v>Jan</v>
      </c>
      <c r="N1279" t="str">
        <f>TEXT(Pqp_supermarket_data[[#This Row],[DateTime]],"yyy")</f>
        <v>2025</v>
      </c>
    </row>
    <row r="1280" spans="1:14" x14ac:dyDescent="0.35">
      <c r="A1280" t="s">
        <v>2696</v>
      </c>
      <c r="B1280" s="1">
        <v>45237.708374490743</v>
      </c>
      <c r="C1280" t="s">
        <v>2697</v>
      </c>
      <c r="D1280" t="s">
        <v>19</v>
      </c>
      <c r="E1280" t="s">
        <v>115</v>
      </c>
      <c r="F1280">
        <v>1.5</v>
      </c>
      <c r="G1280">
        <v>2</v>
      </c>
      <c r="H1280" t="s">
        <v>14</v>
      </c>
      <c r="I1280" t="s">
        <v>86</v>
      </c>
      <c r="J1280" t="s">
        <v>215</v>
      </c>
      <c r="K1280">
        <f>Pqp_supermarket_data[[#This Row],[Unit_Price]]*Pqp_supermarket_data[[#This Row],[Quantity]]</f>
        <v>3</v>
      </c>
      <c r="L1280" t="str">
        <f>TEXT(Pqp_supermarket_data[[#This Row],[DateTime]],"ddd")</f>
        <v>Tue</v>
      </c>
      <c r="M1280" t="str">
        <f>TEXT(Pqp_supermarket_data[[#This Row],[DateTime]],"mmm")</f>
        <v>Nov</v>
      </c>
      <c r="N1280" t="str">
        <f>TEXT(Pqp_supermarket_data[[#This Row],[DateTime]],"yyy")</f>
        <v>2023</v>
      </c>
    </row>
    <row r="1281" spans="1:14" x14ac:dyDescent="0.35">
      <c r="A1281" t="s">
        <v>2698</v>
      </c>
      <c r="B1281" s="1">
        <v>44463.08198560185</v>
      </c>
      <c r="C1281" t="s">
        <v>2699</v>
      </c>
      <c r="D1281" t="s">
        <v>12</v>
      </c>
      <c r="E1281" t="s">
        <v>145</v>
      </c>
      <c r="F1281">
        <v>1.7</v>
      </c>
      <c r="G1281">
        <v>1</v>
      </c>
      <c r="H1281" t="s">
        <v>14</v>
      </c>
      <c r="I1281" t="s">
        <v>15</v>
      </c>
      <c r="J1281" t="s">
        <v>429</v>
      </c>
      <c r="K1281">
        <f>Pqp_supermarket_data[[#This Row],[Unit_Price]]*Pqp_supermarket_data[[#This Row],[Quantity]]</f>
        <v>1.7</v>
      </c>
      <c r="L1281" t="str">
        <f>TEXT(Pqp_supermarket_data[[#This Row],[DateTime]],"ddd")</f>
        <v>Fri</v>
      </c>
      <c r="M1281" t="str">
        <f>TEXT(Pqp_supermarket_data[[#This Row],[DateTime]],"mmm")</f>
        <v>Sep</v>
      </c>
      <c r="N1281" t="str">
        <f>TEXT(Pqp_supermarket_data[[#This Row],[DateTime]],"yyy")</f>
        <v>2021</v>
      </c>
    </row>
    <row r="1282" spans="1:14" x14ac:dyDescent="0.35">
      <c r="A1282" t="s">
        <v>2700</v>
      </c>
      <c r="B1282" s="1">
        <v>45392.919485601851</v>
      </c>
      <c r="C1282" t="s">
        <v>2701</v>
      </c>
      <c r="D1282" t="s">
        <v>98</v>
      </c>
      <c r="E1282" t="s">
        <v>26</v>
      </c>
      <c r="F1282">
        <v>2.5</v>
      </c>
      <c r="G1282">
        <v>9</v>
      </c>
      <c r="H1282" t="s">
        <v>14</v>
      </c>
      <c r="I1282" t="s">
        <v>15</v>
      </c>
      <c r="J1282" t="s">
        <v>131</v>
      </c>
      <c r="K1282">
        <f>Pqp_supermarket_data[[#This Row],[Unit_Price]]*Pqp_supermarket_data[[#This Row],[Quantity]]</f>
        <v>22.5</v>
      </c>
      <c r="L1282" t="str">
        <f>TEXT(Pqp_supermarket_data[[#This Row],[DateTime]],"ddd")</f>
        <v>Wed</v>
      </c>
      <c r="M1282" t="str">
        <f>TEXT(Pqp_supermarket_data[[#This Row],[DateTime]],"mmm")</f>
        <v>Apr</v>
      </c>
      <c r="N1282" t="str">
        <f>TEXT(Pqp_supermarket_data[[#This Row],[DateTime]],"yyy")</f>
        <v>2024</v>
      </c>
    </row>
    <row r="1283" spans="1:14" x14ac:dyDescent="0.35">
      <c r="A1283" t="s">
        <v>2702</v>
      </c>
      <c r="B1283" s="1">
        <v>44384.102818946762</v>
      </c>
      <c r="C1283" t="s">
        <v>2703</v>
      </c>
      <c r="D1283" t="s">
        <v>171</v>
      </c>
      <c r="E1283" t="s">
        <v>70</v>
      </c>
      <c r="F1283">
        <v>5</v>
      </c>
      <c r="G1283">
        <v>3</v>
      </c>
      <c r="H1283" t="s">
        <v>14</v>
      </c>
      <c r="I1283" t="s">
        <v>61</v>
      </c>
      <c r="J1283" t="s">
        <v>105</v>
      </c>
      <c r="K1283">
        <f>Pqp_supermarket_data[[#This Row],[Unit_Price]]*Pqp_supermarket_data[[#This Row],[Quantity]]</f>
        <v>15</v>
      </c>
      <c r="L1283" t="str">
        <f>TEXT(Pqp_supermarket_data[[#This Row],[DateTime]],"ddd")</f>
        <v>Wed</v>
      </c>
      <c r="M1283" t="str">
        <f>TEXT(Pqp_supermarket_data[[#This Row],[DateTime]],"mmm")</f>
        <v>Jul</v>
      </c>
      <c r="N1283" t="str">
        <f>TEXT(Pqp_supermarket_data[[#This Row],[DateTime]],"yyy")</f>
        <v>2021</v>
      </c>
    </row>
    <row r="1284" spans="1:14" x14ac:dyDescent="0.35">
      <c r="A1284" t="s">
        <v>2704</v>
      </c>
      <c r="B1284" s="1">
        <v>44330.041707835648</v>
      </c>
      <c r="C1284" t="s">
        <v>2705</v>
      </c>
      <c r="D1284" t="s">
        <v>34</v>
      </c>
      <c r="E1284" t="s">
        <v>53</v>
      </c>
      <c r="F1284">
        <v>2.8</v>
      </c>
      <c r="G1284">
        <v>8</v>
      </c>
      <c r="H1284" t="s">
        <v>14</v>
      </c>
      <c r="I1284" t="s">
        <v>15</v>
      </c>
      <c r="J1284" t="s">
        <v>215</v>
      </c>
      <c r="K1284">
        <f>Pqp_supermarket_data[[#This Row],[Unit_Price]]*Pqp_supermarket_data[[#This Row],[Quantity]]</f>
        <v>22.4</v>
      </c>
      <c r="L1284" t="str">
        <f>TEXT(Pqp_supermarket_data[[#This Row],[DateTime]],"ddd")</f>
        <v>Fri</v>
      </c>
      <c r="M1284" t="str">
        <f>TEXT(Pqp_supermarket_data[[#This Row],[DateTime]],"mmm")</f>
        <v>May</v>
      </c>
      <c r="N1284" t="str">
        <f>TEXT(Pqp_supermarket_data[[#This Row],[DateTime]],"yyy")</f>
        <v>2021</v>
      </c>
    </row>
    <row r="1285" spans="1:14" x14ac:dyDescent="0.35">
      <c r="A1285" t="s">
        <v>2706</v>
      </c>
      <c r="B1285" s="1">
        <v>45362.154207847219</v>
      </c>
      <c r="C1285" t="s">
        <v>2707</v>
      </c>
      <c r="D1285" t="s">
        <v>12</v>
      </c>
      <c r="E1285" t="s">
        <v>65</v>
      </c>
      <c r="F1285">
        <v>3</v>
      </c>
      <c r="G1285">
        <v>8</v>
      </c>
      <c r="H1285" t="s">
        <v>14</v>
      </c>
      <c r="I1285" t="s">
        <v>15</v>
      </c>
      <c r="J1285" t="s">
        <v>218</v>
      </c>
      <c r="K1285">
        <f>Pqp_supermarket_data[[#This Row],[Unit_Price]]*Pqp_supermarket_data[[#This Row],[Quantity]]</f>
        <v>24</v>
      </c>
      <c r="L1285" t="str">
        <f>TEXT(Pqp_supermarket_data[[#This Row],[DateTime]],"ddd")</f>
        <v>Mon</v>
      </c>
      <c r="M1285" t="str">
        <f>TEXT(Pqp_supermarket_data[[#This Row],[DateTime]],"mmm")</f>
        <v>Mar</v>
      </c>
      <c r="N1285" t="str">
        <f>TEXT(Pqp_supermarket_data[[#This Row],[DateTime]],"yyy")</f>
        <v>2024</v>
      </c>
    </row>
    <row r="1286" spans="1:14" x14ac:dyDescent="0.35">
      <c r="A1286" t="s">
        <v>2708</v>
      </c>
      <c r="B1286" s="1">
        <v>45378.325041192133</v>
      </c>
      <c r="C1286" t="s">
        <v>2709</v>
      </c>
      <c r="D1286" t="s">
        <v>98</v>
      </c>
      <c r="E1286" t="s">
        <v>148</v>
      </c>
      <c r="F1286">
        <v>5.5</v>
      </c>
      <c r="G1286">
        <v>7</v>
      </c>
      <c r="H1286" t="s">
        <v>14</v>
      </c>
      <c r="I1286" t="s">
        <v>86</v>
      </c>
      <c r="J1286" t="s">
        <v>108</v>
      </c>
      <c r="K1286">
        <f>Pqp_supermarket_data[[#This Row],[Unit_Price]]*Pqp_supermarket_data[[#This Row],[Quantity]]</f>
        <v>38.5</v>
      </c>
      <c r="L1286" t="str">
        <f>TEXT(Pqp_supermarket_data[[#This Row],[DateTime]],"ddd")</f>
        <v>Wed</v>
      </c>
      <c r="M1286" t="str">
        <f>TEXT(Pqp_supermarket_data[[#This Row],[DateTime]],"mmm")</f>
        <v>Mar</v>
      </c>
      <c r="N1286" t="str">
        <f>TEXT(Pqp_supermarket_data[[#This Row],[DateTime]],"yyy")</f>
        <v>2024</v>
      </c>
    </row>
    <row r="1287" spans="1:14" x14ac:dyDescent="0.35">
      <c r="A1287" t="s">
        <v>2710</v>
      </c>
      <c r="B1287" s="1">
        <v>45306.28545787037</v>
      </c>
      <c r="C1287" t="s">
        <v>2711</v>
      </c>
      <c r="D1287" t="s">
        <v>208</v>
      </c>
      <c r="E1287" t="s">
        <v>35</v>
      </c>
      <c r="F1287">
        <v>1.2</v>
      </c>
      <c r="G1287">
        <v>6</v>
      </c>
      <c r="H1287" t="s">
        <v>14</v>
      </c>
      <c r="I1287" t="s">
        <v>61</v>
      </c>
      <c r="J1287" t="s">
        <v>62</v>
      </c>
      <c r="K1287">
        <f>Pqp_supermarket_data[[#This Row],[Unit_Price]]*Pqp_supermarket_data[[#This Row],[Quantity]]</f>
        <v>7.1999999999999993</v>
      </c>
      <c r="L1287" t="str">
        <f>TEXT(Pqp_supermarket_data[[#This Row],[DateTime]],"ddd")</f>
        <v>Mon</v>
      </c>
      <c r="M1287" t="str">
        <f>TEXT(Pqp_supermarket_data[[#This Row],[DateTime]],"mmm")</f>
        <v>Jan</v>
      </c>
      <c r="N1287" t="str">
        <f>TEXT(Pqp_supermarket_data[[#This Row],[DateTime]],"yyy")</f>
        <v>2024</v>
      </c>
    </row>
    <row r="1288" spans="1:14" x14ac:dyDescent="0.35">
      <c r="A1288" t="s">
        <v>2712</v>
      </c>
      <c r="B1288" s="1">
        <v>44400.343791203704</v>
      </c>
      <c r="C1288" t="s">
        <v>2713</v>
      </c>
      <c r="D1288" t="s">
        <v>34</v>
      </c>
      <c r="E1288" t="s">
        <v>90</v>
      </c>
      <c r="F1288">
        <v>1.8</v>
      </c>
      <c r="G1288">
        <v>1</v>
      </c>
      <c r="H1288" t="s">
        <v>14</v>
      </c>
      <c r="I1288" t="s">
        <v>40</v>
      </c>
      <c r="J1288" t="s">
        <v>102</v>
      </c>
      <c r="K1288">
        <f>Pqp_supermarket_data[[#This Row],[Unit_Price]]*Pqp_supermarket_data[[#This Row],[Quantity]]</f>
        <v>1.8</v>
      </c>
      <c r="L1288" t="str">
        <f>TEXT(Pqp_supermarket_data[[#This Row],[DateTime]],"ddd")</f>
        <v>Fri</v>
      </c>
      <c r="M1288" t="str">
        <f>TEXT(Pqp_supermarket_data[[#This Row],[DateTime]],"mmm")</f>
        <v>Jul</v>
      </c>
      <c r="N1288" t="str">
        <f>TEXT(Pqp_supermarket_data[[#This Row],[DateTime]],"yyy")</f>
        <v>2021</v>
      </c>
    </row>
    <row r="1289" spans="1:14" x14ac:dyDescent="0.35">
      <c r="A1289" t="s">
        <v>2714</v>
      </c>
      <c r="B1289" s="1">
        <v>44905.40768009259</v>
      </c>
      <c r="C1289" t="s">
        <v>2715</v>
      </c>
      <c r="D1289" t="s">
        <v>25</v>
      </c>
      <c r="E1289" t="s">
        <v>148</v>
      </c>
      <c r="F1289">
        <v>5.5</v>
      </c>
      <c r="G1289">
        <v>9</v>
      </c>
      <c r="H1289" t="s">
        <v>14</v>
      </c>
      <c r="I1289" t="s">
        <v>15</v>
      </c>
      <c r="J1289" t="s">
        <v>723</v>
      </c>
      <c r="K1289">
        <f>Pqp_supermarket_data[[#This Row],[Unit_Price]]*Pqp_supermarket_data[[#This Row],[Quantity]]</f>
        <v>49.5</v>
      </c>
      <c r="L1289" t="str">
        <f>TEXT(Pqp_supermarket_data[[#This Row],[DateTime]],"ddd")</f>
        <v>Sat</v>
      </c>
      <c r="M1289" t="str">
        <f>TEXT(Pqp_supermarket_data[[#This Row],[DateTime]],"mmm")</f>
        <v>Dec</v>
      </c>
      <c r="N1289" t="str">
        <f>TEXT(Pqp_supermarket_data[[#This Row],[DateTime]],"yyy")</f>
        <v>2022</v>
      </c>
    </row>
    <row r="1290" spans="1:14" x14ac:dyDescent="0.35">
      <c r="A1290" t="s">
        <v>2716</v>
      </c>
      <c r="B1290" s="1">
        <v>45258.10837454861</v>
      </c>
      <c r="C1290" t="s">
        <v>2717</v>
      </c>
      <c r="D1290" t="s">
        <v>44</v>
      </c>
      <c r="E1290" t="s">
        <v>137</v>
      </c>
      <c r="F1290">
        <v>2.5</v>
      </c>
      <c r="G1290">
        <v>9</v>
      </c>
      <c r="H1290" t="s">
        <v>14</v>
      </c>
      <c r="I1290" t="s">
        <v>61</v>
      </c>
      <c r="J1290" t="s">
        <v>744</v>
      </c>
      <c r="K1290">
        <f>Pqp_supermarket_data[[#This Row],[Unit_Price]]*Pqp_supermarket_data[[#This Row],[Quantity]]</f>
        <v>22.5</v>
      </c>
      <c r="L1290" t="str">
        <f>TEXT(Pqp_supermarket_data[[#This Row],[DateTime]],"ddd")</f>
        <v>Tue</v>
      </c>
      <c r="M1290" t="str">
        <f>TEXT(Pqp_supermarket_data[[#This Row],[DateTime]],"mmm")</f>
        <v>Nov</v>
      </c>
      <c r="N1290" t="str">
        <f>TEXT(Pqp_supermarket_data[[#This Row],[DateTime]],"yyy")</f>
        <v>2023</v>
      </c>
    </row>
    <row r="1291" spans="1:14" x14ac:dyDescent="0.35">
      <c r="A1291" t="s">
        <v>2718</v>
      </c>
      <c r="B1291" s="1">
        <v>44372.866707881942</v>
      </c>
      <c r="C1291" t="s">
        <v>2719</v>
      </c>
      <c r="D1291" t="s">
        <v>30</v>
      </c>
      <c r="E1291" t="s">
        <v>148</v>
      </c>
      <c r="F1291">
        <v>5.5</v>
      </c>
      <c r="G1291">
        <v>1</v>
      </c>
      <c r="H1291" t="s">
        <v>14</v>
      </c>
      <c r="I1291" t="s">
        <v>86</v>
      </c>
      <c r="J1291" t="s">
        <v>223</v>
      </c>
      <c r="K1291">
        <f>Pqp_supermarket_data[[#This Row],[Unit_Price]]*Pqp_supermarket_data[[#This Row],[Quantity]]</f>
        <v>5.5</v>
      </c>
      <c r="L1291" t="str">
        <f>TEXT(Pqp_supermarket_data[[#This Row],[DateTime]],"ddd")</f>
        <v>Fri</v>
      </c>
      <c r="M1291" t="str">
        <f>TEXT(Pqp_supermarket_data[[#This Row],[DateTime]],"mmm")</f>
        <v>Jun</v>
      </c>
      <c r="N1291" t="str">
        <f>TEXT(Pqp_supermarket_data[[#This Row],[DateTime]],"yyy")</f>
        <v>2021</v>
      </c>
    </row>
    <row r="1292" spans="1:14" x14ac:dyDescent="0.35">
      <c r="A1292" t="s">
        <v>2720</v>
      </c>
      <c r="B1292" s="1">
        <v>45559.400041226851</v>
      </c>
      <c r="C1292" t="s">
        <v>2721</v>
      </c>
      <c r="D1292" t="s">
        <v>171</v>
      </c>
      <c r="E1292" t="s">
        <v>45</v>
      </c>
      <c r="F1292">
        <v>1</v>
      </c>
      <c r="G1292">
        <v>2</v>
      </c>
      <c r="H1292" t="s">
        <v>14</v>
      </c>
      <c r="I1292" t="s">
        <v>21</v>
      </c>
      <c r="J1292" t="s">
        <v>436</v>
      </c>
      <c r="K1292">
        <f>Pqp_supermarket_data[[#This Row],[Unit_Price]]*Pqp_supermarket_data[[#This Row],[Quantity]]</f>
        <v>2</v>
      </c>
      <c r="L1292" t="str">
        <f>TEXT(Pqp_supermarket_data[[#This Row],[DateTime]],"ddd")</f>
        <v>Tue</v>
      </c>
      <c r="M1292" t="str">
        <f>TEXT(Pqp_supermarket_data[[#This Row],[DateTime]],"mmm")</f>
        <v>Sep</v>
      </c>
      <c r="N1292" t="str">
        <f>TEXT(Pqp_supermarket_data[[#This Row],[DateTime]],"yyy")</f>
        <v>2024</v>
      </c>
    </row>
    <row r="1293" spans="1:14" x14ac:dyDescent="0.35">
      <c r="A1293" t="s">
        <v>2722</v>
      </c>
      <c r="B1293" s="1">
        <v>44748.4278190162</v>
      </c>
      <c r="C1293" t="s">
        <v>2723</v>
      </c>
      <c r="D1293" t="s">
        <v>30</v>
      </c>
      <c r="E1293" t="s">
        <v>148</v>
      </c>
      <c r="F1293">
        <v>5.5</v>
      </c>
      <c r="G1293">
        <v>4</v>
      </c>
      <c r="H1293" t="s">
        <v>14</v>
      </c>
      <c r="I1293" t="s">
        <v>61</v>
      </c>
      <c r="J1293" t="s">
        <v>769</v>
      </c>
      <c r="K1293">
        <f>Pqp_supermarket_data[[#This Row],[Unit_Price]]*Pqp_supermarket_data[[#This Row],[Quantity]]</f>
        <v>22</v>
      </c>
      <c r="L1293" t="str">
        <f>TEXT(Pqp_supermarket_data[[#This Row],[DateTime]],"ddd")</f>
        <v>Wed</v>
      </c>
      <c r="M1293" t="str">
        <f>TEXT(Pqp_supermarket_data[[#This Row],[DateTime]],"mmm")</f>
        <v>Jul</v>
      </c>
      <c r="N1293" t="str">
        <f>TEXT(Pqp_supermarket_data[[#This Row],[DateTime]],"yyy")</f>
        <v>2022</v>
      </c>
    </row>
    <row r="1294" spans="1:14" x14ac:dyDescent="0.35">
      <c r="A1294" t="s">
        <v>2724</v>
      </c>
      <c r="B1294" s="1">
        <v>45187.623652349539</v>
      </c>
      <c r="C1294" t="s">
        <v>2725</v>
      </c>
      <c r="D1294" t="s">
        <v>226</v>
      </c>
      <c r="E1294" t="s">
        <v>90</v>
      </c>
      <c r="F1294">
        <v>1.8</v>
      </c>
      <c r="G1294">
        <v>8</v>
      </c>
      <c r="H1294" t="s">
        <v>14</v>
      </c>
      <c r="I1294" t="s">
        <v>36</v>
      </c>
      <c r="J1294" t="s">
        <v>58</v>
      </c>
      <c r="K1294">
        <f>Pqp_supermarket_data[[#This Row],[Unit_Price]]*Pqp_supermarket_data[[#This Row],[Quantity]]</f>
        <v>14.4</v>
      </c>
      <c r="L1294" t="str">
        <f>TEXT(Pqp_supermarket_data[[#This Row],[DateTime]],"ddd")</f>
        <v>Mon</v>
      </c>
      <c r="M1294" t="str">
        <f>TEXT(Pqp_supermarket_data[[#This Row],[DateTime]],"mmm")</f>
        <v>Sep</v>
      </c>
      <c r="N1294" t="str">
        <f>TEXT(Pqp_supermarket_data[[#This Row],[DateTime]],"yyy")</f>
        <v>2023</v>
      </c>
    </row>
    <row r="1295" spans="1:14" x14ac:dyDescent="0.35">
      <c r="A1295" t="s">
        <v>2726</v>
      </c>
      <c r="B1295" s="1">
        <v>45470.71045791667</v>
      </c>
      <c r="C1295" t="s">
        <v>2727</v>
      </c>
      <c r="D1295" t="s">
        <v>44</v>
      </c>
      <c r="E1295" t="s">
        <v>111</v>
      </c>
      <c r="F1295">
        <v>2.2000000000000002</v>
      </c>
      <c r="G1295">
        <v>2</v>
      </c>
      <c r="H1295" t="s">
        <v>14</v>
      </c>
      <c r="I1295" t="s">
        <v>15</v>
      </c>
      <c r="J1295" t="s">
        <v>510</v>
      </c>
      <c r="K1295">
        <f>Pqp_supermarket_data[[#This Row],[Unit_Price]]*Pqp_supermarket_data[[#This Row],[Quantity]]</f>
        <v>4.4000000000000004</v>
      </c>
      <c r="L1295" t="str">
        <f>TEXT(Pqp_supermarket_data[[#This Row],[DateTime]],"ddd")</f>
        <v>Thu</v>
      </c>
      <c r="M1295" t="str">
        <f>TEXT(Pqp_supermarket_data[[#This Row],[DateTime]],"mmm")</f>
        <v>Jun</v>
      </c>
      <c r="N1295" t="str">
        <f>TEXT(Pqp_supermarket_data[[#This Row],[DateTime]],"yyy")</f>
        <v>2024</v>
      </c>
    </row>
    <row r="1296" spans="1:14" x14ac:dyDescent="0.35">
      <c r="A1296" t="s">
        <v>2728</v>
      </c>
      <c r="B1296" s="1">
        <v>44935.549346828702</v>
      </c>
      <c r="C1296" t="s">
        <v>2729</v>
      </c>
      <c r="D1296" t="s">
        <v>34</v>
      </c>
      <c r="E1296" t="s">
        <v>115</v>
      </c>
      <c r="F1296">
        <v>1.5</v>
      </c>
      <c r="G1296">
        <v>6</v>
      </c>
      <c r="H1296" t="s">
        <v>14</v>
      </c>
      <c r="I1296" t="s">
        <v>61</v>
      </c>
      <c r="J1296" t="s">
        <v>616</v>
      </c>
      <c r="K1296">
        <f>Pqp_supermarket_data[[#This Row],[Unit_Price]]*Pqp_supermarket_data[[#This Row],[Quantity]]</f>
        <v>9</v>
      </c>
      <c r="L1296" t="str">
        <f>TEXT(Pqp_supermarket_data[[#This Row],[DateTime]],"ddd")</f>
        <v>Mon</v>
      </c>
      <c r="M1296" t="str">
        <f>TEXT(Pqp_supermarket_data[[#This Row],[DateTime]],"mmm")</f>
        <v>Jan</v>
      </c>
      <c r="N1296" t="str">
        <f>TEXT(Pqp_supermarket_data[[#This Row],[DateTime]],"yyy")</f>
        <v>2023</v>
      </c>
    </row>
    <row r="1297" spans="1:14" x14ac:dyDescent="0.35">
      <c r="A1297" t="s">
        <v>2730</v>
      </c>
      <c r="B1297" s="1">
        <v>45436.46462460648</v>
      </c>
      <c r="C1297" t="s">
        <v>2731</v>
      </c>
      <c r="D1297" t="s">
        <v>44</v>
      </c>
      <c r="E1297" t="s">
        <v>145</v>
      </c>
      <c r="F1297">
        <v>1.7</v>
      </c>
      <c r="G1297">
        <v>6</v>
      </c>
      <c r="H1297" t="s">
        <v>14</v>
      </c>
      <c r="I1297" t="s">
        <v>36</v>
      </c>
      <c r="J1297" t="s">
        <v>178</v>
      </c>
      <c r="K1297">
        <f>Pqp_supermarket_data[[#This Row],[Unit_Price]]*Pqp_supermarket_data[[#This Row],[Quantity]]</f>
        <v>10.199999999999999</v>
      </c>
      <c r="L1297" t="str">
        <f>TEXT(Pqp_supermarket_data[[#This Row],[DateTime]],"ddd")</f>
        <v>Fri</v>
      </c>
      <c r="M1297" t="str">
        <f>TEXT(Pqp_supermarket_data[[#This Row],[DateTime]],"mmm")</f>
        <v>May</v>
      </c>
      <c r="N1297" t="str">
        <f>TEXT(Pqp_supermarket_data[[#This Row],[DateTime]],"yyy")</f>
        <v>2024</v>
      </c>
    </row>
    <row r="1298" spans="1:14" x14ac:dyDescent="0.35">
      <c r="A1298" t="s">
        <v>2732</v>
      </c>
      <c r="B1298" s="1">
        <v>45284.359763506945</v>
      </c>
      <c r="C1298" t="s">
        <v>2733</v>
      </c>
      <c r="D1298" t="s">
        <v>226</v>
      </c>
      <c r="E1298" t="s">
        <v>90</v>
      </c>
      <c r="F1298">
        <v>1.8</v>
      </c>
      <c r="G1298">
        <v>7</v>
      </c>
      <c r="H1298" t="s">
        <v>14</v>
      </c>
      <c r="I1298" t="s">
        <v>15</v>
      </c>
      <c r="J1298" t="s">
        <v>16</v>
      </c>
      <c r="K1298">
        <f>Pqp_supermarket_data[[#This Row],[Unit_Price]]*Pqp_supermarket_data[[#This Row],[Quantity]]</f>
        <v>12.6</v>
      </c>
      <c r="L1298" t="str">
        <f>TEXT(Pqp_supermarket_data[[#This Row],[DateTime]],"ddd")</f>
        <v>Sun</v>
      </c>
      <c r="M1298" t="str">
        <f>TEXT(Pqp_supermarket_data[[#This Row],[DateTime]],"mmm")</f>
        <v>Dec</v>
      </c>
      <c r="N1298" t="str">
        <f>TEXT(Pqp_supermarket_data[[#This Row],[DateTime]],"yyy")</f>
        <v>2023</v>
      </c>
    </row>
    <row r="1299" spans="1:14" x14ac:dyDescent="0.35">
      <c r="A1299" t="s">
        <v>2734</v>
      </c>
      <c r="B1299" s="1">
        <v>44907.9778190625</v>
      </c>
      <c r="C1299" t="s">
        <v>2735</v>
      </c>
      <c r="D1299" t="s">
        <v>82</v>
      </c>
      <c r="E1299" t="s">
        <v>70</v>
      </c>
      <c r="F1299">
        <v>5</v>
      </c>
      <c r="G1299">
        <v>9</v>
      </c>
      <c r="H1299" t="s">
        <v>14</v>
      </c>
      <c r="I1299" t="s">
        <v>36</v>
      </c>
      <c r="J1299" t="s">
        <v>116</v>
      </c>
      <c r="K1299">
        <f>Pqp_supermarket_data[[#This Row],[Unit_Price]]*Pqp_supermarket_data[[#This Row],[Quantity]]</f>
        <v>45</v>
      </c>
      <c r="L1299" t="str">
        <f>TEXT(Pqp_supermarket_data[[#This Row],[DateTime]],"ddd")</f>
        <v>Mon</v>
      </c>
      <c r="M1299" t="str">
        <f>TEXT(Pqp_supermarket_data[[#This Row],[DateTime]],"mmm")</f>
        <v>Dec</v>
      </c>
      <c r="N1299" t="str">
        <f>TEXT(Pqp_supermarket_data[[#This Row],[DateTime]],"yyy")</f>
        <v>2022</v>
      </c>
    </row>
    <row r="1300" spans="1:14" x14ac:dyDescent="0.35">
      <c r="A1300" t="s">
        <v>2736</v>
      </c>
      <c r="B1300" s="1">
        <v>45725.970180173608</v>
      </c>
      <c r="C1300" t="s">
        <v>2737</v>
      </c>
      <c r="D1300" t="s">
        <v>226</v>
      </c>
      <c r="E1300" t="s">
        <v>35</v>
      </c>
      <c r="F1300">
        <v>1.2</v>
      </c>
      <c r="G1300">
        <v>9</v>
      </c>
      <c r="H1300" t="s">
        <v>14</v>
      </c>
      <c r="I1300" t="s">
        <v>40</v>
      </c>
      <c r="J1300" t="s">
        <v>369</v>
      </c>
      <c r="K1300">
        <f>Pqp_supermarket_data[[#This Row],[Unit_Price]]*Pqp_supermarket_data[[#This Row],[Quantity]]</f>
        <v>10.799999999999999</v>
      </c>
      <c r="L1300" t="str">
        <f>TEXT(Pqp_supermarket_data[[#This Row],[DateTime]],"ddd")</f>
        <v>Sun</v>
      </c>
      <c r="M1300" t="str">
        <f>TEXT(Pqp_supermarket_data[[#This Row],[DateTime]],"mmm")</f>
        <v>Mar</v>
      </c>
      <c r="N1300" t="str">
        <f>TEXT(Pqp_supermarket_data[[#This Row],[DateTime]],"yyy")</f>
        <v>2025</v>
      </c>
    </row>
    <row r="1301" spans="1:14" x14ac:dyDescent="0.35">
      <c r="A1301" t="s">
        <v>2738</v>
      </c>
      <c r="B1301" s="1">
        <v>45094.125735729169</v>
      </c>
      <c r="C1301" t="s">
        <v>2739</v>
      </c>
      <c r="D1301" t="s">
        <v>226</v>
      </c>
      <c r="E1301" t="s">
        <v>94</v>
      </c>
      <c r="F1301">
        <v>0.8</v>
      </c>
      <c r="G1301">
        <v>7</v>
      </c>
      <c r="H1301" t="s">
        <v>14</v>
      </c>
      <c r="I1301" t="s">
        <v>40</v>
      </c>
      <c r="J1301" t="s">
        <v>662</v>
      </c>
      <c r="K1301">
        <f>Pqp_supermarket_data[[#This Row],[Unit_Price]]*Pqp_supermarket_data[[#This Row],[Quantity]]</f>
        <v>5.6000000000000005</v>
      </c>
      <c r="L1301" t="str">
        <f>TEXT(Pqp_supermarket_data[[#This Row],[DateTime]],"ddd")</f>
        <v>Sat</v>
      </c>
      <c r="M1301" t="str">
        <f>TEXT(Pqp_supermarket_data[[#This Row],[DateTime]],"mmm")</f>
        <v>Jun</v>
      </c>
      <c r="N1301" t="str">
        <f>TEXT(Pqp_supermarket_data[[#This Row],[DateTime]],"yyy")</f>
        <v>2023</v>
      </c>
    </row>
    <row r="1302" spans="1:14" x14ac:dyDescent="0.35">
      <c r="A1302" t="s">
        <v>2740</v>
      </c>
      <c r="B1302" s="1">
        <v>45710.643791296294</v>
      </c>
      <c r="C1302" t="s">
        <v>2741</v>
      </c>
      <c r="D1302" t="s">
        <v>30</v>
      </c>
      <c r="E1302" t="s">
        <v>111</v>
      </c>
      <c r="F1302">
        <v>2.2000000000000002</v>
      </c>
      <c r="G1302">
        <v>10</v>
      </c>
      <c r="H1302" t="s">
        <v>14</v>
      </c>
      <c r="I1302" t="s">
        <v>40</v>
      </c>
      <c r="J1302" t="s">
        <v>134</v>
      </c>
      <c r="K1302">
        <f>Pqp_supermarket_data[[#This Row],[Unit_Price]]*Pqp_supermarket_data[[#This Row],[Quantity]]</f>
        <v>22</v>
      </c>
      <c r="L1302" t="str">
        <f>TEXT(Pqp_supermarket_data[[#This Row],[DateTime]],"ddd")</f>
        <v>Sat</v>
      </c>
      <c r="M1302" t="str">
        <f>TEXT(Pqp_supermarket_data[[#This Row],[DateTime]],"mmm")</f>
        <v>Feb</v>
      </c>
      <c r="N1302" t="str">
        <f>TEXT(Pqp_supermarket_data[[#This Row],[DateTime]],"yyy")</f>
        <v>2025</v>
      </c>
    </row>
    <row r="1303" spans="1:14" x14ac:dyDescent="0.35">
      <c r="A1303" t="s">
        <v>2742</v>
      </c>
      <c r="B1303" s="1">
        <v>44325.645874629627</v>
      </c>
      <c r="C1303" t="s">
        <v>2743</v>
      </c>
      <c r="D1303" t="s">
        <v>85</v>
      </c>
      <c r="E1303" t="s">
        <v>57</v>
      </c>
      <c r="F1303">
        <v>4.5</v>
      </c>
      <c r="G1303">
        <v>7</v>
      </c>
      <c r="H1303" t="s">
        <v>14</v>
      </c>
      <c r="I1303" t="s">
        <v>86</v>
      </c>
      <c r="J1303" t="s">
        <v>382</v>
      </c>
      <c r="K1303">
        <f>Pqp_supermarket_data[[#This Row],[Unit_Price]]*Pqp_supermarket_data[[#This Row],[Quantity]]</f>
        <v>31.5</v>
      </c>
      <c r="L1303" t="str">
        <f>TEXT(Pqp_supermarket_data[[#This Row],[DateTime]],"ddd")</f>
        <v>Sun</v>
      </c>
      <c r="M1303" t="str">
        <f>TEXT(Pqp_supermarket_data[[#This Row],[DateTime]],"mmm")</f>
        <v>May</v>
      </c>
      <c r="N1303" t="str">
        <f>TEXT(Pqp_supermarket_data[[#This Row],[DateTime]],"yyy")</f>
        <v>2021</v>
      </c>
    </row>
    <row r="1304" spans="1:14" x14ac:dyDescent="0.35">
      <c r="A1304" t="s">
        <v>2744</v>
      </c>
      <c r="B1304" s="1">
        <v>44350.813235752314</v>
      </c>
      <c r="C1304" t="s">
        <v>2745</v>
      </c>
      <c r="D1304" t="s">
        <v>127</v>
      </c>
      <c r="E1304" t="s">
        <v>39</v>
      </c>
      <c r="F1304">
        <v>3.2</v>
      </c>
      <c r="G1304">
        <v>6</v>
      </c>
      <c r="H1304" t="s">
        <v>14</v>
      </c>
      <c r="I1304" t="s">
        <v>40</v>
      </c>
      <c r="J1304" t="s">
        <v>339</v>
      </c>
      <c r="K1304">
        <f>Pqp_supermarket_data[[#This Row],[Unit_Price]]*Pqp_supermarket_data[[#This Row],[Quantity]]</f>
        <v>19.200000000000003</v>
      </c>
      <c r="L1304" t="str">
        <f>TEXT(Pqp_supermarket_data[[#This Row],[DateTime]],"ddd")</f>
        <v>Thu</v>
      </c>
      <c r="M1304" t="str">
        <f>TEXT(Pqp_supermarket_data[[#This Row],[DateTime]],"mmm")</f>
        <v>Jun</v>
      </c>
      <c r="N1304" t="str">
        <f>TEXT(Pqp_supermarket_data[[#This Row],[DateTime]],"yyy")</f>
        <v>2021</v>
      </c>
    </row>
    <row r="1305" spans="1:14" x14ac:dyDescent="0.35">
      <c r="A1305" t="s">
        <v>2746</v>
      </c>
      <c r="B1305" s="1">
        <v>44705.727819097221</v>
      </c>
      <c r="C1305" t="s">
        <v>2747</v>
      </c>
      <c r="D1305" t="s">
        <v>69</v>
      </c>
      <c r="E1305" t="s">
        <v>49</v>
      </c>
      <c r="F1305">
        <v>7</v>
      </c>
      <c r="G1305">
        <v>8</v>
      </c>
      <c r="H1305" t="s">
        <v>14</v>
      </c>
      <c r="I1305" t="s">
        <v>36</v>
      </c>
      <c r="J1305" t="s">
        <v>212</v>
      </c>
      <c r="K1305">
        <f>Pqp_supermarket_data[[#This Row],[Unit_Price]]*Pqp_supermarket_data[[#This Row],[Quantity]]</f>
        <v>56</v>
      </c>
      <c r="L1305" t="str">
        <f>TEXT(Pqp_supermarket_data[[#This Row],[DateTime]],"ddd")</f>
        <v>Tue</v>
      </c>
      <c r="M1305" t="str">
        <f>TEXT(Pqp_supermarket_data[[#This Row],[DateTime]],"mmm")</f>
        <v>May</v>
      </c>
      <c r="N1305" t="str">
        <f>TEXT(Pqp_supermarket_data[[#This Row],[DateTime]],"yyy")</f>
        <v>2022</v>
      </c>
    </row>
    <row r="1306" spans="1:14" x14ac:dyDescent="0.35">
      <c r="A1306" t="s">
        <v>2748</v>
      </c>
      <c r="B1306" s="1">
        <v>44671.73337465278</v>
      </c>
      <c r="C1306" t="s">
        <v>2749</v>
      </c>
      <c r="D1306" t="s">
        <v>171</v>
      </c>
      <c r="E1306" t="s">
        <v>70</v>
      </c>
      <c r="F1306">
        <v>5</v>
      </c>
      <c r="G1306">
        <v>6</v>
      </c>
      <c r="H1306" t="s">
        <v>14</v>
      </c>
      <c r="I1306" t="s">
        <v>36</v>
      </c>
      <c r="J1306" t="s">
        <v>548</v>
      </c>
      <c r="K1306">
        <f>Pqp_supermarket_data[[#This Row],[Unit_Price]]*Pqp_supermarket_data[[#This Row],[Quantity]]</f>
        <v>30</v>
      </c>
      <c r="L1306" t="str">
        <f>TEXT(Pqp_supermarket_data[[#This Row],[DateTime]],"ddd")</f>
        <v>Wed</v>
      </c>
      <c r="M1306" t="str">
        <f>TEXT(Pqp_supermarket_data[[#This Row],[DateTime]],"mmm")</f>
        <v>Apr</v>
      </c>
      <c r="N1306" t="str">
        <f>TEXT(Pqp_supermarket_data[[#This Row],[DateTime]],"yyy")</f>
        <v>2022</v>
      </c>
    </row>
    <row r="1307" spans="1:14" x14ac:dyDescent="0.35">
      <c r="A1307" t="s">
        <v>2750</v>
      </c>
      <c r="B1307" s="1">
        <v>45382.181291342589</v>
      </c>
      <c r="C1307" t="s">
        <v>2751</v>
      </c>
      <c r="D1307" t="s">
        <v>208</v>
      </c>
      <c r="E1307" t="s">
        <v>20</v>
      </c>
      <c r="F1307">
        <v>1</v>
      </c>
      <c r="G1307">
        <v>6</v>
      </c>
      <c r="H1307" t="s">
        <v>14</v>
      </c>
      <c r="I1307" t="s">
        <v>86</v>
      </c>
      <c r="J1307" t="s">
        <v>105</v>
      </c>
      <c r="K1307">
        <f>Pqp_supermarket_data[[#This Row],[Unit_Price]]*Pqp_supermarket_data[[#This Row],[Quantity]]</f>
        <v>6</v>
      </c>
      <c r="L1307" t="str">
        <f>TEXT(Pqp_supermarket_data[[#This Row],[DateTime]],"ddd")</f>
        <v>Sun</v>
      </c>
      <c r="M1307" t="str">
        <f>TEXT(Pqp_supermarket_data[[#This Row],[DateTime]],"mmm")</f>
        <v>Mar</v>
      </c>
      <c r="N1307" t="str">
        <f>TEXT(Pqp_supermarket_data[[#This Row],[DateTime]],"yyy")</f>
        <v>2024</v>
      </c>
    </row>
    <row r="1308" spans="1:14" x14ac:dyDescent="0.35">
      <c r="A1308" t="s">
        <v>2752</v>
      </c>
      <c r="B1308" s="1">
        <v>45527.869485787036</v>
      </c>
      <c r="C1308" t="s">
        <v>2753</v>
      </c>
      <c r="D1308" t="s">
        <v>127</v>
      </c>
      <c r="E1308" t="s">
        <v>78</v>
      </c>
      <c r="F1308">
        <v>4</v>
      </c>
      <c r="G1308">
        <v>2</v>
      </c>
      <c r="H1308" t="s">
        <v>14</v>
      </c>
      <c r="I1308" t="s">
        <v>21</v>
      </c>
      <c r="J1308" t="s">
        <v>153</v>
      </c>
      <c r="K1308">
        <f>Pqp_supermarket_data[[#This Row],[Unit_Price]]*Pqp_supermarket_data[[#This Row],[Quantity]]</f>
        <v>8</v>
      </c>
      <c r="L1308" t="str">
        <f>TEXT(Pqp_supermarket_data[[#This Row],[DateTime]],"ddd")</f>
        <v>Fri</v>
      </c>
      <c r="M1308" t="str">
        <f>TEXT(Pqp_supermarket_data[[#This Row],[DateTime]],"mmm")</f>
        <v>Aug</v>
      </c>
      <c r="N1308" t="str">
        <f>TEXT(Pqp_supermarket_data[[#This Row],[DateTime]],"yyy")</f>
        <v>2024</v>
      </c>
    </row>
    <row r="1309" spans="1:14" x14ac:dyDescent="0.35">
      <c r="A1309" t="s">
        <v>2754</v>
      </c>
      <c r="B1309" s="1">
        <v>45146.878513564814</v>
      </c>
      <c r="C1309" t="s">
        <v>2755</v>
      </c>
      <c r="D1309" t="s">
        <v>226</v>
      </c>
      <c r="E1309" t="s">
        <v>94</v>
      </c>
      <c r="F1309">
        <v>0.8</v>
      </c>
      <c r="G1309">
        <v>1</v>
      </c>
      <c r="H1309" t="s">
        <v>14</v>
      </c>
      <c r="I1309" t="s">
        <v>40</v>
      </c>
      <c r="J1309" t="s">
        <v>112</v>
      </c>
      <c r="K1309">
        <f>Pqp_supermarket_data[[#This Row],[Unit_Price]]*Pqp_supermarket_data[[#This Row],[Quantity]]</f>
        <v>0.8</v>
      </c>
      <c r="L1309" t="str">
        <f>TEXT(Pqp_supermarket_data[[#This Row],[DateTime]],"ddd")</f>
        <v>Tue</v>
      </c>
      <c r="M1309" t="str">
        <f>TEXT(Pqp_supermarket_data[[#This Row],[DateTime]],"mmm")</f>
        <v>Aug</v>
      </c>
      <c r="N1309" t="str">
        <f>TEXT(Pqp_supermarket_data[[#This Row],[DateTime]],"yyy")</f>
        <v>2023</v>
      </c>
    </row>
    <row r="1310" spans="1:14" x14ac:dyDescent="0.35">
      <c r="A1310" t="s">
        <v>2756</v>
      </c>
      <c r="B1310" s="1">
        <v>44573.216013576392</v>
      </c>
      <c r="C1310" t="s">
        <v>2757</v>
      </c>
      <c r="D1310" t="s">
        <v>34</v>
      </c>
      <c r="E1310" t="s">
        <v>57</v>
      </c>
      <c r="F1310">
        <v>4.5</v>
      </c>
      <c r="G1310">
        <v>7</v>
      </c>
      <c r="H1310" t="s">
        <v>14</v>
      </c>
      <c r="I1310" t="s">
        <v>21</v>
      </c>
      <c r="J1310" t="s">
        <v>233</v>
      </c>
      <c r="K1310">
        <f>Pqp_supermarket_data[[#This Row],[Unit_Price]]*Pqp_supermarket_data[[#This Row],[Quantity]]</f>
        <v>31.5</v>
      </c>
      <c r="L1310" t="str">
        <f>TEXT(Pqp_supermarket_data[[#This Row],[DateTime]],"ddd")</f>
        <v>Wed</v>
      </c>
      <c r="M1310" t="str">
        <f>TEXT(Pqp_supermarket_data[[#This Row],[DateTime]],"mmm")</f>
        <v>Jan</v>
      </c>
      <c r="N1310" t="str">
        <f>TEXT(Pqp_supermarket_data[[#This Row],[DateTime]],"yyy")</f>
        <v>2022</v>
      </c>
    </row>
    <row r="1311" spans="1:14" x14ac:dyDescent="0.35">
      <c r="A1311" t="s">
        <v>2758</v>
      </c>
      <c r="B1311" s="1">
        <v>45664.090319131945</v>
      </c>
      <c r="C1311" t="s">
        <v>1517</v>
      </c>
      <c r="D1311" t="s">
        <v>30</v>
      </c>
      <c r="E1311" t="s">
        <v>90</v>
      </c>
      <c r="F1311">
        <v>1.8</v>
      </c>
      <c r="G1311">
        <v>6</v>
      </c>
      <c r="H1311" t="s">
        <v>14</v>
      </c>
      <c r="I1311" t="s">
        <v>40</v>
      </c>
      <c r="J1311" t="s">
        <v>166</v>
      </c>
      <c r="K1311">
        <f>Pqp_supermarket_data[[#This Row],[Unit_Price]]*Pqp_supermarket_data[[#This Row],[Quantity]]</f>
        <v>10.8</v>
      </c>
      <c r="L1311" t="str">
        <f>TEXT(Pqp_supermarket_data[[#This Row],[DateTime]],"ddd")</f>
        <v>Tue</v>
      </c>
      <c r="M1311" t="str">
        <f>TEXT(Pqp_supermarket_data[[#This Row],[DateTime]],"mmm")</f>
        <v>Jan</v>
      </c>
      <c r="N1311" t="str">
        <f>TEXT(Pqp_supermarket_data[[#This Row],[DateTime]],"yyy")</f>
        <v>2025</v>
      </c>
    </row>
    <row r="1312" spans="1:14" x14ac:dyDescent="0.35">
      <c r="A1312" t="s">
        <v>2759</v>
      </c>
      <c r="B1312" s="1">
        <v>44453.41531916667</v>
      </c>
      <c r="C1312" t="s">
        <v>2760</v>
      </c>
      <c r="D1312" t="s">
        <v>127</v>
      </c>
      <c r="E1312" t="s">
        <v>119</v>
      </c>
      <c r="F1312">
        <v>4</v>
      </c>
      <c r="G1312">
        <v>1</v>
      </c>
      <c r="H1312" t="s">
        <v>14</v>
      </c>
      <c r="I1312" t="s">
        <v>86</v>
      </c>
      <c r="J1312" t="s">
        <v>102</v>
      </c>
      <c r="K1312">
        <f>Pqp_supermarket_data[[#This Row],[Unit_Price]]*Pqp_supermarket_data[[#This Row],[Quantity]]</f>
        <v>4</v>
      </c>
      <c r="L1312" t="str">
        <f>TEXT(Pqp_supermarket_data[[#This Row],[DateTime]],"ddd")</f>
        <v>Tue</v>
      </c>
      <c r="M1312" t="str">
        <f>TEXT(Pqp_supermarket_data[[#This Row],[DateTime]],"mmm")</f>
        <v>Sep</v>
      </c>
      <c r="N1312" t="str">
        <f>TEXT(Pqp_supermarket_data[[#This Row],[DateTime]],"yyy")</f>
        <v>2021</v>
      </c>
    </row>
    <row r="1313" spans="1:14" x14ac:dyDescent="0.35">
      <c r="A1313" t="s">
        <v>2761</v>
      </c>
      <c r="B1313" s="1">
        <v>45302.575735844905</v>
      </c>
      <c r="C1313" t="s">
        <v>2762</v>
      </c>
      <c r="D1313" t="s">
        <v>171</v>
      </c>
      <c r="E1313" t="s">
        <v>20</v>
      </c>
      <c r="F1313">
        <v>1</v>
      </c>
      <c r="G1313">
        <v>10</v>
      </c>
      <c r="H1313" t="s">
        <v>14</v>
      </c>
      <c r="I1313" t="s">
        <v>15</v>
      </c>
      <c r="J1313" t="s">
        <v>561</v>
      </c>
      <c r="K1313">
        <f>Pqp_supermarket_data[[#This Row],[Unit_Price]]*Pqp_supermarket_data[[#This Row],[Quantity]]</f>
        <v>10</v>
      </c>
      <c r="L1313" t="str">
        <f>TEXT(Pqp_supermarket_data[[#This Row],[DateTime]],"ddd")</f>
        <v>Thu</v>
      </c>
      <c r="M1313" t="str">
        <f>TEXT(Pqp_supermarket_data[[#This Row],[DateTime]],"mmm")</f>
        <v>Jan</v>
      </c>
      <c r="N1313" t="str">
        <f>TEXT(Pqp_supermarket_data[[#This Row],[DateTime]],"yyy")</f>
        <v>2024</v>
      </c>
    </row>
    <row r="1314" spans="1:14" x14ac:dyDescent="0.35">
      <c r="A1314" t="s">
        <v>2763</v>
      </c>
      <c r="B1314" s="1">
        <v>45174.155596956021</v>
      </c>
      <c r="C1314" t="s">
        <v>465</v>
      </c>
      <c r="D1314" t="s">
        <v>226</v>
      </c>
      <c r="E1314" t="s">
        <v>119</v>
      </c>
      <c r="F1314">
        <v>4</v>
      </c>
      <c r="G1314">
        <v>3</v>
      </c>
      <c r="H1314" t="s">
        <v>14</v>
      </c>
      <c r="I1314" t="s">
        <v>36</v>
      </c>
      <c r="J1314" t="s">
        <v>41</v>
      </c>
      <c r="K1314">
        <f>Pqp_supermarket_data[[#This Row],[Unit_Price]]*Pqp_supermarket_data[[#This Row],[Quantity]]</f>
        <v>12</v>
      </c>
      <c r="L1314" t="str">
        <f>TEXT(Pqp_supermarket_data[[#This Row],[DateTime]],"ddd")</f>
        <v>Tue</v>
      </c>
      <c r="M1314" t="str">
        <f>TEXT(Pqp_supermarket_data[[#This Row],[DateTime]],"mmm")</f>
        <v>Sep</v>
      </c>
      <c r="N1314" t="str">
        <f>TEXT(Pqp_supermarket_data[[#This Row],[DateTime]],"yyy")</f>
        <v>2023</v>
      </c>
    </row>
    <row r="1315" spans="1:14" x14ac:dyDescent="0.35">
      <c r="A1315" t="s">
        <v>2764</v>
      </c>
      <c r="B1315" s="1">
        <v>44721.591013634257</v>
      </c>
      <c r="C1315" t="s">
        <v>2765</v>
      </c>
      <c r="D1315" t="s">
        <v>77</v>
      </c>
      <c r="E1315" t="s">
        <v>39</v>
      </c>
      <c r="F1315">
        <v>3.2</v>
      </c>
      <c r="G1315">
        <v>9</v>
      </c>
      <c r="H1315" t="s">
        <v>14</v>
      </c>
      <c r="I1315" t="s">
        <v>21</v>
      </c>
      <c r="J1315" t="s">
        <v>248</v>
      </c>
      <c r="K1315">
        <f>Pqp_supermarket_data[[#This Row],[Unit_Price]]*Pqp_supermarket_data[[#This Row],[Quantity]]</f>
        <v>28.8</v>
      </c>
      <c r="L1315" t="str">
        <f>TEXT(Pqp_supermarket_data[[#This Row],[DateTime]],"ddd")</f>
        <v>Thu</v>
      </c>
      <c r="M1315" t="str">
        <f>TEXT(Pqp_supermarket_data[[#This Row],[DateTime]],"mmm")</f>
        <v>Jun</v>
      </c>
      <c r="N1315" t="str">
        <f>TEXT(Pqp_supermarket_data[[#This Row],[DateTime]],"yyy")</f>
        <v>2022</v>
      </c>
    </row>
    <row r="1316" spans="1:14" x14ac:dyDescent="0.35">
      <c r="A1316" t="s">
        <v>2766</v>
      </c>
      <c r="B1316" s="1">
        <v>45046.972263634256</v>
      </c>
      <c r="C1316" t="s">
        <v>2767</v>
      </c>
      <c r="D1316" t="s">
        <v>69</v>
      </c>
      <c r="E1316" t="s">
        <v>145</v>
      </c>
      <c r="F1316">
        <v>1.7</v>
      </c>
      <c r="G1316">
        <v>7</v>
      </c>
      <c r="H1316" t="s">
        <v>14</v>
      </c>
      <c r="I1316" t="s">
        <v>40</v>
      </c>
      <c r="J1316" t="s">
        <v>451</v>
      </c>
      <c r="K1316">
        <f>Pqp_supermarket_data[[#This Row],[Unit_Price]]*Pqp_supermarket_data[[#This Row],[Quantity]]</f>
        <v>11.9</v>
      </c>
      <c r="L1316" t="str">
        <f>TEXT(Pqp_supermarket_data[[#This Row],[DateTime]],"ddd")</f>
        <v>Sun</v>
      </c>
      <c r="M1316" t="str">
        <f>TEXT(Pqp_supermarket_data[[#This Row],[DateTime]],"mmm")</f>
        <v>Apr</v>
      </c>
      <c r="N1316" t="str">
        <f>TEXT(Pqp_supermarket_data[[#This Row],[DateTime]],"yyy")</f>
        <v>2023</v>
      </c>
    </row>
    <row r="1317" spans="1:14" x14ac:dyDescent="0.35">
      <c r="A1317" t="s">
        <v>2768</v>
      </c>
      <c r="B1317" s="1">
        <v>45658.979208090277</v>
      </c>
      <c r="C1317" t="s">
        <v>2769</v>
      </c>
      <c r="D1317" t="s">
        <v>69</v>
      </c>
      <c r="E1317" t="s">
        <v>115</v>
      </c>
      <c r="F1317">
        <v>1.5</v>
      </c>
      <c r="G1317">
        <v>4</v>
      </c>
      <c r="H1317" t="s">
        <v>14</v>
      </c>
      <c r="I1317" t="s">
        <v>86</v>
      </c>
      <c r="J1317" t="s">
        <v>205</v>
      </c>
      <c r="K1317">
        <f>Pqp_supermarket_data[[#This Row],[Unit_Price]]*Pqp_supermarket_data[[#This Row],[Quantity]]</f>
        <v>6</v>
      </c>
      <c r="L1317" t="str">
        <f>TEXT(Pqp_supermarket_data[[#This Row],[DateTime]],"ddd")</f>
        <v>Wed</v>
      </c>
      <c r="M1317" t="str">
        <f>TEXT(Pqp_supermarket_data[[#This Row],[DateTime]],"mmm")</f>
        <v>Jan</v>
      </c>
      <c r="N1317" t="str">
        <f>TEXT(Pqp_supermarket_data[[#This Row],[DateTime]],"yyy")</f>
        <v>2025</v>
      </c>
    </row>
    <row r="1318" spans="1:14" x14ac:dyDescent="0.35">
      <c r="A1318" t="s">
        <v>2770</v>
      </c>
      <c r="B1318" s="1">
        <v>45029.661846990741</v>
      </c>
      <c r="C1318" t="s">
        <v>2771</v>
      </c>
      <c r="D1318" t="s">
        <v>82</v>
      </c>
      <c r="E1318" t="s">
        <v>119</v>
      </c>
      <c r="F1318">
        <v>4</v>
      </c>
      <c r="G1318">
        <v>9</v>
      </c>
      <c r="H1318" t="s">
        <v>14</v>
      </c>
      <c r="I1318" t="s">
        <v>21</v>
      </c>
      <c r="J1318" t="s">
        <v>267</v>
      </c>
      <c r="K1318">
        <f>Pqp_supermarket_data[[#This Row],[Unit_Price]]*Pqp_supermarket_data[[#This Row],[Quantity]]</f>
        <v>36</v>
      </c>
      <c r="L1318" t="str">
        <f>TEXT(Pqp_supermarket_data[[#This Row],[DateTime]],"ddd")</f>
        <v>Thu</v>
      </c>
      <c r="M1318" t="str">
        <f>TEXT(Pqp_supermarket_data[[#This Row],[DateTime]],"mmm")</f>
        <v>Apr</v>
      </c>
      <c r="N1318" t="str">
        <f>TEXT(Pqp_supermarket_data[[#This Row],[DateTime]],"yyy")</f>
        <v>2023</v>
      </c>
    </row>
    <row r="1319" spans="1:14" x14ac:dyDescent="0.35">
      <c r="A1319" t="s">
        <v>2772</v>
      </c>
      <c r="B1319" s="1">
        <v>44978.200735879633</v>
      </c>
      <c r="C1319" t="s">
        <v>2773</v>
      </c>
      <c r="D1319" t="s">
        <v>98</v>
      </c>
      <c r="E1319" t="s">
        <v>145</v>
      </c>
      <c r="F1319">
        <v>1.7</v>
      </c>
      <c r="G1319">
        <v>8</v>
      </c>
      <c r="H1319" t="s">
        <v>14</v>
      </c>
      <c r="I1319" t="s">
        <v>36</v>
      </c>
      <c r="J1319" t="s">
        <v>723</v>
      </c>
      <c r="K1319">
        <f>Pqp_supermarket_data[[#This Row],[Unit_Price]]*Pqp_supermarket_data[[#This Row],[Quantity]]</f>
        <v>13.6</v>
      </c>
      <c r="L1319" t="str">
        <f>TEXT(Pqp_supermarket_data[[#This Row],[DateTime]],"ddd")</f>
        <v>Tue</v>
      </c>
      <c r="M1319" t="str">
        <f>TEXT(Pqp_supermarket_data[[#This Row],[DateTime]],"mmm")</f>
        <v>Feb</v>
      </c>
      <c r="N1319" t="str">
        <f>TEXT(Pqp_supermarket_data[[#This Row],[DateTime]],"yyy")</f>
        <v>2023</v>
      </c>
    </row>
    <row r="1320" spans="1:14" x14ac:dyDescent="0.35">
      <c r="A1320" t="s">
        <v>2774</v>
      </c>
      <c r="B1320" s="1">
        <v>44933.345180335651</v>
      </c>
      <c r="C1320" t="s">
        <v>2775</v>
      </c>
      <c r="D1320" t="s">
        <v>85</v>
      </c>
      <c r="E1320" t="s">
        <v>111</v>
      </c>
      <c r="F1320">
        <v>2.2000000000000002</v>
      </c>
      <c r="G1320">
        <v>8</v>
      </c>
      <c r="H1320" t="s">
        <v>14</v>
      </c>
      <c r="I1320" t="s">
        <v>36</v>
      </c>
      <c r="J1320" t="s">
        <v>223</v>
      </c>
      <c r="K1320">
        <f>Pqp_supermarket_data[[#This Row],[Unit_Price]]*Pqp_supermarket_data[[#This Row],[Quantity]]</f>
        <v>17.600000000000001</v>
      </c>
      <c r="L1320" t="str">
        <f>TEXT(Pqp_supermarket_data[[#This Row],[DateTime]],"ddd")</f>
        <v>Sat</v>
      </c>
      <c r="M1320" t="str">
        <f>TEXT(Pqp_supermarket_data[[#This Row],[DateTime]],"mmm")</f>
        <v>Jan</v>
      </c>
      <c r="N1320" t="str">
        <f>TEXT(Pqp_supermarket_data[[#This Row],[DateTime]],"yyy")</f>
        <v>2023</v>
      </c>
    </row>
    <row r="1321" spans="1:14" x14ac:dyDescent="0.35">
      <c r="A1321" t="s">
        <v>2776</v>
      </c>
      <c r="B1321" s="1">
        <v>45521.620874791668</v>
      </c>
      <c r="C1321" t="s">
        <v>2777</v>
      </c>
      <c r="D1321" t="s">
        <v>34</v>
      </c>
      <c r="E1321" t="s">
        <v>90</v>
      </c>
      <c r="F1321">
        <v>1.8</v>
      </c>
      <c r="G1321">
        <v>2</v>
      </c>
      <c r="H1321" t="s">
        <v>14</v>
      </c>
      <c r="I1321" t="s">
        <v>36</v>
      </c>
      <c r="J1321" t="s">
        <v>163</v>
      </c>
      <c r="K1321">
        <f>Pqp_supermarket_data[[#This Row],[Unit_Price]]*Pqp_supermarket_data[[#This Row],[Quantity]]</f>
        <v>3.6</v>
      </c>
      <c r="L1321" t="str">
        <f>TEXT(Pqp_supermarket_data[[#This Row],[DateTime]],"ddd")</f>
        <v>Sat</v>
      </c>
      <c r="M1321" t="str">
        <f>TEXT(Pqp_supermarket_data[[#This Row],[DateTime]],"mmm")</f>
        <v>Aug</v>
      </c>
      <c r="N1321" t="str">
        <f>TEXT(Pqp_supermarket_data[[#This Row],[DateTime]],"yyy")</f>
        <v>2024</v>
      </c>
    </row>
    <row r="1322" spans="1:14" x14ac:dyDescent="0.35">
      <c r="A1322" t="s">
        <v>2778</v>
      </c>
      <c r="B1322" s="1">
        <v>44853.933374791668</v>
      </c>
      <c r="C1322" t="s">
        <v>2779</v>
      </c>
      <c r="D1322" t="s">
        <v>12</v>
      </c>
      <c r="E1322" t="s">
        <v>94</v>
      </c>
      <c r="F1322">
        <v>0.8</v>
      </c>
      <c r="G1322">
        <v>9</v>
      </c>
      <c r="H1322" t="s">
        <v>14</v>
      </c>
      <c r="I1322" t="s">
        <v>61</v>
      </c>
      <c r="J1322" t="s">
        <v>172</v>
      </c>
      <c r="K1322">
        <f>Pqp_supermarket_data[[#This Row],[Unit_Price]]*Pqp_supermarket_data[[#This Row],[Quantity]]</f>
        <v>7.2</v>
      </c>
      <c r="L1322" t="str">
        <f>TEXT(Pqp_supermarket_data[[#This Row],[DateTime]],"ddd")</f>
        <v>Wed</v>
      </c>
      <c r="M1322" t="str">
        <f>TEXT(Pqp_supermarket_data[[#This Row],[DateTime]],"mmm")</f>
        <v>Oct</v>
      </c>
      <c r="N1322" t="str">
        <f>TEXT(Pqp_supermarket_data[[#This Row],[DateTime]],"yyy")</f>
        <v>2022</v>
      </c>
    </row>
    <row r="1323" spans="1:14" x14ac:dyDescent="0.35">
      <c r="A1323" t="s">
        <v>2780</v>
      </c>
      <c r="B1323" s="1">
        <v>44554.013235902778</v>
      </c>
      <c r="C1323" t="s">
        <v>2781</v>
      </c>
      <c r="D1323" t="s">
        <v>77</v>
      </c>
      <c r="E1323" t="s">
        <v>53</v>
      </c>
      <c r="F1323">
        <v>2.8</v>
      </c>
      <c r="G1323">
        <v>10</v>
      </c>
      <c r="H1323" t="s">
        <v>14</v>
      </c>
      <c r="I1323" t="s">
        <v>61</v>
      </c>
      <c r="J1323" t="s">
        <v>436</v>
      </c>
      <c r="K1323">
        <f>Pqp_supermarket_data[[#This Row],[Unit_Price]]*Pqp_supermarket_data[[#This Row],[Quantity]]</f>
        <v>28</v>
      </c>
      <c r="L1323" t="str">
        <f>TEXT(Pqp_supermarket_data[[#This Row],[DateTime]],"ddd")</f>
        <v>Fri</v>
      </c>
      <c r="M1323" t="str">
        <f>TEXT(Pqp_supermarket_data[[#This Row],[DateTime]],"mmm")</f>
        <v>Dec</v>
      </c>
      <c r="N1323" t="str">
        <f>TEXT(Pqp_supermarket_data[[#This Row],[DateTime]],"yyy")</f>
        <v>2021</v>
      </c>
    </row>
    <row r="1324" spans="1:14" x14ac:dyDescent="0.35">
      <c r="A1324" t="s">
        <v>2782</v>
      </c>
      <c r="B1324" s="1">
        <v>44716.388235914354</v>
      </c>
      <c r="C1324" t="s">
        <v>2783</v>
      </c>
      <c r="D1324" t="s">
        <v>44</v>
      </c>
      <c r="E1324" t="s">
        <v>57</v>
      </c>
      <c r="F1324">
        <v>4.5</v>
      </c>
      <c r="G1324">
        <v>6</v>
      </c>
      <c r="H1324" t="s">
        <v>14</v>
      </c>
      <c r="I1324" t="s">
        <v>61</v>
      </c>
      <c r="J1324" t="s">
        <v>50</v>
      </c>
      <c r="K1324">
        <f>Pqp_supermarket_data[[#This Row],[Unit_Price]]*Pqp_supermarket_data[[#This Row],[Quantity]]</f>
        <v>27</v>
      </c>
      <c r="L1324" t="str">
        <f>TEXT(Pqp_supermarket_data[[#This Row],[DateTime]],"ddd")</f>
        <v>Sat</v>
      </c>
      <c r="M1324" t="str">
        <f>TEXT(Pqp_supermarket_data[[#This Row],[DateTime]],"mmm")</f>
        <v>Jun</v>
      </c>
      <c r="N1324" t="str">
        <f>TEXT(Pqp_supermarket_data[[#This Row],[DateTime]],"yyy")</f>
        <v>2022</v>
      </c>
    </row>
    <row r="1325" spans="1:14" x14ac:dyDescent="0.35">
      <c r="A1325" t="s">
        <v>2784</v>
      </c>
      <c r="B1325" s="1">
        <v>44791.525041469904</v>
      </c>
      <c r="C1325" t="s">
        <v>2785</v>
      </c>
      <c r="D1325" t="s">
        <v>69</v>
      </c>
      <c r="E1325" t="s">
        <v>111</v>
      </c>
      <c r="F1325">
        <v>2.2000000000000002</v>
      </c>
      <c r="G1325">
        <v>10</v>
      </c>
      <c r="H1325" t="s">
        <v>14</v>
      </c>
      <c r="I1325" t="s">
        <v>86</v>
      </c>
      <c r="J1325" t="s">
        <v>166</v>
      </c>
      <c r="K1325">
        <f>Pqp_supermarket_data[[#This Row],[Unit_Price]]*Pqp_supermarket_data[[#This Row],[Quantity]]</f>
        <v>22</v>
      </c>
      <c r="L1325" t="str">
        <f>TEXT(Pqp_supermarket_data[[#This Row],[DateTime]],"ddd")</f>
        <v>Thu</v>
      </c>
      <c r="M1325" t="str">
        <f>TEXT(Pqp_supermarket_data[[#This Row],[DateTime]],"mmm")</f>
        <v>Aug</v>
      </c>
      <c r="N1325" t="str">
        <f>TEXT(Pqp_supermarket_data[[#This Row],[DateTime]],"yyy")</f>
        <v>2022</v>
      </c>
    </row>
    <row r="1326" spans="1:14" x14ac:dyDescent="0.35">
      <c r="A1326" t="s">
        <v>2786</v>
      </c>
      <c r="B1326" s="1">
        <v>45162.175735914352</v>
      </c>
      <c r="C1326" t="s">
        <v>2787</v>
      </c>
      <c r="D1326" t="s">
        <v>69</v>
      </c>
      <c r="E1326" t="s">
        <v>115</v>
      </c>
      <c r="F1326">
        <v>1.5</v>
      </c>
      <c r="G1326">
        <v>1</v>
      </c>
      <c r="H1326" t="s">
        <v>14</v>
      </c>
      <c r="I1326" t="s">
        <v>40</v>
      </c>
      <c r="J1326" t="s">
        <v>153</v>
      </c>
      <c r="K1326">
        <f>Pqp_supermarket_data[[#This Row],[Unit_Price]]*Pqp_supermarket_data[[#This Row],[Quantity]]</f>
        <v>1.5</v>
      </c>
      <c r="L1326" t="str">
        <f>TEXT(Pqp_supermarket_data[[#This Row],[DateTime]],"ddd")</f>
        <v>Thu</v>
      </c>
      <c r="M1326" t="str">
        <f>TEXT(Pqp_supermarket_data[[#This Row],[DateTime]],"mmm")</f>
        <v>Aug</v>
      </c>
      <c r="N1326" t="str">
        <f>TEXT(Pqp_supermarket_data[[#This Row],[DateTime]],"yyy")</f>
        <v>2023</v>
      </c>
    </row>
    <row r="1327" spans="1:14" x14ac:dyDescent="0.35">
      <c r="A1327" t="s">
        <v>2788</v>
      </c>
      <c r="B1327" s="1">
        <v>45072.438235914349</v>
      </c>
      <c r="C1327" t="s">
        <v>2789</v>
      </c>
      <c r="D1327" t="s">
        <v>208</v>
      </c>
      <c r="E1327" t="s">
        <v>145</v>
      </c>
      <c r="F1327">
        <v>1.7</v>
      </c>
      <c r="G1327">
        <v>8</v>
      </c>
      <c r="H1327" t="s">
        <v>14</v>
      </c>
      <c r="I1327" t="s">
        <v>21</v>
      </c>
      <c r="J1327" t="s">
        <v>245</v>
      </c>
      <c r="K1327">
        <f>Pqp_supermarket_data[[#This Row],[Unit_Price]]*Pqp_supermarket_data[[#This Row],[Quantity]]</f>
        <v>13.6</v>
      </c>
      <c r="L1327" t="str">
        <f>TEXT(Pqp_supermarket_data[[#This Row],[DateTime]],"ddd")</f>
        <v>Fri</v>
      </c>
      <c r="M1327" t="str">
        <f>TEXT(Pqp_supermarket_data[[#This Row],[DateTime]],"mmm")</f>
        <v>May</v>
      </c>
      <c r="N1327" t="str">
        <f>TEXT(Pqp_supermarket_data[[#This Row],[DateTime]],"yyy")</f>
        <v>2023</v>
      </c>
    </row>
    <row r="1328" spans="1:14" x14ac:dyDescent="0.35">
      <c r="A1328" t="s">
        <v>2790</v>
      </c>
      <c r="B1328" s="1">
        <v>44627.936847037039</v>
      </c>
      <c r="C1328" t="s">
        <v>2791</v>
      </c>
      <c r="D1328" t="s">
        <v>44</v>
      </c>
      <c r="E1328" t="s">
        <v>49</v>
      </c>
      <c r="F1328">
        <v>7</v>
      </c>
      <c r="G1328">
        <v>8</v>
      </c>
      <c r="H1328" t="s">
        <v>14</v>
      </c>
      <c r="I1328" t="s">
        <v>36</v>
      </c>
      <c r="J1328" t="s">
        <v>538</v>
      </c>
      <c r="K1328">
        <f>Pqp_supermarket_data[[#This Row],[Unit_Price]]*Pqp_supermarket_data[[#This Row],[Quantity]]</f>
        <v>56</v>
      </c>
      <c r="L1328" t="str">
        <f>TEXT(Pqp_supermarket_data[[#This Row],[DateTime]],"ddd")</f>
        <v>Mon</v>
      </c>
      <c r="M1328" t="str">
        <f>TEXT(Pqp_supermarket_data[[#This Row],[DateTime]],"mmm")</f>
        <v>Mar</v>
      </c>
      <c r="N1328" t="str">
        <f>TEXT(Pqp_supermarket_data[[#This Row],[DateTime]],"yyy")</f>
        <v>2022</v>
      </c>
    </row>
    <row r="1329" spans="1:14" x14ac:dyDescent="0.35">
      <c r="A1329" t="s">
        <v>2792</v>
      </c>
      <c r="B1329" s="1">
        <v>45515.370874814813</v>
      </c>
      <c r="C1329" t="s">
        <v>2793</v>
      </c>
      <c r="D1329" t="s">
        <v>30</v>
      </c>
      <c r="E1329" t="s">
        <v>70</v>
      </c>
      <c r="F1329">
        <v>5</v>
      </c>
      <c r="G1329">
        <v>8</v>
      </c>
      <c r="H1329" t="s">
        <v>14</v>
      </c>
      <c r="I1329" t="s">
        <v>36</v>
      </c>
      <c r="J1329" t="s">
        <v>31</v>
      </c>
      <c r="K1329">
        <f>Pqp_supermarket_data[[#This Row],[Unit_Price]]*Pqp_supermarket_data[[#This Row],[Quantity]]</f>
        <v>40</v>
      </c>
      <c r="L1329" t="str">
        <f>TEXT(Pqp_supermarket_data[[#This Row],[DateTime]],"ddd")</f>
        <v>Sun</v>
      </c>
      <c r="M1329" t="str">
        <f>TEXT(Pqp_supermarket_data[[#This Row],[DateTime]],"mmm")</f>
        <v>Aug</v>
      </c>
      <c r="N1329" t="str">
        <f>TEXT(Pqp_supermarket_data[[#This Row],[DateTime]],"yyy")</f>
        <v>2024</v>
      </c>
    </row>
    <row r="1330" spans="1:14" x14ac:dyDescent="0.35">
      <c r="A1330" t="s">
        <v>2794</v>
      </c>
      <c r="B1330" s="1">
        <v>45480.587541493056</v>
      </c>
      <c r="C1330" t="s">
        <v>2795</v>
      </c>
      <c r="D1330" t="s">
        <v>77</v>
      </c>
      <c r="E1330" t="s">
        <v>45</v>
      </c>
      <c r="F1330">
        <v>1</v>
      </c>
      <c r="G1330">
        <v>10</v>
      </c>
      <c r="H1330" t="s">
        <v>14</v>
      </c>
      <c r="I1330" t="s">
        <v>86</v>
      </c>
      <c r="J1330" t="s">
        <v>423</v>
      </c>
      <c r="K1330">
        <f>Pqp_supermarket_data[[#This Row],[Unit_Price]]*Pqp_supermarket_data[[#This Row],[Quantity]]</f>
        <v>10</v>
      </c>
      <c r="L1330" t="str">
        <f>TEXT(Pqp_supermarket_data[[#This Row],[DateTime]],"ddd")</f>
        <v>Sun</v>
      </c>
      <c r="M1330" t="str">
        <f>TEXT(Pqp_supermarket_data[[#This Row],[DateTime]],"mmm")</f>
        <v>Jul</v>
      </c>
      <c r="N1330" t="str">
        <f>TEXT(Pqp_supermarket_data[[#This Row],[DateTime]],"yyy")</f>
        <v>2024</v>
      </c>
    </row>
    <row r="1331" spans="1:14" x14ac:dyDescent="0.35">
      <c r="A1331" t="s">
        <v>2796</v>
      </c>
      <c r="B1331" s="1">
        <v>45310.045180381945</v>
      </c>
      <c r="C1331" t="s">
        <v>2797</v>
      </c>
      <c r="D1331" t="s">
        <v>85</v>
      </c>
      <c r="E1331" t="s">
        <v>137</v>
      </c>
      <c r="F1331">
        <v>2.5</v>
      </c>
      <c r="G1331">
        <v>8</v>
      </c>
      <c r="H1331" t="s">
        <v>14</v>
      </c>
      <c r="I1331" t="s">
        <v>36</v>
      </c>
      <c r="J1331" t="s">
        <v>339</v>
      </c>
      <c r="K1331">
        <f>Pqp_supermarket_data[[#This Row],[Unit_Price]]*Pqp_supermarket_data[[#This Row],[Quantity]]</f>
        <v>20</v>
      </c>
      <c r="L1331" t="str">
        <f>TEXT(Pqp_supermarket_data[[#This Row],[DateTime]],"ddd")</f>
        <v>Fri</v>
      </c>
      <c r="M1331" t="str">
        <f>TEXT(Pqp_supermarket_data[[#This Row],[DateTime]],"mmm")</f>
        <v>Jan</v>
      </c>
      <c r="N1331" t="str">
        <f>TEXT(Pqp_supermarket_data[[#This Row],[DateTime]],"yyy")</f>
        <v>2024</v>
      </c>
    </row>
    <row r="1332" spans="1:14" x14ac:dyDescent="0.35">
      <c r="A1332" t="s">
        <v>2798</v>
      </c>
      <c r="B1332" s="1">
        <v>44464.438235949077</v>
      </c>
      <c r="C1332" t="s">
        <v>2799</v>
      </c>
      <c r="D1332" t="s">
        <v>69</v>
      </c>
      <c r="E1332" t="s">
        <v>35</v>
      </c>
      <c r="F1332">
        <v>1.2</v>
      </c>
      <c r="G1332">
        <v>10</v>
      </c>
      <c r="H1332" t="s">
        <v>14</v>
      </c>
      <c r="I1332" t="s">
        <v>36</v>
      </c>
      <c r="J1332" t="s">
        <v>426</v>
      </c>
      <c r="K1332">
        <f>Pqp_supermarket_data[[#This Row],[Unit_Price]]*Pqp_supermarket_data[[#This Row],[Quantity]]</f>
        <v>12</v>
      </c>
      <c r="L1332" t="str">
        <f>TEXT(Pqp_supermarket_data[[#This Row],[DateTime]],"ddd")</f>
        <v>Sat</v>
      </c>
      <c r="M1332" t="str">
        <f>TEXT(Pqp_supermarket_data[[#This Row],[DateTime]],"mmm")</f>
        <v>Sep</v>
      </c>
      <c r="N1332" t="str">
        <f>TEXT(Pqp_supermarket_data[[#This Row],[DateTime]],"yyy")</f>
        <v>2021</v>
      </c>
    </row>
    <row r="1333" spans="1:14" x14ac:dyDescent="0.35">
      <c r="A1333" t="s">
        <v>2800</v>
      </c>
      <c r="B1333" s="1">
        <v>44338.160458182872</v>
      </c>
      <c r="C1333" t="s">
        <v>2801</v>
      </c>
      <c r="D1333" t="s">
        <v>30</v>
      </c>
      <c r="E1333" t="s">
        <v>148</v>
      </c>
      <c r="F1333">
        <v>5.5</v>
      </c>
      <c r="G1333">
        <v>9</v>
      </c>
      <c r="H1333" t="s">
        <v>14</v>
      </c>
      <c r="I1333" t="s">
        <v>40</v>
      </c>
      <c r="J1333" t="s">
        <v>248</v>
      </c>
      <c r="K1333">
        <f>Pqp_supermarket_data[[#This Row],[Unit_Price]]*Pqp_supermarket_data[[#This Row],[Quantity]]</f>
        <v>49.5</v>
      </c>
      <c r="L1333" t="str">
        <f>TEXT(Pqp_supermarket_data[[#This Row],[DateTime]],"ddd")</f>
        <v>Sat</v>
      </c>
      <c r="M1333" t="str">
        <f>TEXT(Pqp_supermarket_data[[#This Row],[DateTime]],"mmm")</f>
        <v>May</v>
      </c>
      <c r="N1333" t="str">
        <f>TEXT(Pqp_supermarket_data[[#This Row],[DateTime]],"yyy")</f>
        <v>2021</v>
      </c>
    </row>
    <row r="1334" spans="1:14" x14ac:dyDescent="0.35">
      <c r="A1334" t="s">
        <v>2802</v>
      </c>
      <c r="B1334" s="1">
        <v>44518.82643040509</v>
      </c>
      <c r="C1334" t="s">
        <v>2803</v>
      </c>
      <c r="D1334" t="s">
        <v>226</v>
      </c>
      <c r="E1334" t="s">
        <v>137</v>
      </c>
      <c r="F1334">
        <v>2.5</v>
      </c>
      <c r="G1334">
        <v>10</v>
      </c>
      <c r="H1334" t="s">
        <v>14</v>
      </c>
      <c r="I1334" t="s">
        <v>21</v>
      </c>
      <c r="J1334" t="s">
        <v>248</v>
      </c>
      <c r="K1334">
        <f>Pqp_supermarket_data[[#This Row],[Unit_Price]]*Pqp_supermarket_data[[#This Row],[Quantity]]</f>
        <v>25</v>
      </c>
      <c r="L1334" t="str">
        <f>TEXT(Pqp_supermarket_data[[#This Row],[DateTime]],"ddd")</f>
        <v>Thu</v>
      </c>
      <c r="M1334" t="str">
        <f>TEXT(Pqp_supermarket_data[[#This Row],[DateTime]],"mmm")</f>
        <v>Nov</v>
      </c>
      <c r="N1334" t="str">
        <f>TEXT(Pqp_supermarket_data[[#This Row],[DateTime]],"yyy")</f>
        <v>2021</v>
      </c>
    </row>
    <row r="1335" spans="1:14" x14ac:dyDescent="0.35">
      <c r="A1335" t="s">
        <v>2804</v>
      </c>
      <c r="B1335" s="1">
        <v>44811.85351375</v>
      </c>
      <c r="C1335" t="s">
        <v>2805</v>
      </c>
      <c r="D1335" t="s">
        <v>208</v>
      </c>
      <c r="E1335" t="s">
        <v>148</v>
      </c>
      <c r="F1335">
        <v>5.5</v>
      </c>
      <c r="G1335">
        <v>9</v>
      </c>
      <c r="H1335" t="s">
        <v>14</v>
      </c>
      <c r="I1335" t="s">
        <v>15</v>
      </c>
      <c r="J1335" t="s">
        <v>397</v>
      </c>
      <c r="K1335">
        <f>Pqp_supermarket_data[[#This Row],[Unit_Price]]*Pqp_supermarket_data[[#This Row],[Quantity]]</f>
        <v>49.5</v>
      </c>
      <c r="L1335" t="str">
        <f>TEXT(Pqp_supermarket_data[[#This Row],[DateTime]],"ddd")</f>
        <v>Wed</v>
      </c>
      <c r="M1335" t="str">
        <f>TEXT(Pqp_supermarket_data[[#This Row],[DateTime]],"mmm")</f>
        <v>Sep</v>
      </c>
      <c r="N1335" t="str">
        <f>TEXT(Pqp_supermarket_data[[#This Row],[DateTime]],"yyy")</f>
        <v>2022</v>
      </c>
    </row>
    <row r="1336" spans="1:14" x14ac:dyDescent="0.35">
      <c r="A1336" t="s">
        <v>2806</v>
      </c>
      <c r="B1336" s="1">
        <v>45223.299347106484</v>
      </c>
      <c r="C1336" t="s">
        <v>2807</v>
      </c>
      <c r="D1336" t="s">
        <v>34</v>
      </c>
      <c r="E1336" t="s">
        <v>119</v>
      </c>
      <c r="F1336">
        <v>4</v>
      </c>
      <c r="G1336">
        <v>8</v>
      </c>
      <c r="H1336" t="s">
        <v>14</v>
      </c>
      <c r="I1336" t="s">
        <v>40</v>
      </c>
      <c r="J1336" t="s">
        <v>183</v>
      </c>
      <c r="K1336">
        <f>Pqp_supermarket_data[[#This Row],[Unit_Price]]*Pqp_supermarket_data[[#This Row],[Quantity]]</f>
        <v>32</v>
      </c>
      <c r="L1336" t="str">
        <f>TEXT(Pqp_supermarket_data[[#This Row],[DateTime]],"ddd")</f>
        <v>Tue</v>
      </c>
      <c r="M1336" t="str">
        <f>TEXT(Pqp_supermarket_data[[#This Row],[DateTime]],"mmm")</f>
        <v>Oct</v>
      </c>
      <c r="N1336" t="str">
        <f>TEXT(Pqp_supermarket_data[[#This Row],[DateTime]],"yyy")</f>
        <v>2023</v>
      </c>
    </row>
    <row r="1337" spans="1:14" x14ac:dyDescent="0.35">
      <c r="A1337" t="s">
        <v>2808</v>
      </c>
      <c r="B1337" s="1">
        <v>44544.125736006943</v>
      </c>
      <c r="C1337" t="s">
        <v>2809</v>
      </c>
      <c r="D1337" t="s">
        <v>171</v>
      </c>
      <c r="E1337" t="s">
        <v>137</v>
      </c>
      <c r="F1337">
        <v>2.5</v>
      </c>
      <c r="G1337">
        <v>8</v>
      </c>
      <c r="H1337" t="s">
        <v>14</v>
      </c>
      <c r="I1337" t="s">
        <v>40</v>
      </c>
      <c r="J1337" t="s">
        <v>102</v>
      </c>
      <c r="K1337">
        <f>Pqp_supermarket_data[[#This Row],[Unit_Price]]*Pqp_supermarket_data[[#This Row],[Quantity]]</f>
        <v>20</v>
      </c>
      <c r="L1337" t="str">
        <f>TEXT(Pqp_supermarket_data[[#This Row],[DateTime]],"ddd")</f>
        <v>Tue</v>
      </c>
      <c r="M1337" t="str">
        <f>TEXT(Pqp_supermarket_data[[#This Row],[DateTime]],"mmm")</f>
        <v>Dec</v>
      </c>
      <c r="N1337" t="str">
        <f>TEXT(Pqp_supermarket_data[[#This Row],[DateTime]],"yyy")</f>
        <v>2021</v>
      </c>
    </row>
    <row r="1338" spans="1:14" x14ac:dyDescent="0.35">
      <c r="A1338" t="s">
        <v>2810</v>
      </c>
      <c r="B1338" s="1">
        <v>44891.333374895832</v>
      </c>
      <c r="C1338" t="s">
        <v>2811</v>
      </c>
      <c r="D1338" t="s">
        <v>208</v>
      </c>
      <c r="E1338" t="s">
        <v>90</v>
      </c>
      <c r="F1338">
        <v>1.8</v>
      </c>
      <c r="G1338">
        <v>6</v>
      </c>
      <c r="H1338" t="s">
        <v>14</v>
      </c>
      <c r="I1338" t="s">
        <v>86</v>
      </c>
      <c r="J1338" t="s">
        <v>364</v>
      </c>
      <c r="K1338">
        <f>Pqp_supermarket_data[[#This Row],[Unit_Price]]*Pqp_supermarket_data[[#This Row],[Quantity]]</f>
        <v>10.8</v>
      </c>
      <c r="L1338" t="str">
        <f>TEXT(Pqp_supermarket_data[[#This Row],[DateTime]],"ddd")</f>
        <v>Sat</v>
      </c>
      <c r="M1338" t="str">
        <f>TEXT(Pqp_supermarket_data[[#This Row],[DateTime]],"mmm")</f>
        <v>Nov</v>
      </c>
      <c r="N1338" t="str">
        <f>TEXT(Pqp_supermarket_data[[#This Row],[DateTime]],"yyy")</f>
        <v>2022</v>
      </c>
    </row>
    <row r="1339" spans="1:14" x14ac:dyDescent="0.35">
      <c r="A1339" t="s">
        <v>2812</v>
      </c>
      <c r="B1339" s="1">
        <v>45600.430597118058</v>
      </c>
      <c r="C1339" t="s">
        <v>2813</v>
      </c>
      <c r="D1339" t="s">
        <v>85</v>
      </c>
      <c r="E1339" t="s">
        <v>94</v>
      </c>
      <c r="F1339">
        <v>0.8</v>
      </c>
      <c r="G1339">
        <v>5</v>
      </c>
      <c r="H1339" t="s">
        <v>14</v>
      </c>
      <c r="I1339" t="s">
        <v>15</v>
      </c>
      <c r="J1339" t="s">
        <v>458</v>
      </c>
      <c r="K1339">
        <f>Pqp_supermarket_data[[#This Row],[Unit_Price]]*Pqp_supermarket_data[[#This Row],[Quantity]]</f>
        <v>4</v>
      </c>
      <c r="L1339" t="str">
        <f>TEXT(Pqp_supermarket_data[[#This Row],[DateTime]],"ddd")</f>
        <v>Mon</v>
      </c>
      <c r="M1339" t="str">
        <f>TEXT(Pqp_supermarket_data[[#This Row],[DateTime]],"mmm")</f>
        <v>Nov</v>
      </c>
      <c r="N1339" t="str">
        <f>TEXT(Pqp_supermarket_data[[#This Row],[DateTime]],"yyy")</f>
        <v>2024</v>
      </c>
    </row>
    <row r="1340" spans="1:14" x14ac:dyDescent="0.35">
      <c r="A1340" t="s">
        <v>2814</v>
      </c>
      <c r="B1340" s="1">
        <v>45263.47018045139</v>
      </c>
      <c r="C1340" t="s">
        <v>2815</v>
      </c>
      <c r="D1340" t="s">
        <v>127</v>
      </c>
      <c r="E1340" t="s">
        <v>145</v>
      </c>
      <c r="F1340">
        <v>1.7</v>
      </c>
      <c r="G1340">
        <v>3</v>
      </c>
      <c r="H1340" t="s">
        <v>14</v>
      </c>
      <c r="I1340" t="s">
        <v>40</v>
      </c>
      <c r="J1340" t="s">
        <v>262</v>
      </c>
      <c r="K1340">
        <f>Pqp_supermarket_data[[#This Row],[Unit_Price]]*Pqp_supermarket_data[[#This Row],[Quantity]]</f>
        <v>5.0999999999999996</v>
      </c>
      <c r="L1340" t="str">
        <f>TEXT(Pqp_supermarket_data[[#This Row],[DateTime]],"ddd")</f>
        <v>Sun</v>
      </c>
      <c r="M1340" t="str">
        <f>TEXT(Pqp_supermarket_data[[#This Row],[DateTime]],"mmm")</f>
        <v>Dec</v>
      </c>
      <c r="N1340" t="str">
        <f>TEXT(Pqp_supermarket_data[[#This Row],[DateTime]],"yyy")</f>
        <v>2023</v>
      </c>
    </row>
    <row r="1341" spans="1:14" x14ac:dyDescent="0.35">
      <c r="A1341" t="s">
        <v>2816</v>
      </c>
      <c r="B1341" s="1">
        <v>45120.350736030094</v>
      </c>
      <c r="C1341" t="s">
        <v>2817</v>
      </c>
      <c r="D1341" t="s">
        <v>12</v>
      </c>
      <c r="E1341" t="s">
        <v>137</v>
      </c>
      <c r="F1341">
        <v>2.5</v>
      </c>
      <c r="G1341">
        <v>5</v>
      </c>
      <c r="H1341" t="s">
        <v>14</v>
      </c>
      <c r="I1341" t="s">
        <v>86</v>
      </c>
      <c r="J1341" t="s">
        <v>58</v>
      </c>
      <c r="K1341">
        <f>Pqp_supermarket_data[[#This Row],[Unit_Price]]*Pqp_supermarket_data[[#This Row],[Quantity]]</f>
        <v>12.5</v>
      </c>
      <c r="L1341" t="str">
        <f>TEXT(Pqp_supermarket_data[[#This Row],[DateTime]],"ddd")</f>
        <v>Thu</v>
      </c>
      <c r="M1341" t="str">
        <f>TEXT(Pqp_supermarket_data[[#This Row],[DateTime]],"mmm")</f>
        <v>Jul</v>
      </c>
      <c r="N1341" t="str">
        <f>TEXT(Pqp_supermarket_data[[#This Row],[DateTime]],"yyy")</f>
        <v>2023</v>
      </c>
    </row>
    <row r="1342" spans="1:14" x14ac:dyDescent="0.35">
      <c r="A1342" t="s">
        <v>2818</v>
      </c>
      <c r="B1342" s="1">
        <v>45131.375041585648</v>
      </c>
      <c r="C1342" t="s">
        <v>2819</v>
      </c>
      <c r="D1342" t="s">
        <v>19</v>
      </c>
      <c r="E1342" t="s">
        <v>39</v>
      </c>
      <c r="F1342">
        <v>3.2</v>
      </c>
      <c r="G1342">
        <v>5</v>
      </c>
      <c r="H1342" t="s">
        <v>14</v>
      </c>
      <c r="I1342" t="s">
        <v>86</v>
      </c>
      <c r="J1342" t="s">
        <v>172</v>
      </c>
      <c r="K1342">
        <f>Pqp_supermarket_data[[#This Row],[Unit_Price]]*Pqp_supermarket_data[[#This Row],[Quantity]]</f>
        <v>16</v>
      </c>
      <c r="L1342" t="str">
        <f>TEXT(Pqp_supermarket_data[[#This Row],[DateTime]],"ddd")</f>
        <v>Mon</v>
      </c>
      <c r="M1342" t="str">
        <f>TEXT(Pqp_supermarket_data[[#This Row],[DateTime]],"mmm")</f>
        <v>Jul</v>
      </c>
      <c r="N1342" t="str">
        <f>TEXT(Pqp_supermarket_data[[#This Row],[DateTime]],"yyy")</f>
        <v>2023</v>
      </c>
    </row>
    <row r="1343" spans="1:14" x14ac:dyDescent="0.35">
      <c r="A1343" t="s">
        <v>2820</v>
      </c>
      <c r="B1343" s="1">
        <v>45680.299347141205</v>
      </c>
      <c r="C1343" t="s">
        <v>2821</v>
      </c>
      <c r="D1343" t="s">
        <v>226</v>
      </c>
      <c r="E1343" t="s">
        <v>45</v>
      </c>
      <c r="F1343">
        <v>1</v>
      </c>
      <c r="G1343">
        <v>10</v>
      </c>
      <c r="H1343" t="s">
        <v>14</v>
      </c>
      <c r="I1343" t="s">
        <v>15</v>
      </c>
      <c r="J1343" t="s">
        <v>336</v>
      </c>
      <c r="K1343">
        <f>Pqp_supermarket_data[[#This Row],[Unit_Price]]*Pqp_supermarket_data[[#This Row],[Quantity]]</f>
        <v>10</v>
      </c>
      <c r="L1343" t="str">
        <f>TEXT(Pqp_supermarket_data[[#This Row],[DateTime]],"ddd")</f>
        <v>Thu</v>
      </c>
      <c r="M1343" t="str">
        <f>TEXT(Pqp_supermarket_data[[#This Row],[DateTime]],"mmm")</f>
        <v>Jan</v>
      </c>
      <c r="N1343" t="str">
        <f>TEXT(Pqp_supermarket_data[[#This Row],[DateTime]],"yyy")</f>
        <v>2025</v>
      </c>
    </row>
    <row r="1344" spans="1:14" x14ac:dyDescent="0.35">
      <c r="A1344" t="s">
        <v>2822</v>
      </c>
      <c r="B1344" s="1">
        <v>44744.876430497687</v>
      </c>
      <c r="C1344" t="s">
        <v>2823</v>
      </c>
      <c r="D1344" t="s">
        <v>77</v>
      </c>
      <c r="E1344" t="s">
        <v>13</v>
      </c>
      <c r="F1344">
        <v>3.1</v>
      </c>
      <c r="G1344">
        <v>1</v>
      </c>
      <c r="H1344" t="s">
        <v>14</v>
      </c>
      <c r="I1344" t="s">
        <v>61</v>
      </c>
      <c r="J1344" t="s">
        <v>311</v>
      </c>
      <c r="K1344">
        <f>Pqp_supermarket_data[[#This Row],[Unit_Price]]*Pqp_supermarket_data[[#This Row],[Quantity]]</f>
        <v>3.1</v>
      </c>
      <c r="L1344" t="str">
        <f>TEXT(Pqp_supermarket_data[[#This Row],[DateTime]],"ddd")</f>
        <v>Sat</v>
      </c>
      <c r="M1344" t="str">
        <f>TEXT(Pqp_supermarket_data[[#This Row],[DateTime]],"mmm")</f>
        <v>Jul</v>
      </c>
      <c r="N1344" t="str">
        <f>TEXT(Pqp_supermarket_data[[#This Row],[DateTime]],"yyy")</f>
        <v>2022</v>
      </c>
    </row>
    <row r="1345" spans="1:14" x14ac:dyDescent="0.35">
      <c r="A1345" t="s">
        <v>2824</v>
      </c>
      <c r="B1345" s="1">
        <v>44654.015319386577</v>
      </c>
      <c r="C1345" t="s">
        <v>2825</v>
      </c>
      <c r="D1345" t="s">
        <v>98</v>
      </c>
      <c r="E1345" t="s">
        <v>35</v>
      </c>
      <c r="F1345">
        <v>1.2</v>
      </c>
      <c r="G1345">
        <v>7</v>
      </c>
      <c r="H1345" t="s">
        <v>14</v>
      </c>
      <c r="I1345" t="s">
        <v>36</v>
      </c>
      <c r="J1345" t="s">
        <v>496</v>
      </c>
      <c r="K1345">
        <f>Pqp_supermarket_data[[#This Row],[Unit_Price]]*Pqp_supermarket_data[[#This Row],[Quantity]]</f>
        <v>8.4</v>
      </c>
      <c r="L1345" t="str">
        <f>TEXT(Pqp_supermarket_data[[#This Row],[DateTime]],"ddd")</f>
        <v>Sun</v>
      </c>
      <c r="M1345" t="str">
        <f>TEXT(Pqp_supermarket_data[[#This Row],[DateTime]],"mmm")</f>
        <v>Apr</v>
      </c>
      <c r="N1345" t="str">
        <f>TEXT(Pqp_supermarket_data[[#This Row],[DateTime]],"yyy")</f>
        <v>2022</v>
      </c>
    </row>
    <row r="1346" spans="1:14" x14ac:dyDescent="0.35">
      <c r="A1346" t="s">
        <v>2826</v>
      </c>
      <c r="B1346" s="1">
        <v>45748.20212494213</v>
      </c>
      <c r="C1346" t="s">
        <v>2827</v>
      </c>
      <c r="D1346" t="s">
        <v>171</v>
      </c>
      <c r="E1346" t="s">
        <v>148</v>
      </c>
      <c r="F1346">
        <v>5.5</v>
      </c>
      <c r="G1346">
        <v>4</v>
      </c>
      <c r="H1346" t="s">
        <v>14</v>
      </c>
      <c r="I1346" t="s">
        <v>21</v>
      </c>
      <c r="J1346" t="s">
        <v>189</v>
      </c>
      <c r="K1346">
        <f>Pqp_supermarket_data[[#This Row],[Unit_Price]]*Pqp_supermarket_data[[#This Row],[Quantity]]</f>
        <v>22</v>
      </c>
      <c r="L1346" t="str">
        <f>TEXT(Pqp_supermarket_data[[#This Row],[DateTime]],"ddd")</f>
        <v>Tue</v>
      </c>
      <c r="M1346" t="str">
        <f>TEXT(Pqp_supermarket_data[[#This Row],[DateTime]],"mmm")</f>
        <v>Apr</v>
      </c>
      <c r="N1346" t="str">
        <f>TEXT(Pqp_supermarket_data[[#This Row],[DateTime]],"yyy")</f>
        <v>2025</v>
      </c>
    </row>
    <row r="1347" spans="1:14" x14ac:dyDescent="0.35">
      <c r="A1347" t="s">
        <v>2828</v>
      </c>
      <c r="B1347" s="1">
        <v>45529.159763842596</v>
      </c>
      <c r="C1347" t="s">
        <v>2829</v>
      </c>
      <c r="D1347" t="s">
        <v>82</v>
      </c>
      <c r="E1347" t="s">
        <v>70</v>
      </c>
      <c r="F1347">
        <v>5</v>
      </c>
      <c r="G1347">
        <v>2</v>
      </c>
      <c r="H1347" t="s">
        <v>14</v>
      </c>
      <c r="I1347" t="s">
        <v>36</v>
      </c>
      <c r="J1347" t="s">
        <v>616</v>
      </c>
      <c r="K1347">
        <f>Pqp_supermarket_data[[#This Row],[Unit_Price]]*Pqp_supermarket_data[[#This Row],[Quantity]]</f>
        <v>10</v>
      </c>
      <c r="L1347" t="str">
        <f>TEXT(Pqp_supermarket_data[[#This Row],[DateTime]],"ddd")</f>
        <v>Sun</v>
      </c>
      <c r="M1347" t="str">
        <f>TEXT(Pqp_supermarket_data[[#This Row],[DateTime]],"mmm")</f>
        <v>Aug</v>
      </c>
      <c r="N1347" t="str">
        <f>TEXT(Pqp_supermarket_data[[#This Row],[DateTime]],"yyy")</f>
        <v>2024</v>
      </c>
    </row>
    <row r="1348" spans="1:14" x14ac:dyDescent="0.35">
      <c r="A1348" t="s">
        <v>2830</v>
      </c>
      <c r="B1348" s="1">
        <v>45370.377124965278</v>
      </c>
      <c r="C1348" t="s">
        <v>2831</v>
      </c>
      <c r="D1348" t="s">
        <v>85</v>
      </c>
      <c r="E1348" t="s">
        <v>94</v>
      </c>
      <c r="F1348">
        <v>0.8</v>
      </c>
      <c r="G1348">
        <v>4</v>
      </c>
      <c r="H1348" t="s">
        <v>14</v>
      </c>
      <c r="I1348" t="s">
        <v>21</v>
      </c>
      <c r="J1348" t="s">
        <v>22</v>
      </c>
      <c r="K1348">
        <f>Pqp_supermarket_data[[#This Row],[Unit_Price]]*Pqp_supermarket_data[[#This Row],[Quantity]]</f>
        <v>3.2</v>
      </c>
      <c r="L1348" t="str">
        <f>TEXT(Pqp_supermarket_data[[#This Row],[DateTime]],"ddd")</f>
        <v>Tue</v>
      </c>
      <c r="M1348" t="str">
        <f>TEXT(Pqp_supermarket_data[[#This Row],[DateTime]],"mmm")</f>
        <v>Mar</v>
      </c>
      <c r="N1348" t="str">
        <f>TEXT(Pqp_supermarket_data[[#This Row],[DateTime]],"yyy")</f>
        <v>2024</v>
      </c>
    </row>
    <row r="1349" spans="1:14" x14ac:dyDescent="0.35">
      <c r="A1349" t="s">
        <v>2832</v>
      </c>
      <c r="B1349" s="1">
        <v>44649.975041631944</v>
      </c>
      <c r="C1349" t="s">
        <v>2833</v>
      </c>
      <c r="D1349" t="s">
        <v>208</v>
      </c>
      <c r="E1349" t="s">
        <v>70</v>
      </c>
      <c r="F1349">
        <v>5</v>
      </c>
      <c r="G1349">
        <v>10</v>
      </c>
      <c r="H1349" t="s">
        <v>14</v>
      </c>
      <c r="I1349" t="s">
        <v>61</v>
      </c>
      <c r="J1349" t="s">
        <v>189</v>
      </c>
      <c r="K1349">
        <f>Pqp_supermarket_data[[#This Row],[Unit_Price]]*Pqp_supermarket_data[[#This Row],[Quantity]]</f>
        <v>50</v>
      </c>
      <c r="L1349" t="str">
        <f>TEXT(Pqp_supermarket_data[[#This Row],[DateTime]],"ddd")</f>
        <v>Tue</v>
      </c>
      <c r="M1349" t="str">
        <f>TEXT(Pqp_supermarket_data[[#This Row],[DateTime]],"mmm")</f>
        <v>Mar</v>
      </c>
      <c r="N1349" t="str">
        <f>TEXT(Pqp_supermarket_data[[#This Row],[DateTime]],"yyy")</f>
        <v>2022</v>
      </c>
    </row>
    <row r="1350" spans="1:14" x14ac:dyDescent="0.35">
      <c r="A1350" t="s">
        <v>2834</v>
      </c>
      <c r="B1350" s="1">
        <v>45444.557680520833</v>
      </c>
      <c r="C1350" t="s">
        <v>2835</v>
      </c>
      <c r="D1350" t="s">
        <v>19</v>
      </c>
      <c r="E1350" t="s">
        <v>115</v>
      </c>
      <c r="F1350">
        <v>1.5</v>
      </c>
      <c r="G1350">
        <v>5</v>
      </c>
      <c r="H1350" t="s">
        <v>14</v>
      </c>
      <c r="I1350" t="s">
        <v>21</v>
      </c>
      <c r="J1350" t="s">
        <v>364</v>
      </c>
      <c r="K1350">
        <f>Pqp_supermarket_data[[#This Row],[Unit_Price]]*Pqp_supermarket_data[[#This Row],[Quantity]]</f>
        <v>7.5</v>
      </c>
      <c r="L1350" t="str">
        <f>TEXT(Pqp_supermarket_data[[#This Row],[DateTime]],"ddd")</f>
        <v>Sat</v>
      </c>
      <c r="M1350" t="str">
        <f>TEXT(Pqp_supermarket_data[[#This Row],[DateTime]],"mmm")</f>
        <v>Jun</v>
      </c>
      <c r="N1350" t="str">
        <f>TEXT(Pqp_supermarket_data[[#This Row],[DateTime]],"yyy")</f>
        <v>2024</v>
      </c>
    </row>
    <row r="1351" spans="1:14" x14ac:dyDescent="0.35">
      <c r="A1351" t="s">
        <v>2836</v>
      </c>
      <c r="B1351" s="1">
        <v>44394.044486087965</v>
      </c>
      <c r="C1351" t="s">
        <v>2837</v>
      </c>
      <c r="D1351" t="s">
        <v>34</v>
      </c>
      <c r="E1351" t="s">
        <v>78</v>
      </c>
      <c r="F1351">
        <v>4</v>
      </c>
      <c r="G1351">
        <v>10</v>
      </c>
      <c r="H1351" t="s">
        <v>14</v>
      </c>
      <c r="I1351" t="s">
        <v>21</v>
      </c>
      <c r="J1351" t="s">
        <v>429</v>
      </c>
      <c r="K1351">
        <f>Pqp_supermarket_data[[#This Row],[Unit_Price]]*Pqp_supermarket_data[[#This Row],[Quantity]]</f>
        <v>40</v>
      </c>
      <c r="L1351" t="str">
        <f>TEXT(Pqp_supermarket_data[[#This Row],[DateTime]],"ddd")</f>
        <v>Sat</v>
      </c>
      <c r="M1351" t="str">
        <f>TEXT(Pqp_supermarket_data[[#This Row],[DateTime]],"mmm")</f>
        <v>Jul</v>
      </c>
      <c r="N1351" t="str">
        <f>TEXT(Pqp_supermarket_data[[#This Row],[DateTime]],"yyy")</f>
        <v>2021</v>
      </c>
    </row>
    <row r="1352" spans="1:14" x14ac:dyDescent="0.35">
      <c r="A1352" t="s">
        <v>2838</v>
      </c>
      <c r="B1352" s="1">
        <v>45693.31879164352</v>
      </c>
      <c r="C1352" t="s">
        <v>2839</v>
      </c>
      <c r="D1352" t="s">
        <v>85</v>
      </c>
      <c r="E1352" t="s">
        <v>119</v>
      </c>
      <c r="F1352">
        <v>4</v>
      </c>
      <c r="G1352">
        <v>2</v>
      </c>
      <c r="H1352" t="s">
        <v>14</v>
      </c>
      <c r="I1352" t="s">
        <v>61</v>
      </c>
      <c r="J1352" t="s">
        <v>451</v>
      </c>
      <c r="K1352">
        <f>Pqp_supermarket_data[[#This Row],[Unit_Price]]*Pqp_supermarket_data[[#This Row],[Quantity]]</f>
        <v>8</v>
      </c>
      <c r="L1352" t="str">
        <f>TEXT(Pqp_supermarket_data[[#This Row],[DateTime]],"ddd")</f>
        <v>Wed</v>
      </c>
      <c r="M1352" t="str">
        <f>TEXT(Pqp_supermarket_data[[#This Row],[DateTime]],"mmm")</f>
        <v>Feb</v>
      </c>
      <c r="N1352" t="str">
        <f>TEXT(Pqp_supermarket_data[[#This Row],[DateTime]],"yyy")</f>
        <v>2025</v>
      </c>
    </row>
    <row r="1353" spans="1:14" x14ac:dyDescent="0.35">
      <c r="A1353" t="s">
        <v>2840</v>
      </c>
      <c r="B1353" s="1">
        <v>44976.638236087965</v>
      </c>
      <c r="C1353" t="s">
        <v>2841</v>
      </c>
      <c r="D1353" t="s">
        <v>34</v>
      </c>
      <c r="E1353" t="s">
        <v>111</v>
      </c>
      <c r="F1353">
        <v>2.2000000000000002</v>
      </c>
      <c r="G1353">
        <v>9</v>
      </c>
      <c r="H1353" t="s">
        <v>14</v>
      </c>
      <c r="I1353" t="s">
        <v>61</v>
      </c>
      <c r="J1353" t="s">
        <v>236</v>
      </c>
      <c r="K1353">
        <f>Pqp_supermarket_data[[#This Row],[Unit_Price]]*Pqp_supermarket_data[[#This Row],[Quantity]]</f>
        <v>19.8</v>
      </c>
      <c r="L1353" t="str">
        <f>TEXT(Pqp_supermarket_data[[#This Row],[DateTime]],"ddd")</f>
        <v>Sun</v>
      </c>
      <c r="M1353" t="str">
        <f>TEXT(Pqp_supermarket_data[[#This Row],[DateTime]],"mmm")</f>
        <v>Feb</v>
      </c>
      <c r="N1353" t="str">
        <f>TEXT(Pqp_supermarket_data[[#This Row],[DateTime]],"yyy")</f>
        <v>2023</v>
      </c>
    </row>
    <row r="1354" spans="1:14" x14ac:dyDescent="0.35">
      <c r="A1354" t="s">
        <v>2842</v>
      </c>
      <c r="B1354" s="1">
        <v>45354.745875000001</v>
      </c>
      <c r="C1354" t="s">
        <v>2843</v>
      </c>
      <c r="D1354" t="s">
        <v>226</v>
      </c>
      <c r="E1354" t="s">
        <v>39</v>
      </c>
      <c r="F1354">
        <v>3.2</v>
      </c>
      <c r="G1354">
        <v>6</v>
      </c>
      <c r="H1354" t="s">
        <v>14</v>
      </c>
      <c r="I1354" t="s">
        <v>36</v>
      </c>
      <c r="J1354" t="s">
        <v>924</v>
      </c>
      <c r="K1354">
        <f>Pqp_supermarket_data[[#This Row],[Unit_Price]]*Pqp_supermarket_data[[#This Row],[Quantity]]</f>
        <v>19.200000000000003</v>
      </c>
      <c r="L1354" t="str">
        <f>TEXT(Pqp_supermarket_data[[#This Row],[DateTime]],"ddd")</f>
        <v>Sun</v>
      </c>
      <c r="M1354" t="str">
        <f>TEXT(Pqp_supermarket_data[[#This Row],[DateTime]],"mmm")</f>
        <v>Mar</v>
      </c>
      <c r="N1354" t="str">
        <f>TEXT(Pqp_supermarket_data[[#This Row],[DateTime]],"yyy")</f>
        <v>2024</v>
      </c>
    </row>
    <row r="1355" spans="1:14" x14ac:dyDescent="0.35">
      <c r="A1355" t="s">
        <v>2844</v>
      </c>
      <c r="B1355" s="1">
        <v>44336.964625000001</v>
      </c>
      <c r="C1355" t="s">
        <v>2845</v>
      </c>
      <c r="D1355" t="s">
        <v>25</v>
      </c>
      <c r="E1355" t="s">
        <v>39</v>
      </c>
      <c r="F1355">
        <v>3.2</v>
      </c>
      <c r="G1355">
        <v>6</v>
      </c>
      <c r="H1355" t="s">
        <v>14</v>
      </c>
      <c r="I1355" t="s">
        <v>15</v>
      </c>
      <c r="J1355" t="s">
        <v>223</v>
      </c>
      <c r="K1355">
        <f>Pqp_supermarket_data[[#This Row],[Unit_Price]]*Pqp_supermarket_data[[#This Row],[Quantity]]</f>
        <v>19.200000000000003</v>
      </c>
      <c r="L1355" t="str">
        <f>TEXT(Pqp_supermarket_data[[#This Row],[DateTime]],"ddd")</f>
        <v>Thu</v>
      </c>
      <c r="M1355" t="str">
        <f>TEXT(Pqp_supermarket_data[[#This Row],[DateTime]],"mmm")</f>
        <v>May</v>
      </c>
      <c r="N1355" t="str">
        <f>TEXT(Pqp_supermarket_data[[#This Row],[DateTime]],"yyy")</f>
        <v>2021</v>
      </c>
    </row>
    <row r="1356" spans="1:14" x14ac:dyDescent="0.35">
      <c r="A1356" t="s">
        <v>2846</v>
      </c>
      <c r="B1356" s="1">
        <v>44559.142402777776</v>
      </c>
      <c r="C1356" t="s">
        <v>2847</v>
      </c>
      <c r="D1356" t="s">
        <v>19</v>
      </c>
      <c r="E1356" t="s">
        <v>111</v>
      </c>
      <c r="F1356">
        <v>2.2000000000000002</v>
      </c>
      <c r="G1356">
        <v>1</v>
      </c>
      <c r="H1356" t="s">
        <v>14</v>
      </c>
      <c r="I1356" t="s">
        <v>21</v>
      </c>
      <c r="J1356" t="s">
        <v>122</v>
      </c>
      <c r="K1356">
        <f>Pqp_supermarket_data[[#This Row],[Unit_Price]]*Pqp_supermarket_data[[#This Row],[Quantity]]</f>
        <v>2.2000000000000002</v>
      </c>
      <c r="L1356" t="str">
        <f>TEXT(Pqp_supermarket_data[[#This Row],[DateTime]],"ddd")</f>
        <v>Wed</v>
      </c>
      <c r="M1356" t="str">
        <f>TEXT(Pqp_supermarket_data[[#This Row],[DateTime]],"mmm")</f>
        <v>Dec</v>
      </c>
      <c r="N1356" t="str">
        <f>TEXT(Pqp_supermarket_data[[#This Row],[DateTime]],"yyy")</f>
        <v>2021</v>
      </c>
    </row>
    <row r="1357" spans="1:14" x14ac:dyDescent="0.35">
      <c r="A1357" t="s">
        <v>2848</v>
      </c>
      <c r="B1357" s="1">
        <v>45778.52990277778</v>
      </c>
      <c r="C1357" t="s">
        <v>2849</v>
      </c>
      <c r="D1357" t="s">
        <v>69</v>
      </c>
      <c r="E1357" t="s">
        <v>145</v>
      </c>
      <c r="F1357">
        <v>1.7</v>
      </c>
      <c r="G1357">
        <v>9</v>
      </c>
      <c r="H1357" t="s">
        <v>14</v>
      </c>
      <c r="I1357" t="s">
        <v>36</v>
      </c>
      <c r="J1357" t="s">
        <v>54</v>
      </c>
      <c r="K1357">
        <f>Pqp_supermarket_data[[#This Row],[Unit_Price]]*Pqp_supermarket_data[[#This Row],[Quantity]]</f>
        <v>15.299999999999999</v>
      </c>
      <c r="L1357" t="str">
        <f>TEXT(Pqp_supermarket_data[[#This Row],[DateTime]],"ddd")</f>
        <v>Thu</v>
      </c>
      <c r="M1357" t="str">
        <f>TEXT(Pqp_supermarket_data[[#This Row],[DateTime]],"mmm")</f>
        <v>May</v>
      </c>
      <c r="N1357" t="str">
        <f>TEXT(Pqp_supermarket_data[[#This Row],[DateTime]],"yyy")</f>
        <v>2025</v>
      </c>
    </row>
    <row r="1358" spans="1:14" x14ac:dyDescent="0.35">
      <c r="A1358" t="s">
        <v>2850</v>
      </c>
      <c r="B1358" s="1">
        <v>44785.036152777779</v>
      </c>
      <c r="C1358" t="s">
        <v>2851</v>
      </c>
      <c r="D1358" t="s">
        <v>77</v>
      </c>
      <c r="E1358" t="s">
        <v>65</v>
      </c>
      <c r="F1358">
        <v>3</v>
      </c>
      <c r="G1358">
        <v>9</v>
      </c>
      <c r="H1358" t="s">
        <v>14</v>
      </c>
      <c r="I1358" t="s">
        <v>40</v>
      </c>
      <c r="J1358" t="s">
        <v>178</v>
      </c>
      <c r="K1358">
        <f>Pqp_supermarket_data[[#This Row],[Unit_Price]]*Pqp_supermarket_data[[#This Row],[Quantity]]</f>
        <v>27</v>
      </c>
      <c r="L1358" t="str">
        <f>TEXT(Pqp_supermarket_data[[#This Row],[DateTime]],"ddd")</f>
        <v>Fri</v>
      </c>
      <c r="M1358" t="str">
        <f>TEXT(Pqp_supermarket_data[[#This Row],[DateTime]],"mmm")</f>
        <v>Aug</v>
      </c>
      <c r="N1358" t="str">
        <f>TEXT(Pqp_supermarket_data[[#This Row],[DateTime]],"yyy")</f>
        <v>2022</v>
      </c>
    </row>
    <row r="1359" spans="1:14" x14ac:dyDescent="0.35">
      <c r="A1359" t="s">
        <v>2852</v>
      </c>
      <c r="B1359" s="1">
        <v>44874.67990278935</v>
      </c>
      <c r="C1359" t="s">
        <v>2853</v>
      </c>
      <c r="D1359" t="s">
        <v>44</v>
      </c>
      <c r="E1359" t="s">
        <v>49</v>
      </c>
      <c r="F1359">
        <v>7</v>
      </c>
      <c r="G1359">
        <v>10</v>
      </c>
      <c r="H1359" t="s">
        <v>14</v>
      </c>
      <c r="I1359" t="s">
        <v>61</v>
      </c>
      <c r="J1359" t="s">
        <v>423</v>
      </c>
      <c r="K1359">
        <f>Pqp_supermarket_data[[#This Row],[Unit_Price]]*Pqp_supermarket_data[[#This Row],[Quantity]]</f>
        <v>70</v>
      </c>
      <c r="L1359" t="str">
        <f>TEXT(Pqp_supermarket_data[[#This Row],[DateTime]],"ddd")</f>
        <v>Wed</v>
      </c>
      <c r="M1359" t="str">
        <f>TEXT(Pqp_supermarket_data[[#This Row],[DateTime]],"mmm")</f>
        <v>Nov</v>
      </c>
      <c r="N1359" t="str">
        <f>TEXT(Pqp_supermarket_data[[#This Row],[DateTime]],"yyy")</f>
        <v>2022</v>
      </c>
    </row>
    <row r="1360" spans="1:14" x14ac:dyDescent="0.35">
      <c r="A1360" t="s">
        <v>2854</v>
      </c>
      <c r="B1360" s="1">
        <v>45423.643097233798</v>
      </c>
      <c r="C1360" t="s">
        <v>2855</v>
      </c>
      <c r="D1360" t="s">
        <v>77</v>
      </c>
      <c r="E1360" t="s">
        <v>70</v>
      </c>
      <c r="F1360">
        <v>5</v>
      </c>
      <c r="G1360">
        <v>6</v>
      </c>
      <c r="H1360" t="s">
        <v>14</v>
      </c>
      <c r="I1360" t="s">
        <v>15</v>
      </c>
      <c r="J1360" t="s">
        <v>510</v>
      </c>
      <c r="K1360">
        <f>Pqp_supermarket_data[[#This Row],[Unit_Price]]*Pqp_supermarket_data[[#This Row],[Quantity]]</f>
        <v>30</v>
      </c>
      <c r="L1360" t="str">
        <f>TEXT(Pqp_supermarket_data[[#This Row],[DateTime]],"ddd")</f>
        <v>Sat</v>
      </c>
      <c r="M1360" t="str">
        <f>TEXT(Pqp_supermarket_data[[#This Row],[DateTime]],"mmm")</f>
        <v>May</v>
      </c>
      <c r="N1360" t="str">
        <f>TEXT(Pqp_supermarket_data[[#This Row],[DateTime]],"yyy")</f>
        <v>2024</v>
      </c>
    </row>
    <row r="1361" spans="1:14" x14ac:dyDescent="0.35">
      <c r="A1361" t="s">
        <v>2856</v>
      </c>
      <c r="B1361" s="1">
        <v>45767.235458344905</v>
      </c>
      <c r="C1361" t="s">
        <v>2857</v>
      </c>
      <c r="D1361" t="s">
        <v>208</v>
      </c>
      <c r="E1361" t="s">
        <v>13</v>
      </c>
      <c r="F1361">
        <v>3.1</v>
      </c>
      <c r="G1361">
        <v>6</v>
      </c>
      <c r="H1361" t="s">
        <v>14</v>
      </c>
      <c r="I1361" t="s">
        <v>15</v>
      </c>
      <c r="J1361" t="s">
        <v>451</v>
      </c>
      <c r="K1361">
        <f>Pqp_supermarket_data[[#This Row],[Unit_Price]]*Pqp_supermarket_data[[#This Row],[Quantity]]</f>
        <v>18.600000000000001</v>
      </c>
      <c r="L1361" t="str">
        <f>TEXT(Pqp_supermarket_data[[#This Row],[DateTime]],"ddd")</f>
        <v>Sun</v>
      </c>
      <c r="M1361" t="str">
        <f>TEXT(Pqp_supermarket_data[[#This Row],[DateTime]],"mmm")</f>
        <v>Apr</v>
      </c>
      <c r="N1361" t="str">
        <f>TEXT(Pqp_supermarket_data[[#This Row],[DateTime]],"yyy")</f>
        <v>2025</v>
      </c>
    </row>
    <row r="1362" spans="1:14" x14ac:dyDescent="0.35">
      <c r="A1362" t="s">
        <v>2858</v>
      </c>
      <c r="B1362" s="1">
        <v>44529.713236122683</v>
      </c>
      <c r="C1362" t="s">
        <v>2859</v>
      </c>
      <c r="D1362" t="s">
        <v>226</v>
      </c>
      <c r="E1362" t="s">
        <v>26</v>
      </c>
      <c r="F1362">
        <v>2.5</v>
      </c>
      <c r="G1362">
        <v>4</v>
      </c>
      <c r="H1362" t="s">
        <v>14</v>
      </c>
      <c r="I1362" t="s">
        <v>86</v>
      </c>
      <c r="J1362" t="s">
        <v>116</v>
      </c>
      <c r="K1362">
        <f>Pqp_supermarket_data[[#This Row],[Unit_Price]]*Pqp_supermarket_data[[#This Row],[Quantity]]</f>
        <v>10</v>
      </c>
      <c r="L1362" t="str">
        <f>TEXT(Pqp_supermarket_data[[#This Row],[DateTime]],"ddd")</f>
        <v>Mon</v>
      </c>
      <c r="M1362" t="str">
        <f>TEXT(Pqp_supermarket_data[[#This Row],[DateTime]],"mmm")</f>
        <v>Nov</v>
      </c>
      <c r="N1362" t="str">
        <f>TEXT(Pqp_supermarket_data[[#This Row],[DateTime]],"yyy")</f>
        <v>2021</v>
      </c>
    </row>
    <row r="1363" spans="1:14" x14ac:dyDescent="0.35">
      <c r="A1363" t="s">
        <v>2860</v>
      </c>
      <c r="B1363" s="1">
        <v>45711.204902800928</v>
      </c>
      <c r="C1363" t="s">
        <v>2861</v>
      </c>
      <c r="D1363" t="s">
        <v>19</v>
      </c>
      <c r="E1363" t="s">
        <v>45</v>
      </c>
      <c r="F1363">
        <v>1</v>
      </c>
      <c r="G1363">
        <v>4</v>
      </c>
      <c r="H1363" t="s">
        <v>14</v>
      </c>
      <c r="I1363" t="s">
        <v>40</v>
      </c>
      <c r="J1363" t="s">
        <v>485</v>
      </c>
      <c r="K1363">
        <f>Pqp_supermarket_data[[#This Row],[Unit_Price]]*Pqp_supermarket_data[[#This Row],[Quantity]]</f>
        <v>4</v>
      </c>
      <c r="L1363" t="str">
        <f>TEXT(Pqp_supermarket_data[[#This Row],[DateTime]],"ddd")</f>
        <v>Sun</v>
      </c>
      <c r="M1363" t="str">
        <f>TEXT(Pqp_supermarket_data[[#This Row],[DateTime]],"mmm")</f>
        <v>Feb</v>
      </c>
      <c r="N1363" t="str">
        <f>TEXT(Pqp_supermarket_data[[#This Row],[DateTime]],"yyy")</f>
        <v>2025</v>
      </c>
    </row>
    <row r="1364" spans="1:14" x14ac:dyDescent="0.35">
      <c r="A1364" t="s">
        <v>2862</v>
      </c>
      <c r="B1364" s="1">
        <v>44479.054902812502</v>
      </c>
      <c r="C1364" t="s">
        <v>2863</v>
      </c>
      <c r="D1364" t="s">
        <v>34</v>
      </c>
      <c r="E1364" t="s">
        <v>13</v>
      </c>
      <c r="F1364">
        <v>3.1</v>
      </c>
      <c r="G1364">
        <v>10</v>
      </c>
      <c r="H1364" t="s">
        <v>14</v>
      </c>
      <c r="I1364" t="s">
        <v>21</v>
      </c>
      <c r="J1364" t="s">
        <v>336</v>
      </c>
      <c r="K1364">
        <f>Pqp_supermarket_data[[#This Row],[Unit_Price]]*Pqp_supermarket_data[[#This Row],[Quantity]]</f>
        <v>31</v>
      </c>
      <c r="L1364" t="str">
        <f>TEXT(Pqp_supermarket_data[[#This Row],[DateTime]],"ddd")</f>
        <v>Sun</v>
      </c>
      <c r="M1364" t="str">
        <f>TEXT(Pqp_supermarket_data[[#This Row],[DateTime]],"mmm")</f>
        <v>Oct</v>
      </c>
      <c r="N1364" t="str">
        <f>TEXT(Pqp_supermarket_data[[#This Row],[DateTime]],"yyy")</f>
        <v>2021</v>
      </c>
    </row>
    <row r="1365" spans="1:14" x14ac:dyDescent="0.35">
      <c r="A1365" t="s">
        <v>2864</v>
      </c>
      <c r="B1365" s="1">
        <v>45436.843097256948</v>
      </c>
      <c r="C1365" t="s">
        <v>2865</v>
      </c>
      <c r="D1365" t="s">
        <v>30</v>
      </c>
      <c r="E1365" t="s">
        <v>119</v>
      </c>
      <c r="F1365">
        <v>4</v>
      </c>
      <c r="G1365">
        <v>10</v>
      </c>
      <c r="H1365" t="s">
        <v>14</v>
      </c>
      <c r="I1365" t="s">
        <v>21</v>
      </c>
      <c r="J1365" t="s">
        <v>218</v>
      </c>
      <c r="K1365">
        <f>Pqp_supermarket_data[[#This Row],[Unit_Price]]*Pqp_supermarket_data[[#This Row],[Quantity]]</f>
        <v>40</v>
      </c>
      <c r="L1365" t="str">
        <f>TEXT(Pqp_supermarket_data[[#This Row],[DateTime]],"ddd")</f>
        <v>Fri</v>
      </c>
      <c r="M1365" t="str">
        <f>TEXT(Pqp_supermarket_data[[#This Row],[DateTime]],"mmm")</f>
        <v>May</v>
      </c>
      <c r="N1365" t="str">
        <f>TEXT(Pqp_supermarket_data[[#This Row],[DateTime]],"yyy")</f>
        <v>2024</v>
      </c>
    </row>
    <row r="1366" spans="1:14" x14ac:dyDescent="0.35">
      <c r="A1366" t="s">
        <v>2866</v>
      </c>
      <c r="B1366" s="1">
        <v>45652.804208379632</v>
      </c>
      <c r="C1366" t="s">
        <v>2867</v>
      </c>
      <c r="D1366" t="s">
        <v>12</v>
      </c>
      <c r="E1366" t="s">
        <v>65</v>
      </c>
      <c r="F1366">
        <v>3</v>
      </c>
      <c r="G1366">
        <v>3</v>
      </c>
      <c r="H1366" t="s">
        <v>14</v>
      </c>
      <c r="I1366" t="s">
        <v>61</v>
      </c>
      <c r="J1366" t="s">
        <v>323</v>
      </c>
      <c r="K1366">
        <f>Pqp_supermarket_data[[#This Row],[Unit_Price]]*Pqp_supermarket_data[[#This Row],[Quantity]]</f>
        <v>9</v>
      </c>
      <c r="L1366" t="str">
        <f>TEXT(Pqp_supermarket_data[[#This Row],[DateTime]],"ddd")</f>
        <v>Thu</v>
      </c>
      <c r="M1366" t="str">
        <f>TEXT(Pqp_supermarket_data[[#This Row],[DateTime]],"mmm")</f>
        <v>Dec</v>
      </c>
      <c r="N1366" t="str">
        <f>TEXT(Pqp_supermarket_data[[#This Row],[DateTime]],"yyy")</f>
        <v>2024</v>
      </c>
    </row>
    <row r="1367" spans="1:14" x14ac:dyDescent="0.35">
      <c r="A1367" t="s">
        <v>2868</v>
      </c>
      <c r="B1367" s="1">
        <v>45319.861152824073</v>
      </c>
      <c r="C1367" t="s">
        <v>2869</v>
      </c>
      <c r="D1367" t="s">
        <v>226</v>
      </c>
      <c r="E1367" t="s">
        <v>13</v>
      </c>
      <c r="F1367">
        <v>3.1</v>
      </c>
      <c r="G1367">
        <v>4</v>
      </c>
      <c r="H1367" t="s">
        <v>14</v>
      </c>
      <c r="I1367" t="s">
        <v>36</v>
      </c>
      <c r="J1367" t="s">
        <v>397</v>
      </c>
      <c r="K1367">
        <f>Pqp_supermarket_data[[#This Row],[Unit_Price]]*Pqp_supermarket_data[[#This Row],[Quantity]]</f>
        <v>12.4</v>
      </c>
      <c r="L1367" t="str">
        <f>TEXT(Pqp_supermarket_data[[#This Row],[DateTime]],"ddd")</f>
        <v>Sun</v>
      </c>
      <c r="M1367" t="str">
        <f>TEXT(Pqp_supermarket_data[[#This Row],[DateTime]],"mmm")</f>
        <v>Jan</v>
      </c>
      <c r="N1367" t="str">
        <f>TEXT(Pqp_supermarket_data[[#This Row],[DateTime]],"yyy")</f>
        <v>2024</v>
      </c>
    </row>
    <row r="1368" spans="1:14" x14ac:dyDescent="0.35">
      <c r="A1368" t="s">
        <v>2870</v>
      </c>
      <c r="B1368" s="1">
        <v>44366.66115284722</v>
      </c>
      <c r="C1368" t="s">
        <v>2871</v>
      </c>
      <c r="D1368" t="s">
        <v>171</v>
      </c>
      <c r="E1368" t="s">
        <v>13</v>
      </c>
      <c r="F1368">
        <v>3.1</v>
      </c>
      <c r="G1368">
        <v>9</v>
      </c>
      <c r="H1368" t="s">
        <v>14</v>
      </c>
      <c r="I1368" t="s">
        <v>86</v>
      </c>
      <c r="J1368" t="s">
        <v>288</v>
      </c>
      <c r="K1368">
        <f>Pqp_supermarket_data[[#This Row],[Unit_Price]]*Pqp_supermarket_data[[#This Row],[Quantity]]</f>
        <v>27.900000000000002</v>
      </c>
      <c r="L1368" t="str">
        <f>TEXT(Pqp_supermarket_data[[#This Row],[DateTime]],"ddd")</f>
        <v>Sat</v>
      </c>
      <c r="M1368" t="str">
        <f>TEXT(Pqp_supermarket_data[[#This Row],[DateTime]],"mmm")</f>
        <v>Jun</v>
      </c>
      <c r="N1368" t="str">
        <f>TEXT(Pqp_supermarket_data[[#This Row],[DateTime]],"yyy")</f>
        <v>2021</v>
      </c>
    </row>
    <row r="1369" spans="1:14" x14ac:dyDescent="0.35">
      <c r="A1369" t="s">
        <v>2872</v>
      </c>
      <c r="B1369" s="1">
        <v>44911.696569513886</v>
      </c>
      <c r="C1369" t="s">
        <v>2873</v>
      </c>
      <c r="D1369" t="s">
        <v>30</v>
      </c>
      <c r="E1369" t="s">
        <v>137</v>
      </c>
      <c r="F1369">
        <v>2.5</v>
      </c>
      <c r="G1369">
        <v>6</v>
      </c>
      <c r="H1369" t="s">
        <v>14</v>
      </c>
      <c r="I1369" t="s">
        <v>86</v>
      </c>
      <c r="J1369" t="s">
        <v>404</v>
      </c>
      <c r="K1369">
        <f>Pqp_supermarket_data[[#This Row],[Unit_Price]]*Pqp_supermarket_data[[#This Row],[Quantity]]</f>
        <v>15</v>
      </c>
      <c r="L1369" t="str">
        <f>TEXT(Pqp_supermarket_data[[#This Row],[DateTime]],"ddd")</f>
        <v>Fri</v>
      </c>
      <c r="M1369" t="str">
        <f>TEXT(Pqp_supermarket_data[[#This Row],[DateTime]],"mmm")</f>
        <v>Dec</v>
      </c>
      <c r="N1369" t="str">
        <f>TEXT(Pqp_supermarket_data[[#This Row],[DateTime]],"yyy")</f>
        <v>2022</v>
      </c>
    </row>
    <row r="1370" spans="1:14" x14ac:dyDescent="0.35">
      <c r="A1370" t="s">
        <v>2874</v>
      </c>
      <c r="B1370" s="1">
        <v>45225.404902847222</v>
      </c>
      <c r="C1370" t="s">
        <v>2875</v>
      </c>
      <c r="D1370" t="s">
        <v>85</v>
      </c>
      <c r="E1370" t="s">
        <v>70</v>
      </c>
      <c r="F1370">
        <v>5</v>
      </c>
      <c r="G1370">
        <v>8</v>
      </c>
      <c r="H1370" t="s">
        <v>14</v>
      </c>
      <c r="I1370" t="s">
        <v>61</v>
      </c>
      <c r="J1370" t="s">
        <v>128</v>
      </c>
      <c r="K1370">
        <f>Pqp_supermarket_data[[#This Row],[Unit_Price]]*Pqp_supermarket_data[[#This Row],[Quantity]]</f>
        <v>40</v>
      </c>
      <c r="L1370" t="str">
        <f>TEXT(Pqp_supermarket_data[[#This Row],[DateTime]],"ddd")</f>
        <v>Thu</v>
      </c>
      <c r="M1370" t="str">
        <f>TEXT(Pqp_supermarket_data[[#This Row],[DateTime]],"mmm")</f>
        <v>Oct</v>
      </c>
      <c r="N1370" t="str">
        <f>TEXT(Pqp_supermarket_data[[#This Row],[DateTime]],"yyy")</f>
        <v>2023</v>
      </c>
    </row>
    <row r="1371" spans="1:14" x14ac:dyDescent="0.35">
      <c r="A1371" t="s">
        <v>2876</v>
      </c>
      <c r="B1371" s="1">
        <v>45696.591708402775</v>
      </c>
      <c r="C1371" t="s">
        <v>2877</v>
      </c>
      <c r="D1371" t="s">
        <v>208</v>
      </c>
      <c r="E1371" t="s">
        <v>13</v>
      </c>
      <c r="F1371">
        <v>3.1</v>
      </c>
      <c r="G1371">
        <v>7</v>
      </c>
      <c r="H1371" t="s">
        <v>14</v>
      </c>
      <c r="I1371" t="s">
        <v>21</v>
      </c>
      <c r="J1371" t="s">
        <v>31</v>
      </c>
      <c r="K1371">
        <f>Pqp_supermarket_data[[#This Row],[Unit_Price]]*Pqp_supermarket_data[[#This Row],[Quantity]]</f>
        <v>21.7</v>
      </c>
      <c r="L1371" t="str">
        <f>TEXT(Pqp_supermarket_data[[#This Row],[DateTime]],"ddd")</f>
        <v>Sat</v>
      </c>
      <c r="M1371" t="str">
        <f>TEXT(Pqp_supermarket_data[[#This Row],[DateTime]],"mmm")</f>
        <v>Feb</v>
      </c>
      <c r="N1371" t="str">
        <f>TEXT(Pqp_supermarket_data[[#This Row],[DateTime]],"yyy")</f>
        <v>2025</v>
      </c>
    </row>
    <row r="1372" spans="1:14" x14ac:dyDescent="0.35">
      <c r="A1372" t="s">
        <v>2878</v>
      </c>
      <c r="B1372" s="1">
        <v>45139.542402858795</v>
      </c>
      <c r="C1372" t="s">
        <v>2879</v>
      </c>
      <c r="D1372" t="s">
        <v>25</v>
      </c>
      <c r="E1372" t="s">
        <v>39</v>
      </c>
      <c r="F1372">
        <v>3.2</v>
      </c>
      <c r="G1372">
        <v>2</v>
      </c>
      <c r="H1372" t="s">
        <v>14</v>
      </c>
      <c r="I1372" t="s">
        <v>21</v>
      </c>
      <c r="J1372" t="s">
        <v>27</v>
      </c>
      <c r="K1372">
        <f>Pqp_supermarket_data[[#This Row],[Unit_Price]]*Pqp_supermarket_data[[#This Row],[Quantity]]</f>
        <v>6.4</v>
      </c>
      <c r="L1372" t="str">
        <f>TEXT(Pqp_supermarket_data[[#This Row],[DateTime]],"ddd")</f>
        <v>Tue</v>
      </c>
      <c r="M1372" t="str">
        <f>TEXT(Pqp_supermarket_data[[#This Row],[DateTime]],"mmm")</f>
        <v>Aug</v>
      </c>
      <c r="N1372" t="str">
        <f>TEXT(Pqp_supermarket_data[[#This Row],[DateTime]],"yyy")</f>
        <v>2023</v>
      </c>
    </row>
    <row r="1373" spans="1:14" x14ac:dyDescent="0.35">
      <c r="A1373" t="s">
        <v>2880</v>
      </c>
      <c r="B1373" s="1">
        <v>45323.624347303237</v>
      </c>
      <c r="C1373" t="s">
        <v>2881</v>
      </c>
      <c r="D1373" t="s">
        <v>77</v>
      </c>
      <c r="E1373" t="s">
        <v>26</v>
      </c>
      <c r="F1373">
        <v>2.5</v>
      </c>
      <c r="G1373">
        <v>4</v>
      </c>
      <c r="H1373" t="s">
        <v>14</v>
      </c>
      <c r="I1373" t="s">
        <v>15</v>
      </c>
      <c r="J1373" t="s">
        <v>517</v>
      </c>
      <c r="K1373">
        <f>Pqp_supermarket_data[[#This Row],[Unit_Price]]*Pqp_supermarket_data[[#This Row],[Quantity]]</f>
        <v>10</v>
      </c>
      <c r="L1373" t="str">
        <f>TEXT(Pqp_supermarket_data[[#This Row],[DateTime]],"ddd")</f>
        <v>Thu</v>
      </c>
      <c r="M1373" t="str">
        <f>TEXT(Pqp_supermarket_data[[#This Row],[DateTime]],"mmm")</f>
        <v>Feb</v>
      </c>
      <c r="N1373" t="str">
        <f>TEXT(Pqp_supermarket_data[[#This Row],[DateTime]],"yyy")</f>
        <v>2024</v>
      </c>
    </row>
    <row r="1374" spans="1:14" x14ac:dyDescent="0.35">
      <c r="A1374" t="s">
        <v>2882</v>
      </c>
      <c r="B1374" s="1">
        <v>45150.448652858795</v>
      </c>
      <c r="C1374" t="s">
        <v>2883</v>
      </c>
      <c r="D1374" t="s">
        <v>30</v>
      </c>
      <c r="E1374" t="s">
        <v>148</v>
      </c>
      <c r="F1374">
        <v>5.5</v>
      </c>
      <c r="G1374">
        <v>1</v>
      </c>
      <c r="H1374" t="s">
        <v>14</v>
      </c>
      <c r="I1374" t="s">
        <v>86</v>
      </c>
      <c r="J1374" t="s">
        <v>236</v>
      </c>
      <c r="K1374">
        <f>Pqp_supermarket_data[[#This Row],[Unit_Price]]*Pqp_supermarket_data[[#This Row],[Quantity]]</f>
        <v>5.5</v>
      </c>
      <c r="L1374" t="str">
        <f>TEXT(Pqp_supermarket_data[[#This Row],[DateTime]],"ddd")</f>
        <v>Sat</v>
      </c>
      <c r="M1374" t="str">
        <f>TEXT(Pqp_supermarket_data[[#This Row],[DateTime]],"mmm")</f>
        <v>Aug</v>
      </c>
      <c r="N1374" t="str">
        <f>TEXT(Pqp_supermarket_data[[#This Row],[DateTime]],"yyy")</f>
        <v>2023</v>
      </c>
    </row>
    <row r="1375" spans="1:14" x14ac:dyDescent="0.35">
      <c r="A1375" t="s">
        <v>2884</v>
      </c>
      <c r="B1375" s="1">
        <v>45736.774347314815</v>
      </c>
      <c r="C1375" t="s">
        <v>2885</v>
      </c>
      <c r="D1375" t="s">
        <v>30</v>
      </c>
      <c r="E1375" t="s">
        <v>39</v>
      </c>
      <c r="F1375">
        <v>3.2</v>
      </c>
      <c r="G1375">
        <v>5</v>
      </c>
      <c r="H1375" t="s">
        <v>14</v>
      </c>
      <c r="I1375" t="s">
        <v>15</v>
      </c>
      <c r="J1375" t="s">
        <v>192</v>
      </c>
      <c r="K1375">
        <f>Pqp_supermarket_data[[#This Row],[Unit_Price]]*Pqp_supermarket_data[[#This Row],[Quantity]]</f>
        <v>16</v>
      </c>
      <c r="L1375" t="str">
        <f>TEXT(Pqp_supermarket_data[[#This Row],[DateTime]],"ddd")</f>
        <v>Thu</v>
      </c>
      <c r="M1375" t="str">
        <f>TEXT(Pqp_supermarket_data[[#This Row],[DateTime]],"mmm")</f>
        <v>Mar</v>
      </c>
      <c r="N1375" t="str">
        <f>TEXT(Pqp_supermarket_data[[#This Row],[DateTime]],"yyy")</f>
        <v>2025</v>
      </c>
    </row>
    <row r="1376" spans="1:14" x14ac:dyDescent="0.35">
      <c r="A1376" t="s">
        <v>2886</v>
      </c>
      <c r="B1376" s="1">
        <v>44817.253513993055</v>
      </c>
      <c r="C1376" t="s">
        <v>2887</v>
      </c>
      <c r="D1376" t="s">
        <v>34</v>
      </c>
      <c r="E1376" t="s">
        <v>137</v>
      </c>
      <c r="F1376">
        <v>2.5</v>
      </c>
      <c r="G1376">
        <v>6</v>
      </c>
      <c r="H1376" t="s">
        <v>14</v>
      </c>
      <c r="I1376" t="s">
        <v>21</v>
      </c>
      <c r="J1376" t="s">
        <v>461</v>
      </c>
      <c r="K1376">
        <f>Pqp_supermarket_data[[#This Row],[Unit_Price]]*Pqp_supermarket_data[[#This Row],[Quantity]]</f>
        <v>15</v>
      </c>
      <c r="L1376" t="str">
        <f>TEXT(Pqp_supermarket_data[[#This Row],[DateTime]],"ddd")</f>
        <v>Tue</v>
      </c>
      <c r="M1376" t="str">
        <f>TEXT(Pqp_supermarket_data[[#This Row],[DateTime]],"mmm")</f>
        <v>Sep</v>
      </c>
      <c r="N1376" t="str">
        <f>TEXT(Pqp_supermarket_data[[#This Row],[DateTime]],"yyy")</f>
        <v>2022</v>
      </c>
    </row>
    <row r="1377" spans="1:14" x14ac:dyDescent="0.35">
      <c r="A1377" t="s">
        <v>2888</v>
      </c>
      <c r="B1377" s="1">
        <v>45636.741014004627</v>
      </c>
      <c r="C1377" t="s">
        <v>2737</v>
      </c>
      <c r="D1377" t="s">
        <v>98</v>
      </c>
      <c r="E1377" t="s">
        <v>148</v>
      </c>
      <c r="F1377">
        <v>5.5</v>
      </c>
      <c r="G1377">
        <v>8</v>
      </c>
      <c r="H1377" t="s">
        <v>14</v>
      </c>
      <c r="I1377" t="s">
        <v>21</v>
      </c>
      <c r="J1377" t="s">
        <v>172</v>
      </c>
      <c r="K1377">
        <f>Pqp_supermarket_data[[#This Row],[Unit_Price]]*Pqp_supermarket_data[[#This Row],[Quantity]]</f>
        <v>44</v>
      </c>
      <c r="L1377" t="str">
        <f>TEXT(Pqp_supermarket_data[[#This Row],[DateTime]],"ddd")</f>
        <v>Tue</v>
      </c>
      <c r="M1377" t="str">
        <f>TEXT(Pqp_supermarket_data[[#This Row],[DateTime]],"mmm")</f>
        <v>Dec</v>
      </c>
      <c r="N1377" t="str">
        <f>TEXT(Pqp_supermarket_data[[#This Row],[DateTime]],"yyy")</f>
        <v>2024</v>
      </c>
    </row>
    <row r="1378" spans="1:14" x14ac:dyDescent="0.35">
      <c r="A1378" t="s">
        <v>2889</v>
      </c>
      <c r="B1378" s="1">
        <v>45611.477819583335</v>
      </c>
      <c r="C1378" t="s">
        <v>2890</v>
      </c>
      <c r="D1378" t="s">
        <v>208</v>
      </c>
      <c r="E1378" t="s">
        <v>49</v>
      </c>
      <c r="F1378">
        <v>7</v>
      </c>
      <c r="G1378">
        <v>6</v>
      </c>
      <c r="H1378" t="s">
        <v>14</v>
      </c>
      <c r="I1378" t="s">
        <v>36</v>
      </c>
      <c r="J1378" t="s">
        <v>95</v>
      </c>
      <c r="K1378">
        <f>Pqp_supermarket_data[[#This Row],[Unit_Price]]*Pqp_supermarket_data[[#This Row],[Quantity]]</f>
        <v>42</v>
      </c>
      <c r="L1378" t="str">
        <f>TEXT(Pqp_supermarket_data[[#This Row],[DateTime]],"ddd")</f>
        <v>Fri</v>
      </c>
      <c r="M1378" t="str">
        <f>TEXT(Pqp_supermarket_data[[#This Row],[DateTime]],"mmm")</f>
        <v>Nov</v>
      </c>
      <c r="N1378" t="str">
        <f>TEXT(Pqp_supermarket_data[[#This Row],[DateTime]],"yyy")</f>
        <v>2024</v>
      </c>
    </row>
    <row r="1379" spans="1:14" x14ac:dyDescent="0.35">
      <c r="A1379" t="s">
        <v>2891</v>
      </c>
      <c r="B1379" s="1">
        <v>45525.477819594904</v>
      </c>
      <c r="C1379" t="s">
        <v>2892</v>
      </c>
      <c r="D1379" t="s">
        <v>226</v>
      </c>
      <c r="E1379" t="s">
        <v>70</v>
      </c>
      <c r="F1379">
        <v>5</v>
      </c>
      <c r="G1379">
        <v>1</v>
      </c>
      <c r="H1379" t="s">
        <v>14</v>
      </c>
      <c r="I1379" t="s">
        <v>61</v>
      </c>
      <c r="J1379" t="s">
        <v>262</v>
      </c>
      <c r="K1379">
        <f>Pqp_supermarket_data[[#This Row],[Unit_Price]]*Pqp_supermarket_data[[#This Row],[Quantity]]</f>
        <v>5</v>
      </c>
      <c r="L1379" t="str">
        <f>TEXT(Pqp_supermarket_data[[#This Row],[DateTime]],"ddd")</f>
        <v>Wed</v>
      </c>
      <c r="M1379" t="str">
        <f>TEXT(Pqp_supermarket_data[[#This Row],[DateTime]],"mmm")</f>
        <v>Aug</v>
      </c>
      <c r="N1379" t="str">
        <f>TEXT(Pqp_supermarket_data[[#This Row],[DateTime]],"yyy")</f>
        <v>2024</v>
      </c>
    </row>
    <row r="1380" spans="1:14" x14ac:dyDescent="0.35">
      <c r="A1380" t="s">
        <v>2893</v>
      </c>
      <c r="B1380" s="1">
        <v>44504.015319606478</v>
      </c>
      <c r="C1380" t="s">
        <v>2894</v>
      </c>
      <c r="D1380" t="s">
        <v>77</v>
      </c>
      <c r="E1380" t="s">
        <v>137</v>
      </c>
      <c r="F1380">
        <v>2.5</v>
      </c>
      <c r="G1380">
        <v>9</v>
      </c>
      <c r="H1380" t="s">
        <v>14</v>
      </c>
      <c r="I1380" t="s">
        <v>40</v>
      </c>
      <c r="J1380" t="s">
        <v>50</v>
      </c>
      <c r="K1380">
        <f>Pqp_supermarket_data[[#This Row],[Unit_Price]]*Pqp_supermarket_data[[#This Row],[Quantity]]</f>
        <v>22.5</v>
      </c>
      <c r="L1380" t="str">
        <f>TEXT(Pqp_supermarket_data[[#This Row],[DateTime]],"ddd")</f>
        <v>Thu</v>
      </c>
      <c r="M1380" t="str">
        <f>TEXT(Pqp_supermarket_data[[#This Row],[DateTime]],"mmm")</f>
        <v>Nov</v>
      </c>
      <c r="N1380" t="str">
        <f>TEXT(Pqp_supermarket_data[[#This Row],[DateTime]],"yyy")</f>
        <v>2021</v>
      </c>
    </row>
    <row r="1381" spans="1:14" x14ac:dyDescent="0.35">
      <c r="A1381" t="s">
        <v>2895</v>
      </c>
      <c r="B1381" s="1">
        <v>45005.055597384257</v>
      </c>
      <c r="C1381" t="s">
        <v>2896</v>
      </c>
      <c r="D1381" t="s">
        <v>171</v>
      </c>
      <c r="E1381" t="s">
        <v>145</v>
      </c>
      <c r="F1381">
        <v>1.7</v>
      </c>
      <c r="G1381">
        <v>4</v>
      </c>
      <c r="H1381" t="s">
        <v>14</v>
      </c>
      <c r="I1381" t="s">
        <v>21</v>
      </c>
      <c r="J1381" t="s">
        <v>227</v>
      </c>
      <c r="K1381">
        <f>Pqp_supermarket_data[[#This Row],[Unit_Price]]*Pqp_supermarket_data[[#This Row],[Quantity]]</f>
        <v>6.8</v>
      </c>
      <c r="L1381" t="str">
        <f>TEXT(Pqp_supermarket_data[[#This Row],[DateTime]],"ddd")</f>
        <v>Mon</v>
      </c>
      <c r="M1381" t="str">
        <f>TEXT(Pqp_supermarket_data[[#This Row],[DateTime]],"mmm")</f>
        <v>Mar</v>
      </c>
      <c r="N1381" t="str">
        <f>TEXT(Pqp_supermarket_data[[#This Row],[DateTime]],"yyy")</f>
        <v>2023</v>
      </c>
    </row>
    <row r="1382" spans="1:14" x14ac:dyDescent="0.35">
      <c r="A1382" t="s">
        <v>2897</v>
      </c>
      <c r="B1382" s="1">
        <v>44509.539625173609</v>
      </c>
      <c r="C1382" t="s">
        <v>2898</v>
      </c>
      <c r="D1382" t="s">
        <v>82</v>
      </c>
      <c r="E1382" t="s">
        <v>70</v>
      </c>
      <c r="F1382">
        <v>5</v>
      </c>
      <c r="G1382">
        <v>7</v>
      </c>
      <c r="H1382" t="s">
        <v>14</v>
      </c>
      <c r="I1382" t="s">
        <v>21</v>
      </c>
      <c r="J1382" t="s">
        <v>215</v>
      </c>
      <c r="K1382">
        <f>Pqp_supermarket_data[[#This Row],[Unit_Price]]*Pqp_supermarket_data[[#This Row],[Quantity]]</f>
        <v>35</v>
      </c>
      <c r="L1382" t="str">
        <f>TEXT(Pqp_supermarket_data[[#This Row],[DateTime]],"ddd")</f>
        <v>Tue</v>
      </c>
      <c r="M1382" t="str">
        <f>TEXT(Pqp_supermarket_data[[#This Row],[DateTime]],"mmm")</f>
        <v>Nov</v>
      </c>
      <c r="N1382" t="str">
        <f>TEXT(Pqp_supermarket_data[[#This Row],[DateTime]],"yyy")</f>
        <v>2021</v>
      </c>
    </row>
    <row r="1383" spans="1:14" x14ac:dyDescent="0.35">
      <c r="A1383" t="s">
        <v>2899</v>
      </c>
      <c r="B1383" s="1">
        <v>45579.114625185182</v>
      </c>
      <c r="C1383" t="s">
        <v>2900</v>
      </c>
      <c r="D1383" t="s">
        <v>30</v>
      </c>
      <c r="E1383" t="s">
        <v>35</v>
      </c>
      <c r="F1383">
        <v>1.2</v>
      </c>
      <c r="G1383">
        <v>8</v>
      </c>
      <c r="H1383" t="s">
        <v>14</v>
      </c>
      <c r="I1383" t="s">
        <v>21</v>
      </c>
      <c r="J1383" t="s">
        <v>517</v>
      </c>
      <c r="K1383">
        <f>Pqp_supermarket_data[[#This Row],[Unit_Price]]*Pqp_supermarket_data[[#This Row],[Quantity]]</f>
        <v>9.6</v>
      </c>
      <c r="L1383" t="str">
        <f>TEXT(Pqp_supermarket_data[[#This Row],[DateTime]],"ddd")</f>
        <v>Mon</v>
      </c>
      <c r="M1383" t="str">
        <f>TEXT(Pqp_supermarket_data[[#This Row],[DateTime]],"mmm")</f>
        <v>Oct</v>
      </c>
      <c r="N1383" t="str">
        <f>TEXT(Pqp_supermarket_data[[#This Row],[DateTime]],"yyy")</f>
        <v>2024</v>
      </c>
    </row>
    <row r="1384" spans="1:14" x14ac:dyDescent="0.35">
      <c r="A1384" t="s">
        <v>2901</v>
      </c>
      <c r="B1384" s="1">
        <v>44583.305597418985</v>
      </c>
      <c r="C1384" t="s">
        <v>2902</v>
      </c>
      <c r="D1384" t="s">
        <v>77</v>
      </c>
      <c r="E1384" t="s">
        <v>35</v>
      </c>
      <c r="F1384">
        <v>1.2</v>
      </c>
      <c r="G1384">
        <v>10</v>
      </c>
      <c r="H1384" t="s">
        <v>14</v>
      </c>
      <c r="I1384" t="s">
        <v>36</v>
      </c>
      <c r="J1384" t="s">
        <v>95</v>
      </c>
      <c r="K1384">
        <f>Pqp_supermarket_data[[#This Row],[Unit_Price]]*Pqp_supermarket_data[[#This Row],[Quantity]]</f>
        <v>12</v>
      </c>
      <c r="L1384" t="str">
        <f>TEXT(Pqp_supermarket_data[[#This Row],[DateTime]],"ddd")</f>
        <v>Sat</v>
      </c>
      <c r="M1384" t="str">
        <f>TEXT(Pqp_supermarket_data[[#This Row],[DateTime]],"mmm")</f>
        <v>Jan</v>
      </c>
      <c r="N1384" t="str">
        <f>TEXT(Pqp_supermarket_data[[#This Row],[DateTime]],"yyy")</f>
        <v>2022</v>
      </c>
    </row>
    <row r="1385" spans="1:14" x14ac:dyDescent="0.35">
      <c r="A1385" t="s">
        <v>2903</v>
      </c>
      <c r="B1385" s="1">
        <v>44572.270180763888</v>
      </c>
      <c r="C1385" t="s">
        <v>2904</v>
      </c>
      <c r="D1385" t="s">
        <v>171</v>
      </c>
      <c r="E1385" t="s">
        <v>111</v>
      </c>
      <c r="F1385">
        <v>2.2000000000000002</v>
      </c>
      <c r="G1385">
        <v>9</v>
      </c>
      <c r="H1385" t="s">
        <v>14</v>
      </c>
      <c r="I1385" t="s">
        <v>61</v>
      </c>
      <c r="J1385" t="s">
        <v>62</v>
      </c>
      <c r="K1385">
        <f>Pqp_supermarket_data[[#This Row],[Unit_Price]]*Pqp_supermarket_data[[#This Row],[Quantity]]</f>
        <v>19.8</v>
      </c>
      <c r="L1385" t="str">
        <f>TEXT(Pqp_supermarket_data[[#This Row],[DateTime]],"ddd")</f>
        <v>Tue</v>
      </c>
      <c r="M1385" t="str">
        <f>TEXT(Pqp_supermarket_data[[#This Row],[DateTime]],"mmm")</f>
        <v>Jan</v>
      </c>
      <c r="N1385" t="str">
        <f>TEXT(Pqp_supermarket_data[[#This Row],[DateTime]],"yyy")</f>
        <v>2022</v>
      </c>
    </row>
    <row r="1386" spans="1:14" x14ac:dyDescent="0.35">
      <c r="A1386" t="s">
        <v>2905</v>
      </c>
      <c r="B1386" s="1">
        <v>44923.902819664348</v>
      </c>
      <c r="C1386" t="s">
        <v>2906</v>
      </c>
      <c r="D1386" t="s">
        <v>171</v>
      </c>
      <c r="E1386" t="s">
        <v>70</v>
      </c>
      <c r="F1386">
        <v>5</v>
      </c>
      <c r="G1386">
        <v>3</v>
      </c>
      <c r="H1386" t="s">
        <v>14</v>
      </c>
      <c r="I1386" t="s">
        <v>15</v>
      </c>
      <c r="J1386" t="s">
        <v>16</v>
      </c>
      <c r="K1386">
        <f>Pqp_supermarket_data[[#This Row],[Unit_Price]]*Pqp_supermarket_data[[#This Row],[Quantity]]</f>
        <v>15</v>
      </c>
      <c r="L1386" t="str">
        <f>TEXT(Pqp_supermarket_data[[#This Row],[DateTime]],"ddd")</f>
        <v>Wed</v>
      </c>
      <c r="M1386" t="str">
        <f>TEXT(Pqp_supermarket_data[[#This Row],[DateTime]],"mmm")</f>
        <v>Dec</v>
      </c>
      <c r="N1386" t="str">
        <f>TEXT(Pqp_supermarket_data[[#This Row],[DateTime]],"yyy")</f>
        <v>2022</v>
      </c>
    </row>
    <row r="1387" spans="1:14" x14ac:dyDescent="0.35">
      <c r="A1387" t="s">
        <v>2907</v>
      </c>
      <c r="B1387" s="1">
        <v>45696.512541898148</v>
      </c>
      <c r="C1387" t="s">
        <v>2908</v>
      </c>
      <c r="D1387" t="s">
        <v>127</v>
      </c>
      <c r="E1387" t="s">
        <v>119</v>
      </c>
      <c r="F1387">
        <v>4</v>
      </c>
      <c r="G1387">
        <v>7</v>
      </c>
      <c r="H1387" t="s">
        <v>14</v>
      </c>
      <c r="I1387" t="s">
        <v>21</v>
      </c>
      <c r="J1387" t="s">
        <v>189</v>
      </c>
      <c r="K1387">
        <f>Pqp_supermarket_data[[#This Row],[Unit_Price]]*Pqp_supermarket_data[[#This Row],[Quantity]]</f>
        <v>28</v>
      </c>
      <c r="L1387" t="str">
        <f>TEXT(Pqp_supermarket_data[[#This Row],[DateTime]],"ddd")</f>
        <v>Sat</v>
      </c>
      <c r="M1387" t="str">
        <f>TEXT(Pqp_supermarket_data[[#This Row],[DateTime]],"mmm")</f>
        <v>Feb</v>
      </c>
      <c r="N1387" t="str">
        <f>TEXT(Pqp_supermarket_data[[#This Row],[DateTime]],"yyy")</f>
        <v>2025</v>
      </c>
    </row>
    <row r="1388" spans="1:14" x14ac:dyDescent="0.35">
      <c r="A1388" t="s">
        <v>2909</v>
      </c>
      <c r="B1388" s="1">
        <v>45054.159069675923</v>
      </c>
      <c r="C1388" t="s">
        <v>2910</v>
      </c>
      <c r="D1388" t="s">
        <v>19</v>
      </c>
      <c r="E1388" t="s">
        <v>20</v>
      </c>
      <c r="F1388">
        <v>1</v>
      </c>
      <c r="G1388">
        <v>3</v>
      </c>
      <c r="H1388" t="s">
        <v>14</v>
      </c>
      <c r="I1388" t="s">
        <v>15</v>
      </c>
      <c r="J1388" t="s">
        <v>122</v>
      </c>
      <c r="K1388">
        <f>Pqp_supermarket_data[[#This Row],[Unit_Price]]*Pqp_supermarket_data[[#This Row],[Quantity]]</f>
        <v>3</v>
      </c>
      <c r="L1388" t="str">
        <f>TEXT(Pqp_supermarket_data[[#This Row],[DateTime]],"ddd")</f>
        <v>Mon</v>
      </c>
      <c r="M1388" t="str">
        <f>TEXT(Pqp_supermarket_data[[#This Row],[DateTime]],"mmm")</f>
        <v>May</v>
      </c>
      <c r="N1388" t="str">
        <f>TEXT(Pqp_supermarket_data[[#This Row],[DateTime]],"yyy")</f>
        <v>2023</v>
      </c>
    </row>
    <row r="1389" spans="1:14" x14ac:dyDescent="0.35">
      <c r="A1389" t="s">
        <v>2911</v>
      </c>
      <c r="B1389" s="1">
        <v>45153.753514131946</v>
      </c>
      <c r="C1389" t="s">
        <v>2912</v>
      </c>
      <c r="D1389" t="s">
        <v>127</v>
      </c>
      <c r="E1389" t="s">
        <v>53</v>
      </c>
      <c r="F1389">
        <v>2.8</v>
      </c>
      <c r="G1389">
        <v>1</v>
      </c>
      <c r="H1389" t="s">
        <v>14</v>
      </c>
      <c r="I1389" t="s">
        <v>21</v>
      </c>
      <c r="J1389" t="s">
        <v>131</v>
      </c>
      <c r="K1389">
        <f>Pqp_supermarket_data[[#This Row],[Unit_Price]]*Pqp_supermarket_data[[#This Row],[Quantity]]</f>
        <v>2.8</v>
      </c>
      <c r="L1389" t="str">
        <f>TEXT(Pqp_supermarket_data[[#This Row],[DateTime]],"ddd")</f>
        <v>Tue</v>
      </c>
      <c r="M1389" t="str">
        <f>TEXT(Pqp_supermarket_data[[#This Row],[DateTime]],"mmm")</f>
        <v>Aug</v>
      </c>
      <c r="N1389" t="str">
        <f>TEXT(Pqp_supermarket_data[[#This Row],[DateTime]],"yyy")</f>
        <v>2023</v>
      </c>
    </row>
    <row r="1390" spans="1:14" x14ac:dyDescent="0.35">
      <c r="A1390" t="s">
        <v>2913</v>
      </c>
      <c r="B1390" s="1">
        <v>44439.678514131941</v>
      </c>
      <c r="C1390" t="s">
        <v>2914</v>
      </c>
      <c r="D1390" t="s">
        <v>208</v>
      </c>
      <c r="E1390" t="s">
        <v>26</v>
      </c>
      <c r="F1390">
        <v>2.5</v>
      </c>
      <c r="G1390">
        <v>9</v>
      </c>
      <c r="H1390" t="s">
        <v>14</v>
      </c>
      <c r="I1390" t="s">
        <v>21</v>
      </c>
      <c r="J1390" t="s">
        <v>166</v>
      </c>
      <c r="K1390">
        <f>Pqp_supermarket_data[[#This Row],[Unit_Price]]*Pqp_supermarket_data[[#This Row],[Quantity]]</f>
        <v>22.5</v>
      </c>
      <c r="L1390" t="str">
        <f>TEXT(Pqp_supermarket_data[[#This Row],[DateTime]],"ddd")</f>
        <v>Tue</v>
      </c>
      <c r="M1390" t="str">
        <f>TEXT(Pqp_supermarket_data[[#This Row],[DateTime]],"mmm")</f>
        <v>Aug</v>
      </c>
      <c r="N1390" t="str">
        <f>TEXT(Pqp_supermarket_data[[#This Row],[DateTime]],"yyy")</f>
        <v>2021</v>
      </c>
    </row>
    <row r="1391" spans="1:14" x14ac:dyDescent="0.35">
      <c r="A1391" t="s">
        <v>2915</v>
      </c>
      <c r="B1391" s="1">
        <v>44922.093097476849</v>
      </c>
      <c r="C1391" t="s">
        <v>2916</v>
      </c>
      <c r="D1391" t="s">
        <v>25</v>
      </c>
      <c r="E1391" t="s">
        <v>78</v>
      </c>
      <c r="F1391">
        <v>4</v>
      </c>
      <c r="G1391">
        <v>2</v>
      </c>
      <c r="H1391" t="s">
        <v>14</v>
      </c>
      <c r="I1391" t="s">
        <v>61</v>
      </c>
      <c r="J1391" t="s">
        <v>248</v>
      </c>
      <c r="K1391">
        <f>Pqp_supermarket_data[[#This Row],[Unit_Price]]*Pqp_supermarket_data[[#This Row],[Quantity]]</f>
        <v>8</v>
      </c>
      <c r="L1391" t="str">
        <f>TEXT(Pqp_supermarket_data[[#This Row],[DateTime]],"ddd")</f>
        <v>Tue</v>
      </c>
      <c r="M1391" t="str">
        <f>TEXT(Pqp_supermarket_data[[#This Row],[DateTime]],"mmm")</f>
        <v>Dec</v>
      </c>
      <c r="N1391" t="str">
        <f>TEXT(Pqp_supermarket_data[[#This Row],[DateTime]],"yyy")</f>
        <v>2022</v>
      </c>
    </row>
    <row r="1392" spans="1:14" x14ac:dyDescent="0.35">
      <c r="A1392" t="s">
        <v>2917</v>
      </c>
      <c r="B1392" s="1">
        <v>44418.904208587963</v>
      </c>
      <c r="C1392" t="s">
        <v>2918</v>
      </c>
      <c r="D1392" t="s">
        <v>12</v>
      </c>
      <c r="E1392" t="s">
        <v>70</v>
      </c>
      <c r="F1392">
        <v>5</v>
      </c>
      <c r="G1392">
        <v>10</v>
      </c>
      <c r="H1392" t="s">
        <v>14</v>
      </c>
      <c r="I1392" t="s">
        <v>36</v>
      </c>
      <c r="J1392" t="s">
        <v>517</v>
      </c>
      <c r="K1392">
        <f>Pqp_supermarket_data[[#This Row],[Unit_Price]]*Pqp_supermarket_data[[#This Row],[Quantity]]</f>
        <v>50</v>
      </c>
      <c r="L1392" t="str">
        <f>TEXT(Pqp_supermarket_data[[#This Row],[DateTime]],"ddd")</f>
        <v>Tue</v>
      </c>
      <c r="M1392" t="str">
        <f>TEXT(Pqp_supermarket_data[[#This Row],[DateTime]],"mmm")</f>
        <v>Aug</v>
      </c>
      <c r="N1392" t="str">
        <f>TEXT(Pqp_supermarket_data[[#This Row],[DateTime]],"yyy")</f>
        <v>2021</v>
      </c>
    </row>
    <row r="1393" spans="1:14" x14ac:dyDescent="0.35">
      <c r="A1393" t="s">
        <v>2919</v>
      </c>
      <c r="B1393" s="1">
        <v>44601.795180821762</v>
      </c>
      <c r="C1393" t="s">
        <v>2920</v>
      </c>
      <c r="D1393" t="s">
        <v>171</v>
      </c>
      <c r="E1393" t="s">
        <v>57</v>
      </c>
      <c r="F1393">
        <v>4.5</v>
      </c>
      <c r="G1393">
        <v>7</v>
      </c>
      <c r="H1393" t="s">
        <v>14</v>
      </c>
      <c r="I1393" t="s">
        <v>61</v>
      </c>
      <c r="J1393" t="s">
        <v>769</v>
      </c>
      <c r="K1393">
        <f>Pqp_supermarket_data[[#This Row],[Unit_Price]]*Pqp_supermarket_data[[#This Row],[Quantity]]</f>
        <v>31.5</v>
      </c>
      <c r="L1393" t="str">
        <f>TEXT(Pqp_supermarket_data[[#This Row],[DateTime]],"ddd")</f>
        <v>Wed</v>
      </c>
      <c r="M1393" t="str">
        <f>TEXT(Pqp_supermarket_data[[#This Row],[DateTime]],"mmm")</f>
        <v>Feb</v>
      </c>
      <c r="N1393" t="str">
        <f>TEXT(Pqp_supermarket_data[[#This Row],[DateTime]],"yyy")</f>
        <v>2022</v>
      </c>
    </row>
    <row r="1394" spans="1:14" x14ac:dyDescent="0.35">
      <c r="A1394" t="s">
        <v>2921</v>
      </c>
      <c r="B1394" s="1">
        <v>45571.937541944448</v>
      </c>
      <c r="C1394" t="s">
        <v>2922</v>
      </c>
      <c r="D1394" t="s">
        <v>226</v>
      </c>
      <c r="E1394" t="s">
        <v>137</v>
      </c>
      <c r="F1394">
        <v>2.5</v>
      </c>
      <c r="G1394">
        <v>8</v>
      </c>
      <c r="H1394" t="s">
        <v>14</v>
      </c>
      <c r="I1394" t="s">
        <v>15</v>
      </c>
      <c r="J1394" t="s">
        <v>288</v>
      </c>
      <c r="K1394">
        <f>Pqp_supermarket_data[[#This Row],[Unit_Price]]*Pqp_supermarket_data[[#This Row],[Quantity]]</f>
        <v>20</v>
      </c>
      <c r="L1394" t="str">
        <f>TEXT(Pqp_supermarket_data[[#This Row],[DateTime]],"ddd")</f>
        <v>Sun</v>
      </c>
      <c r="M1394" t="str">
        <f>TEXT(Pqp_supermarket_data[[#This Row],[DateTime]],"mmm")</f>
        <v>Oct</v>
      </c>
      <c r="N1394" t="str">
        <f>TEXT(Pqp_supermarket_data[[#This Row],[DateTime]],"yyy")</f>
        <v>2024</v>
      </c>
    </row>
    <row r="1395" spans="1:14" x14ac:dyDescent="0.35">
      <c r="A1395" t="s">
        <v>2923</v>
      </c>
      <c r="B1395" s="1">
        <v>44478.237541944443</v>
      </c>
      <c r="C1395" t="s">
        <v>2924</v>
      </c>
      <c r="D1395" t="s">
        <v>25</v>
      </c>
      <c r="E1395" t="s">
        <v>70</v>
      </c>
      <c r="F1395">
        <v>5</v>
      </c>
      <c r="G1395">
        <v>10</v>
      </c>
      <c r="H1395" t="s">
        <v>14</v>
      </c>
      <c r="I1395" t="s">
        <v>15</v>
      </c>
      <c r="J1395" t="s">
        <v>461</v>
      </c>
      <c r="K1395">
        <f>Pqp_supermarket_data[[#This Row],[Unit_Price]]*Pqp_supermarket_data[[#This Row],[Quantity]]</f>
        <v>50</v>
      </c>
      <c r="L1395" t="str">
        <f>TEXT(Pqp_supermarket_data[[#This Row],[DateTime]],"ddd")</f>
        <v>Sat</v>
      </c>
      <c r="M1395" t="str">
        <f>TEXT(Pqp_supermarket_data[[#This Row],[DateTime]],"mmm")</f>
        <v>Oct</v>
      </c>
      <c r="N1395" t="str">
        <f>TEXT(Pqp_supermarket_data[[#This Row],[DateTime]],"yyy")</f>
        <v>2021</v>
      </c>
    </row>
    <row r="1396" spans="1:14" x14ac:dyDescent="0.35">
      <c r="A1396" t="s">
        <v>2925</v>
      </c>
      <c r="B1396" s="1">
        <v>44801.567403078705</v>
      </c>
      <c r="C1396" t="s">
        <v>2926</v>
      </c>
      <c r="D1396" t="s">
        <v>34</v>
      </c>
      <c r="E1396" t="s">
        <v>39</v>
      </c>
      <c r="F1396">
        <v>3.2</v>
      </c>
      <c r="G1396">
        <v>7</v>
      </c>
      <c r="H1396" t="s">
        <v>14</v>
      </c>
      <c r="I1396" t="s">
        <v>15</v>
      </c>
      <c r="J1396" t="s">
        <v>548</v>
      </c>
      <c r="K1396">
        <f>Pqp_supermarket_data[[#This Row],[Unit_Price]]*Pqp_supermarket_data[[#This Row],[Quantity]]</f>
        <v>22.400000000000002</v>
      </c>
      <c r="L1396" t="str">
        <f>TEXT(Pqp_supermarket_data[[#This Row],[DateTime]],"ddd")</f>
        <v>Sun</v>
      </c>
      <c r="M1396" t="str">
        <f>TEXT(Pqp_supermarket_data[[#This Row],[DateTime]],"mmm")</f>
        <v>Aug</v>
      </c>
      <c r="N1396" t="str">
        <f>TEXT(Pqp_supermarket_data[[#This Row],[DateTime]],"yyy")</f>
        <v>2022</v>
      </c>
    </row>
    <row r="1397" spans="1:14" x14ac:dyDescent="0.35">
      <c r="A1397" t="s">
        <v>2927</v>
      </c>
      <c r="B1397" s="1">
        <v>45409.543791979166</v>
      </c>
      <c r="C1397" t="s">
        <v>2928</v>
      </c>
      <c r="D1397" t="s">
        <v>208</v>
      </c>
      <c r="E1397" t="s">
        <v>65</v>
      </c>
      <c r="F1397">
        <v>3</v>
      </c>
      <c r="G1397">
        <v>6</v>
      </c>
      <c r="H1397" t="s">
        <v>14</v>
      </c>
      <c r="I1397" t="s">
        <v>40</v>
      </c>
      <c r="J1397" t="s">
        <v>270</v>
      </c>
      <c r="K1397">
        <f>Pqp_supermarket_data[[#This Row],[Unit_Price]]*Pqp_supermarket_data[[#This Row],[Quantity]]</f>
        <v>18</v>
      </c>
      <c r="L1397" t="str">
        <f>TEXT(Pqp_supermarket_data[[#This Row],[DateTime]],"ddd")</f>
        <v>Sat</v>
      </c>
      <c r="M1397" t="str">
        <f>TEXT(Pqp_supermarket_data[[#This Row],[DateTime]],"mmm")</f>
        <v>Apr</v>
      </c>
      <c r="N1397" t="str">
        <f>TEXT(Pqp_supermarket_data[[#This Row],[DateTime]],"yyy")</f>
        <v>2024</v>
      </c>
    </row>
    <row r="1398" spans="1:14" x14ac:dyDescent="0.35">
      <c r="A1398" t="s">
        <v>2929</v>
      </c>
      <c r="B1398" s="1">
        <v>45551.38059753472</v>
      </c>
      <c r="C1398" t="s">
        <v>2930</v>
      </c>
      <c r="D1398" t="s">
        <v>98</v>
      </c>
      <c r="E1398" t="s">
        <v>78</v>
      </c>
      <c r="F1398">
        <v>4</v>
      </c>
      <c r="G1398">
        <v>10</v>
      </c>
      <c r="H1398" t="s">
        <v>14</v>
      </c>
      <c r="I1398" t="s">
        <v>61</v>
      </c>
      <c r="J1398" t="s">
        <v>436</v>
      </c>
      <c r="K1398">
        <f>Pqp_supermarket_data[[#This Row],[Unit_Price]]*Pqp_supermarket_data[[#This Row],[Quantity]]</f>
        <v>40</v>
      </c>
      <c r="L1398" t="str">
        <f>TEXT(Pqp_supermarket_data[[#This Row],[DateTime]],"ddd")</f>
        <v>Mon</v>
      </c>
      <c r="M1398" t="str">
        <f>TEXT(Pqp_supermarket_data[[#This Row],[DateTime]],"mmm")</f>
        <v>Sep</v>
      </c>
      <c r="N1398" t="str">
        <f>TEXT(Pqp_supermarket_data[[#This Row],[DateTime]],"yyy")</f>
        <v>2024</v>
      </c>
    </row>
    <row r="1399" spans="1:14" x14ac:dyDescent="0.35">
      <c r="A1399" t="s">
        <v>2931</v>
      </c>
      <c r="B1399" s="1">
        <v>45726.301430879626</v>
      </c>
      <c r="C1399" t="s">
        <v>2932</v>
      </c>
      <c r="D1399" t="s">
        <v>127</v>
      </c>
      <c r="E1399" t="s">
        <v>94</v>
      </c>
      <c r="F1399">
        <v>0.8</v>
      </c>
      <c r="G1399">
        <v>4</v>
      </c>
      <c r="H1399" t="s">
        <v>14</v>
      </c>
      <c r="I1399" t="s">
        <v>61</v>
      </c>
      <c r="J1399" t="s">
        <v>105</v>
      </c>
      <c r="K1399">
        <f>Pqp_supermarket_data[[#This Row],[Unit_Price]]*Pqp_supermarket_data[[#This Row],[Quantity]]</f>
        <v>3.2</v>
      </c>
      <c r="L1399" t="str">
        <f>TEXT(Pqp_supermarket_data[[#This Row],[DateTime]],"ddd")</f>
        <v>Mon</v>
      </c>
      <c r="M1399" t="str">
        <f>TEXT(Pqp_supermarket_data[[#This Row],[DateTime]],"mmm")</f>
        <v>Mar</v>
      </c>
      <c r="N1399" t="str">
        <f>TEXT(Pqp_supermarket_data[[#This Row],[DateTime]],"yyy")</f>
        <v>2025</v>
      </c>
    </row>
    <row r="1400" spans="1:14" x14ac:dyDescent="0.35">
      <c r="A1400" t="s">
        <v>2933</v>
      </c>
      <c r="B1400" s="1">
        <v>45430.105597546295</v>
      </c>
      <c r="C1400" t="s">
        <v>2934</v>
      </c>
      <c r="D1400" t="s">
        <v>85</v>
      </c>
      <c r="E1400" t="s">
        <v>26</v>
      </c>
      <c r="F1400">
        <v>2.5</v>
      </c>
      <c r="G1400">
        <v>3</v>
      </c>
      <c r="H1400" t="s">
        <v>14</v>
      </c>
      <c r="I1400" t="s">
        <v>15</v>
      </c>
      <c r="J1400" t="s">
        <v>397</v>
      </c>
      <c r="K1400">
        <f>Pqp_supermarket_data[[#This Row],[Unit_Price]]*Pqp_supermarket_data[[#This Row],[Quantity]]</f>
        <v>7.5</v>
      </c>
      <c r="L1400" t="str">
        <f>TEXT(Pqp_supermarket_data[[#This Row],[DateTime]],"ddd")</f>
        <v>Sat</v>
      </c>
      <c r="M1400" t="str">
        <f>TEXT(Pqp_supermarket_data[[#This Row],[DateTime]],"mmm")</f>
        <v>May</v>
      </c>
      <c r="N1400" t="str">
        <f>TEXT(Pqp_supermarket_data[[#This Row],[DateTime]],"yyy")</f>
        <v>2024</v>
      </c>
    </row>
    <row r="1401" spans="1:14" x14ac:dyDescent="0.35">
      <c r="A1401" t="s">
        <v>2935</v>
      </c>
      <c r="B1401" s="1">
        <v>45426.186153113427</v>
      </c>
      <c r="C1401" t="s">
        <v>2936</v>
      </c>
      <c r="D1401" t="s">
        <v>77</v>
      </c>
      <c r="E1401" t="s">
        <v>35</v>
      </c>
      <c r="F1401">
        <v>1.2</v>
      </c>
      <c r="G1401">
        <v>3</v>
      </c>
      <c r="H1401" t="s">
        <v>14</v>
      </c>
      <c r="I1401" t="s">
        <v>86</v>
      </c>
      <c r="J1401" t="s">
        <v>189</v>
      </c>
      <c r="K1401">
        <f>Pqp_supermarket_data[[#This Row],[Unit_Price]]*Pqp_supermarket_data[[#This Row],[Quantity]]</f>
        <v>3.5999999999999996</v>
      </c>
      <c r="L1401" t="str">
        <f>TEXT(Pqp_supermarket_data[[#This Row],[DateTime]],"ddd")</f>
        <v>Tue</v>
      </c>
      <c r="M1401" t="str">
        <f>TEXT(Pqp_supermarket_data[[#This Row],[DateTime]],"mmm")</f>
        <v>May</v>
      </c>
      <c r="N1401" t="str">
        <f>TEXT(Pqp_supermarket_data[[#This Row],[DateTime]],"yyy")</f>
        <v>2024</v>
      </c>
    </row>
    <row r="1402" spans="1:14" x14ac:dyDescent="0.35">
      <c r="A1402" t="s">
        <v>2937</v>
      </c>
      <c r="B1402" s="1">
        <v>45559.102125347221</v>
      </c>
      <c r="C1402" t="s">
        <v>2938</v>
      </c>
      <c r="D1402" t="s">
        <v>25</v>
      </c>
      <c r="E1402" t="s">
        <v>57</v>
      </c>
      <c r="F1402">
        <v>4.5</v>
      </c>
      <c r="G1402">
        <v>8</v>
      </c>
      <c r="H1402" t="s">
        <v>14</v>
      </c>
      <c r="I1402" t="s">
        <v>15</v>
      </c>
      <c r="J1402" t="s">
        <v>186</v>
      </c>
      <c r="K1402">
        <f>Pqp_supermarket_data[[#This Row],[Unit_Price]]*Pqp_supermarket_data[[#This Row],[Quantity]]</f>
        <v>36</v>
      </c>
      <c r="L1402" t="str">
        <f>TEXT(Pqp_supermarket_data[[#This Row],[DateTime]],"ddd")</f>
        <v>Tue</v>
      </c>
      <c r="M1402" t="str">
        <f>TEXT(Pqp_supermarket_data[[#This Row],[DateTime]],"mmm")</f>
        <v>Sep</v>
      </c>
      <c r="N1402" t="str">
        <f>TEXT(Pqp_supermarket_data[[#This Row],[DateTime]],"yyy")</f>
        <v>2024</v>
      </c>
    </row>
    <row r="1403" spans="1:14" x14ac:dyDescent="0.35">
      <c r="A1403" t="s">
        <v>2939</v>
      </c>
      <c r="B1403" s="1">
        <v>45023.677819791665</v>
      </c>
      <c r="C1403" t="s">
        <v>2940</v>
      </c>
      <c r="D1403" t="s">
        <v>85</v>
      </c>
      <c r="E1403" t="s">
        <v>45</v>
      </c>
      <c r="F1403">
        <v>1</v>
      </c>
      <c r="G1403">
        <v>7</v>
      </c>
      <c r="H1403" t="s">
        <v>14</v>
      </c>
      <c r="I1403" t="s">
        <v>36</v>
      </c>
      <c r="J1403" t="s">
        <v>95</v>
      </c>
      <c r="K1403">
        <f>Pqp_supermarket_data[[#This Row],[Unit_Price]]*Pqp_supermarket_data[[#This Row],[Quantity]]</f>
        <v>7</v>
      </c>
      <c r="L1403" t="str">
        <f>TEXT(Pqp_supermarket_data[[#This Row],[DateTime]],"ddd")</f>
        <v>Fri</v>
      </c>
      <c r="M1403" t="str">
        <f>TEXT(Pqp_supermarket_data[[#This Row],[DateTime]],"mmm")</f>
        <v>Apr</v>
      </c>
      <c r="N1403" t="str">
        <f>TEXT(Pqp_supermarket_data[[#This Row],[DateTime]],"yyy")</f>
        <v>2023</v>
      </c>
    </row>
    <row r="1404" spans="1:14" x14ac:dyDescent="0.35">
      <c r="A1404" t="s">
        <v>2941</v>
      </c>
      <c r="B1404" s="1">
        <v>45544.35420869213</v>
      </c>
      <c r="C1404" t="s">
        <v>2942</v>
      </c>
      <c r="D1404" t="s">
        <v>19</v>
      </c>
      <c r="E1404" t="s">
        <v>111</v>
      </c>
      <c r="F1404">
        <v>2.2000000000000002</v>
      </c>
      <c r="G1404">
        <v>4</v>
      </c>
      <c r="H1404" t="s">
        <v>14</v>
      </c>
      <c r="I1404" t="s">
        <v>15</v>
      </c>
      <c r="J1404" t="s">
        <v>183</v>
      </c>
      <c r="K1404">
        <f>Pqp_supermarket_data[[#This Row],[Unit_Price]]*Pqp_supermarket_data[[#This Row],[Quantity]]</f>
        <v>8.8000000000000007</v>
      </c>
      <c r="L1404" t="str">
        <f>TEXT(Pqp_supermarket_data[[#This Row],[DateTime]],"ddd")</f>
        <v>Mon</v>
      </c>
      <c r="M1404" t="str">
        <f>TEXT(Pqp_supermarket_data[[#This Row],[DateTime]],"mmm")</f>
        <v>Sep</v>
      </c>
      <c r="N1404" t="str">
        <f>TEXT(Pqp_supermarket_data[[#This Row],[DateTime]],"yyy")</f>
        <v>2024</v>
      </c>
    </row>
    <row r="1405" spans="1:14" x14ac:dyDescent="0.35">
      <c r="A1405" t="s">
        <v>2943</v>
      </c>
      <c r="B1405" s="1">
        <v>45011.627125370367</v>
      </c>
      <c r="C1405" t="s">
        <v>2944</v>
      </c>
      <c r="D1405" t="s">
        <v>44</v>
      </c>
      <c r="E1405" t="s">
        <v>45</v>
      </c>
      <c r="F1405">
        <v>1</v>
      </c>
      <c r="G1405">
        <v>7</v>
      </c>
      <c r="H1405" t="s">
        <v>14</v>
      </c>
      <c r="I1405" t="s">
        <v>36</v>
      </c>
      <c r="J1405" t="s">
        <v>623</v>
      </c>
      <c r="K1405">
        <f>Pqp_supermarket_data[[#This Row],[Unit_Price]]*Pqp_supermarket_data[[#This Row],[Quantity]]</f>
        <v>7</v>
      </c>
      <c r="L1405" t="str">
        <f>TEXT(Pqp_supermarket_data[[#This Row],[DateTime]],"ddd")</f>
        <v>Sun</v>
      </c>
      <c r="M1405" t="str">
        <f>TEXT(Pqp_supermarket_data[[#This Row],[DateTime]],"mmm")</f>
        <v>Mar</v>
      </c>
      <c r="N1405" t="str">
        <f>TEXT(Pqp_supermarket_data[[#This Row],[DateTime]],"yyy")</f>
        <v>2023</v>
      </c>
    </row>
    <row r="1406" spans="1:14" x14ac:dyDescent="0.35">
      <c r="A1406" t="s">
        <v>2945</v>
      </c>
      <c r="B1406" s="1">
        <v>45691.74240314815</v>
      </c>
      <c r="C1406" t="s">
        <v>2946</v>
      </c>
      <c r="D1406" t="s">
        <v>25</v>
      </c>
      <c r="E1406" t="s">
        <v>20</v>
      </c>
      <c r="F1406">
        <v>1</v>
      </c>
      <c r="G1406">
        <v>5</v>
      </c>
      <c r="H1406" t="s">
        <v>14</v>
      </c>
      <c r="I1406" t="s">
        <v>15</v>
      </c>
      <c r="J1406" t="s">
        <v>394</v>
      </c>
      <c r="K1406">
        <f>Pqp_supermarket_data[[#This Row],[Unit_Price]]*Pqp_supermarket_data[[#This Row],[Quantity]]</f>
        <v>5</v>
      </c>
      <c r="L1406" t="str">
        <f>TEXT(Pqp_supermarket_data[[#This Row],[DateTime]],"ddd")</f>
        <v>Mon</v>
      </c>
      <c r="M1406" t="str">
        <f>TEXT(Pqp_supermarket_data[[#This Row],[DateTime]],"mmm")</f>
        <v>Feb</v>
      </c>
      <c r="N1406" t="str">
        <f>TEXT(Pqp_supermarket_data[[#This Row],[DateTime]],"yyy")</f>
        <v>2025</v>
      </c>
    </row>
    <row r="1407" spans="1:14" x14ac:dyDescent="0.35">
      <c r="A1407" t="s">
        <v>2947</v>
      </c>
      <c r="B1407" s="1">
        <v>45280.490319826386</v>
      </c>
      <c r="C1407" t="s">
        <v>2948</v>
      </c>
      <c r="D1407" t="s">
        <v>226</v>
      </c>
      <c r="E1407" t="s">
        <v>13</v>
      </c>
      <c r="F1407">
        <v>3.1</v>
      </c>
      <c r="G1407">
        <v>3</v>
      </c>
      <c r="H1407" t="s">
        <v>14</v>
      </c>
      <c r="I1407" t="s">
        <v>21</v>
      </c>
      <c r="J1407" t="s">
        <v>87</v>
      </c>
      <c r="K1407">
        <f>Pqp_supermarket_data[[#This Row],[Unit_Price]]*Pqp_supermarket_data[[#This Row],[Quantity]]</f>
        <v>9.3000000000000007</v>
      </c>
      <c r="L1407" t="str">
        <f>TEXT(Pqp_supermarket_data[[#This Row],[DateTime]],"ddd")</f>
        <v>Wed</v>
      </c>
      <c r="M1407" t="str">
        <f>TEXT(Pqp_supermarket_data[[#This Row],[DateTime]],"mmm")</f>
        <v>Dec</v>
      </c>
      <c r="N1407" t="str">
        <f>TEXT(Pqp_supermarket_data[[#This Row],[DateTime]],"yyy")</f>
        <v>2023</v>
      </c>
    </row>
    <row r="1408" spans="1:14" x14ac:dyDescent="0.35">
      <c r="A1408" t="s">
        <v>2949</v>
      </c>
      <c r="B1408" s="1">
        <v>44785.277819826391</v>
      </c>
      <c r="C1408" t="s">
        <v>2950</v>
      </c>
      <c r="D1408" t="s">
        <v>77</v>
      </c>
      <c r="E1408" t="s">
        <v>115</v>
      </c>
      <c r="F1408">
        <v>1.5</v>
      </c>
      <c r="G1408">
        <v>10</v>
      </c>
      <c r="H1408" t="s">
        <v>14</v>
      </c>
      <c r="I1408" t="s">
        <v>40</v>
      </c>
      <c r="J1408" t="s">
        <v>66</v>
      </c>
      <c r="K1408">
        <f>Pqp_supermarket_data[[#This Row],[Unit_Price]]*Pqp_supermarket_data[[#This Row],[Quantity]]</f>
        <v>15</v>
      </c>
      <c r="L1408" t="str">
        <f>TEXT(Pqp_supermarket_data[[#This Row],[DateTime]],"ddd")</f>
        <v>Fri</v>
      </c>
      <c r="M1408" t="str">
        <f>TEXT(Pqp_supermarket_data[[#This Row],[DateTime]],"mmm")</f>
        <v>Aug</v>
      </c>
      <c r="N1408" t="str">
        <f>TEXT(Pqp_supermarket_data[[#This Row],[DateTime]],"yyy")</f>
        <v>2022</v>
      </c>
    </row>
    <row r="1409" spans="1:14" x14ac:dyDescent="0.35">
      <c r="A1409" t="s">
        <v>2951</v>
      </c>
      <c r="B1409" s="1">
        <v>44745.026430937498</v>
      </c>
      <c r="C1409" t="s">
        <v>2952</v>
      </c>
      <c r="D1409" t="s">
        <v>19</v>
      </c>
      <c r="E1409" t="s">
        <v>90</v>
      </c>
      <c r="F1409">
        <v>1.8</v>
      </c>
      <c r="G1409">
        <v>6</v>
      </c>
      <c r="H1409" t="s">
        <v>14</v>
      </c>
      <c r="I1409" t="s">
        <v>86</v>
      </c>
      <c r="J1409" t="s">
        <v>128</v>
      </c>
      <c r="K1409">
        <f>Pqp_supermarket_data[[#This Row],[Unit_Price]]*Pqp_supermarket_data[[#This Row],[Quantity]]</f>
        <v>10.8</v>
      </c>
      <c r="L1409" t="str">
        <f>TEXT(Pqp_supermarket_data[[#This Row],[DateTime]],"ddd")</f>
        <v>Sun</v>
      </c>
      <c r="M1409" t="str">
        <f>TEXT(Pqp_supermarket_data[[#This Row],[DateTime]],"mmm")</f>
        <v>Jul</v>
      </c>
      <c r="N1409" t="str">
        <f>TEXT(Pqp_supermarket_data[[#This Row],[DateTime]],"yyy")</f>
        <v>2022</v>
      </c>
    </row>
    <row r="1410" spans="1:14" x14ac:dyDescent="0.35">
      <c r="A1410" t="s">
        <v>2953</v>
      </c>
      <c r="B1410" s="1">
        <v>44836.337542060188</v>
      </c>
      <c r="C1410" t="s">
        <v>2954</v>
      </c>
      <c r="D1410" t="s">
        <v>12</v>
      </c>
      <c r="E1410" t="s">
        <v>53</v>
      </c>
      <c r="F1410">
        <v>2.8</v>
      </c>
      <c r="G1410">
        <v>9</v>
      </c>
      <c r="H1410" t="s">
        <v>14</v>
      </c>
      <c r="I1410" t="s">
        <v>36</v>
      </c>
      <c r="J1410" t="s">
        <v>470</v>
      </c>
      <c r="K1410">
        <f>Pqp_supermarket_data[[#This Row],[Unit_Price]]*Pqp_supermarket_data[[#This Row],[Quantity]]</f>
        <v>25.2</v>
      </c>
      <c r="L1410" t="str">
        <f>TEXT(Pqp_supermarket_data[[#This Row],[DateTime]],"ddd")</f>
        <v>Sun</v>
      </c>
      <c r="M1410" t="str">
        <f>TEXT(Pqp_supermarket_data[[#This Row],[DateTime]],"mmm")</f>
        <v>Oct</v>
      </c>
      <c r="N1410" t="str">
        <f>TEXT(Pqp_supermarket_data[[#This Row],[DateTime]],"yyy")</f>
        <v>2022</v>
      </c>
    </row>
    <row r="1411" spans="1:14" x14ac:dyDescent="0.35">
      <c r="A1411" t="s">
        <v>2955</v>
      </c>
      <c r="B1411" s="1">
        <v>44772.922958726849</v>
      </c>
      <c r="C1411" t="s">
        <v>2956</v>
      </c>
      <c r="D1411" t="s">
        <v>171</v>
      </c>
      <c r="E1411" t="s">
        <v>49</v>
      </c>
      <c r="F1411">
        <v>7</v>
      </c>
      <c r="G1411">
        <v>10</v>
      </c>
      <c r="H1411" t="s">
        <v>14</v>
      </c>
      <c r="I1411" t="s">
        <v>36</v>
      </c>
      <c r="J1411" t="s">
        <v>74</v>
      </c>
      <c r="K1411">
        <f>Pqp_supermarket_data[[#This Row],[Unit_Price]]*Pqp_supermarket_data[[#This Row],[Quantity]]</f>
        <v>70</v>
      </c>
      <c r="L1411" t="str">
        <f>TEXT(Pqp_supermarket_data[[#This Row],[DateTime]],"ddd")</f>
        <v>Sat</v>
      </c>
      <c r="M1411" t="str">
        <f>TEXT(Pqp_supermarket_data[[#This Row],[DateTime]],"mmm")</f>
        <v>Jul</v>
      </c>
      <c r="N1411" t="str">
        <f>TEXT(Pqp_supermarket_data[[#This Row],[DateTime]],"yyy")</f>
        <v>2022</v>
      </c>
    </row>
    <row r="1412" spans="1:14" x14ac:dyDescent="0.35">
      <c r="A1412" t="s">
        <v>2957</v>
      </c>
      <c r="B1412" s="1">
        <v>45362.228514282404</v>
      </c>
      <c r="C1412" t="s">
        <v>2958</v>
      </c>
      <c r="D1412" t="s">
        <v>25</v>
      </c>
      <c r="E1412" t="s">
        <v>70</v>
      </c>
      <c r="F1412">
        <v>5</v>
      </c>
      <c r="G1412">
        <v>4</v>
      </c>
      <c r="H1412" t="s">
        <v>14</v>
      </c>
      <c r="I1412" t="s">
        <v>86</v>
      </c>
      <c r="J1412" t="s">
        <v>163</v>
      </c>
      <c r="K1412">
        <f>Pqp_supermarket_data[[#This Row],[Unit_Price]]*Pqp_supermarket_data[[#This Row],[Quantity]]</f>
        <v>20</v>
      </c>
      <c r="L1412" t="str">
        <f>TEXT(Pqp_supermarket_data[[#This Row],[DateTime]],"ddd")</f>
        <v>Mon</v>
      </c>
      <c r="M1412" t="str">
        <f>TEXT(Pqp_supermarket_data[[#This Row],[DateTime]],"mmm")</f>
        <v>Mar</v>
      </c>
      <c r="N1412" t="str">
        <f>TEXT(Pqp_supermarket_data[[#This Row],[DateTime]],"yyy")</f>
        <v>2024</v>
      </c>
    </row>
    <row r="1413" spans="1:14" x14ac:dyDescent="0.35">
      <c r="A1413" t="s">
        <v>2959</v>
      </c>
      <c r="B1413" s="1">
        <v>45159.979208738427</v>
      </c>
      <c r="C1413" t="s">
        <v>2960</v>
      </c>
      <c r="D1413" t="s">
        <v>82</v>
      </c>
      <c r="E1413" t="s">
        <v>119</v>
      </c>
      <c r="F1413">
        <v>4</v>
      </c>
      <c r="G1413">
        <v>3</v>
      </c>
      <c r="H1413" t="s">
        <v>14</v>
      </c>
      <c r="I1413" t="s">
        <v>61</v>
      </c>
      <c r="J1413" t="s">
        <v>364</v>
      </c>
      <c r="K1413">
        <f>Pqp_supermarket_data[[#This Row],[Unit_Price]]*Pqp_supermarket_data[[#This Row],[Quantity]]</f>
        <v>12</v>
      </c>
      <c r="L1413" t="str">
        <f>TEXT(Pqp_supermarket_data[[#This Row],[DateTime]],"ddd")</f>
        <v>Mon</v>
      </c>
      <c r="M1413" t="str">
        <f>TEXT(Pqp_supermarket_data[[#This Row],[DateTime]],"mmm")</f>
        <v>Aug</v>
      </c>
      <c r="N1413" t="str">
        <f>TEXT(Pqp_supermarket_data[[#This Row],[DateTime]],"yyy")</f>
        <v>2023</v>
      </c>
    </row>
    <row r="1414" spans="1:14" x14ac:dyDescent="0.35">
      <c r="A1414" t="s">
        <v>2961</v>
      </c>
      <c r="B1414" s="1">
        <v>44659.470875405095</v>
      </c>
      <c r="C1414" t="s">
        <v>2962</v>
      </c>
      <c r="D1414" t="s">
        <v>226</v>
      </c>
      <c r="E1414" t="s">
        <v>65</v>
      </c>
      <c r="F1414">
        <v>3</v>
      </c>
      <c r="G1414">
        <v>5</v>
      </c>
      <c r="H1414" t="s">
        <v>14</v>
      </c>
      <c r="I1414" t="s">
        <v>86</v>
      </c>
      <c r="J1414" t="s">
        <v>128</v>
      </c>
      <c r="K1414">
        <f>Pqp_supermarket_data[[#This Row],[Unit_Price]]*Pqp_supermarket_data[[#This Row],[Quantity]]</f>
        <v>15</v>
      </c>
      <c r="L1414" t="str">
        <f>TEXT(Pqp_supermarket_data[[#This Row],[DateTime]],"ddd")</f>
        <v>Fri</v>
      </c>
      <c r="M1414" t="str">
        <f>TEXT(Pqp_supermarket_data[[#This Row],[DateTime]],"mmm")</f>
        <v>Apr</v>
      </c>
      <c r="N1414" t="str">
        <f>TEXT(Pqp_supermarket_data[[#This Row],[DateTime]],"yyy")</f>
        <v>2022</v>
      </c>
    </row>
    <row r="1415" spans="1:14" x14ac:dyDescent="0.35">
      <c r="A1415" t="s">
        <v>2963</v>
      </c>
      <c r="B1415" s="1">
        <v>45066.24240318287</v>
      </c>
      <c r="C1415" t="s">
        <v>2964</v>
      </c>
      <c r="D1415" t="s">
        <v>208</v>
      </c>
      <c r="E1415" t="s">
        <v>70</v>
      </c>
      <c r="F1415">
        <v>5</v>
      </c>
      <c r="G1415">
        <v>9</v>
      </c>
      <c r="H1415" t="s">
        <v>14</v>
      </c>
      <c r="I1415" t="s">
        <v>21</v>
      </c>
      <c r="J1415" t="s">
        <v>102</v>
      </c>
      <c r="K1415">
        <f>Pqp_supermarket_data[[#This Row],[Unit_Price]]*Pqp_supermarket_data[[#This Row],[Quantity]]</f>
        <v>45</v>
      </c>
      <c r="L1415" t="str">
        <f>TEXT(Pqp_supermarket_data[[#This Row],[DateTime]],"ddd")</f>
        <v>Sat</v>
      </c>
      <c r="M1415" t="str">
        <f>TEXT(Pqp_supermarket_data[[#This Row],[DateTime]],"mmm")</f>
        <v>May</v>
      </c>
      <c r="N1415" t="str">
        <f>TEXT(Pqp_supermarket_data[[#This Row],[DateTime]],"yyy")</f>
        <v>2023</v>
      </c>
    </row>
    <row r="1416" spans="1:14" x14ac:dyDescent="0.35">
      <c r="A1416" t="s">
        <v>2965</v>
      </c>
      <c r="B1416" s="1">
        <v>44913.95629209491</v>
      </c>
      <c r="C1416" t="s">
        <v>2966</v>
      </c>
      <c r="D1416" t="s">
        <v>82</v>
      </c>
      <c r="E1416" t="s">
        <v>145</v>
      </c>
      <c r="F1416">
        <v>1.7</v>
      </c>
      <c r="G1416">
        <v>6</v>
      </c>
      <c r="H1416" t="s">
        <v>14</v>
      </c>
      <c r="I1416" t="s">
        <v>86</v>
      </c>
      <c r="J1416" t="s">
        <v>79</v>
      </c>
      <c r="K1416">
        <f>Pqp_supermarket_data[[#This Row],[Unit_Price]]*Pqp_supermarket_data[[#This Row],[Quantity]]</f>
        <v>10.199999999999999</v>
      </c>
      <c r="L1416" t="str">
        <f>TEXT(Pqp_supermarket_data[[#This Row],[DateTime]],"ddd")</f>
        <v>Sun</v>
      </c>
      <c r="M1416" t="str">
        <f>TEXT(Pqp_supermarket_data[[#This Row],[DateTime]],"mmm")</f>
        <v>Dec</v>
      </c>
      <c r="N1416" t="str">
        <f>TEXT(Pqp_supermarket_data[[#This Row],[DateTime]],"yyy")</f>
        <v>2022</v>
      </c>
    </row>
    <row r="1417" spans="1:14" x14ac:dyDescent="0.35">
      <c r="A1417" t="s">
        <v>2967</v>
      </c>
      <c r="B1417" s="1">
        <v>45227.059069872688</v>
      </c>
      <c r="C1417" t="s">
        <v>2968</v>
      </c>
      <c r="D1417" t="s">
        <v>69</v>
      </c>
      <c r="E1417" t="s">
        <v>70</v>
      </c>
      <c r="F1417">
        <v>5</v>
      </c>
      <c r="G1417">
        <v>4</v>
      </c>
      <c r="H1417" t="s">
        <v>14</v>
      </c>
      <c r="I1417" t="s">
        <v>61</v>
      </c>
      <c r="J1417" t="s">
        <v>230</v>
      </c>
      <c r="K1417">
        <f>Pqp_supermarket_data[[#This Row],[Unit_Price]]*Pqp_supermarket_data[[#This Row],[Quantity]]</f>
        <v>20</v>
      </c>
      <c r="L1417" t="str">
        <f>TEXT(Pqp_supermarket_data[[#This Row],[DateTime]],"ddd")</f>
        <v>Sat</v>
      </c>
      <c r="M1417" t="str">
        <f>TEXT(Pqp_supermarket_data[[#This Row],[DateTime]],"mmm")</f>
        <v>Oct</v>
      </c>
      <c r="N1417" t="str">
        <f>TEXT(Pqp_supermarket_data[[#This Row],[DateTime]],"yyy")</f>
        <v>2023</v>
      </c>
    </row>
    <row r="1418" spans="1:14" x14ac:dyDescent="0.35">
      <c r="A1418" t="s">
        <v>2969</v>
      </c>
      <c r="B1418" s="1">
        <v>45631.061847662037</v>
      </c>
      <c r="C1418" t="s">
        <v>2970</v>
      </c>
      <c r="D1418" t="s">
        <v>77</v>
      </c>
      <c r="E1418" t="s">
        <v>57</v>
      </c>
      <c r="F1418">
        <v>4.5</v>
      </c>
      <c r="G1418">
        <v>9</v>
      </c>
      <c r="H1418" t="s">
        <v>14</v>
      </c>
      <c r="I1418" t="s">
        <v>21</v>
      </c>
      <c r="J1418" t="s">
        <v>112</v>
      </c>
      <c r="K1418">
        <f>Pqp_supermarket_data[[#This Row],[Unit_Price]]*Pqp_supermarket_data[[#This Row],[Quantity]]</f>
        <v>40.5</v>
      </c>
      <c r="L1418" t="str">
        <f>TEXT(Pqp_supermarket_data[[#This Row],[DateTime]],"ddd")</f>
        <v>Thu</v>
      </c>
      <c r="M1418" t="str">
        <f>TEXT(Pqp_supermarket_data[[#This Row],[DateTime]],"mmm")</f>
        <v>Dec</v>
      </c>
      <c r="N1418" t="str">
        <f>TEXT(Pqp_supermarket_data[[#This Row],[DateTime]],"yyy")</f>
        <v>2024</v>
      </c>
    </row>
    <row r="1419" spans="1:14" x14ac:dyDescent="0.35">
      <c r="A1419" t="s">
        <v>2971</v>
      </c>
      <c r="B1419" s="1">
        <v>44468.441708773149</v>
      </c>
      <c r="C1419" t="s">
        <v>2972</v>
      </c>
      <c r="D1419" t="s">
        <v>127</v>
      </c>
      <c r="E1419" t="s">
        <v>26</v>
      </c>
      <c r="F1419">
        <v>2.5</v>
      </c>
      <c r="G1419">
        <v>2</v>
      </c>
      <c r="H1419" t="s">
        <v>14</v>
      </c>
      <c r="I1419" t="s">
        <v>40</v>
      </c>
      <c r="J1419" t="s">
        <v>205</v>
      </c>
      <c r="K1419">
        <f>Pqp_supermarket_data[[#This Row],[Unit_Price]]*Pqp_supermarket_data[[#This Row],[Quantity]]</f>
        <v>5</v>
      </c>
      <c r="L1419" t="str">
        <f>TEXT(Pqp_supermarket_data[[#This Row],[DateTime]],"ddd")</f>
        <v>Wed</v>
      </c>
      <c r="M1419" t="str">
        <f>TEXT(Pqp_supermarket_data[[#This Row],[DateTime]],"mmm")</f>
        <v>Sep</v>
      </c>
      <c r="N1419" t="str">
        <f>TEXT(Pqp_supermarket_data[[#This Row],[DateTime]],"yyy")</f>
        <v>2021</v>
      </c>
    </row>
    <row r="1420" spans="1:14" x14ac:dyDescent="0.35">
      <c r="A1420" t="s">
        <v>2973</v>
      </c>
      <c r="B1420" s="1">
        <v>45049.494486550924</v>
      </c>
      <c r="C1420" t="s">
        <v>2974</v>
      </c>
      <c r="D1420" t="s">
        <v>25</v>
      </c>
      <c r="E1420" t="s">
        <v>39</v>
      </c>
      <c r="F1420">
        <v>3.2</v>
      </c>
      <c r="G1420">
        <v>4</v>
      </c>
      <c r="H1420" t="s">
        <v>14</v>
      </c>
      <c r="I1420" t="s">
        <v>36</v>
      </c>
      <c r="J1420" t="s">
        <v>517</v>
      </c>
      <c r="K1420">
        <f>Pqp_supermarket_data[[#This Row],[Unit_Price]]*Pqp_supermarket_data[[#This Row],[Quantity]]</f>
        <v>12.8</v>
      </c>
      <c r="L1420" t="str">
        <f>TEXT(Pqp_supermarket_data[[#This Row],[DateTime]],"ddd")</f>
        <v>Wed</v>
      </c>
      <c r="M1420" t="str">
        <f>TEXT(Pqp_supermarket_data[[#This Row],[DateTime]],"mmm")</f>
        <v>May</v>
      </c>
      <c r="N1420" t="str">
        <f>TEXT(Pqp_supermarket_data[[#This Row],[DateTime]],"yyy")</f>
        <v>2023</v>
      </c>
    </row>
    <row r="1421" spans="1:14" x14ac:dyDescent="0.35">
      <c r="A1421" t="s">
        <v>2975</v>
      </c>
      <c r="B1421" s="1">
        <v>45274.152125439818</v>
      </c>
      <c r="C1421" t="s">
        <v>2976</v>
      </c>
      <c r="D1421" t="s">
        <v>34</v>
      </c>
      <c r="E1421" t="s">
        <v>13</v>
      </c>
      <c r="F1421">
        <v>3.1</v>
      </c>
      <c r="G1421">
        <v>4</v>
      </c>
      <c r="H1421" t="s">
        <v>14</v>
      </c>
      <c r="I1421" t="s">
        <v>36</v>
      </c>
      <c r="J1421" t="s">
        <v>538</v>
      </c>
      <c r="K1421">
        <f>Pqp_supermarket_data[[#This Row],[Unit_Price]]*Pqp_supermarket_data[[#This Row],[Quantity]]</f>
        <v>12.4</v>
      </c>
      <c r="L1421" t="str">
        <f>TEXT(Pqp_supermarket_data[[#This Row],[DateTime]],"ddd")</f>
        <v>Thu</v>
      </c>
      <c r="M1421" t="str">
        <f>TEXT(Pqp_supermarket_data[[#This Row],[DateTime]],"mmm")</f>
        <v>Dec</v>
      </c>
      <c r="N1421" t="str">
        <f>TEXT(Pqp_supermarket_data[[#This Row],[DateTime]],"yyy")</f>
        <v>2023</v>
      </c>
    </row>
    <row r="1422" spans="1:14" x14ac:dyDescent="0.35">
      <c r="A1422" t="s">
        <v>2977</v>
      </c>
      <c r="B1422" s="1">
        <v>45503.610458784722</v>
      </c>
      <c r="C1422" t="s">
        <v>2978</v>
      </c>
      <c r="D1422" t="s">
        <v>85</v>
      </c>
      <c r="E1422" t="s">
        <v>13</v>
      </c>
      <c r="F1422">
        <v>3.1</v>
      </c>
      <c r="G1422">
        <v>1</v>
      </c>
      <c r="H1422" t="s">
        <v>14</v>
      </c>
      <c r="I1422" t="s">
        <v>61</v>
      </c>
      <c r="J1422" t="s">
        <v>429</v>
      </c>
      <c r="K1422">
        <f>Pqp_supermarket_data[[#This Row],[Unit_Price]]*Pqp_supermarket_data[[#This Row],[Quantity]]</f>
        <v>3.1</v>
      </c>
      <c r="L1422" t="str">
        <f>TEXT(Pqp_supermarket_data[[#This Row],[DateTime]],"ddd")</f>
        <v>Tue</v>
      </c>
      <c r="M1422" t="str">
        <f>TEXT(Pqp_supermarket_data[[#This Row],[DateTime]],"mmm")</f>
        <v>Jul</v>
      </c>
      <c r="N1422" t="str">
        <f>TEXT(Pqp_supermarket_data[[#This Row],[DateTime]],"yyy")</f>
        <v>2024</v>
      </c>
    </row>
    <row r="1423" spans="1:14" x14ac:dyDescent="0.35">
      <c r="A1423" t="s">
        <v>2979</v>
      </c>
      <c r="B1423" s="1">
        <v>45077.04240322917</v>
      </c>
      <c r="C1423" t="s">
        <v>2980</v>
      </c>
      <c r="D1423" t="s">
        <v>34</v>
      </c>
      <c r="E1423" t="s">
        <v>119</v>
      </c>
      <c r="F1423">
        <v>4</v>
      </c>
      <c r="G1423">
        <v>1</v>
      </c>
      <c r="H1423" t="s">
        <v>14</v>
      </c>
      <c r="I1423" t="s">
        <v>86</v>
      </c>
      <c r="J1423" t="s">
        <v>189</v>
      </c>
      <c r="K1423">
        <f>Pqp_supermarket_data[[#This Row],[Unit_Price]]*Pqp_supermarket_data[[#This Row],[Quantity]]</f>
        <v>4</v>
      </c>
      <c r="L1423" t="str">
        <f>TEXT(Pqp_supermarket_data[[#This Row],[DateTime]],"ddd")</f>
        <v>Wed</v>
      </c>
      <c r="M1423" t="str">
        <f>TEXT(Pqp_supermarket_data[[#This Row],[DateTime]],"mmm")</f>
        <v>May</v>
      </c>
      <c r="N1423" t="str">
        <f>TEXT(Pqp_supermarket_data[[#This Row],[DateTime]],"yyy")</f>
        <v>2023</v>
      </c>
    </row>
    <row r="1424" spans="1:14" x14ac:dyDescent="0.35">
      <c r="A1424" t="s">
        <v>2981</v>
      </c>
      <c r="B1424" s="1">
        <v>44737.35490322917</v>
      </c>
      <c r="C1424" t="s">
        <v>2982</v>
      </c>
      <c r="D1424" t="s">
        <v>82</v>
      </c>
      <c r="E1424" t="s">
        <v>26</v>
      </c>
      <c r="F1424">
        <v>2.5</v>
      </c>
      <c r="G1424">
        <v>4</v>
      </c>
      <c r="H1424" t="s">
        <v>14</v>
      </c>
      <c r="I1424" t="s">
        <v>36</v>
      </c>
      <c r="J1424" t="s">
        <v>314</v>
      </c>
      <c r="K1424">
        <f>Pqp_supermarket_data[[#This Row],[Unit_Price]]*Pqp_supermarket_data[[#This Row],[Quantity]]</f>
        <v>10</v>
      </c>
      <c r="L1424" t="str">
        <f>TEXT(Pqp_supermarket_data[[#This Row],[DateTime]],"ddd")</f>
        <v>Sat</v>
      </c>
      <c r="M1424" t="str">
        <f>TEXT(Pqp_supermarket_data[[#This Row],[DateTime]],"mmm")</f>
        <v>Jun</v>
      </c>
      <c r="N1424" t="str">
        <f>TEXT(Pqp_supermarket_data[[#This Row],[DateTime]],"yyy")</f>
        <v>2022</v>
      </c>
    </row>
    <row r="1425" spans="1:14" x14ac:dyDescent="0.35">
      <c r="A1425" t="s">
        <v>2983</v>
      </c>
      <c r="B1425" s="1">
        <v>45356.925042129631</v>
      </c>
      <c r="C1425" t="s">
        <v>2984</v>
      </c>
      <c r="D1425" t="s">
        <v>85</v>
      </c>
      <c r="E1425" t="s">
        <v>119</v>
      </c>
      <c r="F1425">
        <v>4</v>
      </c>
      <c r="G1425">
        <v>9</v>
      </c>
      <c r="H1425" t="s">
        <v>14</v>
      </c>
      <c r="I1425" t="s">
        <v>86</v>
      </c>
      <c r="J1425" t="s">
        <v>105</v>
      </c>
      <c r="K1425">
        <f>Pqp_supermarket_data[[#This Row],[Unit_Price]]*Pqp_supermarket_data[[#This Row],[Quantity]]</f>
        <v>36</v>
      </c>
      <c r="L1425" t="str">
        <f>TEXT(Pqp_supermarket_data[[#This Row],[DateTime]],"ddd")</f>
        <v>Tue</v>
      </c>
      <c r="M1425" t="str">
        <f>TEXT(Pqp_supermarket_data[[#This Row],[DateTime]],"mmm")</f>
        <v>Mar</v>
      </c>
      <c r="N1425" t="str">
        <f>TEXT(Pqp_supermarket_data[[#This Row],[DateTime]],"yyy")</f>
        <v>2024</v>
      </c>
    </row>
    <row r="1426" spans="1:14" x14ac:dyDescent="0.35">
      <c r="A1426" t="s">
        <v>2985</v>
      </c>
      <c r="B1426" s="1">
        <v>44842.108375462965</v>
      </c>
      <c r="C1426" t="s">
        <v>2986</v>
      </c>
      <c r="D1426" t="s">
        <v>77</v>
      </c>
      <c r="E1426" t="s">
        <v>39</v>
      </c>
      <c r="F1426">
        <v>3.2</v>
      </c>
      <c r="G1426">
        <v>4</v>
      </c>
      <c r="H1426" t="s">
        <v>14</v>
      </c>
      <c r="I1426" t="s">
        <v>86</v>
      </c>
      <c r="J1426" t="s">
        <v>426</v>
      </c>
      <c r="K1426">
        <f>Pqp_supermarket_data[[#This Row],[Unit_Price]]*Pqp_supermarket_data[[#This Row],[Quantity]]</f>
        <v>12.8</v>
      </c>
      <c r="L1426" t="str">
        <f>TEXT(Pqp_supermarket_data[[#This Row],[DateTime]],"ddd")</f>
        <v>Sat</v>
      </c>
      <c r="M1426" t="str">
        <f>TEXT(Pqp_supermarket_data[[#This Row],[DateTime]],"mmm")</f>
        <v>Oct</v>
      </c>
      <c r="N1426" t="str">
        <f>TEXT(Pqp_supermarket_data[[#This Row],[DateTime]],"yyy")</f>
        <v>2022</v>
      </c>
    </row>
    <row r="1427" spans="1:14" x14ac:dyDescent="0.35">
      <c r="A1427" t="s">
        <v>2987</v>
      </c>
      <c r="B1427" s="1">
        <v>44357.009069930558</v>
      </c>
      <c r="C1427" t="s">
        <v>2988</v>
      </c>
      <c r="D1427" t="s">
        <v>98</v>
      </c>
      <c r="E1427" t="s">
        <v>70</v>
      </c>
      <c r="F1427">
        <v>5</v>
      </c>
      <c r="G1427">
        <v>9</v>
      </c>
      <c r="H1427" t="s">
        <v>14</v>
      </c>
      <c r="I1427" t="s">
        <v>40</v>
      </c>
      <c r="J1427" t="s">
        <v>186</v>
      </c>
      <c r="K1427">
        <f>Pqp_supermarket_data[[#This Row],[Unit_Price]]*Pqp_supermarket_data[[#This Row],[Quantity]]</f>
        <v>45</v>
      </c>
      <c r="L1427" t="str">
        <f>TEXT(Pqp_supermarket_data[[#This Row],[DateTime]],"ddd")</f>
        <v>Thu</v>
      </c>
      <c r="M1427" t="str">
        <f>TEXT(Pqp_supermarket_data[[#This Row],[DateTime]],"mmm")</f>
        <v>Jun</v>
      </c>
      <c r="N1427" t="str">
        <f>TEXT(Pqp_supermarket_data[[#This Row],[DateTime]],"yyy")</f>
        <v>2021</v>
      </c>
    </row>
    <row r="1428" spans="1:14" x14ac:dyDescent="0.35">
      <c r="A1428" t="s">
        <v>2989</v>
      </c>
      <c r="B1428" s="1">
        <v>45501.7715699537</v>
      </c>
      <c r="C1428" t="s">
        <v>2990</v>
      </c>
      <c r="D1428" t="s">
        <v>69</v>
      </c>
      <c r="E1428" t="s">
        <v>57</v>
      </c>
      <c r="F1428">
        <v>4.5</v>
      </c>
      <c r="G1428">
        <v>1</v>
      </c>
      <c r="H1428" t="s">
        <v>14</v>
      </c>
      <c r="I1428" t="s">
        <v>86</v>
      </c>
      <c r="J1428" t="s">
        <v>227</v>
      </c>
      <c r="K1428">
        <f>Pqp_supermarket_data[[#This Row],[Unit_Price]]*Pqp_supermarket_data[[#This Row],[Quantity]]</f>
        <v>4.5</v>
      </c>
      <c r="L1428" t="str">
        <f>TEXT(Pqp_supermarket_data[[#This Row],[DateTime]],"ddd")</f>
        <v>Sun</v>
      </c>
      <c r="M1428" t="str">
        <f>TEXT(Pqp_supermarket_data[[#This Row],[DateTime]],"mmm")</f>
        <v>Jul</v>
      </c>
      <c r="N1428" t="str">
        <f>TEXT(Pqp_supermarket_data[[#This Row],[DateTime]],"yyy")</f>
        <v>2024</v>
      </c>
    </row>
    <row r="1429" spans="1:14" x14ac:dyDescent="0.35">
      <c r="A1429" t="s">
        <v>2991</v>
      </c>
      <c r="B1429" s="1">
        <v>45060.133375520832</v>
      </c>
      <c r="C1429" t="s">
        <v>2992</v>
      </c>
      <c r="D1429" t="s">
        <v>82</v>
      </c>
      <c r="E1429" t="s">
        <v>145</v>
      </c>
      <c r="F1429">
        <v>1.7</v>
      </c>
      <c r="G1429">
        <v>7</v>
      </c>
      <c r="H1429" t="s">
        <v>14</v>
      </c>
      <c r="I1429" t="s">
        <v>36</v>
      </c>
      <c r="J1429" t="s">
        <v>183</v>
      </c>
      <c r="K1429">
        <f>Pqp_supermarket_data[[#This Row],[Unit_Price]]*Pqp_supermarket_data[[#This Row],[Quantity]]</f>
        <v>11.9</v>
      </c>
      <c r="L1429" t="str">
        <f>TEXT(Pqp_supermarket_data[[#This Row],[DateTime]],"ddd")</f>
        <v>Sun</v>
      </c>
      <c r="M1429" t="str">
        <f>TEXT(Pqp_supermarket_data[[#This Row],[DateTime]],"mmm")</f>
        <v>May</v>
      </c>
      <c r="N1429" t="str">
        <f>TEXT(Pqp_supermarket_data[[#This Row],[DateTime]],"yyy")</f>
        <v>2023</v>
      </c>
    </row>
    <row r="1430" spans="1:14" x14ac:dyDescent="0.35">
      <c r="A1430" t="s">
        <v>2993</v>
      </c>
      <c r="B1430" s="1">
        <v>45173.117403310185</v>
      </c>
      <c r="C1430" t="s">
        <v>2994</v>
      </c>
      <c r="D1430" t="s">
        <v>208</v>
      </c>
      <c r="E1430" t="s">
        <v>119</v>
      </c>
      <c r="F1430">
        <v>4</v>
      </c>
      <c r="G1430">
        <v>1</v>
      </c>
      <c r="H1430" t="s">
        <v>14</v>
      </c>
      <c r="I1430" t="s">
        <v>15</v>
      </c>
      <c r="J1430" t="s">
        <v>744</v>
      </c>
      <c r="K1430">
        <f>Pqp_supermarket_data[[#This Row],[Unit_Price]]*Pqp_supermarket_data[[#This Row],[Quantity]]</f>
        <v>4</v>
      </c>
      <c r="L1430" t="str">
        <f>TEXT(Pqp_supermarket_data[[#This Row],[DateTime]],"ddd")</f>
        <v>Mon</v>
      </c>
      <c r="M1430" t="str">
        <f>TEXT(Pqp_supermarket_data[[#This Row],[DateTime]],"mmm")</f>
        <v>Sep</v>
      </c>
      <c r="N1430" t="str">
        <f>TEXT(Pqp_supermarket_data[[#This Row],[DateTime]],"yyy")</f>
        <v>2023</v>
      </c>
    </row>
    <row r="1431" spans="1:14" x14ac:dyDescent="0.35">
      <c r="A1431" t="s">
        <v>2995</v>
      </c>
      <c r="B1431" s="1">
        <v>45109.781986655093</v>
      </c>
      <c r="C1431" t="s">
        <v>2996</v>
      </c>
      <c r="D1431" t="s">
        <v>226</v>
      </c>
      <c r="E1431" t="s">
        <v>45</v>
      </c>
      <c r="F1431">
        <v>1</v>
      </c>
      <c r="G1431">
        <v>10</v>
      </c>
      <c r="H1431" t="s">
        <v>14</v>
      </c>
      <c r="I1431" t="s">
        <v>21</v>
      </c>
      <c r="J1431" t="s">
        <v>662</v>
      </c>
      <c r="K1431">
        <f>Pqp_supermarket_data[[#This Row],[Unit_Price]]*Pqp_supermarket_data[[#This Row],[Quantity]]</f>
        <v>10</v>
      </c>
      <c r="L1431" t="str">
        <f>TEXT(Pqp_supermarket_data[[#This Row],[DateTime]],"ddd")</f>
        <v>Sun</v>
      </c>
      <c r="M1431" t="str">
        <f>TEXT(Pqp_supermarket_data[[#This Row],[DateTime]],"mmm")</f>
        <v>Jul</v>
      </c>
      <c r="N1431" t="str">
        <f>TEXT(Pqp_supermarket_data[[#This Row],[DateTime]],"yyy")</f>
        <v>2023</v>
      </c>
    </row>
    <row r="1432" spans="1:14" x14ac:dyDescent="0.35">
      <c r="A1432" t="s">
        <v>2997</v>
      </c>
      <c r="B1432" s="1">
        <v>45006.292403333333</v>
      </c>
      <c r="C1432" t="s">
        <v>2998</v>
      </c>
      <c r="D1432" t="s">
        <v>77</v>
      </c>
      <c r="E1432" t="s">
        <v>20</v>
      </c>
      <c r="F1432">
        <v>1</v>
      </c>
      <c r="G1432">
        <v>7</v>
      </c>
      <c r="H1432" t="s">
        <v>14</v>
      </c>
      <c r="I1432" t="s">
        <v>15</v>
      </c>
      <c r="J1432" t="s">
        <v>122</v>
      </c>
      <c r="K1432">
        <f>Pqp_supermarket_data[[#This Row],[Unit_Price]]*Pqp_supermarket_data[[#This Row],[Quantity]]</f>
        <v>7</v>
      </c>
      <c r="L1432" t="str">
        <f>TEXT(Pqp_supermarket_data[[#This Row],[DateTime]],"ddd")</f>
        <v>Tue</v>
      </c>
      <c r="M1432" t="str">
        <f>TEXT(Pqp_supermarket_data[[#This Row],[DateTime]],"mmm")</f>
        <v>Mar</v>
      </c>
      <c r="N1432" t="str">
        <f>TEXT(Pqp_supermarket_data[[#This Row],[DateTime]],"yyy")</f>
        <v>2023</v>
      </c>
    </row>
    <row r="1433" spans="1:14" x14ac:dyDescent="0.35">
      <c r="A1433" t="s">
        <v>2999</v>
      </c>
      <c r="B1433" s="1">
        <v>45564.118097777777</v>
      </c>
      <c r="C1433" t="s">
        <v>3000</v>
      </c>
      <c r="D1433" t="s">
        <v>98</v>
      </c>
      <c r="E1433" t="s">
        <v>57</v>
      </c>
      <c r="F1433">
        <v>4.5</v>
      </c>
      <c r="G1433">
        <v>2</v>
      </c>
      <c r="H1433" t="s">
        <v>14</v>
      </c>
      <c r="I1433" t="s">
        <v>15</v>
      </c>
      <c r="J1433" t="s">
        <v>192</v>
      </c>
      <c r="K1433">
        <f>Pqp_supermarket_data[[#This Row],[Unit_Price]]*Pqp_supermarket_data[[#This Row],[Quantity]]</f>
        <v>9</v>
      </c>
      <c r="L1433" t="str">
        <f>TEXT(Pqp_supermarket_data[[#This Row],[DateTime]],"ddd")</f>
        <v>Sun</v>
      </c>
      <c r="M1433" t="str">
        <f>TEXT(Pqp_supermarket_data[[#This Row],[DateTime]],"mmm")</f>
        <v>Sep</v>
      </c>
      <c r="N1433" t="str">
        <f>TEXT(Pqp_supermarket_data[[#This Row],[DateTime]],"yyy")</f>
        <v>2024</v>
      </c>
    </row>
    <row r="1434" spans="1:14" x14ac:dyDescent="0.35">
      <c r="A1434" t="s">
        <v>3001</v>
      </c>
      <c r="B1434" s="1">
        <v>44403.843792233798</v>
      </c>
      <c r="C1434" t="s">
        <v>3002</v>
      </c>
      <c r="D1434" t="s">
        <v>208</v>
      </c>
      <c r="E1434" t="s">
        <v>45</v>
      </c>
      <c r="F1434">
        <v>1</v>
      </c>
      <c r="G1434">
        <v>8</v>
      </c>
      <c r="H1434" t="s">
        <v>14</v>
      </c>
      <c r="I1434" t="s">
        <v>40</v>
      </c>
      <c r="J1434" t="s">
        <v>458</v>
      </c>
      <c r="K1434">
        <f>Pqp_supermarket_data[[#This Row],[Unit_Price]]*Pqp_supermarket_data[[#This Row],[Quantity]]</f>
        <v>8</v>
      </c>
      <c r="L1434" t="str">
        <f>TEXT(Pqp_supermarket_data[[#This Row],[DateTime]],"ddd")</f>
        <v>Mon</v>
      </c>
      <c r="M1434" t="str">
        <f>TEXT(Pqp_supermarket_data[[#This Row],[DateTime]],"mmm")</f>
        <v>Jul</v>
      </c>
      <c r="N1434" t="str">
        <f>TEXT(Pqp_supermarket_data[[#This Row],[DateTime]],"yyy")</f>
        <v>2021</v>
      </c>
    </row>
    <row r="1435" spans="1:14" x14ac:dyDescent="0.35">
      <c r="A1435" t="s">
        <v>3003</v>
      </c>
      <c r="B1435" s="1">
        <v>45379.436153356481</v>
      </c>
      <c r="C1435" t="s">
        <v>3004</v>
      </c>
      <c r="D1435" t="s">
        <v>82</v>
      </c>
      <c r="E1435" t="s">
        <v>57</v>
      </c>
      <c r="F1435">
        <v>4.5</v>
      </c>
      <c r="G1435">
        <v>4</v>
      </c>
      <c r="H1435" t="s">
        <v>14</v>
      </c>
      <c r="I1435" t="s">
        <v>15</v>
      </c>
      <c r="J1435" t="s">
        <v>50</v>
      </c>
      <c r="K1435">
        <f>Pqp_supermarket_data[[#This Row],[Unit_Price]]*Pqp_supermarket_data[[#This Row],[Quantity]]</f>
        <v>18</v>
      </c>
      <c r="L1435" t="str">
        <f>TEXT(Pqp_supermarket_data[[#This Row],[DateTime]],"ddd")</f>
        <v>Thu</v>
      </c>
      <c r="M1435" t="str">
        <f>TEXT(Pqp_supermarket_data[[#This Row],[DateTime]],"mmm")</f>
        <v>Mar</v>
      </c>
      <c r="N1435" t="str">
        <f>TEXT(Pqp_supermarket_data[[#This Row],[DateTime]],"yyy")</f>
        <v>2024</v>
      </c>
    </row>
    <row r="1436" spans="1:14" x14ac:dyDescent="0.35">
      <c r="A1436" t="s">
        <v>3005</v>
      </c>
      <c r="B1436" s="1">
        <v>44435.890320046296</v>
      </c>
      <c r="C1436" t="s">
        <v>3006</v>
      </c>
      <c r="D1436" t="s">
        <v>98</v>
      </c>
      <c r="E1436" t="s">
        <v>137</v>
      </c>
      <c r="F1436">
        <v>2.5</v>
      </c>
      <c r="G1436">
        <v>6</v>
      </c>
      <c r="H1436" t="s">
        <v>14</v>
      </c>
      <c r="I1436" t="s">
        <v>21</v>
      </c>
      <c r="J1436" t="s">
        <v>99</v>
      </c>
      <c r="K1436">
        <f>Pqp_supermarket_data[[#This Row],[Unit_Price]]*Pqp_supermarket_data[[#This Row],[Quantity]]</f>
        <v>15</v>
      </c>
      <c r="L1436" t="str">
        <f>TEXT(Pqp_supermarket_data[[#This Row],[DateTime]],"ddd")</f>
        <v>Fri</v>
      </c>
      <c r="M1436" t="str">
        <f>TEXT(Pqp_supermarket_data[[#This Row],[DateTime]],"mmm")</f>
        <v>Aug</v>
      </c>
      <c r="N1436" t="str">
        <f>TEXT(Pqp_supermarket_data[[#This Row],[DateTime]],"yyy")</f>
        <v>2021</v>
      </c>
    </row>
    <row r="1437" spans="1:14" x14ac:dyDescent="0.35">
      <c r="A1437" t="s">
        <v>3007</v>
      </c>
      <c r="B1437" s="1">
        <v>45435.10490337963</v>
      </c>
      <c r="C1437" t="s">
        <v>3008</v>
      </c>
      <c r="D1437" t="s">
        <v>19</v>
      </c>
      <c r="E1437" t="s">
        <v>145</v>
      </c>
      <c r="F1437">
        <v>1.7</v>
      </c>
      <c r="G1437">
        <v>7</v>
      </c>
      <c r="H1437" t="s">
        <v>14</v>
      </c>
      <c r="I1437" t="s">
        <v>15</v>
      </c>
      <c r="J1437" t="s">
        <v>233</v>
      </c>
      <c r="K1437">
        <f>Pqp_supermarket_data[[#This Row],[Unit_Price]]*Pqp_supermarket_data[[#This Row],[Quantity]]</f>
        <v>11.9</v>
      </c>
      <c r="L1437" t="str">
        <f>TEXT(Pqp_supermarket_data[[#This Row],[DateTime]],"ddd")</f>
        <v>Thu</v>
      </c>
      <c r="M1437" t="str">
        <f>TEXT(Pqp_supermarket_data[[#This Row],[DateTime]],"mmm")</f>
        <v>May</v>
      </c>
      <c r="N1437" t="str">
        <f>TEXT(Pqp_supermarket_data[[#This Row],[DateTime]],"yyy")</f>
        <v>2024</v>
      </c>
    </row>
    <row r="1438" spans="1:14" x14ac:dyDescent="0.35">
      <c r="A1438" t="s">
        <v>3009</v>
      </c>
      <c r="B1438" s="1">
        <v>45521.833375601855</v>
      </c>
      <c r="C1438" t="s">
        <v>3010</v>
      </c>
      <c r="D1438" t="s">
        <v>98</v>
      </c>
      <c r="E1438" t="s">
        <v>65</v>
      </c>
      <c r="F1438">
        <v>3</v>
      </c>
      <c r="G1438">
        <v>7</v>
      </c>
      <c r="H1438" t="s">
        <v>14</v>
      </c>
      <c r="I1438" t="s">
        <v>15</v>
      </c>
      <c r="J1438" t="s">
        <v>295</v>
      </c>
      <c r="K1438">
        <f>Pqp_supermarket_data[[#This Row],[Unit_Price]]*Pqp_supermarket_data[[#This Row],[Quantity]]</f>
        <v>21</v>
      </c>
      <c r="L1438" t="str">
        <f>TEXT(Pqp_supermarket_data[[#This Row],[DateTime]],"ddd")</f>
        <v>Sat</v>
      </c>
      <c r="M1438" t="str">
        <f>TEXT(Pqp_supermarket_data[[#This Row],[DateTime]],"mmm")</f>
        <v>Aug</v>
      </c>
      <c r="N1438" t="str">
        <f>TEXT(Pqp_supermarket_data[[#This Row],[DateTime]],"yyy")</f>
        <v>2024</v>
      </c>
    </row>
    <row r="1439" spans="1:14" x14ac:dyDescent="0.35">
      <c r="A1439" t="s">
        <v>3011</v>
      </c>
      <c r="B1439" s="1">
        <v>45365.166014502312</v>
      </c>
      <c r="C1439" t="s">
        <v>3012</v>
      </c>
      <c r="D1439" t="s">
        <v>34</v>
      </c>
      <c r="E1439" t="s">
        <v>115</v>
      </c>
      <c r="F1439">
        <v>1.5</v>
      </c>
      <c r="G1439">
        <v>3</v>
      </c>
      <c r="H1439" t="s">
        <v>14</v>
      </c>
      <c r="I1439" t="s">
        <v>21</v>
      </c>
      <c r="J1439" t="s">
        <v>317</v>
      </c>
      <c r="K1439">
        <f>Pqp_supermarket_data[[#This Row],[Unit_Price]]*Pqp_supermarket_data[[#This Row],[Quantity]]</f>
        <v>4.5</v>
      </c>
      <c r="L1439" t="str">
        <f>TEXT(Pqp_supermarket_data[[#This Row],[DateTime]],"ddd")</f>
        <v>Thu</v>
      </c>
      <c r="M1439" t="str">
        <f>TEXT(Pqp_supermarket_data[[#This Row],[DateTime]],"mmm")</f>
        <v>Mar</v>
      </c>
      <c r="N1439" t="str">
        <f>TEXT(Pqp_supermarket_data[[#This Row],[DateTime]],"yyy")</f>
        <v>2024</v>
      </c>
    </row>
    <row r="1440" spans="1:14" x14ac:dyDescent="0.35">
      <c r="A1440" t="s">
        <v>3013</v>
      </c>
      <c r="B1440" s="1">
        <v>45150.801431168984</v>
      </c>
      <c r="C1440" t="s">
        <v>3014</v>
      </c>
      <c r="D1440" t="s">
        <v>85</v>
      </c>
      <c r="E1440" t="s">
        <v>70</v>
      </c>
      <c r="F1440">
        <v>5</v>
      </c>
      <c r="G1440">
        <v>5</v>
      </c>
      <c r="H1440" t="s">
        <v>14</v>
      </c>
      <c r="I1440" t="s">
        <v>15</v>
      </c>
      <c r="J1440" t="s">
        <v>288</v>
      </c>
      <c r="K1440">
        <f>Pqp_supermarket_data[[#This Row],[Unit_Price]]*Pqp_supermarket_data[[#This Row],[Quantity]]</f>
        <v>25</v>
      </c>
      <c r="L1440" t="str">
        <f>TEXT(Pqp_supermarket_data[[#This Row],[DateTime]],"ddd")</f>
        <v>Sat</v>
      </c>
      <c r="M1440" t="str">
        <f>TEXT(Pqp_supermarket_data[[#This Row],[DateTime]],"mmm")</f>
        <v>Aug</v>
      </c>
      <c r="N1440" t="str">
        <f>TEXT(Pqp_supermarket_data[[#This Row],[DateTime]],"yyy")</f>
        <v>2023</v>
      </c>
    </row>
    <row r="1441" spans="1:14" x14ac:dyDescent="0.35">
      <c r="A1441" t="s">
        <v>3015</v>
      </c>
      <c r="B1441" s="1">
        <v>45493.973653402776</v>
      </c>
      <c r="C1441" t="s">
        <v>3016</v>
      </c>
      <c r="D1441" t="s">
        <v>34</v>
      </c>
      <c r="E1441" t="s">
        <v>49</v>
      </c>
      <c r="F1441">
        <v>7</v>
      </c>
      <c r="G1441">
        <v>10</v>
      </c>
      <c r="H1441" t="s">
        <v>14</v>
      </c>
      <c r="I1441" t="s">
        <v>15</v>
      </c>
      <c r="J1441" t="s">
        <v>716</v>
      </c>
      <c r="K1441">
        <f>Pqp_supermarket_data[[#This Row],[Unit_Price]]*Pqp_supermarket_data[[#This Row],[Quantity]]</f>
        <v>70</v>
      </c>
      <c r="L1441" t="str">
        <f>TEXT(Pqp_supermarket_data[[#This Row],[DateTime]],"ddd")</f>
        <v>Sat</v>
      </c>
      <c r="M1441" t="str">
        <f>TEXT(Pqp_supermarket_data[[#This Row],[DateTime]],"mmm")</f>
        <v>Jul</v>
      </c>
      <c r="N1441" t="str">
        <f>TEXT(Pqp_supermarket_data[[#This Row],[DateTime]],"yyy")</f>
        <v>2024</v>
      </c>
    </row>
    <row r="1442" spans="1:14" x14ac:dyDescent="0.35">
      <c r="A1442" t="s">
        <v>3017</v>
      </c>
      <c r="B1442" s="1">
        <v>45112.770875624999</v>
      </c>
      <c r="C1442" t="s">
        <v>3018</v>
      </c>
      <c r="D1442" t="s">
        <v>98</v>
      </c>
      <c r="E1442" t="s">
        <v>70</v>
      </c>
      <c r="F1442">
        <v>5</v>
      </c>
      <c r="G1442">
        <v>8</v>
      </c>
      <c r="H1442" t="s">
        <v>14</v>
      </c>
      <c r="I1442" t="s">
        <v>21</v>
      </c>
      <c r="J1442" t="s">
        <v>436</v>
      </c>
      <c r="K1442">
        <f>Pqp_supermarket_data[[#This Row],[Unit_Price]]*Pqp_supermarket_data[[#This Row],[Quantity]]</f>
        <v>40</v>
      </c>
      <c r="L1442" t="str">
        <f>TEXT(Pqp_supermarket_data[[#This Row],[DateTime]],"ddd")</f>
        <v>Wed</v>
      </c>
      <c r="M1442" t="str">
        <f>TEXT(Pqp_supermarket_data[[#This Row],[DateTime]],"mmm")</f>
        <v>Jul</v>
      </c>
      <c r="N1442" t="str">
        <f>TEXT(Pqp_supermarket_data[[#This Row],[DateTime]],"yyy")</f>
        <v>2023</v>
      </c>
    </row>
    <row r="1443" spans="1:14" x14ac:dyDescent="0.35">
      <c r="A1443" t="s">
        <v>3019</v>
      </c>
      <c r="B1443" s="1">
        <v>45600.15629230324</v>
      </c>
      <c r="C1443" t="s">
        <v>3020</v>
      </c>
      <c r="D1443" t="s">
        <v>19</v>
      </c>
      <c r="E1443" t="s">
        <v>70</v>
      </c>
      <c r="F1443">
        <v>5</v>
      </c>
      <c r="G1443">
        <v>6</v>
      </c>
      <c r="H1443" t="s">
        <v>14</v>
      </c>
      <c r="I1443" t="s">
        <v>36</v>
      </c>
      <c r="J1443" t="s">
        <v>541</v>
      </c>
      <c r="K1443">
        <f>Pqp_supermarket_data[[#This Row],[Unit_Price]]*Pqp_supermarket_data[[#This Row],[Quantity]]</f>
        <v>30</v>
      </c>
      <c r="L1443" t="str">
        <f>TEXT(Pqp_supermarket_data[[#This Row],[DateTime]],"ddd")</f>
        <v>Mon</v>
      </c>
      <c r="M1443" t="str">
        <f>TEXT(Pqp_supermarket_data[[#This Row],[DateTime]],"mmm")</f>
        <v>Nov</v>
      </c>
      <c r="N1443" t="str">
        <f>TEXT(Pqp_supermarket_data[[#This Row],[DateTime]],"yyy")</f>
        <v>2024</v>
      </c>
    </row>
    <row r="1444" spans="1:14" x14ac:dyDescent="0.35">
      <c r="A1444" t="s">
        <v>3021</v>
      </c>
      <c r="B1444" s="1">
        <v>45177.032681192133</v>
      </c>
      <c r="C1444" t="s">
        <v>3022</v>
      </c>
      <c r="D1444" t="s">
        <v>34</v>
      </c>
      <c r="E1444" t="s">
        <v>94</v>
      </c>
      <c r="F1444">
        <v>0.8</v>
      </c>
      <c r="G1444">
        <v>7</v>
      </c>
      <c r="H1444" t="s">
        <v>14</v>
      </c>
      <c r="I1444" t="s">
        <v>15</v>
      </c>
      <c r="J1444" t="s">
        <v>218</v>
      </c>
      <c r="K1444">
        <f>Pqp_supermarket_data[[#This Row],[Unit_Price]]*Pqp_supermarket_data[[#This Row],[Quantity]]</f>
        <v>5.6000000000000005</v>
      </c>
      <c r="L1444" t="str">
        <f>TEXT(Pqp_supermarket_data[[#This Row],[DateTime]],"ddd")</f>
        <v>Fri</v>
      </c>
      <c r="M1444" t="str">
        <f>TEXT(Pqp_supermarket_data[[#This Row],[DateTime]],"mmm")</f>
        <v>Sep</v>
      </c>
      <c r="N1444" t="str">
        <f>TEXT(Pqp_supermarket_data[[#This Row],[DateTime]],"yyy")</f>
        <v>2023</v>
      </c>
    </row>
    <row r="1445" spans="1:14" x14ac:dyDescent="0.35">
      <c r="A1445" t="s">
        <v>3023</v>
      </c>
      <c r="B1445" s="1">
        <v>44520.582681203705</v>
      </c>
      <c r="C1445" t="s">
        <v>3024</v>
      </c>
      <c r="D1445" t="s">
        <v>98</v>
      </c>
      <c r="E1445" t="s">
        <v>49</v>
      </c>
      <c r="F1445">
        <v>7</v>
      </c>
      <c r="G1445">
        <v>3</v>
      </c>
      <c r="H1445" t="s">
        <v>14</v>
      </c>
      <c r="I1445" t="s">
        <v>36</v>
      </c>
      <c r="J1445" t="s">
        <v>323</v>
      </c>
      <c r="K1445">
        <f>Pqp_supermarket_data[[#This Row],[Unit_Price]]*Pqp_supermarket_data[[#This Row],[Quantity]]</f>
        <v>21</v>
      </c>
      <c r="L1445" t="str">
        <f>TEXT(Pqp_supermarket_data[[#This Row],[DateTime]],"ddd")</f>
        <v>Sat</v>
      </c>
      <c r="M1445" t="str">
        <f>TEXT(Pqp_supermarket_data[[#This Row],[DateTime]],"mmm")</f>
        <v>Nov</v>
      </c>
      <c r="N1445" t="str">
        <f>TEXT(Pqp_supermarket_data[[#This Row],[DateTime]],"yyy")</f>
        <v>2021</v>
      </c>
    </row>
    <row r="1446" spans="1:14" x14ac:dyDescent="0.35">
      <c r="A1446" t="s">
        <v>3025</v>
      </c>
      <c r="B1446" s="1">
        <v>45591.029208981483</v>
      </c>
      <c r="C1446" t="s">
        <v>3026</v>
      </c>
      <c r="D1446" t="s">
        <v>208</v>
      </c>
      <c r="E1446" t="s">
        <v>26</v>
      </c>
      <c r="F1446">
        <v>2.5</v>
      </c>
      <c r="G1446">
        <v>3</v>
      </c>
      <c r="H1446" t="s">
        <v>14</v>
      </c>
      <c r="I1446" t="s">
        <v>61</v>
      </c>
      <c r="J1446" t="s">
        <v>134</v>
      </c>
      <c r="K1446">
        <f>Pqp_supermarket_data[[#This Row],[Unit_Price]]*Pqp_supermarket_data[[#This Row],[Quantity]]</f>
        <v>7.5</v>
      </c>
      <c r="L1446" t="str">
        <f>TEXT(Pqp_supermarket_data[[#This Row],[DateTime]],"ddd")</f>
        <v>Sat</v>
      </c>
      <c r="M1446" t="str">
        <f>TEXT(Pqp_supermarket_data[[#This Row],[DateTime]],"mmm")</f>
        <v>Oct</v>
      </c>
      <c r="N1446" t="str">
        <f>TEXT(Pqp_supermarket_data[[#This Row],[DateTime]],"yyy")</f>
        <v>2024</v>
      </c>
    </row>
    <row r="1447" spans="1:14" x14ac:dyDescent="0.35">
      <c r="A1447" t="s">
        <v>3027</v>
      </c>
      <c r="B1447" s="1">
        <v>44685.155597870369</v>
      </c>
      <c r="C1447" t="s">
        <v>3028</v>
      </c>
      <c r="D1447" t="s">
        <v>19</v>
      </c>
      <c r="E1447" t="s">
        <v>65</v>
      </c>
      <c r="F1447">
        <v>3</v>
      </c>
      <c r="G1447">
        <v>4</v>
      </c>
      <c r="H1447" t="s">
        <v>14</v>
      </c>
      <c r="I1447" t="s">
        <v>86</v>
      </c>
      <c r="J1447" t="s">
        <v>404</v>
      </c>
      <c r="K1447">
        <f>Pqp_supermarket_data[[#This Row],[Unit_Price]]*Pqp_supermarket_data[[#This Row],[Quantity]]</f>
        <v>12</v>
      </c>
      <c r="L1447" t="str">
        <f>TEXT(Pqp_supermarket_data[[#This Row],[DateTime]],"ddd")</f>
        <v>Wed</v>
      </c>
      <c r="M1447" t="str">
        <f>TEXT(Pqp_supermarket_data[[#This Row],[DateTime]],"mmm")</f>
        <v>May</v>
      </c>
      <c r="N1447" t="str">
        <f>TEXT(Pqp_supermarket_data[[#This Row],[DateTime]],"yyy")</f>
        <v>2022</v>
      </c>
    </row>
    <row r="1448" spans="1:14" x14ac:dyDescent="0.35">
      <c r="A1448" t="s">
        <v>3029</v>
      </c>
      <c r="B1448" s="1">
        <v>44654.418792326389</v>
      </c>
      <c r="C1448" t="s">
        <v>3030</v>
      </c>
      <c r="D1448" t="s">
        <v>77</v>
      </c>
      <c r="E1448" t="s">
        <v>148</v>
      </c>
      <c r="F1448">
        <v>5.5</v>
      </c>
      <c r="G1448">
        <v>9</v>
      </c>
      <c r="H1448" t="s">
        <v>14</v>
      </c>
      <c r="I1448" t="s">
        <v>61</v>
      </c>
      <c r="J1448" t="s">
        <v>404</v>
      </c>
      <c r="K1448">
        <f>Pqp_supermarket_data[[#This Row],[Unit_Price]]*Pqp_supermarket_data[[#This Row],[Quantity]]</f>
        <v>49.5</v>
      </c>
      <c r="L1448" t="str">
        <f>TEXT(Pqp_supermarket_data[[#This Row],[DateTime]],"ddd")</f>
        <v>Sun</v>
      </c>
      <c r="M1448" t="str">
        <f>TEXT(Pqp_supermarket_data[[#This Row],[DateTime]],"mmm")</f>
        <v>Apr</v>
      </c>
      <c r="N1448" t="str">
        <f>TEXT(Pqp_supermarket_data[[#This Row],[DateTime]],"yyy")</f>
        <v>2022</v>
      </c>
    </row>
    <row r="1449" spans="1:14" x14ac:dyDescent="0.35">
      <c r="A1449" t="s">
        <v>3031</v>
      </c>
      <c r="B1449" s="1">
        <v>44863.340320115742</v>
      </c>
      <c r="C1449" t="s">
        <v>3032</v>
      </c>
      <c r="D1449" t="s">
        <v>25</v>
      </c>
      <c r="E1449" t="s">
        <v>90</v>
      </c>
      <c r="F1449">
        <v>1.8</v>
      </c>
      <c r="G1449">
        <v>1</v>
      </c>
      <c r="H1449" t="s">
        <v>14</v>
      </c>
      <c r="I1449" t="s">
        <v>86</v>
      </c>
      <c r="J1449" t="s">
        <v>27</v>
      </c>
      <c r="K1449">
        <f>Pqp_supermarket_data[[#This Row],[Unit_Price]]*Pqp_supermarket_data[[#This Row],[Quantity]]</f>
        <v>1.8</v>
      </c>
      <c r="L1449" t="str">
        <f>TEXT(Pqp_supermarket_data[[#This Row],[DateTime]],"ddd")</f>
        <v>Sat</v>
      </c>
      <c r="M1449" t="str">
        <f>TEXT(Pqp_supermarket_data[[#This Row],[DateTime]],"mmm")</f>
        <v>Oct</v>
      </c>
      <c r="N1449" t="str">
        <f>TEXT(Pqp_supermarket_data[[#This Row],[DateTime]],"yyy")</f>
        <v>2022</v>
      </c>
    </row>
    <row r="1450" spans="1:14" x14ac:dyDescent="0.35">
      <c r="A1450" t="s">
        <v>3033</v>
      </c>
      <c r="B1450" s="1">
        <v>45636.695875682868</v>
      </c>
      <c r="C1450" t="s">
        <v>3034</v>
      </c>
      <c r="D1450" t="s">
        <v>30</v>
      </c>
      <c r="E1450" t="s">
        <v>70</v>
      </c>
      <c r="F1450">
        <v>5</v>
      </c>
      <c r="G1450">
        <v>7</v>
      </c>
      <c r="H1450" t="s">
        <v>14</v>
      </c>
      <c r="I1450" t="s">
        <v>61</v>
      </c>
      <c r="J1450" t="s">
        <v>314</v>
      </c>
      <c r="K1450">
        <f>Pqp_supermarket_data[[#This Row],[Unit_Price]]*Pqp_supermarket_data[[#This Row],[Quantity]]</f>
        <v>35</v>
      </c>
      <c r="L1450" t="str">
        <f>TEXT(Pqp_supermarket_data[[#This Row],[DateTime]],"ddd")</f>
        <v>Tue</v>
      </c>
      <c r="M1450" t="str">
        <f>TEXT(Pqp_supermarket_data[[#This Row],[DateTime]],"mmm")</f>
        <v>Dec</v>
      </c>
      <c r="N1450" t="str">
        <f>TEXT(Pqp_supermarket_data[[#This Row],[DateTime]],"yyy")</f>
        <v>2024</v>
      </c>
    </row>
    <row r="1451" spans="1:14" x14ac:dyDescent="0.35">
      <c r="A1451" t="s">
        <v>3035</v>
      </c>
      <c r="B1451" s="1">
        <v>44969.292403472224</v>
      </c>
      <c r="C1451" t="s">
        <v>3036</v>
      </c>
      <c r="D1451" t="s">
        <v>208</v>
      </c>
      <c r="E1451" t="s">
        <v>35</v>
      </c>
      <c r="F1451">
        <v>1.2</v>
      </c>
      <c r="G1451">
        <v>5</v>
      </c>
      <c r="H1451" t="s">
        <v>14</v>
      </c>
      <c r="I1451" t="s">
        <v>40</v>
      </c>
      <c r="J1451" t="s">
        <v>54</v>
      </c>
      <c r="K1451">
        <f>Pqp_supermarket_data[[#This Row],[Unit_Price]]*Pqp_supermarket_data[[#This Row],[Quantity]]</f>
        <v>6</v>
      </c>
      <c r="L1451" t="str">
        <f>TEXT(Pqp_supermarket_data[[#This Row],[DateTime]],"ddd")</f>
        <v>Sun</v>
      </c>
      <c r="M1451" t="str">
        <f>TEXT(Pqp_supermarket_data[[#This Row],[DateTime]],"mmm")</f>
        <v>Feb</v>
      </c>
      <c r="N1451" t="str">
        <f>TEXT(Pqp_supermarket_data[[#This Row],[DateTime]],"yyy")</f>
        <v>2023</v>
      </c>
    </row>
    <row r="1452" spans="1:14" x14ac:dyDescent="0.35">
      <c r="A1452" t="s">
        <v>3037</v>
      </c>
      <c r="B1452" s="1">
        <v>45507.113931250002</v>
      </c>
      <c r="C1452" t="s">
        <v>3038</v>
      </c>
      <c r="D1452" t="s">
        <v>12</v>
      </c>
      <c r="E1452" t="s">
        <v>70</v>
      </c>
      <c r="F1452">
        <v>5</v>
      </c>
      <c r="G1452">
        <v>8</v>
      </c>
      <c r="H1452" t="s">
        <v>14</v>
      </c>
      <c r="I1452" t="s">
        <v>86</v>
      </c>
      <c r="J1452" t="s">
        <v>95</v>
      </c>
      <c r="K1452">
        <f>Pqp_supermarket_data[[#This Row],[Unit_Price]]*Pqp_supermarket_data[[#This Row],[Quantity]]</f>
        <v>40</v>
      </c>
      <c r="L1452" t="str">
        <f>TEXT(Pqp_supermarket_data[[#This Row],[DateTime]],"ddd")</f>
        <v>Sat</v>
      </c>
      <c r="M1452" t="str">
        <f>TEXT(Pqp_supermarket_data[[#This Row],[DateTime]],"mmm")</f>
        <v>Aug</v>
      </c>
      <c r="N1452" t="str">
        <f>TEXT(Pqp_supermarket_data[[#This Row],[DateTime]],"yyy")</f>
        <v>2024</v>
      </c>
    </row>
    <row r="1453" spans="1:14" x14ac:dyDescent="0.35">
      <c r="A1453" t="s">
        <v>3039</v>
      </c>
      <c r="B1453" s="1">
        <v>45616.822264594906</v>
      </c>
      <c r="C1453" t="s">
        <v>3040</v>
      </c>
      <c r="D1453" t="s">
        <v>25</v>
      </c>
      <c r="E1453" t="s">
        <v>70</v>
      </c>
      <c r="F1453">
        <v>5</v>
      </c>
      <c r="G1453">
        <v>3</v>
      </c>
      <c r="H1453" t="s">
        <v>14</v>
      </c>
      <c r="I1453" t="s">
        <v>86</v>
      </c>
      <c r="J1453" t="s">
        <v>339</v>
      </c>
      <c r="K1453">
        <f>Pqp_supermarket_data[[#This Row],[Unit_Price]]*Pqp_supermarket_data[[#This Row],[Quantity]]</f>
        <v>15</v>
      </c>
      <c r="L1453" t="str">
        <f>TEXT(Pqp_supermarket_data[[#This Row],[DateTime]],"ddd")</f>
        <v>Wed</v>
      </c>
      <c r="M1453" t="str">
        <f>TEXT(Pqp_supermarket_data[[#This Row],[DateTime]],"mmm")</f>
        <v>Nov</v>
      </c>
      <c r="N1453" t="str">
        <f>TEXT(Pqp_supermarket_data[[#This Row],[DateTime]],"yyy")</f>
        <v>2024</v>
      </c>
    </row>
    <row r="1454" spans="1:14" x14ac:dyDescent="0.35">
      <c r="A1454" t="s">
        <v>3041</v>
      </c>
      <c r="B1454" s="1">
        <v>45456.314625706022</v>
      </c>
      <c r="C1454" t="s">
        <v>3042</v>
      </c>
      <c r="D1454" t="s">
        <v>208</v>
      </c>
      <c r="E1454" t="s">
        <v>45</v>
      </c>
      <c r="F1454">
        <v>1</v>
      </c>
      <c r="G1454">
        <v>2</v>
      </c>
      <c r="H1454" t="s">
        <v>14</v>
      </c>
      <c r="I1454" t="s">
        <v>15</v>
      </c>
      <c r="J1454" t="s">
        <v>50</v>
      </c>
      <c r="K1454">
        <f>Pqp_supermarket_data[[#This Row],[Unit_Price]]*Pqp_supermarket_data[[#This Row],[Quantity]]</f>
        <v>2</v>
      </c>
      <c r="L1454" t="str">
        <f>TEXT(Pqp_supermarket_data[[#This Row],[DateTime]],"ddd")</f>
        <v>Thu</v>
      </c>
      <c r="M1454" t="str">
        <f>TEXT(Pqp_supermarket_data[[#This Row],[DateTime]],"mmm")</f>
        <v>Jun</v>
      </c>
      <c r="N1454" t="str">
        <f>TEXT(Pqp_supermarket_data[[#This Row],[DateTime]],"yyy")</f>
        <v>2024</v>
      </c>
    </row>
    <row r="1455" spans="1:14" x14ac:dyDescent="0.35">
      <c r="A1455" t="s">
        <v>3043</v>
      </c>
      <c r="B1455" s="1">
        <v>45531.818792372687</v>
      </c>
      <c r="C1455" t="s">
        <v>3044</v>
      </c>
      <c r="D1455" t="s">
        <v>82</v>
      </c>
      <c r="E1455" t="s">
        <v>94</v>
      </c>
      <c r="F1455">
        <v>0.8</v>
      </c>
      <c r="G1455">
        <v>2</v>
      </c>
      <c r="H1455" t="s">
        <v>14</v>
      </c>
      <c r="I1455" t="s">
        <v>36</v>
      </c>
      <c r="J1455" t="s">
        <v>302</v>
      </c>
      <c r="K1455">
        <f>Pqp_supermarket_data[[#This Row],[Unit_Price]]*Pqp_supermarket_data[[#This Row],[Quantity]]</f>
        <v>1.6</v>
      </c>
      <c r="L1455" t="str">
        <f>TEXT(Pqp_supermarket_data[[#This Row],[DateTime]],"ddd")</f>
        <v>Tue</v>
      </c>
      <c r="M1455" t="str">
        <f>TEXT(Pqp_supermarket_data[[#This Row],[DateTime]],"mmm")</f>
        <v>Aug</v>
      </c>
      <c r="N1455" t="str">
        <f>TEXT(Pqp_supermarket_data[[#This Row],[DateTime]],"yyy")</f>
        <v>2024</v>
      </c>
    </row>
    <row r="1456" spans="1:14" x14ac:dyDescent="0.35">
      <c r="A1456" t="s">
        <v>3045</v>
      </c>
      <c r="B1456" s="1">
        <v>45763.672959050928</v>
      </c>
      <c r="C1456" t="s">
        <v>3046</v>
      </c>
      <c r="D1456" t="s">
        <v>69</v>
      </c>
      <c r="E1456" t="s">
        <v>70</v>
      </c>
      <c r="F1456">
        <v>5</v>
      </c>
      <c r="G1456">
        <v>6</v>
      </c>
      <c r="H1456" t="s">
        <v>14</v>
      </c>
      <c r="I1456" t="s">
        <v>15</v>
      </c>
      <c r="J1456" t="s">
        <v>163</v>
      </c>
      <c r="K1456">
        <f>Pqp_supermarket_data[[#This Row],[Unit_Price]]*Pqp_supermarket_data[[#This Row],[Quantity]]</f>
        <v>30</v>
      </c>
      <c r="L1456" t="str">
        <f>TEXT(Pqp_supermarket_data[[#This Row],[DateTime]],"ddd")</f>
        <v>Wed</v>
      </c>
      <c r="M1456" t="str">
        <f>TEXT(Pqp_supermarket_data[[#This Row],[DateTime]],"mmm")</f>
        <v>Apr</v>
      </c>
      <c r="N1456" t="str">
        <f>TEXT(Pqp_supermarket_data[[#This Row],[DateTime]],"yyy")</f>
        <v>2025</v>
      </c>
    </row>
    <row r="1457" spans="1:14" x14ac:dyDescent="0.35">
      <c r="A1457" t="s">
        <v>3047</v>
      </c>
      <c r="B1457" s="1">
        <v>45715.66115349537</v>
      </c>
      <c r="C1457" t="s">
        <v>3048</v>
      </c>
      <c r="D1457" t="s">
        <v>25</v>
      </c>
      <c r="E1457" t="s">
        <v>70</v>
      </c>
      <c r="F1457">
        <v>5</v>
      </c>
      <c r="G1457">
        <v>1</v>
      </c>
      <c r="H1457" t="s">
        <v>14</v>
      </c>
      <c r="I1457" t="s">
        <v>36</v>
      </c>
      <c r="J1457" t="s">
        <v>128</v>
      </c>
      <c r="K1457">
        <f>Pqp_supermarket_data[[#This Row],[Unit_Price]]*Pqp_supermarket_data[[#This Row],[Quantity]]</f>
        <v>5</v>
      </c>
      <c r="L1457" t="str">
        <f>TEXT(Pqp_supermarket_data[[#This Row],[DateTime]],"ddd")</f>
        <v>Thu</v>
      </c>
      <c r="M1457" t="str">
        <f>TEXT(Pqp_supermarket_data[[#This Row],[DateTime]],"mmm")</f>
        <v>Feb</v>
      </c>
      <c r="N1457" t="str">
        <f>TEXT(Pqp_supermarket_data[[#This Row],[DateTime]],"yyy")</f>
        <v>2025</v>
      </c>
    </row>
    <row r="1458" spans="1:14" x14ac:dyDescent="0.35">
      <c r="A1458" t="s">
        <v>3049</v>
      </c>
      <c r="B1458" s="1">
        <v>44473.653514606478</v>
      </c>
      <c r="C1458" t="s">
        <v>3050</v>
      </c>
      <c r="D1458" t="s">
        <v>30</v>
      </c>
      <c r="E1458" t="s">
        <v>148</v>
      </c>
      <c r="F1458">
        <v>5.5</v>
      </c>
      <c r="G1458">
        <v>7</v>
      </c>
      <c r="H1458" t="s">
        <v>14</v>
      </c>
      <c r="I1458" t="s">
        <v>36</v>
      </c>
      <c r="J1458" t="s">
        <v>245</v>
      </c>
      <c r="K1458">
        <f>Pqp_supermarket_data[[#This Row],[Unit_Price]]*Pqp_supermarket_data[[#This Row],[Quantity]]</f>
        <v>38.5</v>
      </c>
      <c r="L1458" t="str">
        <f>TEXT(Pqp_supermarket_data[[#This Row],[DateTime]],"ddd")</f>
        <v>Mon</v>
      </c>
      <c r="M1458" t="str">
        <f>TEXT(Pqp_supermarket_data[[#This Row],[DateTime]],"mmm")</f>
        <v>Oct</v>
      </c>
      <c r="N1458" t="str">
        <f>TEXT(Pqp_supermarket_data[[#This Row],[DateTime]],"yyy")</f>
        <v>2021</v>
      </c>
    </row>
    <row r="1459" spans="1:14" x14ac:dyDescent="0.35">
      <c r="A1459" t="s">
        <v>3051</v>
      </c>
      <c r="B1459" s="1">
        <v>44877.491709062502</v>
      </c>
      <c r="C1459" t="s">
        <v>3052</v>
      </c>
      <c r="D1459" t="s">
        <v>208</v>
      </c>
      <c r="E1459" t="s">
        <v>137</v>
      </c>
      <c r="F1459">
        <v>2.5</v>
      </c>
      <c r="G1459">
        <v>7</v>
      </c>
      <c r="H1459" t="s">
        <v>14</v>
      </c>
      <c r="I1459" t="s">
        <v>15</v>
      </c>
      <c r="J1459" t="s">
        <v>623</v>
      </c>
      <c r="K1459">
        <f>Pqp_supermarket_data[[#This Row],[Unit_Price]]*Pqp_supermarket_data[[#This Row],[Quantity]]</f>
        <v>17.5</v>
      </c>
      <c r="L1459" t="str">
        <f>TEXT(Pqp_supermarket_data[[#This Row],[DateTime]],"ddd")</f>
        <v>Sat</v>
      </c>
      <c r="M1459" t="str">
        <f>TEXT(Pqp_supermarket_data[[#This Row],[DateTime]],"mmm")</f>
        <v>Nov</v>
      </c>
      <c r="N1459" t="str">
        <f>TEXT(Pqp_supermarket_data[[#This Row],[DateTime]],"yyy")</f>
        <v>2022</v>
      </c>
    </row>
    <row r="1460" spans="1:14" x14ac:dyDescent="0.35">
      <c r="A1460" t="s">
        <v>3053</v>
      </c>
      <c r="B1460" s="1">
        <v>45019.259764618058</v>
      </c>
      <c r="C1460" t="s">
        <v>779</v>
      </c>
      <c r="D1460" t="s">
        <v>77</v>
      </c>
      <c r="E1460" t="s">
        <v>35</v>
      </c>
      <c r="F1460">
        <v>1.2</v>
      </c>
      <c r="G1460">
        <v>7</v>
      </c>
      <c r="H1460" t="s">
        <v>14</v>
      </c>
      <c r="I1460" t="s">
        <v>40</v>
      </c>
      <c r="J1460" t="s">
        <v>99</v>
      </c>
      <c r="K1460">
        <f>Pqp_supermarket_data[[#This Row],[Unit_Price]]*Pqp_supermarket_data[[#This Row],[Quantity]]</f>
        <v>8.4</v>
      </c>
      <c r="L1460" t="str">
        <f>TEXT(Pqp_supermarket_data[[#This Row],[DateTime]],"ddd")</f>
        <v>Mon</v>
      </c>
      <c r="M1460" t="str">
        <f>TEXT(Pqp_supermarket_data[[#This Row],[DateTime]],"mmm")</f>
        <v>Apr</v>
      </c>
      <c r="N1460" t="str">
        <f>TEXT(Pqp_supermarket_data[[#This Row],[DateTime]],"yyy")</f>
        <v>2023</v>
      </c>
    </row>
    <row r="1461" spans="1:14" x14ac:dyDescent="0.35">
      <c r="A1461" t="s">
        <v>3054</v>
      </c>
      <c r="B1461" s="1">
        <v>45096.279903518516</v>
      </c>
      <c r="C1461" t="s">
        <v>3055</v>
      </c>
      <c r="D1461" t="s">
        <v>30</v>
      </c>
      <c r="E1461" t="s">
        <v>65</v>
      </c>
      <c r="F1461">
        <v>3</v>
      </c>
      <c r="G1461">
        <v>4</v>
      </c>
      <c r="H1461" t="s">
        <v>14</v>
      </c>
      <c r="I1461" t="s">
        <v>40</v>
      </c>
      <c r="J1461" t="s">
        <v>178</v>
      </c>
      <c r="K1461">
        <f>Pqp_supermarket_data[[#This Row],[Unit_Price]]*Pqp_supermarket_data[[#This Row],[Quantity]]</f>
        <v>12</v>
      </c>
      <c r="L1461" t="str">
        <f>TEXT(Pqp_supermarket_data[[#This Row],[DateTime]],"ddd")</f>
        <v>Mon</v>
      </c>
      <c r="M1461" t="str">
        <f>TEXT(Pqp_supermarket_data[[#This Row],[DateTime]],"mmm")</f>
        <v>Jun</v>
      </c>
      <c r="N1461" t="str">
        <f>TEXT(Pqp_supermarket_data[[#This Row],[DateTime]],"yyy")</f>
        <v>2023</v>
      </c>
    </row>
    <row r="1462" spans="1:14" x14ac:dyDescent="0.35">
      <c r="A1462" t="s">
        <v>3056</v>
      </c>
      <c r="B1462" s="1">
        <v>45442.594486875001</v>
      </c>
      <c r="C1462" t="s">
        <v>3057</v>
      </c>
      <c r="D1462" t="s">
        <v>208</v>
      </c>
      <c r="E1462" t="s">
        <v>145</v>
      </c>
      <c r="F1462">
        <v>1.7</v>
      </c>
      <c r="G1462">
        <v>9</v>
      </c>
      <c r="H1462" t="s">
        <v>14</v>
      </c>
      <c r="I1462" t="s">
        <v>40</v>
      </c>
      <c r="J1462" t="s">
        <v>394</v>
      </c>
      <c r="K1462">
        <f>Pqp_supermarket_data[[#This Row],[Unit_Price]]*Pqp_supermarket_data[[#This Row],[Quantity]]</f>
        <v>15.299999999999999</v>
      </c>
      <c r="L1462" t="str">
        <f>TEXT(Pqp_supermarket_data[[#This Row],[DateTime]],"ddd")</f>
        <v>Thu</v>
      </c>
      <c r="M1462" t="str">
        <f>TEXT(Pqp_supermarket_data[[#This Row],[DateTime]],"mmm")</f>
        <v>May</v>
      </c>
      <c r="N1462" t="str">
        <f>TEXT(Pqp_supermarket_data[[#This Row],[DateTime]],"yyy")</f>
        <v>2024</v>
      </c>
    </row>
    <row r="1463" spans="1:14" x14ac:dyDescent="0.35">
      <c r="A1463" t="s">
        <v>3058</v>
      </c>
      <c r="B1463" s="1">
        <v>45125.823653553241</v>
      </c>
      <c r="C1463" t="s">
        <v>3059</v>
      </c>
      <c r="D1463" t="s">
        <v>25</v>
      </c>
      <c r="E1463" t="s">
        <v>45</v>
      </c>
      <c r="F1463">
        <v>1</v>
      </c>
      <c r="G1463">
        <v>4</v>
      </c>
      <c r="H1463" t="s">
        <v>14</v>
      </c>
      <c r="I1463" t="s">
        <v>21</v>
      </c>
      <c r="J1463" t="s">
        <v>662</v>
      </c>
      <c r="K1463">
        <f>Pqp_supermarket_data[[#This Row],[Unit_Price]]*Pqp_supermarket_data[[#This Row],[Quantity]]</f>
        <v>4</v>
      </c>
      <c r="L1463" t="str">
        <f>TEXT(Pqp_supermarket_data[[#This Row],[DateTime]],"ddd")</f>
        <v>Tue</v>
      </c>
      <c r="M1463" t="str">
        <f>TEXT(Pqp_supermarket_data[[#This Row],[DateTime]],"mmm")</f>
        <v>Jul</v>
      </c>
      <c r="N1463" t="str">
        <f>TEXT(Pqp_supermarket_data[[#This Row],[DateTime]],"yyy")</f>
        <v>2023</v>
      </c>
    </row>
    <row r="1464" spans="1:14" x14ac:dyDescent="0.35">
      <c r="A1464" t="s">
        <v>3060</v>
      </c>
      <c r="B1464" s="1">
        <v>44910.425042453702</v>
      </c>
      <c r="C1464" t="s">
        <v>3061</v>
      </c>
      <c r="D1464" t="s">
        <v>25</v>
      </c>
      <c r="E1464" t="s">
        <v>148</v>
      </c>
      <c r="F1464">
        <v>5.5</v>
      </c>
      <c r="G1464">
        <v>6</v>
      </c>
      <c r="H1464" t="s">
        <v>14</v>
      </c>
      <c r="I1464" t="s">
        <v>61</v>
      </c>
      <c r="J1464" t="s">
        <v>218</v>
      </c>
      <c r="K1464">
        <f>Pqp_supermarket_data[[#This Row],[Unit_Price]]*Pqp_supermarket_data[[#This Row],[Quantity]]</f>
        <v>33</v>
      </c>
      <c r="L1464" t="str">
        <f>TEXT(Pqp_supermarket_data[[#This Row],[DateTime]],"ddd")</f>
        <v>Thu</v>
      </c>
      <c r="M1464" t="str">
        <f>TEXT(Pqp_supermarket_data[[#This Row],[DateTime]],"mmm")</f>
        <v>Dec</v>
      </c>
      <c r="N1464" t="str">
        <f>TEXT(Pqp_supermarket_data[[#This Row],[DateTime]],"yyy")</f>
        <v>2022</v>
      </c>
    </row>
    <row r="1465" spans="1:14" x14ac:dyDescent="0.35">
      <c r="A1465" t="s">
        <v>3062</v>
      </c>
      <c r="B1465" s="1">
        <v>45756.031292453707</v>
      </c>
      <c r="C1465" t="s">
        <v>3063</v>
      </c>
      <c r="D1465" t="s">
        <v>44</v>
      </c>
      <c r="E1465" t="s">
        <v>35</v>
      </c>
      <c r="F1465">
        <v>1.2</v>
      </c>
      <c r="G1465">
        <v>7</v>
      </c>
      <c r="H1465" t="s">
        <v>14</v>
      </c>
      <c r="I1465" t="s">
        <v>15</v>
      </c>
      <c r="J1465" t="s">
        <v>223</v>
      </c>
      <c r="K1465">
        <f>Pqp_supermarket_data[[#This Row],[Unit_Price]]*Pqp_supermarket_data[[#This Row],[Quantity]]</f>
        <v>8.4</v>
      </c>
      <c r="L1465" t="str">
        <f>TEXT(Pqp_supermarket_data[[#This Row],[DateTime]],"ddd")</f>
        <v>Wed</v>
      </c>
      <c r="M1465" t="str">
        <f>TEXT(Pqp_supermarket_data[[#This Row],[DateTime]],"mmm")</f>
        <v>Apr</v>
      </c>
      <c r="N1465" t="str">
        <f>TEXT(Pqp_supermarket_data[[#This Row],[DateTime]],"yyy")</f>
        <v>2025</v>
      </c>
    </row>
    <row r="1466" spans="1:14" x14ac:dyDescent="0.35">
      <c r="A1466" t="s">
        <v>3064</v>
      </c>
      <c r="B1466" s="1">
        <v>45336.4472646875</v>
      </c>
      <c r="C1466" t="s">
        <v>3065</v>
      </c>
      <c r="D1466" t="s">
        <v>34</v>
      </c>
      <c r="E1466" t="s">
        <v>13</v>
      </c>
      <c r="F1466">
        <v>3.1</v>
      </c>
      <c r="G1466">
        <v>10</v>
      </c>
      <c r="H1466" t="s">
        <v>14</v>
      </c>
      <c r="I1466" t="s">
        <v>61</v>
      </c>
      <c r="J1466" t="s">
        <v>436</v>
      </c>
      <c r="K1466">
        <f>Pqp_supermarket_data[[#This Row],[Unit_Price]]*Pqp_supermarket_data[[#This Row],[Quantity]]</f>
        <v>31</v>
      </c>
      <c r="L1466" t="str">
        <f>TEXT(Pqp_supermarket_data[[#This Row],[DateTime]],"ddd")</f>
        <v>Wed</v>
      </c>
      <c r="M1466" t="str">
        <f>TEXT(Pqp_supermarket_data[[#This Row],[DateTime]],"mmm")</f>
        <v>Feb</v>
      </c>
      <c r="N1466" t="str">
        <f>TEXT(Pqp_supermarket_data[[#This Row],[DateTime]],"yyy")</f>
        <v>2024</v>
      </c>
    </row>
    <row r="1467" spans="1:14" x14ac:dyDescent="0.35">
      <c r="A1467" t="s">
        <v>3066</v>
      </c>
      <c r="B1467" s="1">
        <v>45649.291709131947</v>
      </c>
      <c r="C1467" t="s">
        <v>3067</v>
      </c>
      <c r="D1467" t="s">
        <v>127</v>
      </c>
      <c r="E1467" t="s">
        <v>45</v>
      </c>
      <c r="F1467">
        <v>1</v>
      </c>
      <c r="G1467">
        <v>8</v>
      </c>
      <c r="H1467" t="s">
        <v>14</v>
      </c>
      <c r="I1467" t="s">
        <v>40</v>
      </c>
      <c r="J1467" t="s">
        <v>541</v>
      </c>
      <c r="K1467">
        <f>Pqp_supermarket_data[[#This Row],[Unit_Price]]*Pqp_supermarket_data[[#This Row],[Quantity]]</f>
        <v>8</v>
      </c>
      <c r="L1467" t="str">
        <f>TEXT(Pqp_supermarket_data[[#This Row],[DateTime]],"ddd")</f>
        <v>Mon</v>
      </c>
      <c r="M1467" t="str">
        <f>TEXT(Pqp_supermarket_data[[#This Row],[DateTime]],"mmm")</f>
        <v>Dec</v>
      </c>
      <c r="N1467" t="str">
        <f>TEXT(Pqp_supermarket_data[[#This Row],[DateTime]],"yyy")</f>
        <v>2024</v>
      </c>
    </row>
    <row r="1468" spans="1:14" x14ac:dyDescent="0.35">
      <c r="A1468" t="s">
        <v>3068</v>
      </c>
      <c r="B1468" s="1">
        <v>44687.802820243058</v>
      </c>
      <c r="C1468" t="s">
        <v>3069</v>
      </c>
      <c r="D1468" t="s">
        <v>127</v>
      </c>
      <c r="E1468" t="s">
        <v>148</v>
      </c>
      <c r="F1468">
        <v>5.5</v>
      </c>
      <c r="G1468">
        <v>10</v>
      </c>
      <c r="H1468" t="s">
        <v>14</v>
      </c>
      <c r="I1468" t="s">
        <v>61</v>
      </c>
      <c r="J1468" t="s">
        <v>134</v>
      </c>
      <c r="K1468">
        <f>Pqp_supermarket_data[[#This Row],[Unit_Price]]*Pqp_supermarket_data[[#This Row],[Quantity]]</f>
        <v>55</v>
      </c>
      <c r="L1468" t="str">
        <f>TEXT(Pqp_supermarket_data[[#This Row],[DateTime]],"ddd")</f>
        <v>Fri</v>
      </c>
      <c r="M1468" t="str">
        <f>TEXT(Pqp_supermarket_data[[#This Row],[DateTime]],"mmm")</f>
        <v>May</v>
      </c>
      <c r="N1468" t="str">
        <f>TEXT(Pqp_supermarket_data[[#This Row],[DateTime]],"yyy")</f>
        <v>2022</v>
      </c>
    </row>
    <row r="1469" spans="1:14" x14ac:dyDescent="0.35">
      <c r="A1469" t="s">
        <v>3070</v>
      </c>
      <c r="B1469" s="1">
        <v>44360.029903599534</v>
      </c>
      <c r="C1469" t="s">
        <v>3071</v>
      </c>
      <c r="D1469" t="s">
        <v>19</v>
      </c>
      <c r="E1469" t="s">
        <v>111</v>
      </c>
      <c r="F1469">
        <v>2.2000000000000002</v>
      </c>
      <c r="G1469">
        <v>6</v>
      </c>
      <c r="H1469" t="s">
        <v>14</v>
      </c>
      <c r="I1469" t="s">
        <v>15</v>
      </c>
      <c r="J1469" t="s">
        <v>71</v>
      </c>
      <c r="K1469">
        <f>Pqp_supermarket_data[[#This Row],[Unit_Price]]*Pqp_supermarket_data[[#This Row],[Quantity]]</f>
        <v>13.200000000000001</v>
      </c>
      <c r="L1469" t="str">
        <f>TEXT(Pqp_supermarket_data[[#This Row],[DateTime]],"ddd")</f>
        <v>Sun</v>
      </c>
      <c r="M1469" t="str">
        <f>TEXT(Pqp_supermarket_data[[#This Row],[DateTime]],"mmm")</f>
        <v>Jun</v>
      </c>
      <c r="N1469" t="str">
        <f>TEXT(Pqp_supermarket_data[[#This Row],[DateTime]],"yyy")</f>
        <v>2021</v>
      </c>
    </row>
    <row r="1470" spans="1:14" x14ac:dyDescent="0.35">
      <c r="A1470" t="s">
        <v>3072</v>
      </c>
      <c r="B1470" s="1">
        <v>44378.105598043985</v>
      </c>
      <c r="C1470" t="s">
        <v>3073</v>
      </c>
      <c r="D1470" t="s">
        <v>30</v>
      </c>
      <c r="E1470" t="s">
        <v>115</v>
      </c>
      <c r="F1470">
        <v>1.5</v>
      </c>
      <c r="G1470">
        <v>2</v>
      </c>
      <c r="H1470" t="s">
        <v>14</v>
      </c>
      <c r="I1470" t="s">
        <v>61</v>
      </c>
      <c r="J1470" t="s">
        <v>397</v>
      </c>
      <c r="K1470">
        <f>Pqp_supermarket_data[[#This Row],[Unit_Price]]*Pqp_supermarket_data[[#This Row],[Quantity]]</f>
        <v>3</v>
      </c>
      <c r="L1470" t="str">
        <f>TEXT(Pqp_supermarket_data[[#This Row],[DateTime]],"ddd")</f>
        <v>Thu</v>
      </c>
      <c r="M1470" t="str">
        <f>TEXT(Pqp_supermarket_data[[#This Row],[DateTime]],"mmm")</f>
        <v>Jul</v>
      </c>
      <c r="N1470" t="str">
        <f>TEXT(Pqp_supermarket_data[[#This Row],[DateTime]],"yyy")</f>
        <v>2021</v>
      </c>
    </row>
    <row r="1471" spans="1:14" x14ac:dyDescent="0.35">
      <c r="A1471" t="s">
        <v>3074</v>
      </c>
      <c r="B1471" s="1">
        <v>44539.790320277774</v>
      </c>
      <c r="C1471" t="s">
        <v>3075</v>
      </c>
      <c r="D1471" t="s">
        <v>82</v>
      </c>
      <c r="E1471" t="s">
        <v>90</v>
      </c>
      <c r="F1471">
        <v>1.8</v>
      </c>
      <c r="G1471">
        <v>4</v>
      </c>
      <c r="H1471" t="s">
        <v>14</v>
      </c>
      <c r="I1471" t="s">
        <v>21</v>
      </c>
      <c r="J1471" t="s">
        <v>131</v>
      </c>
      <c r="K1471">
        <f>Pqp_supermarket_data[[#This Row],[Unit_Price]]*Pqp_supermarket_data[[#This Row],[Quantity]]</f>
        <v>7.2</v>
      </c>
      <c r="L1471" t="str">
        <f>TEXT(Pqp_supermarket_data[[#This Row],[DateTime]],"ddd")</f>
        <v>Thu</v>
      </c>
      <c r="M1471" t="str">
        <f>TEXT(Pqp_supermarket_data[[#This Row],[DateTime]],"mmm")</f>
        <v>Dec</v>
      </c>
      <c r="N1471" t="str">
        <f>TEXT(Pqp_supermarket_data[[#This Row],[DateTime]],"yyy")</f>
        <v>2021</v>
      </c>
    </row>
    <row r="1472" spans="1:14" x14ac:dyDescent="0.35">
      <c r="A1472" t="s">
        <v>3076</v>
      </c>
      <c r="B1472" s="1">
        <v>44343.550042499999</v>
      </c>
      <c r="C1472" t="s">
        <v>3077</v>
      </c>
      <c r="D1472" t="s">
        <v>208</v>
      </c>
      <c r="E1472" t="s">
        <v>45</v>
      </c>
      <c r="F1472">
        <v>1</v>
      </c>
      <c r="G1472">
        <v>2</v>
      </c>
      <c r="H1472" t="s">
        <v>14</v>
      </c>
      <c r="I1472" t="s">
        <v>61</v>
      </c>
      <c r="J1472" t="s">
        <v>461</v>
      </c>
      <c r="K1472">
        <f>Pqp_supermarket_data[[#This Row],[Unit_Price]]*Pqp_supermarket_data[[#This Row],[Quantity]]</f>
        <v>2</v>
      </c>
      <c r="L1472" t="str">
        <f>TEXT(Pqp_supermarket_data[[#This Row],[DateTime]],"ddd")</f>
        <v>Thu</v>
      </c>
      <c r="M1472" t="str">
        <f>TEXT(Pqp_supermarket_data[[#This Row],[DateTime]],"mmm")</f>
        <v>May</v>
      </c>
      <c r="N1472" t="str">
        <f>TEXT(Pqp_supermarket_data[[#This Row],[DateTime]],"yyy")</f>
        <v>2021</v>
      </c>
    </row>
    <row r="1473" spans="1:14" x14ac:dyDescent="0.35">
      <c r="A1473" t="s">
        <v>3078</v>
      </c>
      <c r="B1473" s="1">
        <v>44909.241014733794</v>
      </c>
      <c r="C1473" t="s">
        <v>3079</v>
      </c>
      <c r="D1473" t="s">
        <v>77</v>
      </c>
      <c r="E1473" t="s">
        <v>137</v>
      </c>
      <c r="F1473">
        <v>2.5</v>
      </c>
      <c r="G1473">
        <v>3</v>
      </c>
      <c r="H1473" t="s">
        <v>14</v>
      </c>
      <c r="I1473" t="s">
        <v>61</v>
      </c>
      <c r="J1473" t="s">
        <v>336</v>
      </c>
      <c r="K1473">
        <f>Pqp_supermarket_data[[#This Row],[Unit_Price]]*Pqp_supermarket_data[[#This Row],[Quantity]]</f>
        <v>7.5</v>
      </c>
      <c r="L1473" t="str">
        <f>TEXT(Pqp_supermarket_data[[#This Row],[DateTime]],"ddd")</f>
        <v>Wed</v>
      </c>
      <c r="M1473" t="str">
        <f>TEXT(Pqp_supermarket_data[[#This Row],[DateTime]],"mmm")</f>
        <v>Dec</v>
      </c>
      <c r="N1473" t="str">
        <f>TEXT(Pqp_supermarket_data[[#This Row],[DateTime]],"yyy")</f>
        <v>2022</v>
      </c>
    </row>
    <row r="1474" spans="1:14" x14ac:dyDescent="0.35">
      <c r="A1474" t="s">
        <v>3080</v>
      </c>
      <c r="B1474" s="1">
        <v>45179.303514756946</v>
      </c>
      <c r="C1474" t="s">
        <v>3081</v>
      </c>
      <c r="D1474" t="s">
        <v>82</v>
      </c>
      <c r="E1474" t="s">
        <v>78</v>
      </c>
      <c r="F1474">
        <v>4</v>
      </c>
      <c r="G1474">
        <v>1</v>
      </c>
      <c r="H1474" t="s">
        <v>14</v>
      </c>
      <c r="I1474" t="s">
        <v>15</v>
      </c>
      <c r="J1474" t="s">
        <v>105</v>
      </c>
      <c r="K1474">
        <f>Pqp_supermarket_data[[#This Row],[Unit_Price]]*Pqp_supermarket_data[[#This Row],[Quantity]]</f>
        <v>4</v>
      </c>
      <c r="L1474" t="str">
        <f>TEXT(Pqp_supermarket_data[[#This Row],[DateTime]],"ddd")</f>
        <v>Sun</v>
      </c>
      <c r="M1474" t="str">
        <f>TEXT(Pqp_supermarket_data[[#This Row],[DateTime]],"mmm")</f>
        <v>Sep</v>
      </c>
      <c r="N1474" t="str">
        <f>TEXT(Pqp_supermarket_data[[#This Row],[DateTime]],"yyy")</f>
        <v>2023</v>
      </c>
    </row>
    <row r="1475" spans="1:14" x14ac:dyDescent="0.35">
      <c r="A1475" t="s">
        <v>3082</v>
      </c>
      <c r="B1475" s="1">
        <v>44561.943792546299</v>
      </c>
      <c r="C1475" t="s">
        <v>3083</v>
      </c>
      <c r="D1475" t="s">
        <v>19</v>
      </c>
      <c r="E1475" t="s">
        <v>39</v>
      </c>
      <c r="F1475">
        <v>3.2</v>
      </c>
      <c r="G1475">
        <v>3</v>
      </c>
      <c r="H1475" t="s">
        <v>14</v>
      </c>
      <c r="I1475" t="s">
        <v>61</v>
      </c>
      <c r="J1475" t="s">
        <v>79</v>
      </c>
      <c r="K1475">
        <f>Pqp_supermarket_data[[#This Row],[Unit_Price]]*Pqp_supermarket_data[[#This Row],[Quantity]]</f>
        <v>9.6000000000000014</v>
      </c>
      <c r="L1475" t="str">
        <f>TEXT(Pqp_supermarket_data[[#This Row],[DateTime]],"ddd")</f>
        <v>Fri</v>
      </c>
      <c r="M1475" t="str">
        <f>TEXT(Pqp_supermarket_data[[#This Row],[DateTime]],"mmm")</f>
        <v>Dec</v>
      </c>
      <c r="N1475" t="str">
        <f>TEXT(Pqp_supermarket_data[[#This Row],[DateTime]],"yyy")</f>
        <v>2021</v>
      </c>
    </row>
    <row r="1476" spans="1:14" x14ac:dyDescent="0.35">
      <c r="A1476" t="s">
        <v>3084</v>
      </c>
      <c r="B1476" s="1">
        <v>44468.495181435188</v>
      </c>
      <c r="C1476" t="s">
        <v>3085</v>
      </c>
      <c r="D1476" t="s">
        <v>226</v>
      </c>
      <c r="E1476" t="s">
        <v>145</v>
      </c>
      <c r="F1476">
        <v>1.7</v>
      </c>
      <c r="G1476">
        <v>5</v>
      </c>
      <c r="H1476" t="s">
        <v>14</v>
      </c>
      <c r="I1476" t="s">
        <v>40</v>
      </c>
      <c r="J1476" t="s">
        <v>496</v>
      </c>
      <c r="K1476">
        <f>Pqp_supermarket_data[[#This Row],[Unit_Price]]*Pqp_supermarket_data[[#This Row],[Quantity]]</f>
        <v>8.5</v>
      </c>
      <c r="L1476" t="str">
        <f>TEXT(Pqp_supermarket_data[[#This Row],[DateTime]],"ddd")</f>
        <v>Wed</v>
      </c>
      <c r="M1476" t="str">
        <f>TEXT(Pqp_supermarket_data[[#This Row],[DateTime]],"mmm")</f>
        <v>Sep</v>
      </c>
      <c r="N1476" t="str">
        <f>TEXT(Pqp_supermarket_data[[#This Row],[DateTime]],"yyy")</f>
        <v>2021</v>
      </c>
    </row>
    <row r="1477" spans="1:14" x14ac:dyDescent="0.35">
      <c r="A1477" t="s">
        <v>3086</v>
      </c>
      <c r="B1477" s="1">
        <v>45108.132681446761</v>
      </c>
      <c r="C1477" t="s">
        <v>3087</v>
      </c>
      <c r="D1477" t="s">
        <v>25</v>
      </c>
      <c r="E1477" t="s">
        <v>20</v>
      </c>
      <c r="F1477">
        <v>1</v>
      </c>
      <c r="G1477">
        <v>1</v>
      </c>
      <c r="H1477" t="s">
        <v>14</v>
      </c>
      <c r="I1477" t="s">
        <v>36</v>
      </c>
      <c r="J1477" t="s">
        <v>623</v>
      </c>
      <c r="K1477">
        <f>Pqp_supermarket_data[[#This Row],[Unit_Price]]*Pqp_supermarket_data[[#This Row],[Quantity]]</f>
        <v>1</v>
      </c>
      <c r="L1477" t="str">
        <f>TEXT(Pqp_supermarket_data[[#This Row],[DateTime]],"ddd")</f>
        <v>Sat</v>
      </c>
      <c r="M1477" t="str">
        <f>TEXT(Pqp_supermarket_data[[#This Row],[DateTime]],"mmm")</f>
        <v>Jul</v>
      </c>
      <c r="N1477" t="str">
        <f>TEXT(Pqp_supermarket_data[[#This Row],[DateTime]],"yyy")</f>
        <v>2023</v>
      </c>
    </row>
    <row r="1478" spans="1:14" x14ac:dyDescent="0.35">
      <c r="A1478" t="s">
        <v>3088</v>
      </c>
      <c r="B1478" s="1">
        <v>44378.611153668979</v>
      </c>
      <c r="C1478" t="s">
        <v>3089</v>
      </c>
      <c r="D1478" t="s">
        <v>25</v>
      </c>
      <c r="E1478" t="s">
        <v>45</v>
      </c>
      <c r="F1478">
        <v>1</v>
      </c>
      <c r="G1478">
        <v>7</v>
      </c>
      <c r="H1478" t="s">
        <v>14</v>
      </c>
      <c r="I1478" t="s">
        <v>21</v>
      </c>
      <c r="J1478" t="s">
        <v>394</v>
      </c>
      <c r="K1478">
        <f>Pqp_supermarket_data[[#This Row],[Unit_Price]]*Pqp_supermarket_data[[#This Row],[Quantity]]</f>
        <v>7</v>
      </c>
      <c r="L1478" t="str">
        <f>TEXT(Pqp_supermarket_data[[#This Row],[DateTime]],"ddd")</f>
        <v>Thu</v>
      </c>
      <c r="M1478" t="str">
        <f>TEXT(Pqp_supermarket_data[[#This Row],[DateTime]],"mmm")</f>
        <v>Jul</v>
      </c>
      <c r="N1478" t="str">
        <f>TEXT(Pqp_supermarket_data[[#This Row],[DateTime]],"yyy")</f>
        <v>2021</v>
      </c>
    </row>
    <row r="1479" spans="1:14" x14ac:dyDescent="0.35">
      <c r="A1479" t="s">
        <v>3090</v>
      </c>
      <c r="B1479" s="1">
        <v>45410.94865366898</v>
      </c>
      <c r="C1479" t="s">
        <v>3091</v>
      </c>
      <c r="D1479" t="s">
        <v>208</v>
      </c>
      <c r="E1479" t="s">
        <v>65</v>
      </c>
      <c r="F1479">
        <v>3</v>
      </c>
      <c r="G1479">
        <v>8</v>
      </c>
      <c r="H1479" t="s">
        <v>14</v>
      </c>
      <c r="I1479" t="s">
        <v>40</v>
      </c>
      <c r="J1479" t="s">
        <v>248</v>
      </c>
      <c r="K1479">
        <f>Pqp_supermarket_data[[#This Row],[Unit_Price]]*Pqp_supermarket_data[[#This Row],[Quantity]]</f>
        <v>24</v>
      </c>
      <c r="L1479" t="str">
        <f>TEXT(Pqp_supermarket_data[[#This Row],[DateTime]],"ddd")</f>
        <v>Sun</v>
      </c>
      <c r="M1479" t="str">
        <f>TEXT(Pqp_supermarket_data[[#This Row],[DateTime]],"mmm")</f>
        <v>Apr</v>
      </c>
      <c r="N1479" t="str">
        <f>TEXT(Pqp_supermarket_data[[#This Row],[DateTime]],"yyy")</f>
        <v>2024</v>
      </c>
    </row>
    <row r="1480" spans="1:14" x14ac:dyDescent="0.35">
      <c r="A1480" t="s">
        <v>3092</v>
      </c>
      <c r="B1480" s="1">
        <v>45679.720181446763</v>
      </c>
      <c r="C1480" t="s">
        <v>3093</v>
      </c>
      <c r="D1480" t="s">
        <v>25</v>
      </c>
      <c r="E1480" t="s">
        <v>111</v>
      </c>
      <c r="F1480">
        <v>2.2000000000000002</v>
      </c>
      <c r="G1480">
        <v>2</v>
      </c>
      <c r="H1480" t="s">
        <v>14</v>
      </c>
      <c r="I1480" t="s">
        <v>15</v>
      </c>
      <c r="J1480" t="s">
        <v>131</v>
      </c>
      <c r="K1480">
        <f>Pqp_supermarket_data[[#This Row],[Unit_Price]]*Pqp_supermarket_data[[#This Row],[Quantity]]</f>
        <v>4.4000000000000004</v>
      </c>
      <c r="L1480" t="str">
        <f>TEXT(Pqp_supermarket_data[[#This Row],[DateTime]],"ddd")</f>
        <v>Wed</v>
      </c>
      <c r="M1480" t="str">
        <f>TEXT(Pqp_supermarket_data[[#This Row],[DateTime]],"mmm")</f>
        <v>Jan</v>
      </c>
      <c r="N1480" t="str">
        <f>TEXT(Pqp_supermarket_data[[#This Row],[DateTime]],"yyy")</f>
        <v>2025</v>
      </c>
    </row>
    <row r="1481" spans="1:14" x14ac:dyDescent="0.35">
      <c r="A1481" t="s">
        <v>3094</v>
      </c>
      <c r="B1481" s="1">
        <v>44662.299348125001</v>
      </c>
      <c r="C1481" t="s">
        <v>3095</v>
      </c>
      <c r="D1481" t="s">
        <v>85</v>
      </c>
      <c r="E1481" t="s">
        <v>65</v>
      </c>
      <c r="F1481">
        <v>3</v>
      </c>
      <c r="G1481">
        <v>7</v>
      </c>
      <c r="H1481" t="s">
        <v>14</v>
      </c>
      <c r="I1481" t="s">
        <v>36</v>
      </c>
      <c r="J1481" t="s">
        <v>311</v>
      </c>
      <c r="K1481">
        <f>Pqp_supermarket_data[[#This Row],[Unit_Price]]*Pqp_supermarket_data[[#This Row],[Quantity]]</f>
        <v>21</v>
      </c>
      <c r="L1481" t="str">
        <f>TEXT(Pqp_supermarket_data[[#This Row],[DateTime]],"ddd")</f>
        <v>Mon</v>
      </c>
      <c r="M1481" t="str">
        <f>TEXT(Pqp_supermarket_data[[#This Row],[DateTime]],"mmm")</f>
        <v>Apr</v>
      </c>
      <c r="N1481" t="str">
        <f>TEXT(Pqp_supermarket_data[[#This Row],[DateTime]],"yyy")</f>
        <v>2022</v>
      </c>
    </row>
    <row r="1482" spans="1:14" x14ac:dyDescent="0.35">
      <c r="A1482" t="s">
        <v>3096</v>
      </c>
      <c r="B1482" s="1">
        <v>45149.31948701389</v>
      </c>
      <c r="C1482" t="s">
        <v>3097</v>
      </c>
      <c r="D1482" t="s">
        <v>25</v>
      </c>
      <c r="E1482" t="s">
        <v>26</v>
      </c>
      <c r="F1482">
        <v>2.5</v>
      </c>
      <c r="G1482">
        <v>7</v>
      </c>
      <c r="H1482" t="s">
        <v>14</v>
      </c>
      <c r="I1482" t="s">
        <v>15</v>
      </c>
      <c r="J1482" t="s">
        <v>538</v>
      </c>
      <c r="K1482">
        <f>Pqp_supermarket_data[[#This Row],[Unit_Price]]*Pqp_supermarket_data[[#This Row],[Quantity]]</f>
        <v>17.5</v>
      </c>
      <c r="L1482" t="str">
        <f>TEXT(Pqp_supermarket_data[[#This Row],[DateTime]],"ddd")</f>
        <v>Fri</v>
      </c>
      <c r="M1482" t="str">
        <f>TEXT(Pqp_supermarket_data[[#This Row],[DateTime]],"mmm")</f>
        <v>Aug</v>
      </c>
      <c r="N1482" t="str">
        <f>TEXT(Pqp_supermarket_data[[#This Row],[DateTime]],"yyy")</f>
        <v>2023</v>
      </c>
    </row>
    <row r="1483" spans="1:14" x14ac:dyDescent="0.35">
      <c r="A1483" t="s">
        <v>3098</v>
      </c>
      <c r="B1483" s="1">
        <v>45277.172264803237</v>
      </c>
      <c r="C1483" t="s">
        <v>3099</v>
      </c>
      <c r="D1483" t="s">
        <v>171</v>
      </c>
      <c r="E1483" t="s">
        <v>70</v>
      </c>
      <c r="F1483">
        <v>5</v>
      </c>
      <c r="G1483">
        <v>4</v>
      </c>
      <c r="H1483" t="s">
        <v>14</v>
      </c>
      <c r="I1483" t="s">
        <v>61</v>
      </c>
      <c r="J1483" t="s">
        <v>470</v>
      </c>
      <c r="K1483">
        <f>Pqp_supermarket_data[[#This Row],[Unit_Price]]*Pqp_supermarket_data[[#This Row],[Quantity]]</f>
        <v>20</v>
      </c>
      <c r="L1483" t="str">
        <f>TEXT(Pqp_supermarket_data[[#This Row],[DateTime]],"ddd")</f>
        <v>Sun</v>
      </c>
      <c r="M1483" t="str">
        <f>TEXT(Pqp_supermarket_data[[#This Row],[DateTime]],"mmm")</f>
        <v>Dec</v>
      </c>
      <c r="N1483" t="str">
        <f>TEXT(Pqp_supermarket_data[[#This Row],[DateTime]],"yyy")</f>
        <v>2023</v>
      </c>
    </row>
    <row r="1484" spans="1:14" x14ac:dyDescent="0.35">
      <c r="A1484" t="s">
        <v>3100</v>
      </c>
      <c r="B1484" s="1">
        <v>45623.084070370373</v>
      </c>
      <c r="C1484" t="s">
        <v>3101</v>
      </c>
      <c r="D1484" t="s">
        <v>82</v>
      </c>
      <c r="E1484" t="s">
        <v>94</v>
      </c>
      <c r="F1484">
        <v>0.8</v>
      </c>
      <c r="G1484">
        <v>8</v>
      </c>
      <c r="H1484" t="s">
        <v>14</v>
      </c>
      <c r="I1484" t="s">
        <v>86</v>
      </c>
      <c r="J1484" t="s">
        <v>22</v>
      </c>
      <c r="K1484">
        <f>Pqp_supermarket_data[[#This Row],[Unit_Price]]*Pqp_supermarket_data[[#This Row],[Quantity]]</f>
        <v>6.4</v>
      </c>
      <c r="L1484" t="str">
        <f>TEXT(Pqp_supermarket_data[[#This Row],[DateTime]],"ddd")</f>
        <v>Wed</v>
      </c>
      <c r="M1484" t="str">
        <f>TEXT(Pqp_supermarket_data[[#This Row],[DateTime]],"mmm")</f>
        <v>Nov</v>
      </c>
      <c r="N1484" t="str">
        <f>TEXT(Pqp_supermarket_data[[#This Row],[DateTime]],"yyy")</f>
        <v>2024</v>
      </c>
    </row>
    <row r="1485" spans="1:14" x14ac:dyDescent="0.35">
      <c r="A1485" t="s">
        <v>3102</v>
      </c>
      <c r="B1485" s="1">
        <v>44751.73545925926</v>
      </c>
      <c r="C1485" t="s">
        <v>3103</v>
      </c>
      <c r="D1485" t="s">
        <v>82</v>
      </c>
      <c r="E1485" t="s">
        <v>111</v>
      </c>
      <c r="F1485">
        <v>2.2000000000000002</v>
      </c>
      <c r="G1485">
        <v>8</v>
      </c>
      <c r="H1485" t="s">
        <v>14</v>
      </c>
      <c r="I1485" t="s">
        <v>40</v>
      </c>
      <c r="J1485" t="s">
        <v>302</v>
      </c>
      <c r="K1485">
        <f>Pqp_supermarket_data[[#This Row],[Unit_Price]]*Pqp_supermarket_data[[#This Row],[Quantity]]</f>
        <v>17.600000000000001</v>
      </c>
      <c r="L1485" t="str">
        <f>TEXT(Pqp_supermarket_data[[#This Row],[DateTime]],"ddd")</f>
        <v>Sat</v>
      </c>
      <c r="M1485" t="str">
        <f>TEXT(Pqp_supermarket_data[[#This Row],[DateTime]],"mmm")</f>
        <v>Jul</v>
      </c>
      <c r="N1485" t="str">
        <f>TEXT(Pqp_supermarket_data[[#This Row],[DateTime]],"yyy")</f>
        <v>2022</v>
      </c>
    </row>
    <row r="1486" spans="1:14" x14ac:dyDescent="0.35">
      <c r="A1486" t="s">
        <v>3104</v>
      </c>
      <c r="B1486" s="1">
        <v>45004.980598159724</v>
      </c>
      <c r="C1486" t="s">
        <v>3105</v>
      </c>
      <c r="D1486" t="s">
        <v>77</v>
      </c>
      <c r="E1486" t="s">
        <v>57</v>
      </c>
      <c r="F1486">
        <v>4.5</v>
      </c>
      <c r="G1486">
        <v>10</v>
      </c>
      <c r="H1486" t="s">
        <v>14</v>
      </c>
      <c r="I1486" t="s">
        <v>21</v>
      </c>
      <c r="J1486" t="s">
        <v>744</v>
      </c>
      <c r="K1486">
        <f>Pqp_supermarket_data[[#This Row],[Unit_Price]]*Pqp_supermarket_data[[#This Row],[Quantity]]</f>
        <v>45</v>
      </c>
      <c r="L1486" t="str">
        <f>TEXT(Pqp_supermarket_data[[#This Row],[DateTime]],"ddd")</f>
        <v>Sun</v>
      </c>
      <c r="M1486" t="str">
        <f>TEXT(Pqp_supermarket_data[[#This Row],[DateTime]],"mmm")</f>
        <v>Mar</v>
      </c>
      <c r="N1486" t="str">
        <f>TEXT(Pqp_supermarket_data[[#This Row],[DateTime]],"yyy")</f>
        <v>2023</v>
      </c>
    </row>
    <row r="1487" spans="1:14" x14ac:dyDescent="0.35">
      <c r="A1487" t="s">
        <v>3106</v>
      </c>
      <c r="B1487" s="1">
        <v>44653.593792615742</v>
      </c>
      <c r="C1487" t="s">
        <v>3107</v>
      </c>
      <c r="D1487" t="s">
        <v>127</v>
      </c>
      <c r="E1487" t="s">
        <v>49</v>
      </c>
      <c r="F1487">
        <v>7</v>
      </c>
      <c r="G1487">
        <v>8</v>
      </c>
      <c r="H1487" t="s">
        <v>14</v>
      </c>
      <c r="I1487" t="s">
        <v>61</v>
      </c>
      <c r="J1487" t="s">
        <v>223</v>
      </c>
      <c r="K1487">
        <f>Pqp_supermarket_data[[#This Row],[Unit_Price]]*Pqp_supermarket_data[[#This Row],[Quantity]]</f>
        <v>56</v>
      </c>
      <c r="L1487" t="str">
        <f>TEXT(Pqp_supermarket_data[[#This Row],[DateTime]],"ddd")</f>
        <v>Sat</v>
      </c>
      <c r="M1487" t="str">
        <f>TEXT(Pqp_supermarket_data[[#This Row],[DateTime]],"mmm")</f>
        <v>Apr</v>
      </c>
      <c r="N1487" t="str">
        <f>TEXT(Pqp_supermarket_data[[#This Row],[DateTime]],"yyy")</f>
        <v>2022</v>
      </c>
    </row>
    <row r="1488" spans="1:14" x14ac:dyDescent="0.35">
      <c r="A1488" t="s">
        <v>3108</v>
      </c>
      <c r="B1488" s="1">
        <v>45206.035459293984</v>
      </c>
      <c r="C1488" t="s">
        <v>3109</v>
      </c>
      <c r="D1488" t="s">
        <v>171</v>
      </c>
      <c r="E1488" t="s">
        <v>115</v>
      </c>
      <c r="F1488">
        <v>1.5</v>
      </c>
      <c r="G1488">
        <v>2</v>
      </c>
      <c r="H1488" t="s">
        <v>14</v>
      </c>
      <c r="I1488" t="s">
        <v>61</v>
      </c>
      <c r="J1488" t="s">
        <v>16</v>
      </c>
      <c r="K1488">
        <f>Pqp_supermarket_data[[#This Row],[Unit_Price]]*Pqp_supermarket_data[[#This Row],[Quantity]]</f>
        <v>3</v>
      </c>
      <c r="L1488" t="str">
        <f>TEXT(Pqp_supermarket_data[[#This Row],[DateTime]],"ddd")</f>
        <v>Sat</v>
      </c>
      <c r="M1488" t="str">
        <f>TEXT(Pqp_supermarket_data[[#This Row],[DateTime]],"mmm")</f>
        <v>Oct</v>
      </c>
      <c r="N1488" t="str">
        <f>TEXT(Pqp_supermarket_data[[#This Row],[DateTime]],"yyy")</f>
        <v>2023</v>
      </c>
    </row>
    <row r="1489" spans="1:14" x14ac:dyDescent="0.35">
      <c r="A1489" t="s">
        <v>3110</v>
      </c>
      <c r="B1489" s="1">
        <v>44825.30351484954</v>
      </c>
      <c r="C1489" t="s">
        <v>3111</v>
      </c>
      <c r="D1489" t="s">
        <v>19</v>
      </c>
      <c r="E1489" t="s">
        <v>78</v>
      </c>
      <c r="F1489">
        <v>4</v>
      </c>
      <c r="G1489">
        <v>1</v>
      </c>
      <c r="H1489" t="s">
        <v>14</v>
      </c>
      <c r="I1489" t="s">
        <v>40</v>
      </c>
      <c r="J1489" t="s">
        <v>616</v>
      </c>
      <c r="K1489">
        <f>Pqp_supermarket_data[[#This Row],[Unit_Price]]*Pqp_supermarket_data[[#This Row],[Quantity]]</f>
        <v>4</v>
      </c>
      <c r="L1489" t="str">
        <f>TEXT(Pqp_supermarket_data[[#This Row],[DateTime]],"ddd")</f>
        <v>Wed</v>
      </c>
      <c r="M1489" t="str">
        <f>TEXT(Pqp_supermarket_data[[#This Row],[DateTime]],"mmm")</f>
        <v>Sep</v>
      </c>
      <c r="N1489" t="str">
        <f>TEXT(Pqp_supermarket_data[[#This Row],[DateTime]],"yyy")</f>
        <v>2022</v>
      </c>
    </row>
    <row r="1490" spans="1:14" x14ac:dyDescent="0.35">
      <c r="A1490" t="s">
        <v>3112</v>
      </c>
      <c r="B1490" s="1">
        <v>45019.917403749998</v>
      </c>
      <c r="C1490" t="s">
        <v>3113</v>
      </c>
      <c r="D1490" t="s">
        <v>19</v>
      </c>
      <c r="E1490" t="s">
        <v>145</v>
      </c>
      <c r="F1490">
        <v>1.7</v>
      </c>
      <c r="G1490">
        <v>7</v>
      </c>
      <c r="H1490" t="s">
        <v>14</v>
      </c>
      <c r="I1490" t="s">
        <v>36</v>
      </c>
      <c r="J1490" t="s">
        <v>186</v>
      </c>
      <c r="K1490">
        <f>Pqp_supermarket_data[[#This Row],[Unit_Price]]*Pqp_supermarket_data[[#This Row],[Quantity]]</f>
        <v>11.9</v>
      </c>
      <c r="L1490" t="str">
        <f>TEXT(Pqp_supermarket_data[[#This Row],[DateTime]],"ddd")</f>
        <v>Mon</v>
      </c>
      <c r="M1490" t="str">
        <f>TEXT(Pqp_supermarket_data[[#This Row],[DateTime]],"mmm")</f>
        <v>Apr</v>
      </c>
      <c r="N1490" t="str">
        <f>TEXT(Pqp_supermarket_data[[#This Row],[DateTime]],"yyy")</f>
        <v>2023</v>
      </c>
    </row>
    <row r="1491" spans="1:14" x14ac:dyDescent="0.35">
      <c r="A1491" t="s">
        <v>3114</v>
      </c>
      <c r="B1491" s="1">
        <v>44999.92157042824</v>
      </c>
      <c r="C1491" t="s">
        <v>3115</v>
      </c>
      <c r="D1491" t="s">
        <v>30</v>
      </c>
      <c r="E1491" t="s">
        <v>119</v>
      </c>
      <c r="F1491">
        <v>4</v>
      </c>
      <c r="G1491">
        <v>2</v>
      </c>
      <c r="H1491" t="s">
        <v>14</v>
      </c>
      <c r="I1491" t="s">
        <v>86</v>
      </c>
      <c r="J1491" t="s">
        <v>74</v>
      </c>
      <c r="K1491">
        <f>Pqp_supermarket_data[[#This Row],[Unit_Price]]*Pqp_supermarket_data[[#This Row],[Quantity]]</f>
        <v>8</v>
      </c>
      <c r="L1491" t="str">
        <f>TEXT(Pqp_supermarket_data[[#This Row],[DateTime]],"ddd")</f>
        <v>Tue</v>
      </c>
      <c r="M1491" t="str">
        <f>TEXT(Pqp_supermarket_data[[#This Row],[DateTime]],"mmm")</f>
        <v>Mar</v>
      </c>
      <c r="N1491" t="str">
        <f>TEXT(Pqp_supermarket_data[[#This Row],[DateTime]],"yyy")</f>
        <v>2023</v>
      </c>
    </row>
    <row r="1492" spans="1:14" x14ac:dyDescent="0.35">
      <c r="A1492" t="s">
        <v>3116</v>
      </c>
      <c r="B1492" s="1">
        <v>45532.018792662035</v>
      </c>
      <c r="C1492" t="s">
        <v>3117</v>
      </c>
      <c r="D1492" t="s">
        <v>171</v>
      </c>
      <c r="E1492" t="s">
        <v>94</v>
      </c>
      <c r="F1492">
        <v>0.8</v>
      </c>
      <c r="G1492">
        <v>4</v>
      </c>
      <c r="H1492" t="s">
        <v>14</v>
      </c>
      <c r="I1492" t="s">
        <v>86</v>
      </c>
      <c r="J1492" t="s">
        <v>364</v>
      </c>
      <c r="K1492">
        <f>Pqp_supermarket_data[[#This Row],[Unit_Price]]*Pqp_supermarket_data[[#This Row],[Quantity]]</f>
        <v>3.2</v>
      </c>
      <c r="L1492" t="str">
        <f>TEXT(Pqp_supermarket_data[[#This Row],[DateTime]],"ddd")</f>
        <v>Wed</v>
      </c>
      <c r="M1492" t="str">
        <f>TEXT(Pqp_supermarket_data[[#This Row],[DateTime]],"mmm")</f>
        <v>Aug</v>
      </c>
      <c r="N1492" t="str">
        <f>TEXT(Pqp_supermarket_data[[#This Row],[DateTime]],"yyy")</f>
        <v>2024</v>
      </c>
    </row>
    <row r="1493" spans="1:14" x14ac:dyDescent="0.35">
      <c r="A1493" t="s">
        <v>3118</v>
      </c>
      <c r="B1493" s="1">
        <v>45072.861848229164</v>
      </c>
      <c r="C1493" t="s">
        <v>3119</v>
      </c>
      <c r="D1493" t="s">
        <v>98</v>
      </c>
      <c r="E1493" t="s">
        <v>53</v>
      </c>
      <c r="F1493">
        <v>2.8</v>
      </c>
      <c r="G1493">
        <v>1</v>
      </c>
      <c r="H1493" t="s">
        <v>14</v>
      </c>
      <c r="I1493" t="s">
        <v>36</v>
      </c>
      <c r="J1493" t="s">
        <v>423</v>
      </c>
      <c r="K1493">
        <f>Pqp_supermarket_data[[#This Row],[Unit_Price]]*Pqp_supermarket_data[[#This Row],[Quantity]]</f>
        <v>2.8</v>
      </c>
      <c r="L1493" t="str">
        <f>TEXT(Pqp_supermarket_data[[#This Row],[DateTime]],"ddd")</f>
        <v>Fri</v>
      </c>
      <c r="M1493" t="str">
        <f>TEXT(Pqp_supermarket_data[[#This Row],[DateTime]],"mmm")</f>
        <v>May</v>
      </c>
      <c r="N1493" t="str">
        <f>TEXT(Pqp_supermarket_data[[#This Row],[DateTime]],"yyy")</f>
        <v>2023</v>
      </c>
    </row>
    <row r="1494" spans="1:14" x14ac:dyDescent="0.35">
      <c r="A1494" t="s">
        <v>3120</v>
      </c>
      <c r="B1494" s="1">
        <v>44917.591014895836</v>
      </c>
      <c r="C1494" t="s">
        <v>3121</v>
      </c>
      <c r="D1494" t="s">
        <v>25</v>
      </c>
      <c r="E1494" t="s">
        <v>115</v>
      </c>
      <c r="F1494">
        <v>1.5</v>
      </c>
      <c r="G1494">
        <v>1</v>
      </c>
      <c r="H1494" t="s">
        <v>14</v>
      </c>
      <c r="I1494" t="s">
        <v>61</v>
      </c>
      <c r="J1494" t="s">
        <v>134</v>
      </c>
      <c r="K1494">
        <f>Pqp_supermarket_data[[#This Row],[Unit_Price]]*Pqp_supermarket_data[[#This Row],[Quantity]]</f>
        <v>1.5</v>
      </c>
      <c r="L1494" t="str">
        <f>TEXT(Pqp_supermarket_data[[#This Row],[DateTime]],"ddd")</f>
        <v>Thu</v>
      </c>
      <c r="M1494" t="str">
        <f>TEXT(Pqp_supermarket_data[[#This Row],[DateTime]],"mmm")</f>
        <v>Dec</v>
      </c>
      <c r="N1494" t="str">
        <f>TEXT(Pqp_supermarket_data[[#This Row],[DateTime]],"yyy")</f>
        <v>2022</v>
      </c>
    </row>
    <row r="1495" spans="1:14" x14ac:dyDescent="0.35">
      <c r="A1495" t="s">
        <v>3122</v>
      </c>
      <c r="B1495" s="1">
        <v>44338.684070462965</v>
      </c>
      <c r="C1495" t="s">
        <v>3123</v>
      </c>
      <c r="D1495" t="s">
        <v>12</v>
      </c>
      <c r="E1495" t="s">
        <v>111</v>
      </c>
      <c r="F1495">
        <v>2.2000000000000002</v>
      </c>
      <c r="G1495">
        <v>5</v>
      </c>
      <c r="H1495" t="s">
        <v>14</v>
      </c>
      <c r="I1495" t="s">
        <v>21</v>
      </c>
      <c r="J1495" t="s">
        <v>223</v>
      </c>
      <c r="K1495">
        <f>Pqp_supermarket_data[[#This Row],[Unit_Price]]*Pqp_supermarket_data[[#This Row],[Quantity]]</f>
        <v>11</v>
      </c>
      <c r="L1495" t="str">
        <f>TEXT(Pqp_supermarket_data[[#This Row],[DateTime]],"ddd")</f>
        <v>Sat</v>
      </c>
      <c r="M1495" t="str">
        <f>TEXT(Pqp_supermarket_data[[#This Row],[DateTime]],"mmm")</f>
        <v>May</v>
      </c>
      <c r="N1495" t="str">
        <f>TEXT(Pqp_supermarket_data[[#This Row],[DateTime]],"yyy")</f>
        <v>2021</v>
      </c>
    </row>
    <row r="1496" spans="1:14" x14ac:dyDescent="0.35">
      <c r="A1496" t="s">
        <v>3124</v>
      </c>
      <c r="B1496" s="1">
        <v>44392.381987129629</v>
      </c>
      <c r="C1496" t="s">
        <v>3125</v>
      </c>
      <c r="D1496" t="s">
        <v>25</v>
      </c>
      <c r="E1496" t="s">
        <v>45</v>
      </c>
      <c r="F1496">
        <v>1</v>
      </c>
      <c r="G1496">
        <v>10</v>
      </c>
      <c r="H1496" t="s">
        <v>14</v>
      </c>
      <c r="I1496" t="s">
        <v>36</v>
      </c>
      <c r="J1496" t="s">
        <v>769</v>
      </c>
      <c r="K1496">
        <f>Pqp_supermarket_data[[#This Row],[Unit_Price]]*Pqp_supermarket_data[[#This Row],[Quantity]]</f>
        <v>10</v>
      </c>
      <c r="L1496" t="str">
        <f>TEXT(Pqp_supermarket_data[[#This Row],[DateTime]],"ddd")</f>
        <v>Thu</v>
      </c>
      <c r="M1496" t="str">
        <f>TEXT(Pqp_supermarket_data[[#This Row],[DateTime]],"mmm")</f>
        <v>Jul</v>
      </c>
      <c r="N1496" t="str">
        <f>TEXT(Pqp_supermarket_data[[#This Row],[DateTime]],"yyy")</f>
        <v>2021</v>
      </c>
    </row>
    <row r="1497" spans="1:14" x14ac:dyDescent="0.35">
      <c r="A1497" t="s">
        <v>3126</v>
      </c>
      <c r="B1497" s="1">
        <v>45761.400737129632</v>
      </c>
      <c r="C1497" t="s">
        <v>3127</v>
      </c>
      <c r="D1497" t="s">
        <v>77</v>
      </c>
      <c r="E1497" t="s">
        <v>49</v>
      </c>
      <c r="F1497">
        <v>7</v>
      </c>
      <c r="G1497">
        <v>7</v>
      </c>
      <c r="H1497" t="s">
        <v>14</v>
      </c>
      <c r="I1497" t="s">
        <v>36</v>
      </c>
      <c r="J1497" t="s">
        <v>131</v>
      </c>
      <c r="K1497">
        <f>Pqp_supermarket_data[[#This Row],[Unit_Price]]*Pqp_supermarket_data[[#This Row],[Quantity]]</f>
        <v>49</v>
      </c>
      <c r="L1497" t="str">
        <f>TEXT(Pqp_supermarket_data[[#This Row],[DateTime]],"ddd")</f>
        <v>Mon</v>
      </c>
      <c r="M1497" t="str">
        <f>TEXT(Pqp_supermarket_data[[#This Row],[DateTime]],"mmm")</f>
        <v>Apr</v>
      </c>
      <c r="N1497" t="str">
        <f>TEXT(Pqp_supermarket_data[[#This Row],[DateTime]],"yyy")</f>
        <v>2025</v>
      </c>
    </row>
    <row r="1498" spans="1:14" x14ac:dyDescent="0.35">
      <c r="A1498" t="s">
        <v>3128</v>
      </c>
      <c r="B1498" s="1">
        <v>45621.852820462962</v>
      </c>
      <c r="C1498" t="s">
        <v>3129</v>
      </c>
      <c r="D1498" t="s">
        <v>25</v>
      </c>
      <c r="E1498" t="s">
        <v>145</v>
      </c>
      <c r="F1498">
        <v>1.7</v>
      </c>
      <c r="G1498">
        <v>3</v>
      </c>
      <c r="H1498" t="s">
        <v>14</v>
      </c>
      <c r="I1498" t="s">
        <v>86</v>
      </c>
      <c r="J1498" t="s">
        <v>364</v>
      </c>
      <c r="K1498">
        <f>Pqp_supermarket_data[[#This Row],[Unit_Price]]*Pqp_supermarket_data[[#This Row],[Quantity]]</f>
        <v>5.0999999999999996</v>
      </c>
      <c r="L1498" t="str">
        <f>TEXT(Pqp_supermarket_data[[#This Row],[DateTime]],"ddd")</f>
        <v>Mon</v>
      </c>
      <c r="M1498" t="str">
        <f>TEXT(Pqp_supermarket_data[[#This Row],[DateTime]],"mmm")</f>
        <v>Nov</v>
      </c>
      <c r="N1498" t="str">
        <f>TEXT(Pqp_supermarket_data[[#This Row],[DateTime]],"yyy")</f>
        <v>2024</v>
      </c>
    </row>
    <row r="1499" spans="1:14" x14ac:dyDescent="0.35">
      <c r="A1499" t="s">
        <v>3130</v>
      </c>
      <c r="B1499" s="1">
        <v>44370.162542696758</v>
      </c>
      <c r="C1499" t="s">
        <v>2805</v>
      </c>
      <c r="D1499" t="s">
        <v>85</v>
      </c>
      <c r="E1499" t="s">
        <v>49</v>
      </c>
      <c r="F1499">
        <v>7</v>
      </c>
      <c r="G1499">
        <v>10</v>
      </c>
      <c r="H1499" t="s">
        <v>14</v>
      </c>
      <c r="I1499" t="s">
        <v>61</v>
      </c>
      <c r="J1499" t="s">
        <v>46</v>
      </c>
      <c r="K1499">
        <f>Pqp_supermarket_data[[#This Row],[Unit_Price]]*Pqp_supermarket_data[[#This Row],[Quantity]]</f>
        <v>70</v>
      </c>
      <c r="L1499" t="str">
        <f>TEXT(Pqp_supermarket_data[[#This Row],[DateTime]],"ddd")</f>
        <v>Wed</v>
      </c>
      <c r="M1499" t="str">
        <f>TEXT(Pqp_supermarket_data[[#This Row],[DateTime]],"mmm")</f>
        <v>Jun</v>
      </c>
      <c r="N1499" t="str">
        <f>TEXT(Pqp_supermarket_data[[#This Row],[DateTime]],"yyy")</f>
        <v>2021</v>
      </c>
    </row>
    <row r="1500" spans="1:14" x14ac:dyDescent="0.35">
      <c r="A1500" t="s">
        <v>3131</v>
      </c>
      <c r="B1500" s="1">
        <v>44943.563237152775</v>
      </c>
      <c r="C1500" t="s">
        <v>3132</v>
      </c>
      <c r="D1500" t="s">
        <v>77</v>
      </c>
      <c r="E1500" t="s">
        <v>148</v>
      </c>
      <c r="F1500">
        <v>5.5</v>
      </c>
      <c r="G1500">
        <v>10</v>
      </c>
      <c r="H1500" t="s">
        <v>14</v>
      </c>
      <c r="I1500" t="s">
        <v>61</v>
      </c>
      <c r="J1500" t="s">
        <v>209</v>
      </c>
      <c r="K1500">
        <f>Pqp_supermarket_data[[#This Row],[Unit_Price]]*Pqp_supermarket_data[[#This Row],[Quantity]]</f>
        <v>55</v>
      </c>
      <c r="L1500" t="str">
        <f>TEXT(Pqp_supermarket_data[[#This Row],[DateTime]],"ddd")</f>
        <v>Tue</v>
      </c>
      <c r="M1500" t="str">
        <f>TEXT(Pqp_supermarket_data[[#This Row],[DateTime]],"mmm")</f>
        <v>Jan</v>
      </c>
      <c r="N1500" t="str">
        <f>TEXT(Pqp_supermarket_data[[#This Row],[DateTime]],"yyy")</f>
        <v>2023</v>
      </c>
    </row>
    <row r="1501" spans="1:14" x14ac:dyDescent="0.35">
      <c r="A1501" t="s">
        <v>3133</v>
      </c>
      <c r="B1501" s="1">
        <v>45235.592403831019</v>
      </c>
      <c r="C1501" t="s">
        <v>3134</v>
      </c>
      <c r="D1501" t="s">
        <v>19</v>
      </c>
      <c r="E1501" t="s">
        <v>49</v>
      </c>
      <c r="F1501">
        <v>7</v>
      </c>
      <c r="G1501">
        <v>5</v>
      </c>
      <c r="H1501" t="s">
        <v>14</v>
      </c>
      <c r="I1501" t="s">
        <v>40</v>
      </c>
      <c r="J1501" t="s">
        <v>66</v>
      </c>
      <c r="K1501">
        <f>Pqp_supermarket_data[[#This Row],[Unit_Price]]*Pqp_supermarket_data[[#This Row],[Quantity]]</f>
        <v>35</v>
      </c>
      <c r="L1501" t="str">
        <f>TEXT(Pqp_supermarket_data[[#This Row],[DateTime]],"ddd")</f>
        <v>Sun</v>
      </c>
      <c r="M1501" t="str">
        <f>TEXT(Pqp_supermarket_data[[#This Row],[DateTime]],"mmm")</f>
        <v>Nov</v>
      </c>
      <c r="N1501" t="str">
        <f>TEXT(Pqp_supermarket_data[[#This Row],[DateTime]],"yyy")</f>
        <v>2023</v>
      </c>
    </row>
    <row r="1502" spans="1:14" x14ac:dyDescent="0.35">
      <c r="A1502" t="s">
        <v>3135</v>
      </c>
      <c r="B1502" s="1">
        <v>44779.555598275459</v>
      </c>
      <c r="C1502" t="s">
        <v>3136</v>
      </c>
      <c r="D1502" t="s">
        <v>77</v>
      </c>
      <c r="E1502" t="s">
        <v>145</v>
      </c>
      <c r="F1502">
        <v>1.7</v>
      </c>
      <c r="G1502">
        <v>9</v>
      </c>
      <c r="H1502" t="s">
        <v>14</v>
      </c>
      <c r="I1502" t="s">
        <v>86</v>
      </c>
      <c r="J1502" t="s">
        <v>189</v>
      </c>
      <c r="K1502">
        <f>Pqp_supermarket_data[[#This Row],[Unit_Price]]*Pqp_supermarket_data[[#This Row],[Quantity]]</f>
        <v>15.299999999999999</v>
      </c>
      <c r="L1502" t="str">
        <f>TEXT(Pqp_supermarket_data[[#This Row],[DateTime]],"ddd")</f>
        <v>Sat</v>
      </c>
      <c r="M1502" t="str">
        <f>TEXT(Pqp_supermarket_data[[#This Row],[DateTime]],"mmm")</f>
        <v>Aug</v>
      </c>
      <c r="N1502" t="str">
        <f>TEXT(Pqp_supermarket_data[[#This Row],[DateTime]],"yyy")</f>
        <v>2022</v>
      </c>
    </row>
    <row r="1503" spans="1:14" x14ac:dyDescent="0.35">
      <c r="A1503" t="s">
        <v>3137</v>
      </c>
      <c r="B1503" s="1">
        <v>45195.582681631946</v>
      </c>
      <c r="C1503" t="s">
        <v>3138</v>
      </c>
      <c r="D1503" t="s">
        <v>69</v>
      </c>
      <c r="E1503" t="s">
        <v>94</v>
      </c>
      <c r="F1503">
        <v>0.8</v>
      </c>
      <c r="G1503">
        <v>6</v>
      </c>
      <c r="H1503" t="s">
        <v>14</v>
      </c>
      <c r="I1503" t="s">
        <v>15</v>
      </c>
      <c r="J1503" t="s">
        <v>54</v>
      </c>
      <c r="K1503">
        <f>Pqp_supermarket_data[[#This Row],[Unit_Price]]*Pqp_supermarket_data[[#This Row],[Quantity]]</f>
        <v>4.8000000000000007</v>
      </c>
      <c r="L1503" t="str">
        <f>TEXT(Pqp_supermarket_data[[#This Row],[DateTime]],"ddd")</f>
        <v>Tue</v>
      </c>
      <c r="M1503" t="str">
        <f>TEXT(Pqp_supermarket_data[[#This Row],[DateTime]],"mmm")</f>
        <v>Sep</v>
      </c>
      <c r="N1503" t="str">
        <f>TEXT(Pqp_supermarket_data[[#This Row],[DateTime]],"yyy")</f>
        <v>2023</v>
      </c>
    </row>
    <row r="1504" spans="1:14" x14ac:dyDescent="0.35">
      <c r="A1504" t="s">
        <v>3139</v>
      </c>
      <c r="B1504" s="1">
        <v>45511.288237199071</v>
      </c>
      <c r="C1504" t="s">
        <v>3140</v>
      </c>
      <c r="D1504" t="s">
        <v>69</v>
      </c>
      <c r="E1504" t="s">
        <v>90</v>
      </c>
      <c r="F1504">
        <v>1.8</v>
      </c>
      <c r="G1504">
        <v>2</v>
      </c>
      <c r="H1504" t="s">
        <v>14</v>
      </c>
      <c r="I1504" t="s">
        <v>86</v>
      </c>
      <c r="J1504" t="s">
        <v>323</v>
      </c>
      <c r="K1504">
        <f>Pqp_supermarket_data[[#This Row],[Unit_Price]]*Pqp_supermarket_data[[#This Row],[Quantity]]</f>
        <v>3.6</v>
      </c>
      <c r="L1504" t="str">
        <f>TEXT(Pqp_supermarket_data[[#This Row],[DateTime]],"ddd")</f>
        <v>Wed</v>
      </c>
      <c r="M1504" t="str">
        <f>TEXT(Pqp_supermarket_data[[#This Row],[DateTime]],"mmm")</f>
        <v>Aug</v>
      </c>
      <c r="N1504" t="str">
        <f>TEXT(Pqp_supermarket_data[[#This Row],[DateTime]],"yyy")</f>
        <v>2024</v>
      </c>
    </row>
    <row r="1505" spans="1:14" x14ac:dyDescent="0.35">
      <c r="A1505" t="s">
        <v>3141</v>
      </c>
      <c r="B1505" s="1">
        <v>45351.343098333331</v>
      </c>
      <c r="C1505" t="s">
        <v>3142</v>
      </c>
      <c r="D1505" t="s">
        <v>208</v>
      </c>
      <c r="E1505" t="s">
        <v>94</v>
      </c>
      <c r="F1505">
        <v>0.8</v>
      </c>
      <c r="G1505">
        <v>4</v>
      </c>
      <c r="H1505" t="s">
        <v>14</v>
      </c>
      <c r="I1505" t="s">
        <v>61</v>
      </c>
      <c r="J1505" t="s">
        <v>404</v>
      </c>
      <c r="K1505">
        <f>Pqp_supermarket_data[[#This Row],[Unit_Price]]*Pqp_supermarket_data[[#This Row],[Quantity]]</f>
        <v>3.2</v>
      </c>
      <c r="L1505" t="str">
        <f>TEXT(Pqp_supermarket_data[[#This Row],[DateTime]],"ddd")</f>
        <v>Thu</v>
      </c>
      <c r="M1505" t="str">
        <f>TEXT(Pqp_supermarket_data[[#This Row],[DateTime]],"mmm")</f>
        <v>Feb</v>
      </c>
      <c r="N1505" t="str">
        <f>TEXT(Pqp_supermarket_data[[#This Row],[DateTime]],"yyy")</f>
        <v>2024</v>
      </c>
    </row>
    <row r="1506" spans="1:14" x14ac:dyDescent="0.35">
      <c r="A1506" t="s">
        <v>3143</v>
      </c>
      <c r="B1506" s="1">
        <v>44883.68615390046</v>
      </c>
      <c r="C1506" t="s">
        <v>3144</v>
      </c>
      <c r="D1506" t="s">
        <v>171</v>
      </c>
      <c r="E1506" t="s">
        <v>148</v>
      </c>
      <c r="F1506">
        <v>5.5</v>
      </c>
      <c r="G1506">
        <v>3</v>
      </c>
      <c r="H1506" t="s">
        <v>14</v>
      </c>
      <c r="I1506" t="s">
        <v>40</v>
      </c>
      <c r="J1506" t="s">
        <v>50</v>
      </c>
      <c r="K1506">
        <f>Pqp_supermarket_data[[#This Row],[Unit_Price]]*Pqp_supermarket_data[[#This Row],[Quantity]]</f>
        <v>16.5</v>
      </c>
      <c r="L1506" t="str">
        <f>TEXT(Pqp_supermarket_data[[#This Row],[DateTime]],"ddd")</f>
        <v>Fri</v>
      </c>
      <c r="M1506" t="str">
        <f>TEXT(Pqp_supermarket_data[[#This Row],[DateTime]],"mmm")</f>
        <v>Nov</v>
      </c>
      <c r="N1506" t="str">
        <f>TEXT(Pqp_supermarket_data[[#This Row],[DateTime]],"yyy")</f>
        <v>2022</v>
      </c>
    </row>
    <row r="1507" spans="1:14" x14ac:dyDescent="0.35">
      <c r="A1507" t="s">
        <v>3145</v>
      </c>
      <c r="B1507" s="1">
        <v>45611.054903969911</v>
      </c>
      <c r="C1507" t="s">
        <v>3146</v>
      </c>
      <c r="D1507" t="s">
        <v>127</v>
      </c>
      <c r="E1507" t="s">
        <v>65</v>
      </c>
      <c r="F1507">
        <v>3</v>
      </c>
      <c r="G1507">
        <v>6</v>
      </c>
      <c r="H1507" t="s">
        <v>14</v>
      </c>
      <c r="I1507" t="s">
        <v>40</v>
      </c>
      <c r="J1507" t="s">
        <v>87</v>
      </c>
      <c r="K1507">
        <f>Pqp_supermarket_data[[#This Row],[Unit_Price]]*Pqp_supermarket_data[[#This Row],[Quantity]]</f>
        <v>18</v>
      </c>
      <c r="L1507" t="str">
        <f>TEXT(Pqp_supermarket_data[[#This Row],[DateTime]],"ddd")</f>
        <v>Fri</v>
      </c>
      <c r="M1507" t="str">
        <f>TEXT(Pqp_supermarket_data[[#This Row],[DateTime]],"mmm")</f>
        <v>Nov</v>
      </c>
      <c r="N1507" t="str">
        <f>TEXT(Pqp_supermarket_data[[#This Row],[DateTime]],"yyy")</f>
        <v>2024</v>
      </c>
    </row>
    <row r="1508" spans="1:14" x14ac:dyDescent="0.35">
      <c r="A1508" t="s">
        <v>3147</v>
      </c>
      <c r="B1508" s="1">
        <v>45305.913237314817</v>
      </c>
      <c r="C1508" t="s">
        <v>3148</v>
      </c>
      <c r="D1508" t="s">
        <v>30</v>
      </c>
      <c r="E1508" t="s">
        <v>148</v>
      </c>
      <c r="F1508">
        <v>5.5</v>
      </c>
      <c r="G1508">
        <v>1</v>
      </c>
      <c r="H1508" t="s">
        <v>14</v>
      </c>
      <c r="I1508" t="s">
        <v>40</v>
      </c>
      <c r="J1508" t="s">
        <v>195</v>
      </c>
      <c r="K1508">
        <f>Pqp_supermarket_data[[#This Row],[Unit_Price]]*Pqp_supermarket_data[[#This Row],[Quantity]]</f>
        <v>5.5</v>
      </c>
      <c r="L1508" t="str">
        <f>TEXT(Pqp_supermarket_data[[#This Row],[DateTime]],"ddd")</f>
        <v>Sun</v>
      </c>
      <c r="M1508" t="str">
        <f>TEXT(Pqp_supermarket_data[[#This Row],[DateTime]],"mmm")</f>
        <v>Jan</v>
      </c>
      <c r="N1508" t="str">
        <f>TEXT(Pqp_supermarket_data[[#This Row],[DateTime]],"yyy")</f>
        <v>2024</v>
      </c>
    </row>
    <row r="1509" spans="1:14" x14ac:dyDescent="0.35">
      <c r="A1509" t="s">
        <v>3149</v>
      </c>
      <c r="B1509" s="1">
        <v>45771.65907065972</v>
      </c>
      <c r="C1509" t="s">
        <v>3150</v>
      </c>
      <c r="D1509" t="s">
        <v>226</v>
      </c>
      <c r="E1509" t="s">
        <v>137</v>
      </c>
      <c r="F1509">
        <v>2.5</v>
      </c>
      <c r="G1509">
        <v>2</v>
      </c>
      <c r="H1509" t="s">
        <v>14</v>
      </c>
      <c r="I1509" t="s">
        <v>15</v>
      </c>
      <c r="J1509" t="s">
        <v>128</v>
      </c>
      <c r="K1509">
        <f>Pqp_supermarket_data[[#This Row],[Unit_Price]]*Pqp_supermarket_data[[#This Row],[Quantity]]</f>
        <v>5</v>
      </c>
      <c r="L1509" t="str">
        <f>TEXT(Pqp_supermarket_data[[#This Row],[DateTime]],"ddd")</f>
        <v>Thu</v>
      </c>
      <c r="M1509" t="str">
        <f>TEXT(Pqp_supermarket_data[[#This Row],[DateTime]],"mmm")</f>
        <v>Apr</v>
      </c>
      <c r="N1509" t="str">
        <f>TEXT(Pqp_supermarket_data[[#This Row],[DateTime]],"yyy")</f>
        <v>2025</v>
      </c>
    </row>
    <row r="1510" spans="1:14" x14ac:dyDescent="0.35">
      <c r="A1510" t="s">
        <v>3151</v>
      </c>
      <c r="B1510" s="1">
        <v>45772.033376226849</v>
      </c>
      <c r="C1510" t="s">
        <v>3152</v>
      </c>
      <c r="D1510" t="s">
        <v>85</v>
      </c>
      <c r="E1510" t="s">
        <v>13</v>
      </c>
      <c r="F1510">
        <v>3.1</v>
      </c>
      <c r="G1510">
        <v>8</v>
      </c>
      <c r="H1510" t="s">
        <v>14</v>
      </c>
      <c r="I1510" t="s">
        <v>86</v>
      </c>
      <c r="J1510" t="s">
        <v>91</v>
      </c>
      <c r="K1510">
        <f>Pqp_supermarket_data[[#This Row],[Unit_Price]]*Pqp_supermarket_data[[#This Row],[Quantity]]</f>
        <v>24.8</v>
      </c>
      <c r="L1510" t="str">
        <f>TEXT(Pqp_supermarket_data[[#This Row],[DateTime]],"ddd")</f>
        <v>Fri</v>
      </c>
      <c r="M1510" t="str">
        <f>TEXT(Pqp_supermarket_data[[#This Row],[DateTime]],"mmm")</f>
        <v>Apr</v>
      </c>
      <c r="N1510" t="str">
        <f>TEXT(Pqp_supermarket_data[[#This Row],[DateTime]],"yyy")</f>
        <v>2025</v>
      </c>
    </row>
    <row r="1511" spans="1:14" x14ac:dyDescent="0.35">
      <c r="A1511" t="s">
        <v>3153</v>
      </c>
      <c r="B1511" s="1">
        <v>45095.749348460646</v>
      </c>
      <c r="C1511" t="s">
        <v>3154</v>
      </c>
      <c r="D1511" t="s">
        <v>44</v>
      </c>
      <c r="E1511" t="s">
        <v>53</v>
      </c>
      <c r="F1511">
        <v>2.8</v>
      </c>
      <c r="G1511">
        <v>6</v>
      </c>
      <c r="H1511" t="s">
        <v>14</v>
      </c>
      <c r="I1511" t="s">
        <v>61</v>
      </c>
      <c r="J1511" t="s">
        <v>461</v>
      </c>
      <c r="K1511">
        <f>Pqp_supermarket_data[[#This Row],[Unit_Price]]*Pqp_supermarket_data[[#This Row],[Quantity]]</f>
        <v>16.799999999999997</v>
      </c>
      <c r="L1511" t="str">
        <f>TEXT(Pqp_supermarket_data[[#This Row],[DateTime]],"ddd")</f>
        <v>Sun</v>
      </c>
      <c r="M1511" t="str">
        <f>TEXT(Pqp_supermarket_data[[#This Row],[DateTime]],"mmm")</f>
        <v>Jun</v>
      </c>
      <c r="N1511" t="str">
        <f>TEXT(Pqp_supermarket_data[[#This Row],[DateTime]],"yyy")</f>
        <v>2023</v>
      </c>
    </row>
    <row r="1512" spans="1:14" x14ac:dyDescent="0.35">
      <c r="A1512" t="s">
        <v>3155</v>
      </c>
      <c r="B1512" s="1">
        <v>45046.667404016203</v>
      </c>
      <c r="C1512" t="s">
        <v>3156</v>
      </c>
      <c r="D1512" t="s">
        <v>82</v>
      </c>
      <c r="E1512" t="s">
        <v>45</v>
      </c>
      <c r="F1512">
        <v>1</v>
      </c>
      <c r="G1512">
        <v>1</v>
      </c>
      <c r="H1512" t="s">
        <v>14</v>
      </c>
      <c r="I1512" t="s">
        <v>61</v>
      </c>
      <c r="J1512" t="s">
        <v>517</v>
      </c>
      <c r="K1512">
        <f>Pqp_supermarket_data[[#This Row],[Unit_Price]]*Pqp_supermarket_data[[#This Row],[Quantity]]</f>
        <v>1</v>
      </c>
      <c r="L1512" t="str">
        <f>TEXT(Pqp_supermarket_data[[#This Row],[DateTime]],"ddd")</f>
        <v>Sun</v>
      </c>
      <c r="M1512" t="str">
        <f>TEXT(Pqp_supermarket_data[[#This Row],[DateTime]],"mmm")</f>
        <v>Apr</v>
      </c>
      <c r="N1512" t="str">
        <f>TEXT(Pqp_supermarket_data[[#This Row],[DateTime]],"yyy")</f>
        <v>2023</v>
      </c>
    </row>
    <row r="1513" spans="1:14" x14ac:dyDescent="0.35">
      <c r="A1513" t="s">
        <v>3157</v>
      </c>
      <c r="B1513" s="1">
        <v>45581.53962625</v>
      </c>
      <c r="C1513" t="s">
        <v>3158</v>
      </c>
      <c r="D1513" t="s">
        <v>34</v>
      </c>
      <c r="E1513" t="s">
        <v>49</v>
      </c>
      <c r="F1513">
        <v>7</v>
      </c>
      <c r="G1513">
        <v>3</v>
      </c>
      <c r="H1513" t="s">
        <v>14</v>
      </c>
      <c r="I1513" t="s">
        <v>40</v>
      </c>
      <c r="J1513" t="s">
        <v>538</v>
      </c>
      <c r="K1513">
        <f>Pqp_supermarket_data[[#This Row],[Unit_Price]]*Pqp_supermarket_data[[#This Row],[Quantity]]</f>
        <v>21</v>
      </c>
      <c r="L1513" t="str">
        <f>TEXT(Pqp_supermarket_data[[#This Row],[DateTime]],"ddd")</f>
        <v>Wed</v>
      </c>
      <c r="M1513" t="str">
        <f>TEXT(Pqp_supermarket_data[[#This Row],[DateTime]],"mmm")</f>
        <v>Oct</v>
      </c>
      <c r="N1513" t="str">
        <f>TEXT(Pqp_supermarket_data[[#This Row],[DateTime]],"yyy")</f>
        <v>2024</v>
      </c>
    </row>
    <row r="1514" spans="1:14" x14ac:dyDescent="0.35">
      <c r="A1514" t="s">
        <v>3159</v>
      </c>
      <c r="B1514" s="1">
        <v>45534.881292916667</v>
      </c>
      <c r="C1514" t="s">
        <v>3160</v>
      </c>
      <c r="D1514" t="s">
        <v>12</v>
      </c>
      <c r="E1514" t="s">
        <v>26</v>
      </c>
      <c r="F1514">
        <v>2.5</v>
      </c>
      <c r="G1514">
        <v>6</v>
      </c>
      <c r="H1514" t="s">
        <v>14</v>
      </c>
      <c r="I1514" t="s">
        <v>86</v>
      </c>
      <c r="J1514" t="s">
        <v>215</v>
      </c>
      <c r="K1514">
        <f>Pqp_supermarket_data[[#This Row],[Unit_Price]]*Pqp_supermarket_data[[#This Row],[Quantity]]</f>
        <v>15</v>
      </c>
      <c r="L1514" t="str">
        <f>TEXT(Pqp_supermarket_data[[#This Row],[DateTime]],"ddd")</f>
        <v>Fri</v>
      </c>
      <c r="M1514" t="str">
        <f>TEXT(Pqp_supermarket_data[[#This Row],[DateTime]],"mmm")</f>
        <v>Aug</v>
      </c>
      <c r="N1514" t="str">
        <f>TEXT(Pqp_supermarket_data[[#This Row],[DateTime]],"yyy")</f>
        <v>2024</v>
      </c>
    </row>
    <row r="1515" spans="1:14" x14ac:dyDescent="0.35">
      <c r="A1515" t="s">
        <v>3161</v>
      </c>
      <c r="B1515" s="1">
        <v>44380.64657070602</v>
      </c>
      <c r="C1515" t="s">
        <v>3162</v>
      </c>
      <c r="D1515" t="s">
        <v>98</v>
      </c>
      <c r="E1515" t="s">
        <v>90</v>
      </c>
      <c r="F1515">
        <v>1.8</v>
      </c>
      <c r="G1515">
        <v>7</v>
      </c>
      <c r="H1515" t="s">
        <v>14</v>
      </c>
      <c r="I1515" t="s">
        <v>36</v>
      </c>
      <c r="J1515" t="s">
        <v>248</v>
      </c>
      <c r="K1515">
        <f>Pqp_supermarket_data[[#This Row],[Unit_Price]]*Pqp_supermarket_data[[#This Row],[Quantity]]</f>
        <v>12.6</v>
      </c>
      <c r="L1515" t="str">
        <f>TEXT(Pqp_supermarket_data[[#This Row],[DateTime]],"ddd")</f>
        <v>Sat</v>
      </c>
      <c r="M1515" t="str">
        <f>TEXT(Pqp_supermarket_data[[#This Row],[DateTime]],"mmm")</f>
        <v>Jul</v>
      </c>
      <c r="N1515" t="str">
        <f>TEXT(Pqp_supermarket_data[[#This Row],[DateTime]],"yyy")</f>
        <v>2021</v>
      </c>
    </row>
    <row r="1516" spans="1:14" x14ac:dyDescent="0.35">
      <c r="A1516" t="s">
        <v>3163</v>
      </c>
      <c r="B1516" s="1">
        <v>45779.690320717593</v>
      </c>
      <c r="C1516" t="s">
        <v>3164</v>
      </c>
      <c r="D1516" t="s">
        <v>44</v>
      </c>
      <c r="E1516" t="s">
        <v>35</v>
      </c>
      <c r="F1516">
        <v>1.2</v>
      </c>
      <c r="G1516">
        <v>6</v>
      </c>
      <c r="H1516" t="s">
        <v>14</v>
      </c>
      <c r="I1516" t="s">
        <v>40</v>
      </c>
      <c r="J1516" t="s">
        <v>202</v>
      </c>
      <c r="K1516">
        <f>Pqp_supermarket_data[[#This Row],[Unit_Price]]*Pqp_supermarket_data[[#This Row],[Quantity]]</f>
        <v>7.1999999999999993</v>
      </c>
      <c r="L1516" t="str">
        <f>TEXT(Pqp_supermarket_data[[#This Row],[DateTime]],"ddd")</f>
        <v>Fri</v>
      </c>
      <c r="M1516" t="str">
        <f>TEXT(Pqp_supermarket_data[[#This Row],[DateTime]],"mmm")</f>
        <v>May</v>
      </c>
      <c r="N1516" t="str">
        <f>TEXT(Pqp_supermarket_data[[#This Row],[DateTime]],"yyy")</f>
        <v>2025</v>
      </c>
    </row>
    <row r="1517" spans="1:14" x14ac:dyDescent="0.35">
      <c r="A1517" t="s">
        <v>3165</v>
      </c>
      <c r="B1517" s="1">
        <v>45119.665320729167</v>
      </c>
      <c r="C1517" t="s">
        <v>3166</v>
      </c>
      <c r="D1517" t="s">
        <v>25</v>
      </c>
      <c r="E1517" t="s">
        <v>45</v>
      </c>
      <c r="F1517">
        <v>1</v>
      </c>
      <c r="G1517">
        <v>8</v>
      </c>
      <c r="H1517" t="s">
        <v>14</v>
      </c>
      <c r="I1517" t="s">
        <v>86</v>
      </c>
      <c r="J1517" t="s">
        <v>202</v>
      </c>
      <c r="K1517">
        <f>Pqp_supermarket_data[[#This Row],[Unit_Price]]*Pqp_supermarket_data[[#This Row],[Quantity]]</f>
        <v>8</v>
      </c>
      <c r="L1517" t="str">
        <f>TEXT(Pqp_supermarket_data[[#This Row],[DateTime]],"ddd")</f>
        <v>Wed</v>
      </c>
      <c r="M1517" t="str">
        <f>TEXT(Pqp_supermarket_data[[#This Row],[DateTime]],"mmm")</f>
        <v>Jul</v>
      </c>
      <c r="N1517" t="str">
        <f>TEXT(Pqp_supermarket_data[[#This Row],[DateTime]],"yyy")</f>
        <v>2023</v>
      </c>
    </row>
    <row r="1518" spans="1:14" x14ac:dyDescent="0.35">
      <c r="A1518" t="s">
        <v>3167</v>
      </c>
      <c r="B1518" s="1">
        <v>44532.461154074073</v>
      </c>
      <c r="C1518" t="s">
        <v>3168</v>
      </c>
      <c r="D1518" t="s">
        <v>82</v>
      </c>
      <c r="E1518" t="s">
        <v>115</v>
      </c>
      <c r="F1518">
        <v>1.5</v>
      </c>
      <c r="G1518">
        <v>2</v>
      </c>
      <c r="H1518" t="s">
        <v>14</v>
      </c>
      <c r="I1518" t="s">
        <v>36</v>
      </c>
      <c r="J1518" t="s">
        <v>423</v>
      </c>
      <c r="K1518">
        <f>Pqp_supermarket_data[[#This Row],[Unit_Price]]*Pqp_supermarket_data[[#This Row],[Quantity]]</f>
        <v>3</v>
      </c>
      <c r="L1518" t="str">
        <f>TEXT(Pqp_supermarket_data[[#This Row],[DateTime]],"ddd")</f>
        <v>Thu</v>
      </c>
      <c r="M1518" t="str">
        <f>TEXT(Pqp_supermarket_data[[#This Row],[DateTime]],"mmm")</f>
        <v>Dec</v>
      </c>
      <c r="N1518" t="str">
        <f>TEXT(Pqp_supermarket_data[[#This Row],[DateTime]],"yyy")</f>
        <v>2021</v>
      </c>
    </row>
    <row r="1519" spans="1:14" x14ac:dyDescent="0.35">
      <c r="A1519" t="s">
        <v>3169</v>
      </c>
      <c r="B1519" s="1">
        <v>45184.759765196759</v>
      </c>
      <c r="C1519" t="s">
        <v>3170</v>
      </c>
      <c r="D1519" t="s">
        <v>12</v>
      </c>
      <c r="E1519" t="s">
        <v>111</v>
      </c>
      <c r="F1519">
        <v>2.2000000000000002</v>
      </c>
      <c r="G1519">
        <v>9</v>
      </c>
      <c r="H1519" t="s">
        <v>14</v>
      </c>
      <c r="I1519" t="s">
        <v>21</v>
      </c>
      <c r="J1519" t="s">
        <v>541</v>
      </c>
      <c r="K1519">
        <f>Pqp_supermarket_data[[#This Row],[Unit_Price]]*Pqp_supermarket_data[[#This Row],[Quantity]]</f>
        <v>19.8</v>
      </c>
      <c r="L1519" t="str">
        <f>TEXT(Pqp_supermarket_data[[#This Row],[DateTime]],"ddd")</f>
        <v>Fri</v>
      </c>
      <c r="M1519" t="str">
        <f>TEXT(Pqp_supermarket_data[[#This Row],[DateTime]],"mmm")</f>
        <v>Sep</v>
      </c>
      <c r="N1519" t="str">
        <f>TEXT(Pqp_supermarket_data[[#This Row],[DateTime]],"yyy")</f>
        <v>2023</v>
      </c>
    </row>
    <row r="1520" spans="1:14" x14ac:dyDescent="0.35">
      <c r="A1520" t="s">
        <v>3171</v>
      </c>
      <c r="B1520" s="1">
        <v>44753.512542986115</v>
      </c>
      <c r="C1520" t="s">
        <v>3172</v>
      </c>
      <c r="D1520" t="s">
        <v>98</v>
      </c>
      <c r="E1520" t="s">
        <v>65</v>
      </c>
      <c r="F1520">
        <v>3</v>
      </c>
      <c r="G1520">
        <v>5</v>
      </c>
      <c r="H1520" t="s">
        <v>14</v>
      </c>
      <c r="I1520" t="s">
        <v>36</v>
      </c>
      <c r="J1520" t="s">
        <v>153</v>
      </c>
      <c r="K1520">
        <f>Pqp_supermarket_data[[#This Row],[Unit_Price]]*Pqp_supermarket_data[[#This Row],[Quantity]]</f>
        <v>15</v>
      </c>
      <c r="L1520" t="str">
        <f>TEXT(Pqp_supermarket_data[[#This Row],[DateTime]],"ddd")</f>
        <v>Mon</v>
      </c>
      <c r="M1520" t="str">
        <f>TEXT(Pqp_supermarket_data[[#This Row],[DateTime]],"mmm")</f>
        <v>Jul</v>
      </c>
      <c r="N1520" t="str">
        <f>TEXT(Pqp_supermarket_data[[#This Row],[DateTime]],"yyy")</f>
        <v>2022</v>
      </c>
    </row>
    <row r="1521" spans="1:14" x14ac:dyDescent="0.35">
      <c r="A1521" t="s">
        <v>3173</v>
      </c>
      <c r="B1521" s="1">
        <v>44830.31184855324</v>
      </c>
      <c r="C1521" t="s">
        <v>3174</v>
      </c>
      <c r="D1521" t="s">
        <v>98</v>
      </c>
      <c r="E1521" t="s">
        <v>148</v>
      </c>
      <c r="F1521">
        <v>5.5</v>
      </c>
      <c r="G1521">
        <v>8</v>
      </c>
      <c r="H1521" t="s">
        <v>14</v>
      </c>
      <c r="I1521" t="s">
        <v>36</v>
      </c>
      <c r="J1521" t="s">
        <v>112</v>
      </c>
      <c r="K1521">
        <f>Pqp_supermarket_data[[#This Row],[Unit_Price]]*Pqp_supermarket_data[[#This Row],[Quantity]]</f>
        <v>44</v>
      </c>
      <c r="L1521" t="str">
        <f>TEXT(Pqp_supermarket_data[[#This Row],[DateTime]],"ddd")</f>
        <v>Mon</v>
      </c>
      <c r="M1521" t="str">
        <f>TEXT(Pqp_supermarket_data[[#This Row],[DateTime]],"mmm")</f>
        <v>Sep</v>
      </c>
      <c r="N1521" t="str">
        <f>TEXT(Pqp_supermarket_data[[#This Row],[DateTime]],"yyy")</f>
        <v>2022</v>
      </c>
    </row>
    <row r="1522" spans="1:14" x14ac:dyDescent="0.35">
      <c r="A1522" t="s">
        <v>3175</v>
      </c>
      <c r="B1522" s="1">
        <v>45293.259070775464</v>
      </c>
      <c r="C1522" t="s">
        <v>3176</v>
      </c>
      <c r="D1522" t="s">
        <v>69</v>
      </c>
      <c r="E1522" t="s">
        <v>65</v>
      </c>
      <c r="F1522">
        <v>3</v>
      </c>
      <c r="G1522">
        <v>2</v>
      </c>
      <c r="H1522" t="s">
        <v>14</v>
      </c>
      <c r="I1522" t="s">
        <v>86</v>
      </c>
      <c r="J1522" t="s">
        <v>541</v>
      </c>
      <c r="K1522">
        <f>Pqp_supermarket_data[[#This Row],[Unit_Price]]*Pqp_supermarket_data[[#This Row],[Quantity]]</f>
        <v>6</v>
      </c>
      <c r="L1522" t="str">
        <f>TEXT(Pqp_supermarket_data[[#This Row],[DateTime]],"ddd")</f>
        <v>Tue</v>
      </c>
      <c r="M1522" t="str">
        <f>TEXT(Pqp_supermarket_data[[#This Row],[DateTime]],"mmm")</f>
        <v>Jan</v>
      </c>
      <c r="N1522" t="str">
        <f>TEXT(Pqp_supermarket_data[[#This Row],[DateTime]],"yyy")</f>
        <v>2024</v>
      </c>
    </row>
    <row r="1523" spans="1:14" x14ac:dyDescent="0.35">
      <c r="A1523" t="s">
        <v>3177</v>
      </c>
      <c r="B1523" s="1">
        <v>45727.310459675929</v>
      </c>
      <c r="C1523" t="s">
        <v>3178</v>
      </c>
      <c r="D1523" t="s">
        <v>19</v>
      </c>
      <c r="E1523" t="s">
        <v>39</v>
      </c>
      <c r="F1523">
        <v>3.2</v>
      </c>
      <c r="G1523">
        <v>7</v>
      </c>
      <c r="H1523" t="s">
        <v>14</v>
      </c>
      <c r="I1523" t="s">
        <v>61</v>
      </c>
      <c r="J1523" t="s">
        <v>499</v>
      </c>
      <c r="K1523">
        <f>Pqp_supermarket_data[[#This Row],[Unit_Price]]*Pqp_supermarket_data[[#This Row],[Quantity]]</f>
        <v>22.400000000000002</v>
      </c>
      <c r="L1523" t="str">
        <f>TEXT(Pqp_supermarket_data[[#This Row],[DateTime]],"ddd")</f>
        <v>Tue</v>
      </c>
      <c r="M1523" t="str">
        <f>TEXT(Pqp_supermarket_data[[#This Row],[DateTime]],"mmm")</f>
        <v>Mar</v>
      </c>
      <c r="N1523" t="str">
        <f>TEXT(Pqp_supermarket_data[[#This Row],[DateTime]],"yyy")</f>
        <v>2025</v>
      </c>
    </row>
    <row r="1524" spans="1:14" x14ac:dyDescent="0.35">
      <c r="A1524" t="s">
        <v>3179</v>
      </c>
      <c r="B1524" s="1">
        <v>45258.663931909723</v>
      </c>
      <c r="C1524" t="s">
        <v>3180</v>
      </c>
      <c r="D1524" t="s">
        <v>19</v>
      </c>
      <c r="E1524" t="s">
        <v>148</v>
      </c>
      <c r="F1524">
        <v>5.5</v>
      </c>
      <c r="G1524">
        <v>3</v>
      </c>
      <c r="H1524" t="s">
        <v>14</v>
      </c>
      <c r="I1524" t="s">
        <v>21</v>
      </c>
      <c r="J1524" t="s">
        <v>71</v>
      </c>
      <c r="K1524">
        <f>Pqp_supermarket_data[[#This Row],[Unit_Price]]*Pqp_supermarket_data[[#This Row],[Quantity]]</f>
        <v>16.5</v>
      </c>
      <c r="L1524" t="str">
        <f>TEXT(Pqp_supermarket_data[[#This Row],[DateTime]],"ddd")</f>
        <v>Tue</v>
      </c>
      <c r="M1524" t="str">
        <f>TEXT(Pqp_supermarket_data[[#This Row],[DateTime]],"mmm")</f>
        <v>Nov</v>
      </c>
      <c r="N1524" t="str">
        <f>TEXT(Pqp_supermarket_data[[#This Row],[DateTime]],"yyy")</f>
        <v>2023</v>
      </c>
    </row>
    <row r="1525" spans="1:14" x14ac:dyDescent="0.35">
      <c r="A1525" t="s">
        <v>3181</v>
      </c>
      <c r="B1525" s="1">
        <v>44779.441709699073</v>
      </c>
      <c r="C1525" t="s">
        <v>3182</v>
      </c>
      <c r="D1525" t="s">
        <v>12</v>
      </c>
      <c r="E1525" t="s">
        <v>39</v>
      </c>
      <c r="F1525">
        <v>3.2</v>
      </c>
      <c r="G1525">
        <v>4</v>
      </c>
      <c r="H1525" t="s">
        <v>14</v>
      </c>
      <c r="I1525" t="s">
        <v>21</v>
      </c>
      <c r="J1525" t="s">
        <v>426</v>
      </c>
      <c r="K1525">
        <f>Pqp_supermarket_data[[#This Row],[Unit_Price]]*Pqp_supermarket_data[[#This Row],[Quantity]]</f>
        <v>12.8</v>
      </c>
      <c r="L1525" t="str">
        <f>TEXT(Pqp_supermarket_data[[#This Row],[DateTime]],"ddd")</f>
        <v>Sat</v>
      </c>
      <c r="M1525" t="str">
        <f>TEXT(Pqp_supermarket_data[[#This Row],[DateTime]],"mmm")</f>
        <v>Aug</v>
      </c>
      <c r="N1525" t="str">
        <f>TEXT(Pqp_supermarket_data[[#This Row],[DateTime]],"yyy")</f>
        <v>2022</v>
      </c>
    </row>
    <row r="1526" spans="1:14" x14ac:dyDescent="0.35">
      <c r="A1526" t="s">
        <v>3183</v>
      </c>
      <c r="B1526" s="1">
        <v>44556.447959699071</v>
      </c>
      <c r="C1526" t="s">
        <v>3184</v>
      </c>
      <c r="D1526" t="s">
        <v>44</v>
      </c>
      <c r="E1526" t="s">
        <v>49</v>
      </c>
      <c r="F1526">
        <v>7</v>
      </c>
      <c r="G1526">
        <v>7</v>
      </c>
      <c r="H1526" t="s">
        <v>14</v>
      </c>
      <c r="I1526" t="s">
        <v>36</v>
      </c>
      <c r="J1526" t="s">
        <v>230</v>
      </c>
      <c r="K1526">
        <f>Pqp_supermarket_data[[#This Row],[Unit_Price]]*Pqp_supermarket_data[[#This Row],[Quantity]]</f>
        <v>49</v>
      </c>
      <c r="L1526" t="str">
        <f>TEXT(Pqp_supermarket_data[[#This Row],[DateTime]],"ddd")</f>
        <v>Sun</v>
      </c>
      <c r="M1526" t="str">
        <f>TEXT(Pqp_supermarket_data[[#This Row],[DateTime]],"mmm")</f>
        <v>Dec</v>
      </c>
      <c r="N1526" t="str">
        <f>TEXT(Pqp_supermarket_data[[#This Row],[DateTime]],"yyy")</f>
        <v>2021</v>
      </c>
    </row>
    <row r="1527" spans="1:14" x14ac:dyDescent="0.35">
      <c r="A1527" t="s">
        <v>3185</v>
      </c>
      <c r="B1527" s="1">
        <v>44635.982681921298</v>
      </c>
      <c r="C1527" t="s">
        <v>3186</v>
      </c>
      <c r="D1527" t="s">
        <v>25</v>
      </c>
      <c r="E1527" t="s">
        <v>26</v>
      </c>
      <c r="F1527">
        <v>2.5</v>
      </c>
      <c r="G1527">
        <v>5</v>
      </c>
      <c r="H1527" t="s">
        <v>14</v>
      </c>
      <c r="I1527" t="s">
        <v>40</v>
      </c>
      <c r="J1527" t="s">
        <v>50</v>
      </c>
      <c r="K1527">
        <f>Pqp_supermarket_data[[#This Row],[Unit_Price]]*Pqp_supermarket_data[[#This Row],[Quantity]]</f>
        <v>12.5</v>
      </c>
      <c r="L1527" t="str">
        <f>TEXT(Pqp_supermarket_data[[#This Row],[DateTime]],"ddd")</f>
        <v>Tue</v>
      </c>
      <c r="M1527" t="str">
        <f>TEXT(Pqp_supermarket_data[[#This Row],[DateTime]],"mmm")</f>
        <v>Mar</v>
      </c>
      <c r="N1527" t="str">
        <f>TEXT(Pqp_supermarket_data[[#This Row],[DateTime]],"yyy")</f>
        <v>2022</v>
      </c>
    </row>
    <row r="1528" spans="1:14" x14ac:dyDescent="0.35">
      <c r="A1528" t="s">
        <v>3187</v>
      </c>
      <c r="B1528" s="1">
        <v>45607.431293043985</v>
      </c>
      <c r="C1528" t="s">
        <v>3188</v>
      </c>
      <c r="D1528" t="s">
        <v>44</v>
      </c>
      <c r="E1528" t="s">
        <v>119</v>
      </c>
      <c r="F1528">
        <v>4</v>
      </c>
      <c r="G1528">
        <v>4</v>
      </c>
      <c r="H1528" t="s">
        <v>14</v>
      </c>
      <c r="I1528" t="s">
        <v>36</v>
      </c>
      <c r="J1528" t="s">
        <v>233</v>
      </c>
      <c r="K1528">
        <f>Pqp_supermarket_data[[#This Row],[Unit_Price]]*Pqp_supermarket_data[[#This Row],[Quantity]]</f>
        <v>16</v>
      </c>
      <c r="L1528" t="str">
        <f>TEXT(Pqp_supermarket_data[[#This Row],[DateTime]],"ddd")</f>
        <v>Mon</v>
      </c>
      <c r="M1528" t="str">
        <f>TEXT(Pqp_supermarket_data[[#This Row],[DateTime]],"mmm")</f>
        <v>Nov</v>
      </c>
      <c r="N1528" t="str">
        <f>TEXT(Pqp_supermarket_data[[#This Row],[DateTime]],"yyy")</f>
        <v>2024</v>
      </c>
    </row>
    <row r="1529" spans="1:14" x14ac:dyDescent="0.35">
      <c r="A1529" t="s">
        <v>3189</v>
      </c>
      <c r="B1529" s="1">
        <v>44613.095876388892</v>
      </c>
      <c r="C1529" t="s">
        <v>3190</v>
      </c>
      <c r="D1529" t="s">
        <v>34</v>
      </c>
      <c r="E1529" t="s">
        <v>39</v>
      </c>
      <c r="F1529">
        <v>3.2</v>
      </c>
      <c r="G1529">
        <v>7</v>
      </c>
      <c r="H1529" t="s">
        <v>14</v>
      </c>
      <c r="I1529" t="s">
        <v>21</v>
      </c>
      <c r="J1529" t="s">
        <v>202</v>
      </c>
      <c r="K1529">
        <f>Pqp_supermarket_data[[#This Row],[Unit_Price]]*Pqp_supermarket_data[[#This Row],[Quantity]]</f>
        <v>22.400000000000002</v>
      </c>
      <c r="L1529" t="str">
        <f>TEXT(Pqp_supermarket_data[[#This Row],[DateTime]],"ddd")</f>
        <v>Mon</v>
      </c>
      <c r="M1529" t="str">
        <f>TEXT(Pqp_supermarket_data[[#This Row],[DateTime]],"mmm")</f>
        <v>Feb</v>
      </c>
      <c r="N1529" t="str">
        <f>TEXT(Pqp_supermarket_data[[#This Row],[DateTime]],"yyy")</f>
        <v>2022</v>
      </c>
    </row>
    <row r="1530" spans="1:14" x14ac:dyDescent="0.35">
      <c r="A1530" t="s">
        <v>3191</v>
      </c>
      <c r="B1530" s="1">
        <v>45783.182681979168</v>
      </c>
      <c r="C1530" t="s">
        <v>3192</v>
      </c>
      <c r="D1530" t="s">
        <v>171</v>
      </c>
      <c r="E1530" t="s">
        <v>20</v>
      </c>
      <c r="F1530">
        <v>1</v>
      </c>
      <c r="G1530">
        <v>4</v>
      </c>
      <c r="H1530" t="s">
        <v>14</v>
      </c>
      <c r="I1530" t="s">
        <v>86</v>
      </c>
      <c r="J1530" t="s">
        <v>22</v>
      </c>
      <c r="K1530">
        <f>Pqp_supermarket_data[[#This Row],[Unit_Price]]*Pqp_supermarket_data[[#This Row],[Quantity]]</f>
        <v>4</v>
      </c>
      <c r="L1530" t="str">
        <f>TEXT(Pqp_supermarket_data[[#This Row],[DateTime]],"ddd")</f>
        <v>Tue</v>
      </c>
      <c r="M1530" t="str">
        <f>TEXT(Pqp_supermarket_data[[#This Row],[DateTime]],"mmm")</f>
        <v>May</v>
      </c>
      <c r="N1530" t="str">
        <f>TEXT(Pqp_supermarket_data[[#This Row],[DateTime]],"yyy")</f>
        <v>2025</v>
      </c>
    </row>
    <row r="1531" spans="1:14" x14ac:dyDescent="0.35">
      <c r="A1531" t="s">
        <v>3193</v>
      </c>
      <c r="B1531" s="1">
        <v>45132.066015312499</v>
      </c>
      <c r="C1531" t="s">
        <v>3194</v>
      </c>
      <c r="D1531" t="s">
        <v>30</v>
      </c>
      <c r="E1531" t="s">
        <v>111</v>
      </c>
      <c r="F1531">
        <v>2.2000000000000002</v>
      </c>
      <c r="G1531">
        <v>9</v>
      </c>
      <c r="H1531" t="s">
        <v>14</v>
      </c>
      <c r="I1531" t="s">
        <v>36</v>
      </c>
      <c r="J1531" t="s">
        <v>538</v>
      </c>
      <c r="K1531">
        <f>Pqp_supermarket_data[[#This Row],[Unit_Price]]*Pqp_supermarket_data[[#This Row],[Quantity]]</f>
        <v>19.8</v>
      </c>
      <c r="L1531" t="str">
        <f>TEXT(Pqp_supermarket_data[[#This Row],[DateTime]],"ddd")</f>
        <v>Tue</v>
      </c>
      <c r="M1531" t="str">
        <f>TEXT(Pqp_supermarket_data[[#This Row],[DateTime]],"mmm")</f>
        <v>Jul</v>
      </c>
      <c r="N1531" t="str">
        <f>TEXT(Pqp_supermarket_data[[#This Row],[DateTime]],"yyy")</f>
        <v>2023</v>
      </c>
    </row>
    <row r="1532" spans="1:14" x14ac:dyDescent="0.35">
      <c r="A1532" t="s">
        <v>3195</v>
      </c>
      <c r="B1532" s="1">
        <v>44577.263932002315</v>
      </c>
      <c r="C1532" t="s">
        <v>3196</v>
      </c>
      <c r="D1532" t="s">
        <v>82</v>
      </c>
      <c r="E1532" t="s">
        <v>35</v>
      </c>
      <c r="F1532">
        <v>1.2</v>
      </c>
      <c r="G1532">
        <v>9</v>
      </c>
      <c r="H1532" t="s">
        <v>14</v>
      </c>
      <c r="I1532" t="s">
        <v>86</v>
      </c>
      <c r="J1532" t="s">
        <v>79</v>
      </c>
      <c r="K1532">
        <f>Pqp_supermarket_data[[#This Row],[Unit_Price]]*Pqp_supermarket_data[[#This Row],[Quantity]]</f>
        <v>10.799999999999999</v>
      </c>
      <c r="L1532" t="str">
        <f>TEXT(Pqp_supermarket_data[[#This Row],[DateTime]],"ddd")</f>
        <v>Sun</v>
      </c>
      <c r="M1532" t="str">
        <f>TEXT(Pqp_supermarket_data[[#This Row],[DateTime]],"mmm")</f>
        <v>Jan</v>
      </c>
      <c r="N1532" t="str">
        <f>TEXT(Pqp_supermarket_data[[#This Row],[DateTime]],"yyy")</f>
        <v>2022</v>
      </c>
    </row>
    <row r="1533" spans="1:14" x14ac:dyDescent="0.35">
      <c r="A1533" t="s">
        <v>3197</v>
      </c>
      <c r="B1533" s="1">
        <v>45490.14795979167</v>
      </c>
      <c r="C1533" t="s">
        <v>3198</v>
      </c>
      <c r="D1533" t="s">
        <v>25</v>
      </c>
      <c r="E1533" t="s">
        <v>115</v>
      </c>
      <c r="F1533">
        <v>1.5</v>
      </c>
      <c r="G1533">
        <v>8</v>
      </c>
      <c r="H1533" t="s">
        <v>14</v>
      </c>
      <c r="I1533" t="s">
        <v>15</v>
      </c>
      <c r="J1533" t="s">
        <v>273</v>
      </c>
      <c r="K1533">
        <f>Pqp_supermarket_data[[#This Row],[Unit_Price]]*Pqp_supermarket_data[[#This Row],[Quantity]]</f>
        <v>12</v>
      </c>
      <c r="L1533" t="str">
        <f>TEXT(Pqp_supermarket_data[[#This Row],[DateTime]],"ddd")</f>
        <v>Wed</v>
      </c>
      <c r="M1533" t="str">
        <f>TEXT(Pqp_supermarket_data[[#This Row],[DateTime]],"mmm")</f>
        <v>Jul</v>
      </c>
      <c r="N1533" t="str">
        <f>TEXT(Pqp_supermarket_data[[#This Row],[DateTime]],"yyy")</f>
        <v>2024</v>
      </c>
    </row>
    <row r="1534" spans="1:14" x14ac:dyDescent="0.35">
      <c r="A1534" t="s">
        <v>3199</v>
      </c>
      <c r="B1534" s="1">
        <v>45206.360459791664</v>
      </c>
      <c r="C1534" t="s">
        <v>3200</v>
      </c>
      <c r="D1534" t="s">
        <v>30</v>
      </c>
      <c r="E1534" t="s">
        <v>137</v>
      </c>
      <c r="F1534">
        <v>2.5</v>
      </c>
      <c r="G1534">
        <v>10</v>
      </c>
      <c r="H1534" t="s">
        <v>14</v>
      </c>
      <c r="I1534" t="s">
        <v>61</v>
      </c>
      <c r="J1534" t="s">
        <v>245</v>
      </c>
      <c r="K1534">
        <f>Pqp_supermarket_data[[#This Row],[Unit_Price]]*Pqp_supermarket_data[[#This Row],[Quantity]]</f>
        <v>25</v>
      </c>
      <c r="L1534" t="str">
        <f>TEXT(Pqp_supermarket_data[[#This Row],[DateTime]],"ddd")</f>
        <v>Sat</v>
      </c>
      <c r="M1534" t="str">
        <f>TEXT(Pqp_supermarket_data[[#This Row],[DateTime]],"mmm")</f>
        <v>Oct</v>
      </c>
      <c r="N1534" t="str">
        <f>TEXT(Pqp_supermarket_data[[#This Row],[DateTime]],"yyy")</f>
        <v>2023</v>
      </c>
    </row>
    <row r="1535" spans="1:14" x14ac:dyDescent="0.35">
      <c r="A1535" t="s">
        <v>3201</v>
      </c>
      <c r="B1535" s="1">
        <v>44757.638237581021</v>
      </c>
      <c r="C1535" t="s">
        <v>3202</v>
      </c>
      <c r="D1535" t="s">
        <v>127</v>
      </c>
      <c r="E1535" t="s">
        <v>119</v>
      </c>
      <c r="F1535">
        <v>4</v>
      </c>
      <c r="G1535">
        <v>8</v>
      </c>
      <c r="H1535" t="s">
        <v>14</v>
      </c>
      <c r="I1535" t="s">
        <v>36</v>
      </c>
      <c r="J1535" t="s">
        <v>163</v>
      </c>
      <c r="K1535">
        <f>Pqp_supermarket_data[[#This Row],[Unit_Price]]*Pqp_supermarket_data[[#This Row],[Quantity]]</f>
        <v>32</v>
      </c>
      <c r="L1535" t="str">
        <f>TEXT(Pqp_supermarket_data[[#This Row],[DateTime]],"ddd")</f>
        <v>Fri</v>
      </c>
      <c r="M1535" t="str">
        <f>TEXT(Pqp_supermarket_data[[#This Row],[DateTime]],"mmm")</f>
        <v>Jul</v>
      </c>
      <c r="N1535" t="str">
        <f>TEXT(Pqp_supermarket_data[[#This Row],[DateTime]],"yyy")</f>
        <v>2022</v>
      </c>
    </row>
    <row r="1536" spans="1:14" x14ac:dyDescent="0.35">
      <c r="A1536" t="s">
        <v>3203</v>
      </c>
      <c r="B1536" s="1">
        <v>44773.153515405094</v>
      </c>
      <c r="C1536" t="s">
        <v>3204</v>
      </c>
      <c r="D1536" t="s">
        <v>82</v>
      </c>
      <c r="E1536" t="s">
        <v>137</v>
      </c>
      <c r="F1536">
        <v>2.5</v>
      </c>
      <c r="G1536">
        <v>6</v>
      </c>
      <c r="H1536" t="s">
        <v>14</v>
      </c>
      <c r="I1536" t="s">
        <v>15</v>
      </c>
      <c r="J1536" t="s">
        <v>541</v>
      </c>
      <c r="K1536">
        <f>Pqp_supermarket_data[[#This Row],[Unit_Price]]*Pqp_supermarket_data[[#This Row],[Quantity]]</f>
        <v>15</v>
      </c>
      <c r="L1536" t="str">
        <f>TEXT(Pqp_supermarket_data[[#This Row],[DateTime]],"ddd")</f>
        <v>Sun</v>
      </c>
      <c r="M1536" t="str">
        <f>TEXT(Pqp_supermarket_data[[#This Row],[DateTime]],"mmm")</f>
        <v>Jul</v>
      </c>
      <c r="N1536" t="str">
        <f>TEXT(Pqp_supermarket_data[[#This Row],[DateTime]],"yyy")</f>
        <v>2022</v>
      </c>
    </row>
    <row r="1537" spans="1:14" x14ac:dyDescent="0.35">
      <c r="A1537" t="s">
        <v>3205</v>
      </c>
      <c r="B1537" s="1">
        <v>45354.560459849534</v>
      </c>
      <c r="C1537" t="s">
        <v>3206</v>
      </c>
      <c r="D1537" t="s">
        <v>226</v>
      </c>
      <c r="E1537" t="s">
        <v>26</v>
      </c>
      <c r="F1537">
        <v>2.5</v>
      </c>
      <c r="G1537">
        <v>1</v>
      </c>
      <c r="H1537" t="s">
        <v>14</v>
      </c>
      <c r="I1537" t="s">
        <v>15</v>
      </c>
      <c r="J1537" t="s">
        <v>723</v>
      </c>
      <c r="K1537">
        <f>Pqp_supermarket_data[[#This Row],[Unit_Price]]*Pqp_supermarket_data[[#This Row],[Quantity]]</f>
        <v>2.5</v>
      </c>
      <c r="L1537" t="str">
        <f>TEXT(Pqp_supermarket_data[[#This Row],[DateTime]],"ddd")</f>
        <v>Sun</v>
      </c>
      <c r="M1537" t="str">
        <f>TEXT(Pqp_supermarket_data[[#This Row],[DateTime]],"mmm")</f>
        <v>Mar</v>
      </c>
      <c r="N1537" t="str">
        <f>TEXT(Pqp_supermarket_data[[#This Row],[DateTime]],"yyy")</f>
        <v>2024</v>
      </c>
    </row>
    <row r="1538" spans="1:14" x14ac:dyDescent="0.35">
      <c r="A1538" t="s">
        <v>3207</v>
      </c>
      <c r="B1538" s="1">
        <v>44984.148654305558</v>
      </c>
      <c r="C1538" t="s">
        <v>3208</v>
      </c>
      <c r="D1538" t="s">
        <v>30</v>
      </c>
      <c r="E1538" t="s">
        <v>94</v>
      </c>
      <c r="F1538">
        <v>0.8</v>
      </c>
      <c r="G1538">
        <v>1</v>
      </c>
      <c r="H1538" t="s">
        <v>14</v>
      </c>
      <c r="I1538" t="s">
        <v>21</v>
      </c>
      <c r="J1538" t="s">
        <v>662</v>
      </c>
      <c r="K1538">
        <f>Pqp_supermarket_data[[#This Row],[Unit_Price]]*Pqp_supermarket_data[[#This Row],[Quantity]]</f>
        <v>0.8</v>
      </c>
      <c r="L1538" t="str">
        <f>TEXT(Pqp_supermarket_data[[#This Row],[DateTime]],"ddd")</f>
        <v>Mon</v>
      </c>
      <c r="M1538" t="str">
        <f>TEXT(Pqp_supermarket_data[[#This Row],[DateTime]],"mmm")</f>
        <v>Feb</v>
      </c>
      <c r="N1538" t="str">
        <f>TEXT(Pqp_supermarket_data[[#This Row],[DateTime]],"yyy")</f>
        <v>2023</v>
      </c>
    </row>
    <row r="1539" spans="1:14" x14ac:dyDescent="0.35">
      <c r="A1539" t="s">
        <v>3209</v>
      </c>
      <c r="B1539" s="1">
        <v>45094.988237638892</v>
      </c>
      <c r="C1539" t="s">
        <v>3210</v>
      </c>
      <c r="D1539" t="s">
        <v>98</v>
      </c>
      <c r="E1539" t="s">
        <v>53</v>
      </c>
      <c r="F1539">
        <v>2.8</v>
      </c>
      <c r="G1539">
        <v>7</v>
      </c>
      <c r="H1539" t="s">
        <v>14</v>
      </c>
      <c r="I1539" t="s">
        <v>86</v>
      </c>
      <c r="J1539" t="s">
        <v>205</v>
      </c>
      <c r="K1539">
        <f>Pqp_supermarket_data[[#This Row],[Unit_Price]]*Pqp_supermarket_data[[#This Row],[Quantity]]</f>
        <v>19.599999999999998</v>
      </c>
      <c r="L1539" t="str">
        <f>TEXT(Pqp_supermarket_data[[#This Row],[DateTime]],"ddd")</f>
        <v>Sat</v>
      </c>
      <c r="M1539" t="str">
        <f>TEXT(Pqp_supermarket_data[[#This Row],[DateTime]],"mmm")</f>
        <v>Jun</v>
      </c>
      <c r="N1539" t="str">
        <f>TEXT(Pqp_supermarket_data[[#This Row],[DateTime]],"yyy")</f>
        <v>2023</v>
      </c>
    </row>
    <row r="1540" spans="1:14" x14ac:dyDescent="0.35">
      <c r="A1540" t="s">
        <v>3211</v>
      </c>
      <c r="B1540" s="1">
        <v>44704.588932106482</v>
      </c>
      <c r="C1540" t="s">
        <v>3212</v>
      </c>
      <c r="D1540" t="s">
        <v>127</v>
      </c>
      <c r="E1540" t="s">
        <v>78</v>
      </c>
      <c r="F1540">
        <v>4</v>
      </c>
      <c r="G1540">
        <v>9</v>
      </c>
      <c r="H1540" t="s">
        <v>14</v>
      </c>
      <c r="I1540" t="s">
        <v>86</v>
      </c>
      <c r="J1540" t="s">
        <v>58</v>
      </c>
      <c r="K1540">
        <f>Pqp_supermarket_data[[#This Row],[Unit_Price]]*Pqp_supermarket_data[[#This Row],[Quantity]]</f>
        <v>36</v>
      </c>
      <c r="L1540" t="str">
        <f>TEXT(Pqp_supermarket_data[[#This Row],[DateTime]],"ddd")</f>
        <v>Mon</v>
      </c>
      <c r="M1540" t="str">
        <f>TEXT(Pqp_supermarket_data[[#This Row],[DateTime]],"mmm")</f>
        <v>May</v>
      </c>
      <c r="N1540" t="str">
        <f>TEXT(Pqp_supermarket_data[[#This Row],[DateTime]],"yyy")</f>
        <v>2022</v>
      </c>
    </row>
    <row r="1541" spans="1:14" x14ac:dyDescent="0.35">
      <c r="A1541" t="s">
        <v>3213</v>
      </c>
      <c r="B1541" s="1">
        <v>45518.109765439818</v>
      </c>
      <c r="C1541" t="s">
        <v>3214</v>
      </c>
      <c r="D1541" t="s">
        <v>226</v>
      </c>
      <c r="E1541" t="s">
        <v>119</v>
      </c>
      <c r="F1541">
        <v>4</v>
      </c>
      <c r="G1541">
        <v>1</v>
      </c>
      <c r="H1541" t="s">
        <v>14</v>
      </c>
      <c r="I1541" t="s">
        <v>36</v>
      </c>
      <c r="J1541" t="s">
        <v>108</v>
      </c>
      <c r="K1541">
        <f>Pqp_supermarket_data[[#This Row],[Unit_Price]]*Pqp_supermarket_data[[#This Row],[Quantity]]</f>
        <v>4</v>
      </c>
      <c r="L1541" t="str">
        <f>TEXT(Pqp_supermarket_data[[#This Row],[DateTime]],"ddd")</f>
        <v>Wed</v>
      </c>
      <c r="M1541" t="str">
        <f>TEXT(Pqp_supermarket_data[[#This Row],[DateTime]],"mmm")</f>
        <v>Aug</v>
      </c>
      <c r="N1541" t="str">
        <f>TEXT(Pqp_supermarket_data[[#This Row],[DateTime]],"yyy")</f>
        <v>2024</v>
      </c>
    </row>
    <row r="1542" spans="1:14" x14ac:dyDescent="0.35">
      <c r="A1542" t="s">
        <v>3215</v>
      </c>
      <c r="B1542" s="1">
        <v>44848.719487662034</v>
      </c>
      <c r="C1542" t="s">
        <v>3216</v>
      </c>
      <c r="D1542" t="s">
        <v>171</v>
      </c>
      <c r="E1542" t="s">
        <v>111</v>
      </c>
      <c r="F1542">
        <v>2.2000000000000002</v>
      </c>
      <c r="G1542">
        <v>8</v>
      </c>
      <c r="H1542" t="s">
        <v>14</v>
      </c>
      <c r="I1542" t="s">
        <v>36</v>
      </c>
      <c r="J1542" t="s">
        <v>470</v>
      </c>
      <c r="K1542">
        <f>Pqp_supermarket_data[[#This Row],[Unit_Price]]*Pqp_supermarket_data[[#This Row],[Quantity]]</f>
        <v>17.600000000000001</v>
      </c>
      <c r="L1542" t="str">
        <f>TEXT(Pqp_supermarket_data[[#This Row],[DateTime]],"ddd")</f>
        <v>Fri</v>
      </c>
      <c r="M1542" t="str">
        <f>TEXT(Pqp_supermarket_data[[#This Row],[DateTime]],"mmm")</f>
        <v>Oct</v>
      </c>
      <c r="N1542" t="str">
        <f>TEXT(Pqp_supermarket_data[[#This Row],[DateTime]],"yyy")</f>
        <v>2022</v>
      </c>
    </row>
    <row r="1543" spans="1:14" x14ac:dyDescent="0.35">
      <c r="A1543" t="s">
        <v>3217</v>
      </c>
      <c r="B1543" s="1">
        <v>45190.384071006942</v>
      </c>
      <c r="C1543" t="s">
        <v>3218</v>
      </c>
      <c r="D1543" t="s">
        <v>25</v>
      </c>
      <c r="E1543" t="s">
        <v>78</v>
      </c>
      <c r="F1543">
        <v>4</v>
      </c>
      <c r="G1543">
        <v>1</v>
      </c>
      <c r="H1543" t="s">
        <v>14</v>
      </c>
      <c r="I1543" t="s">
        <v>61</v>
      </c>
      <c r="J1543" t="s">
        <v>105</v>
      </c>
      <c r="K1543">
        <f>Pqp_supermarket_data[[#This Row],[Unit_Price]]*Pqp_supermarket_data[[#This Row],[Quantity]]</f>
        <v>4</v>
      </c>
      <c r="L1543" t="str">
        <f>TEXT(Pqp_supermarket_data[[#This Row],[DateTime]],"ddd")</f>
        <v>Thu</v>
      </c>
      <c r="M1543" t="str">
        <f>TEXT(Pqp_supermarket_data[[#This Row],[DateTime]],"mmm")</f>
        <v>Sep</v>
      </c>
      <c r="N1543" t="str">
        <f>TEXT(Pqp_supermarket_data[[#This Row],[DateTime]],"yyy")</f>
        <v>2023</v>
      </c>
    </row>
    <row r="1544" spans="1:14" x14ac:dyDescent="0.35">
      <c r="A1544" t="s">
        <v>3219</v>
      </c>
      <c r="B1544" s="1">
        <v>44608.40490436343</v>
      </c>
      <c r="C1544" t="s">
        <v>3220</v>
      </c>
      <c r="D1544" t="s">
        <v>226</v>
      </c>
      <c r="E1544" t="s">
        <v>111</v>
      </c>
      <c r="F1544">
        <v>2.2000000000000002</v>
      </c>
      <c r="G1544">
        <v>7</v>
      </c>
      <c r="H1544" t="s">
        <v>14</v>
      </c>
      <c r="I1544" t="s">
        <v>86</v>
      </c>
      <c r="J1544" t="s">
        <v>255</v>
      </c>
      <c r="K1544">
        <f>Pqp_supermarket_data[[#This Row],[Unit_Price]]*Pqp_supermarket_data[[#This Row],[Quantity]]</f>
        <v>15.400000000000002</v>
      </c>
      <c r="L1544" t="str">
        <f>TEXT(Pqp_supermarket_data[[#This Row],[DateTime]],"ddd")</f>
        <v>Wed</v>
      </c>
      <c r="M1544" t="str">
        <f>TEXT(Pqp_supermarket_data[[#This Row],[DateTime]],"mmm")</f>
        <v>Feb</v>
      </c>
      <c r="N1544" t="str">
        <f>TEXT(Pqp_supermarket_data[[#This Row],[DateTime]],"yyy")</f>
        <v>2022</v>
      </c>
    </row>
    <row r="1545" spans="1:14" x14ac:dyDescent="0.35">
      <c r="A1545" t="s">
        <v>3221</v>
      </c>
      <c r="B1545" s="1">
        <v>45442.513932141206</v>
      </c>
      <c r="C1545" t="s">
        <v>3222</v>
      </c>
      <c r="D1545" t="s">
        <v>44</v>
      </c>
      <c r="E1545" t="s">
        <v>115</v>
      </c>
      <c r="F1545">
        <v>1.5</v>
      </c>
      <c r="G1545">
        <v>3</v>
      </c>
      <c r="H1545" t="s">
        <v>14</v>
      </c>
      <c r="I1545" t="s">
        <v>40</v>
      </c>
      <c r="J1545" t="s">
        <v>172</v>
      </c>
      <c r="K1545">
        <f>Pqp_supermarket_data[[#This Row],[Unit_Price]]*Pqp_supermarket_data[[#This Row],[Quantity]]</f>
        <v>4.5</v>
      </c>
      <c r="L1545" t="str">
        <f>TEXT(Pqp_supermarket_data[[#This Row],[DateTime]],"ddd")</f>
        <v>Thu</v>
      </c>
      <c r="M1545" t="str">
        <f>TEXT(Pqp_supermarket_data[[#This Row],[DateTime]],"mmm")</f>
        <v>May</v>
      </c>
      <c r="N1545" t="str">
        <f>TEXT(Pqp_supermarket_data[[#This Row],[DateTime]],"yyy")</f>
        <v>2024</v>
      </c>
    </row>
    <row r="1546" spans="1:14" x14ac:dyDescent="0.35">
      <c r="A1546" t="s">
        <v>3223</v>
      </c>
      <c r="B1546" s="1">
        <v>44730.711848819446</v>
      </c>
      <c r="C1546" t="s">
        <v>3224</v>
      </c>
      <c r="D1546" t="s">
        <v>171</v>
      </c>
      <c r="E1546" t="s">
        <v>145</v>
      </c>
      <c r="F1546">
        <v>1.7</v>
      </c>
      <c r="G1546">
        <v>3</v>
      </c>
      <c r="H1546" t="s">
        <v>14</v>
      </c>
      <c r="I1546" t="s">
        <v>36</v>
      </c>
      <c r="J1546" t="s">
        <v>105</v>
      </c>
      <c r="K1546">
        <f>Pqp_supermarket_data[[#This Row],[Unit_Price]]*Pqp_supermarket_data[[#This Row],[Quantity]]</f>
        <v>5.0999999999999996</v>
      </c>
      <c r="L1546" t="str">
        <f>TEXT(Pqp_supermarket_data[[#This Row],[DateTime]],"ddd")</f>
        <v>Sat</v>
      </c>
      <c r="M1546" t="str">
        <f>TEXT(Pqp_supermarket_data[[#This Row],[DateTime]],"mmm")</f>
        <v>Jun</v>
      </c>
      <c r="N1546" t="str">
        <f>TEXT(Pqp_supermarket_data[[#This Row],[DateTime]],"yyy")</f>
        <v>2022</v>
      </c>
    </row>
    <row r="1547" spans="1:14" x14ac:dyDescent="0.35">
      <c r="A1547" t="s">
        <v>3225</v>
      </c>
      <c r="B1547" s="1">
        <v>44959.266709942131</v>
      </c>
      <c r="C1547" t="s">
        <v>3226</v>
      </c>
      <c r="D1547" t="s">
        <v>77</v>
      </c>
      <c r="E1547" t="s">
        <v>26</v>
      </c>
      <c r="F1547">
        <v>2.5</v>
      </c>
      <c r="G1547">
        <v>7</v>
      </c>
      <c r="H1547" t="s">
        <v>14</v>
      </c>
      <c r="I1547" t="s">
        <v>86</v>
      </c>
      <c r="J1547" t="s">
        <v>108</v>
      </c>
      <c r="K1547">
        <f>Pqp_supermarket_data[[#This Row],[Unit_Price]]*Pqp_supermarket_data[[#This Row],[Quantity]]</f>
        <v>17.5</v>
      </c>
      <c r="L1547" t="str">
        <f>TEXT(Pqp_supermarket_data[[#This Row],[DateTime]],"ddd")</f>
        <v>Thu</v>
      </c>
      <c r="M1547" t="str">
        <f>TEXT(Pqp_supermarket_data[[#This Row],[DateTime]],"mmm")</f>
        <v>Feb</v>
      </c>
      <c r="N1547" t="str">
        <f>TEXT(Pqp_supermarket_data[[#This Row],[DateTime]],"yyy")</f>
        <v>2023</v>
      </c>
    </row>
    <row r="1548" spans="1:14" x14ac:dyDescent="0.35">
      <c r="A1548" t="s">
        <v>3227</v>
      </c>
      <c r="B1548" s="1">
        <v>44377.760459942132</v>
      </c>
      <c r="C1548" t="s">
        <v>3228</v>
      </c>
      <c r="D1548" t="s">
        <v>30</v>
      </c>
      <c r="E1548" t="s">
        <v>49</v>
      </c>
      <c r="F1548">
        <v>7</v>
      </c>
      <c r="G1548">
        <v>2</v>
      </c>
      <c r="H1548" t="s">
        <v>14</v>
      </c>
      <c r="I1548" t="s">
        <v>86</v>
      </c>
      <c r="J1548" t="s">
        <v>189</v>
      </c>
      <c r="K1548">
        <f>Pqp_supermarket_data[[#This Row],[Unit_Price]]*Pqp_supermarket_data[[#This Row],[Quantity]]</f>
        <v>14</v>
      </c>
      <c r="L1548" t="str">
        <f>TEXT(Pqp_supermarket_data[[#This Row],[DateTime]],"ddd")</f>
        <v>Wed</v>
      </c>
      <c r="M1548" t="str">
        <f>TEXT(Pqp_supermarket_data[[#This Row],[DateTime]],"mmm")</f>
        <v>Jun</v>
      </c>
      <c r="N1548" t="str">
        <f>TEXT(Pqp_supermarket_data[[#This Row],[DateTime]],"yyy")</f>
        <v>2021</v>
      </c>
    </row>
    <row r="1549" spans="1:14" x14ac:dyDescent="0.35">
      <c r="A1549" t="s">
        <v>3229</v>
      </c>
      <c r="B1549" s="1">
        <v>45004.198654444444</v>
      </c>
      <c r="C1549" t="s">
        <v>3230</v>
      </c>
      <c r="D1549" t="s">
        <v>30</v>
      </c>
      <c r="E1549" t="s">
        <v>70</v>
      </c>
      <c r="F1549">
        <v>5</v>
      </c>
      <c r="G1549">
        <v>6</v>
      </c>
      <c r="H1549" t="s">
        <v>14</v>
      </c>
      <c r="I1549" t="s">
        <v>40</v>
      </c>
      <c r="J1549" t="s">
        <v>172</v>
      </c>
      <c r="K1549">
        <f>Pqp_supermarket_data[[#This Row],[Unit_Price]]*Pqp_supermarket_data[[#This Row],[Quantity]]</f>
        <v>30</v>
      </c>
      <c r="L1549" t="str">
        <f>TEXT(Pqp_supermarket_data[[#This Row],[DateTime]],"ddd")</f>
        <v>Sun</v>
      </c>
      <c r="M1549" t="str">
        <f>TEXT(Pqp_supermarket_data[[#This Row],[DateTime]],"mmm")</f>
        <v>Mar</v>
      </c>
      <c r="N1549" t="str">
        <f>TEXT(Pqp_supermarket_data[[#This Row],[DateTime]],"yyy")</f>
        <v>2023</v>
      </c>
    </row>
    <row r="1550" spans="1:14" x14ac:dyDescent="0.35">
      <c r="A1550" t="s">
        <v>3231</v>
      </c>
      <c r="B1550" s="1">
        <v>45548.471571111113</v>
      </c>
      <c r="C1550" t="s">
        <v>3232</v>
      </c>
      <c r="D1550" t="s">
        <v>98</v>
      </c>
      <c r="E1550" t="s">
        <v>90</v>
      </c>
      <c r="F1550">
        <v>1.8</v>
      </c>
      <c r="G1550">
        <v>4</v>
      </c>
      <c r="H1550" t="s">
        <v>14</v>
      </c>
      <c r="I1550" t="s">
        <v>40</v>
      </c>
      <c r="J1550" t="s">
        <v>131</v>
      </c>
      <c r="K1550">
        <f>Pqp_supermarket_data[[#This Row],[Unit_Price]]*Pqp_supermarket_data[[#This Row],[Quantity]]</f>
        <v>7.2</v>
      </c>
      <c r="L1550" t="str">
        <f>TEXT(Pqp_supermarket_data[[#This Row],[DateTime]],"ddd")</f>
        <v>Fri</v>
      </c>
      <c r="M1550" t="str">
        <f>TEXT(Pqp_supermarket_data[[#This Row],[DateTime]],"mmm")</f>
        <v>Sep</v>
      </c>
      <c r="N1550" t="str">
        <f>TEXT(Pqp_supermarket_data[[#This Row],[DateTime]],"yyy")</f>
        <v>2024</v>
      </c>
    </row>
    <row r="1551" spans="1:14" x14ac:dyDescent="0.35">
      <c r="A1551" t="s">
        <v>3233</v>
      </c>
      <c r="B1551" s="1">
        <v>44612.788932222225</v>
      </c>
      <c r="C1551" t="s">
        <v>3234</v>
      </c>
      <c r="D1551" t="s">
        <v>127</v>
      </c>
      <c r="E1551" t="s">
        <v>148</v>
      </c>
      <c r="F1551">
        <v>5.5</v>
      </c>
      <c r="G1551">
        <v>10</v>
      </c>
      <c r="H1551" t="s">
        <v>14</v>
      </c>
      <c r="I1551" t="s">
        <v>15</v>
      </c>
      <c r="J1551" t="s">
        <v>423</v>
      </c>
      <c r="K1551">
        <f>Pqp_supermarket_data[[#This Row],[Unit_Price]]*Pqp_supermarket_data[[#This Row],[Quantity]]</f>
        <v>55</v>
      </c>
      <c r="L1551" t="str">
        <f>TEXT(Pqp_supermarket_data[[#This Row],[DateTime]],"ddd")</f>
        <v>Sun</v>
      </c>
      <c r="M1551" t="str">
        <f>TEXT(Pqp_supermarket_data[[#This Row],[DateTime]],"mmm")</f>
        <v>Feb</v>
      </c>
      <c r="N1551" t="str">
        <f>TEXT(Pqp_supermarket_data[[#This Row],[DateTime]],"yyy")</f>
        <v>2022</v>
      </c>
    </row>
    <row r="1552" spans="1:14" x14ac:dyDescent="0.35">
      <c r="A1552" t="s">
        <v>3235</v>
      </c>
      <c r="B1552" s="1">
        <v>44794.695876678241</v>
      </c>
      <c r="C1552" t="s">
        <v>3236</v>
      </c>
      <c r="D1552" t="s">
        <v>82</v>
      </c>
      <c r="E1552" t="s">
        <v>57</v>
      </c>
      <c r="F1552">
        <v>4.5</v>
      </c>
      <c r="G1552">
        <v>10</v>
      </c>
      <c r="H1552" t="s">
        <v>14</v>
      </c>
      <c r="I1552" t="s">
        <v>15</v>
      </c>
      <c r="J1552" t="s">
        <v>58</v>
      </c>
      <c r="K1552">
        <f>Pqp_supermarket_data[[#This Row],[Unit_Price]]*Pqp_supermarket_data[[#This Row],[Quantity]]</f>
        <v>45</v>
      </c>
      <c r="L1552" t="str">
        <f>TEXT(Pqp_supermarket_data[[#This Row],[DateTime]],"ddd")</f>
        <v>Sun</v>
      </c>
      <c r="M1552" t="str">
        <f>TEXT(Pqp_supermarket_data[[#This Row],[DateTime]],"mmm")</f>
        <v>Aug</v>
      </c>
      <c r="N1552" t="str">
        <f>TEXT(Pqp_supermarket_data[[#This Row],[DateTime]],"yyy")</f>
        <v>2022</v>
      </c>
    </row>
    <row r="1553" spans="1:14" x14ac:dyDescent="0.35">
      <c r="A1553" t="s">
        <v>3237</v>
      </c>
      <c r="B1553" s="1">
        <v>45120.445182233794</v>
      </c>
      <c r="C1553" t="s">
        <v>3238</v>
      </c>
      <c r="D1553" t="s">
        <v>19</v>
      </c>
      <c r="E1553" t="s">
        <v>20</v>
      </c>
      <c r="F1553">
        <v>1</v>
      </c>
      <c r="G1553">
        <v>3</v>
      </c>
      <c r="H1553" t="s">
        <v>14</v>
      </c>
      <c r="I1553" t="s">
        <v>86</v>
      </c>
      <c r="J1553" t="s">
        <v>160</v>
      </c>
      <c r="K1553">
        <f>Pqp_supermarket_data[[#This Row],[Unit_Price]]*Pqp_supermarket_data[[#This Row],[Quantity]]</f>
        <v>3</v>
      </c>
      <c r="L1553" t="str">
        <f>TEXT(Pqp_supermarket_data[[#This Row],[DateTime]],"ddd")</f>
        <v>Thu</v>
      </c>
      <c r="M1553" t="str">
        <f>TEXT(Pqp_supermarket_data[[#This Row],[DateTime]],"mmm")</f>
        <v>Jul</v>
      </c>
      <c r="N1553" t="str">
        <f>TEXT(Pqp_supermarket_data[[#This Row],[DateTime]],"yyy")</f>
        <v>2023</v>
      </c>
    </row>
    <row r="1554" spans="1:14" x14ac:dyDescent="0.35">
      <c r="A1554" t="s">
        <v>3239</v>
      </c>
      <c r="B1554" s="1">
        <v>45746.035460023151</v>
      </c>
      <c r="C1554" t="s">
        <v>3240</v>
      </c>
      <c r="D1554" t="s">
        <v>34</v>
      </c>
      <c r="E1554" t="s">
        <v>20</v>
      </c>
      <c r="F1554">
        <v>1</v>
      </c>
      <c r="G1554">
        <v>9</v>
      </c>
      <c r="H1554" t="s">
        <v>14</v>
      </c>
      <c r="I1554" t="s">
        <v>86</v>
      </c>
      <c r="J1554" t="s">
        <v>95</v>
      </c>
      <c r="K1554">
        <f>Pqp_supermarket_data[[#This Row],[Unit_Price]]*Pqp_supermarket_data[[#This Row],[Quantity]]</f>
        <v>9</v>
      </c>
      <c r="L1554" t="str">
        <f>TEXT(Pqp_supermarket_data[[#This Row],[DateTime]],"ddd")</f>
        <v>Sun</v>
      </c>
      <c r="M1554" t="str">
        <f>TEXT(Pqp_supermarket_data[[#This Row],[DateTime]],"mmm")</f>
        <v>Mar</v>
      </c>
      <c r="N1554" t="str">
        <f>TEXT(Pqp_supermarket_data[[#This Row],[DateTime]],"yyy")</f>
        <v>2025</v>
      </c>
    </row>
    <row r="1555" spans="1:14" x14ac:dyDescent="0.35">
      <c r="A1555" t="s">
        <v>3241</v>
      </c>
      <c r="B1555" s="1">
        <v>44723.786154467591</v>
      </c>
      <c r="C1555" t="s">
        <v>3242</v>
      </c>
      <c r="D1555" t="s">
        <v>12</v>
      </c>
      <c r="E1555" t="s">
        <v>148</v>
      </c>
      <c r="F1555">
        <v>5.5</v>
      </c>
      <c r="G1555">
        <v>4</v>
      </c>
      <c r="H1555" t="s">
        <v>14</v>
      </c>
      <c r="I1555" t="s">
        <v>36</v>
      </c>
      <c r="J1555" t="s">
        <v>172</v>
      </c>
      <c r="K1555">
        <f>Pqp_supermarket_data[[#This Row],[Unit_Price]]*Pqp_supermarket_data[[#This Row],[Quantity]]</f>
        <v>22</v>
      </c>
      <c r="L1555" t="str">
        <f>TEXT(Pqp_supermarket_data[[#This Row],[DateTime]],"ddd")</f>
        <v>Sat</v>
      </c>
      <c r="M1555" t="str">
        <f>TEXT(Pqp_supermarket_data[[#This Row],[DateTime]],"mmm")</f>
        <v>Jun</v>
      </c>
      <c r="N1555" t="str">
        <f>TEXT(Pqp_supermarket_data[[#This Row],[DateTime]],"yyy")</f>
        <v>2022</v>
      </c>
    </row>
    <row r="1556" spans="1:14" x14ac:dyDescent="0.35">
      <c r="A1556" t="s">
        <v>3243</v>
      </c>
      <c r="B1556" s="1">
        <v>45415.737543368057</v>
      </c>
      <c r="C1556" t="s">
        <v>3244</v>
      </c>
      <c r="D1556" t="s">
        <v>69</v>
      </c>
      <c r="E1556" t="s">
        <v>35</v>
      </c>
      <c r="F1556">
        <v>1.2</v>
      </c>
      <c r="G1556">
        <v>9</v>
      </c>
      <c r="H1556" t="s">
        <v>14</v>
      </c>
      <c r="I1556" t="s">
        <v>86</v>
      </c>
      <c r="J1556" t="s">
        <v>79</v>
      </c>
      <c r="K1556">
        <f>Pqp_supermarket_data[[#This Row],[Unit_Price]]*Pqp_supermarket_data[[#This Row],[Quantity]]</f>
        <v>10.799999999999999</v>
      </c>
      <c r="L1556" t="str">
        <f>TEXT(Pqp_supermarket_data[[#This Row],[DateTime]],"ddd")</f>
        <v>Fri</v>
      </c>
      <c r="M1556" t="str">
        <f>TEXT(Pqp_supermarket_data[[#This Row],[DateTime]],"mmm")</f>
        <v>May</v>
      </c>
      <c r="N1556" t="str">
        <f>TEXT(Pqp_supermarket_data[[#This Row],[DateTime]],"yyy")</f>
        <v>2024</v>
      </c>
    </row>
    <row r="1557" spans="1:14" x14ac:dyDescent="0.35">
      <c r="A1557" t="s">
        <v>3245</v>
      </c>
      <c r="B1557" s="1">
        <v>45535.512543368059</v>
      </c>
      <c r="C1557" t="s">
        <v>3246</v>
      </c>
      <c r="D1557" t="s">
        <v>171</v>
      </c>
      <c r="E1557" t="s">
        <v>78</v>
      </c>
      <c r="F1557">
        <v>4</v>
      </c>
      <c r="G1557">
        <v>3</v>
      </c>
      <c r="H1557" t="s">
        <v>14</v>
      </c>
      <c r="I1557" t="s">
        <v>40</v>
      </c>
      <c r="J1557" t="s">
        <v>270</v>
      </c>
      <c r="K1557">
        <f>Pqp_supermarket_data[[#This Row],[Unit_Price]]*Pqp_supermarket_data[[#This Row],[Quantity]]</f>
        <v>12</v>
      </c>
      <c r="L1557" t="str">
        <f>TEXT(Pqp_supermarket_data[[#This Row],[DateTime]],"ddd")</f>
        <v>Sat</v>
      </c>
      <c r="M1557" t="str">
        <f>TEXT(Pqp_supermarket_data[[#This Row],[DateTime]],"mmm")</f>
        <v>Aug</v>
      </c>
      <c r="N1557" t="str">
        <f>TEXT(Pqp_supermarket_data[[#This Row],[DateTime]],"yyy")</f>
        <v>2024</v>
      </c>
    </row>
    <row r="1558" spans="1:14" x14ac:dyDescent="0.35">
      <c r="A1558" t="s">
        <v>3247</v>
      </c>
      <c r="B1558" s="1">
        <v>45261.514626701392</v>
      </c>
      <c r="C1558" t="s">
        <v>3248</v>
      </c>
      <c r="D1558" t="s">
        <v>77</v>
      </c>
      <c r="E1558" t="s">
        <v>90</v>
      </c>
      <c r="F1558">
        <v>1.8</v>
      </c>
      <c r="G1558">
        <v>5</v>
      </c>
      <c r="H1558" t="s">
        <v>14</v>
      </c>
      <c r="I1558" t="s">
        <v>61</v>
      </c>
      <c r="J1558" t="s">
        <v>112</v>
      </c>
      <c r="K1558">
        <f>Pqp_supermarket_data[[#This Row],[Unit_Price]]*Pqp_supermarket_data[[#This Row],[Quantity]]</f>
        <v>9</v>
      </c>
      <c r="L1558" t="str">
        <f>TEXT(Pqp_supermarket_data[[#This Row],[DateTime]],"ddd")</f>
        <v>Fri</v>
      </c>
      <c r="M1558" t="str">
        <f>TEXT(Pqp_supermarket_data[[#This Row],[DateTime]],"mmm")</f>
        <v>Dec</v>
      </c>
      <c r="N1558" t="str">
        <f>TEXT(Pqp_supermarket_data[[#This Row],[DateTime]],"yyy")</f>
        <v>2023</v>
      </c>
    </row>
    <row r="1559" spans="1:14" x14ac:dyDescent="0.35">
      <c r="A1559" t="s">
        <v>3249</v>
      </c>
      <c r="B1559" s="1">
        <v>45434.988932268519</v>
      </c>
      <c r="C1559" t="s">
        <v>3250</v>
      </c>
      <c r="D1559" t="s">
        <v>208</v>
      </c>
      <c r="E1559" t="s">
        <v>26</v>
      </c>
      <c r="F1559">
        <v>2.5</v>
      </c>
      <c r="G1559">
        <v>5</v>
      </c>
      <c r="H1559" t="s">
        <v>14</v>
      </c>
      <c r="I1559" t="s">
        <v>40</v>
      </c>
      <c r="J1559" t="s">
        <v>128</v>
      </c>
      <c r="K1559">
        <f>Pqp_supermarket_data[[#This Row],[Unit_Price]]*Pqp_supermarket_data[[#This Row],[Quantity]]</f>
        <v>12.5</v>
      </c>
      <c r="L1559" t="str">
        <f>TEXT(Pqp_supermarket_data[[#This Row],[DateTime]],"ddd")</f>
        <v>Wed</v>
      </c>
      <c r="M1559" t="str">
        <f>TEXT(Pqp_supermarket_data[[#This Row],[DateTime]],"mmm")</f>
        <v>May</v>
      </c>
      <c r="N1559" t="str">
        <f>TEXT(Pqp_supermarket_data[[#This Row],[DateTime]],"yyy")</f>
        <v>2024</v>
      </c>
    </row>
    <row r="1560" spans="1:14" x14ac:dyDescent="0.35">
      <c r="A1560" t="s">
        <v>3251</v>
      </c>
      <c r="B1560" s="1">
        <v>45185.661154490743</v>
      </c>
      <c r="C1560" t="s">
        <v>3252</v>
      </c>
      <c r="D1560" t="s">
        <v>98</v>
      </c>
      <c r="E1560" t="s">
        <v>111</v>
      </c>
      <c r="F1560">
        <v>2.2000000000000002</v>
      </c>
      <c r="G1560">
        <v>10</v>
      </c>
      <c r="H1560" t="s">
        <v>14</v>
      </c>
      <c r="I1560" t="s">
        <v>86</v>
      </c>
      <c r="J1560" t="s">
        <v>320</v>
      </c>
      <c r="K1560">
        <f>Pqp_supermarket_data[[#This Row],[Unit_Price]]*Pqp_supermarket_data[[#This Row],[Quantity]]</f>
        <v>22</v>
      </c>
      <c r="L1560" t="str">
        <f>TEXT(Pqp_supermarket_data[[#This Row],[DateTime]],"ddd")</f>
        <v>Sat</v>
      </c>
      <c r="M1560" t="str">
        <f>TEXT(Pqp_supermarket_data[[#This Row],[DateTime]],"mmm")</f>
        <v>Sep</v>
      </c>
      <c r="N1560" t="str">
        <f>TEXT(Pqp_supermarket_data[[#This Row],[DateTime]],"yyy")</f>
        <v>2023</v>
      </c>
    </row>
    <row r="1561" spans="1:14" x14ac:dyDescent="0.35">
      <c r="A1561" t="s">
        <v>3253</v>
      </c>
      <c r="B1561" s="1">
        <v>45145.852821157408</v>
      </c>
      <c r="C1561" t="s">
        <v>3254</v>
      </c>
      <c r="D1561" t="s">
        <v>44</v>
      </c>
      <c r="E1561" t="s">
        <v>45</v>
      </c>
      <c r="F1561">
        <v>1</v>
      </c>
      <c r="G1561">
        <v>9</v>
      </c>
      <c r="H1561" t="s">
        <v>14</v>
      </c>
      <c r="I1561" t="s">
        <v>21</v>
      </c>
      <c r="J1561" t="s">
        <v>212</v>
      </c>
      <c r="K1561">
        <f>Pqp_supermarket_data[[#This Row],[Unit_Price]]*Pqp_supermarket_data[[#This Row],[Quantity]]</f>
        <v>9</v>
      </c>
      <c r="L1561" t="str">
        <f>TEXT(Pqp_supermarket_data[[#This Row],[DateTime]],"ddd")</f>
        <v>Mon</v>
      </c>
      <c r="M1561" t="str">
        <f>TEXT(Pqp_supermarket_data[[#This Row],[DateTime]],"mmm")</f>
        <v>Aug</v>
      </c>
      <c r="N1561" t="str">
        <f>TEXT(Pqp_supermarket_data[[#This Row],[DateTime]],"yyy")</f>
        <v>2023</v>
      </c>
    </row>
    <row r="1562" spans="1:14" x14ac:dyDescent="0.35">
      <c r="A1562" t="s">
        <v>3255</v>
      </c>
      <c r="B1562" s="1">
        <v>44378.40559894676</v>
      </c>
      <c r="C1562" t="s">
        <v>3256</v>
      </c>
      <c r="D1562" t="s">
        <v>34</v>
      </c>
      <c r="E1562" t="s">
        <v>137</v>
      </c>
      <c r="F1562">
        <v>2.5</v>
      </c>
      <c r="G1562">
        <v>4</v>
      </c>
      <c r="H1562" t="s">
        <v>14</v>
      </c>
      <c r="I1562" t="s">
        <v>40</v>
      </c>
      <c r="J1562" t="s">
        <v>248</v>
      </c>
      <c r="K1562">
        <f>Pqp_supermarket_data[[#This Row],[Unit_Price]]*Pqp_supermarket_data[[#This Row],[Quantity]]</f>
        <v>10</v>
      </c>
      <c r="L1562" t="str">
        <f>TEXT(Pqp_supermarket_data[[#This Row],[DateTime]],"ddd")</f>
        <v>Thu</v>
      </c>
      <c r="M1562" t="str">
        <f>TEXT(Pqp_supermarket_data[[#This Row],[DateTime]],"mmm")</f>
        <v>Jul</v>
      </c>
      <c r="N1562" t="str">
        <f>TEXT(Pqp_supermarket_data[[#This Row],[DateTime]],"yyy")</f>
        <v>2021</v>
      </c>
    </row>
    <row r="1563" spans="1:14" x14ac:dyDescent="0.35">
      <c r="A1563" t="s">
        <v>3257</v>
      </c>
      <c r="B1563" s="1">
        <v>45496.147265613428</v>
      </c>
      <c r="C1563" t="s">
        <v>3258</v>
      </c>
      <c r="D1563" t="s">
        <v>34</v>
      </c>
      <c r="E1563" t="s">
        <v>78</v>
      </c>
      <c r="F1563">
        <v>4</v>
      </c>
      <c r="G1563">
        <v>3</v>
      </c>
      <c r="H1563" t="s">
        <v>14</v>
      </c>
      <c r="I1563" t="s">
        <v>21</v>
      </c>
      <c r="J1563" t="s">
        <v>153</v>
      </c>
      <c r="K1563">
        <f>Pqp_supermarket_data[[#This Row],[Unit_Price]]*Pqp_supermarket_data[[#This Row],[Quantity]]</f>
        <v>12</v>
      </c>
      <c r="L1563" t="str">
        <f>TEXT(Pqp_supermarket_data[[#This Row],[DateTime]],"ddd")</f>
        <v>Tue</v>
      </c>
      <c r="M1563" t="str">
        <f>TEXT(Pqp_supermarket_data[[#This Row],[DateTime]],"mmm")</f>
        <v>Jul</v>
      </c>
      <c r="N1563" t="str">
        <f>TEXT(Pqp_supermarket_data[[#This Row],[DateTime]],"yyy")</f>
        <v>2024</v>
      </c>
    </row>
    <row r="1564" spans="1:14" x14ac:dyDescent="0.35">
      <c r="A1564" t="s">
        <v>3259</v>
      </c>
      <c r="B1564" s="1">
        <v>45343.79448783565</v>
      </c>
      <c r="C1564" t="s">
        <v>3260</v>
      </c>
      <c r="D1564" t="s">
        <v>127</v>
      </c>
      <c r="E1564" t="s">
        <v>111</v>
      </c>
      <c r="F1564">
        <v>2.2000000000000002</v>
      </c>
      <c r="G1564">
        <v>10</v>
      </c>
      <c r="H1564" t="s">
        <v>14</v>
      </c>
      <c r="I1564" t="s">
        <v>86</v>
      </c>
      <c r="J1564" t="s">
        <v>205</v>
      </c>
      <c r="K1564">
        <f>Pqp_supermarket_data[[#This Row],[Unit_Price]]*Pqp_supermarket_data[[#This Row],[Quantity]]</f>
        <v>22</v>
      </c>
      <c r="L1564" t="str">
        <f>TEXT(Pqp_supermarket_data[[#This Row],[DateTime]],"ddd")</f>
        <v>Wed</v>
      </c>
      <c r="M1564" t="str">
        <f>TEXT(Pqp_supermarket_data[[#This Row],[DateTime]],"mmm")</f>
        <v>Feb</v>
      </c>
      <c r="N1564" t="str">
        <f>TEXT(Pqp_supermarket_data[[#This Row],[DateTime]],"yyy")</f>
        <v>2024</v>
      </c>
    </row>
    <row r="1565" spans="1:14" x14ac:dyDescent="0.35">
      <c r="A1565" t="s">
        <v>3261</v>
      </c>
      <c r="B1565" s="1">
        <v>44660.215321180556</v>
      </c>
      <c r="C1565" t="s">
        <v>3262</v>
      </c>
      <c r="D1565" t="s">
        <v>82</v>
      </c>
      <c r="E1565" t="s">
        <v>94</v>
      </c>
      <c r="F1565">
        <v>0.8</v>
      </c>
      <c r="G1565">
        <v>7</v>
      </c>
      <c r="H1565" t="s">
        <v>14</v>
      </c>
      <c r="I1565" t="s">
        <v>86</v>
      </c>
      <c r="J1565" t="s">
        <v>369</v>
      </c>
      <c r="K1565">
        <f>Pqp_supermarket_data[[#This Row],[Unit_Price]]*Pqp_supermarket_data[[#This Row],[Quantity]]</f>
        <v>5.6000000000000005</v>
      </c>
      <c r="L1565" t="str">
        <f>TEXT(Pqp_supermarket_data[[#This Row],[DateTime]],"ddd")</f>
        <v>Sat</v>
      </c>
      <c r="M1565" t="str">
        <f>TEXT(Pqp_supermarket_data[[#This Row],[DateTime]],"mmm")</f>
        <v>Apr</v>
      </c>
      <c r="N1565" t="str">
        <f>TEXT(Pqp_supermarket_data[[#This Row],[DateTime]],"yyy")</f>
        <v>2022</v>
      </c>
    </row>
    <row r="1566" spans="1:14" x14ac:dyDescent="0.35">
      <c r="A1566" t="s">
        <v>3263</v>
      </c>
      <c r="B1566" s="1">
        <v>45265.666015625</v>
      </c>
      <c r="C1566" t="s">
        <v>1599</v>
      </c>
      <c r="D1566" t="s">
        <v>12</v>
      </c>
      <c r="E1566" t="s">
        <v>111</v>
      </c>
      <c r="F1566">
        <v>2.2000000000000002</v>
      </c>
      <c r="G1566">
        <v>9</v>
      </c>
      <c r="H1566" t="s">
        <v>14</v>
      </c>
      <c r="I1566" t="s">
        <v>15</v>
      </c>
      <c r="J1566" t="s">
        <v>205</v>
      </c>
      <c r="K1566">
        <f>Pqp_supermarket_data[[#This Row],[Unit_Price]]*Pqp_supermarket_data[[#This Row],[Quantity]]</f>
        <v>19.8</v>
      </c>
      <c r="L1566" t="str">
        <f>TEXT(Pqp_supermarket_data[[#This Row],[DateTime]],"ddd")</f>
        <v>Tue</v>
      </c>
      <c r="M1566" t="str">
        <f>TEXT(Pqp_supermarket_data[[#This Row],[DateTime]],"mmm")</f>
        <v>Dec</v>
      </c>
      <c r="N1566" t="str">
        <f>TEXT(Pqp_supermarket_data[[#This Row],[DateTime]],"yyy")</f>
        <v>2023</v>
      </c>
    </row>
    <row r="1567" spans="1:14" x14ac:dyDescent="0.35">
      <c r="A1567" t="s">
        <v>3264</v>
      </c>
      <c r="B1567" s="1">
        <v>44496.589626736109</v>
      </c>
      <c r="C1567" t="s">
        <v>3265</v>
      </c>
      <c r="D1567" t="s">
        <v>30</v>
      </c>
      <c r="E1567" t="s">
        <v>78</v>
      </c>
      <c r="F1567">
        <v>4</v>
      </c>
      <c r="G1567">
        <v>6</v>
      </c>
      <c r="H1567" t="s">
        <v>14</v>
      </c>
      <c r="I1567" t="s">
        <v>21</v>
      </c>
      <c r="J1567" t="s">
        <v>227</v>
      </c>
      <c r="K1567">
        <f>Pqp_supermarket_data[[#This Row],[Unit_Price]]*Pqp_supermarket_data[[#This Row],[Quantity]]</f>
        <v>24</v>
      </c>
      <c r="L1567" t="str">
        <f>TEXT(Pqp_supermarket_data[[#This Row],[DateTime]],"ddd")</f>
        <v>Wed</v>
      </c>
      <c r="M1567" t="str">
        <f>TEXT(Pqp_supermarket_data[[#This Row],[DateTime]],"mmm")</f>
        <v>Oct</v>
      </c>
      <c r="N1567" t="str">
        <f>TEXT(Pqp_supermarket_data[[#This Row],[DateTime]],"yyy")</f>
        <v>2021</v>
      </c>
    </row>
    <row r="1568" spans="1:14" x14ac:dyDescent="0.35">
      <c r="A1568" t="s">
        <v>3266</v>
      </c>
      <c r="B1568" s="1">
        <v>44459.866710069444</v>
      </c>
      <c r="C1568" t="s">
        <v>3267</v>
      </c>
      <c r="D1568" t="s">
        <v>69</v>
      </c>
      <c r="E1568" t="s">
        <v>145</v>
      </c>
      <c r="F1568">
        <v>1.7</v>
      </c>
      <c r="G1568">
        <v>3</v>
      </c>
      <c r="H1568" t="s">
        <v>14</v>
      </c>
      <c r="I1568" t="s">
        <v>61</v>
      </c>
      <c r="J1568" t="s">
        <v>236</v>
      </c>
      <c r="K1568">
        <f>Pqp_supermarket_data[[#This Row],[Unit_Price]]*Pqp_supermarket_data[[#This Row],[Quantity]]</f>
        <v>5.0999999999999996</v>
      </c>
      <c r="L1568" t="str">
        <f>TEXT(Pqp_supermarket_data[[#This Row],[DateTime]],"ddd")</f>
        <v>Mon</v>
      </c>
      <c r="M1568" t="str">
        <f>TEXT(Pqp_supermarket_data[[#This Row],[DateTime]],"mmm")</f>
        <v>Sep</v>
      </c>
      <c r="N1568" t="str">
        <f>TEXT(Pqp_supermarket_data[[#This Row],[DateTime]],"yyy")</f>
        <v>2021</v>
      </c>
    </row>
    <row r="1569" spans="1:14" x14ac:dyDescent="0.35">
      <c r="A1569" t="s">
        <v>3268</v>
      </c>
      <c r="B1569" s="1">
        <v>45010.533376747684</v>
      </c>
      <c r="C1569" t="s">
        <v>3269</v>
      </c>
      <c r="D1569" t="s">
        <v>25</v>
      </c>
      <c r="E1569" t="s">
        <v>65</v>
      </c>
      <c r="F1569">
        <v>3</v>
      </c>
      <c r="G1569">
        <v>5</v>
      </c>
      <c r="H1569" t="s">
        <v>14</v>
      </c>
      <c r="I1569" t="s">
        <v>40</v>
      </c>
      <c r="J1569" t="s">
        <v>183</v>
      </c>
      <c r="K1569">
        <f>Pqp_supermarket_data[[#This Row],[Unit_Price]]*Pqp_supermarket_data[[#This Row],[Quantity]]</f>
        <v>15</v>
      </c>
      <c r="L1569" t="str">
        <f>TEXT(Pqp_supermarket_data[[#This Row],[DateTime]],"ddd")</f>
        <v>Sat</v>
      </c>
      <c r="M1569" t="str">
        <f>TEXT(Pqp_supermarket_data[[#This Row],[DateTime]],"mmm")</f>
        <v>Mar</v>
      </c>
      <c r="N1569" t="str">
        <f>TEXT(Pqp_supermarket_data[[#This Row],[DateTime]],"yyy")</f>
        <v>2023</v>
      </c>
    </row>
    <row r="1570" spans="1:14" x14ac:dyDescent="0.35">
      <c r="A1570" t="s">
        <v>3270</v>
      </c>
      <c r="B1570" s="1">
        <v>45560.660460081017</v>
      </c>
      <c r="C1570" t="s">
        <v>3271</v>
      </c>
      <c r="D1570" t="s">
        <v>82</v>
      </c>
      <c r="E1570" t="s">
        <v>65</v>
      </c>
      <c r="F1570">
        <v>3</v>
      </c>
      <c r="G1570">
        <v>6</v>
      </c>
      <c r="H1570" t="s">
        <v>14</v>
      </c>
      <c r="I1570" t="s">
        <v>36</v>
      </c>
      <c r="J1570" t="s">
        <v>451</v>
      </c>
      <c r="K1570">
        <f>Pqp_supermarket_data[[#This Row],[Unit_Price]]*Pqp_supermarket_data[[#This Row],[Quantity]]</f>
        <v>18</v>
      </c>
      <c r="L1570" t="str">
        <f>TEXT(Pqp_supermarket_data[[#This Row],[DateTime]],"ddd")</f>
        <v>Wed</v>
      </c>
      <c r="M1570" t="str">
        <f>TEXT(Pqp_supermarket_data[[#This Row],[DateTime]],"mmm")</f>
        <v>Sep</v>
      </c>
      <c r="N1570" t="str">
        <f>TEXT(Pqp_supermarket_data[[#This Row],[DateTime]],"yyy")</f>
        <v>2024</v>
      </c>
    </row>
    <row r="1571" spans="1:14" x14ac:dyDescent="0.35">
      <c r="A1571" t="s">
        <v>3272</v>
      </c>
      <c r="B1571" s="1">
        <v>45043.109071192128</v>
      </c>
      <c r="C1571" t="s">
        <v>3273</v>
      </c>
      <c r="D1571" t="s">
        <v>127</v>
      </c>
      <c r="E1571" t="s">
        <v>111</v>
      </c>
      <c r="F1571">
        <v>2.2000000000000002</v>
      </c>
      <c r="G1571">
        <v>4</v>
      </c>
      <c r="H1571" t="s">
        <v>14</v>
      </c>
      <c r="I1571" t="s">
        <v>61</v>
      </c>
      <c r="J1571" t="s">
        <v>99</v>
      </c>
      <c r="K1571">
        <f>Pqp_supermarket_data[[#This Row],[Unit_Price]]*Pqp_supermarket_data[[#This Row],[Quantity]]</f>
        <v>8.8000000000000007</v>
      </c>
      <c r="L1571" t="str">
        <f>TEXT(Pqp_supermarket_data[[#This Row],[DateTime]],"ddd")</f>
        <v>Thu</v>
      </c>
      <c r="M1571" t="str">
        <f>TEXT(Pqp_supermarket_data[[#This Row],[DateTime]],"mmm")</f>
        <v>Apr</v>
      </c>
      <c r="N1571" t="str">
        <f>TEXT(Pqp_supermarket_data[[#This Row],[DateTime]],"yyy")</f>
        <v>2023</v>
      </c>
    </row>
    <row r="1572" spans="1:14" x14ac:dyDescent="0.35">
      <c r="A1572" t="s">
        <v>3274</v>
      </c>
      <c r="B1572" s="1">
        <v>45586.050043414354</v>
      </c>
      <c r="C1572" t="s">
        <v>3275</v>
      </c>
      <c r="D1572" t="s">
        <v>82</v>
      </c>
      <c r="E1572" t="s">
        <v>148</v>
      </c>
      <c r="F1572">
        <v>5.5</v>
      </c>
      <c r="G1572">
        <v>2</v>
      </c>
      <c r="H1572" t="s">
        <v>14</v>
      </c>
      <c r="I1572" t="s">
        <v>15</v>
      </c>
      <c r="J1572" t="s">
        <v>716</v>
      </c>
      <c r="K1572">
        <f>Pqp_supermarket_data[[#This Row],[Unit_Price]]*Pqp_supermarket_data[[#This Row],[Quantity]]</f>
        <v>11</v>
      </c>
      <c r="L1572" t="str">
        <f>TEXT(Pqp_supermarket_data[[#This Row],[DateTime]],"ddd")</f>
        <v>Mon</v>
      </c>
      <c r="M1572" t="str">
        <f>TEXT(Pqp_supermarket_data[[#This Row],[DateTime]],"mmm")</f>
        <v>Oct</v>
      </c>
      <c r="N1572" t="str">
        <f>TEXT(Pqp_supermarket_data[[#This Row],[DateTime]],"yyy")</f>
        <v>2024</v>
      </c>
    </row>
    <row r="1573" spans="1:14" x14ac:dyDescent="0.35">
      <c r="A1573" t="s">
        <v>3276</v>
      </c>
      <c r="B1573" s="1">
        <v>45158.773654537035</v>
      </c>
      <c r="C1573" t="s">
        <v>3277</v>
      </c>
      <c r="D1573" t="s">
        <v>226</v>
      </c>
      <c r="E1573" t="s">
        <v>115</v>
      </c>
      <c r="F1573">
        <v>1.5</v>
      </c>
      <c r="G1573">
        <v>2</v>
      </c>
      <c r="H1573" t="s">
        <v>14</v>
      </c>
      <c r="I1573" t="s">
        <v>21</v>
      </c>
      <c r="J1573" t="s">
        <v>561</v>
      </c>
      <c r="K1573">
        <f>Pqp_supermarket_data[[#This Row],[Unit_Price]]*Pqp_supermarket_data[[#This Row],[Quantity]]</f>
        <v>3</v>
      </c>
      <c r="L1573" t="str">
        <f>TEXT(Pqp_supermarket_data[[#This Row],[DateTime]],"ddd")</f>
        <v>Sun</v>
      </c>
      <c r="M1573" t="str">
        <f>TEXT(Pqp_supermarket_data[[#This Row],[DateTime]],"mmm")</f>
        <v>Aug</v>
      </c>
      <c r="N1573" t="str">
        <f>TEXT(Pqp_supermarket_data[[#This Row],[DateTime]],"yyy")</f>
        <v>2023</v>
      </c>
    </row>
    <row r="1574" spans="1:14" x14ac:dyDescent="0.35">
      <c r="A1574" t="s">
        <v>3278</v>
      </c>
      <c r="B1574" s="1">
        <v>44351.771571203702</v>
      </c>
      <c r="C1574" t="s">
        <v>3279</v>
      </c>
      <c r="D1574" t="s">
        <v>127</v>
      </c>
      <c r="E1574" t="s">
        <v>20</v>
      </c>
      <c r="F1574">
        <v>1</v>
      </c>
      <c r="G1574">
        <v>5</v>
      </c>
      <c r="H1574" t="s">
        <v>14</v>
      </c>
      <c r="I1574" t="s">
        <v>21</v>
      </c>
      <c r="J1574" t="s">
        <v>58</v>
      </c>
      <c r="K1574">
        <f>Pqp_supermarket_data[[#This Row],[Unit_Price]]*Pqp_supermarket_data[[#This Row],[Quantity]]</f>
        <v>5</v>
      </c>
      <c r="L1574" t="str">
        <f>TEXT(Pqp_supermarket_data[[#This Row],[DateTime]],"ddd")</f>
        <v>Fri</v>
      </c>
      <c r="M1574" t="str">
        <f>TEXT(Pqp_supermarket_data[[#This Row],[DateTime]],"mmm")</f>
        <v>Jun</v>
      </c>
      <c r="N1574" t="str">
        <f>TEXT(Pqp_supermarket_data[[#This Row],[DateTime]],"yyy")</f>
        <v>2021</v>
      </c>
    </row>
    <row r="1575" spans="1:14" x14ac:dyDescent="0.35">
      <c r="A1575" t="s">
        <v>3280</v>
      </c>
      <c r="B1575" s="1">
        <v>45688.337543425929</v>
      </c>
      <c r="C1575" t="s">
        <v>3281</v>
      </c>
      <c r="D1575" t="s">
        <v>226</v>
      </c>
      <c r="E1575" t="s">
        <v>49</v>
      </c>
      <c r="F1575">
        <v>7</v>
      </c>
      <c r="G1575">
        <v>3</v>
      </c>
      <c r="H1575" t="s">
        <v>14</v>
      </c>
      <c r="I1575" t="s">
        <v>61</v>
      </c>
      <c r="J1575" t="s">
        <v>202</v>
      </c>
      <c r="K1575">
        <f>Pqp_supermarket_data[[#This Row],[Unit_Price]]*Pqp_supermarket_data[[#This Row],[Quantity]]</f>
        <v>21</v>
      </c>
      <c r="L1575" t="str">
        <f>TEXT(Pqp_supermarket_data[[#This Row],[DateTime]],"ddd")</f>
        <v>Fri</v>
      </c>
      <c r="M1575" t="str">
        <f>TEXT(Pqp_supermarket_data[[#This Row],[DateTime]],"mmm")</f>
        <v>Jan</v>
      </c>
      <c r="N1575" t="str">
        <f>TEXT(Pqp_supermarket_data[[#This Row],[DateTime]],"yyy")</f>
        <v>2025</v>
      </c>
    </row>
    <row r="1576" spans="1:14" x14ac:dyDescent="0.35">
      <c r="A1576" t="s">
        <v>3282</v>
      </c>
      <c r="B1576" s="1">
        <v>44397.827126759257</v>
      </c>
      <c r="C1576" t="s">
        <v>3283</v>
      </c>
      <c r="D1576" t="s">
        <v>171</v>
      </c>
      <c r="E1576" t="s">
        <v>49</v>
      </c>
      <c r="F1576">
        <v>7</v>
      </c>
      <c r="G1576">
        <v>8</v>
      </c>
      <c r="H1576" t="s">
        <v>14</v>
      </c>
      <c r="I1576" t="s">
        <v>21</v>
      </c>
      <c r="J1576" t="s">
        <v>295</v>
      </c>
      <c r="K1576">
        <f>Pqp_supermarket_data[[#This Row],[Unit_Price]]*Pqp_supermarket_data[[#This Row],[Quantity]]</f>
        <v>56</v>
      </c>
      <c r="L1576" t="str">
        <f>TEXT(Pqp_supermarket_data[[#This Row],[DateTime]],"ddd")</f>
        <v>Tue</v>
      </c>
      <c r="M1576" t="str">
        <f>TEXT(Pqp_supermarket_data[[#This Row],[DateTime]],"mmm")</f>
        <v>Jul</v>
      </c>
      <c r="N1576" t="str">
        <f>TEXT(Pqp_supermarket_data[[#This Row],[DateTime]],"yyy")</f>
        <v>2021</v>
      </c>
    </row>
    <row r="1577" spans="1:14" x14ac:dyDescent="0.35">
      <c r="A1577" t="s">
        <v>3284</v>
      </c>
      <c r="B1577" s="1">
        <v>45256.52990454861</v>
      </c>
      <c r="C1577" t="s">
        <v>3285</v>
      </c>
      <c r="D1577" t="s">
        <v>85</v>
      </c>
      <c r="E1577" t="s">
        <v>111</v>
      </c>
      <c r="F1577">
        <v>2.2000000000000002</v>
      </c>
      <c r="G1577">
        <v>3</v>
      </c>
      <c r="H1577" t="s">
        <v>14</v>
      </c>
      <c r="I1577" t="s">
        <v>15</v>
      </c>
      <c r="J1577" t="s">
        <v>41</v>
      </c>
      <c r="K1577">
        <f>Pqp_supermarket_data[[#This Row],[Unit_Price]]*Pqp_supermarket_data[[#This Row],[Quantity]]</f>
        <v>6.6000000000000005</v>
      </c>
      <c r="L1577" t="str">
        <f>TEXT(Pqp_supermarket_data[[#This Row],[DateTime]],"ddd")</f>
        <v>Sun</v>
      </c>
      <c r="M1577" t="str">
        <f>TEXT(Pqp_supermarket_data[[#This Row],[DateTime]],"mmm")</f>
        <v>Nov</v>
      </c>
      <c r="N1577" t="str">
        <f>TEXT(Pqp_supermarket_data[[#This Row],[DateTime]],"yyy")</f>
        <v>2023</v>
      </c>
    </row>
    <row r="1578" spans="1:14" x14ac:dyDescent="0.35">
      <c r="A1578" t="s">
        <v>3286</v>
      </c>
      <c r="B1578" s="1">
        <v>44623.589626782406</v>
      </c>
      <c r="C1578" t="s">
        <v>3287</v>
      </c>
      <c r="D1578" t="s">
        <v>208</v>
      </c>
      <c r="E1578" t="s">
        <v>53</v>
      </c>
      <c r="F1578">
        <v>2.8</v>
      </c>
      <c r="G1578">
        <v>4</v>
      </c>
      <c r="H1578" t="s">
        <v>14</v>
      </c>
      <c r="I1578" t="s">
        <v>36</v>
      </c>
      <c r="J1578" t="s">
        <v>538</v>
      </c>
      <c r="K1578">
        <f>Pqp_supermarket_data[[#This Row],[Unit_Price]]*Pqp_supermarket_data[[#This Row],[Quantity]]</f>
        <v>11.2</v>
      </c>
      <c r="L1578" t="str">
        <f>TEXT(Pqp_supermarket_data[[#This Row],[DateTime]],"ddd")</f>
        <v>Thu</v>
      </c>
      <c r="M1578" t="str">
        <f>TEXT(Pqp_supermarket_data[[#This Row],[DateTime]],"mmm")</f>
        <v>Mar</v>
      </c>
      <c r="N1578" t="str">
        <f>TEXT(Pqp_supermarket_data[[#This Row],[DateTime]],"yyy")</f>
        <v>2022</v>
      </c>
    </row>
    <row r="1579" spans="1:14" x14ac:dyDescent="0.35">
      <c r="A1579" t="s">
        <v>3288</v>
      </c>
      <c r="B1579" s="1">
        <v>44929.622960127315</v>
      </c>
      <c r="C1579" t="s">
        <v>3289</v>
      </c>
      <c r="D1579" t="s">
        <v>69</v>
      </c>
      <c r="E1579" t="s">
        <v>70</v>
      </c>
      <c r="F1579">
        <v>5</v>
      </c>
      <c r="G1579">
        <v>6</v>
      </c>
      <c r="H1579" t="s">
        <v>14</v>
      </c>
      <c r="I1579" t="s">
        <v>86</v>
      </c>
      <c r="J1579" t="s">
        <v>616</v>
      </c>
      <c r="K1579">
        <f>Pqp_supermarket_data[[#This Row],[Unit_Price]]*Pqp_supermarket_data[[#This Row],[Quantity]]</f>
        <v>30</v>
      </c>
      <c r="L1579" t="str">
        <f>TEXT(Pqp_supermarket_data[[#This Row],[DateTime]],"ddd")</f>
        <v>Tue</v>
      </c>
      <c r="M1579" t="str">
        <f>TEXT(Pqp_supermarket_data[[#This Row],[DateTime]],"mmm")</f>
        <v>Jan</v>
      </c>
      <c r="N1579" t="str">
        <f>TEXT(Pqp_supermarket_data[[#This Row],[DateTime]],"yyy")</f>
        <v>2023</v>
      </c>
    </row>
    <row r="1580" spans="1:14" x14ac:dyDescent="0.35">
      <c r="A1580" t="s">
        <v>3290</v>
      </c>
      <c r="B1580" s="1">
        <v>45199.207682361113</v>
      </c>
      <c r="C1580" t="s">
        <v>3291</v>
      </c>
      <c r="D1580" t="s">
        <v>85</v>
      </c>
      <c r="E1580" t="s">
        <v>26</v>
      </c>
      <c r="F1580">
        <v>2.5</v>
      </c>
      <c r="G1580">
        <v>5</v>
      </c>
      <c r="H1580" t="s">
        <v>14</v>
      </c>
      <c r="I1580" t="s">
        <v>36</v>
      </c>
      <c r="J1580" t="s">
        <v>451</v>
      </c>
      <c r="K1580">
        <f>Pqp_supermarket_data[[#This Row],[Unit_Price]]*Pqp_supermarket_data[[#This Row],[Quantity]]</f>
        <v>12.5</v>
      </c>
      <c r="L1580" t="str">
        <f>TEXT(Pqp_supermarket_data[[#This Row],[DateTime]],"ddd")</f>
        <v>Sat</v>
      </c>
      <c r="M1580" t="str">
        <f>TEXT(Pqp_supermarket_data[[#This Row],[DateTime]],"mmm")</f>
        <v>Sep</v>
      </c>
      <c r="N1580" t="str">
        <f>TEXT(Pqp_supermarket_data[[#This Row],[DateTime]],"yyy")</f>
        <v>2023</v>
      </c>
    </row>
    <row r="1581" spans="1:14" x14ac:dyDescent="0.35">
      <c r="A1581" t="s">
        <v>3292</v>
      </c>
      <c r="B1581" s="1">
        <v>45160.984071250001</v>
      </c>
      <c r="C1581" t="s">
        <v>3293</v>
      </c>
      <c r="D1581" t="s">
        <v>44</v>
      </c>
      <c r="E1581" t="s">
        <v>65</v>
      </c>
      <c r="F1581">
        <v>3</v>
      </c>
      <c r="G1581">
        <v>2</v>
      </c>
      <c r="H1581" t="s">
        <v>14</v>
      </c>
      <c r="I1581" t="s">
        <v>40</v>
      </c>
      <c r="J1581" t="s">
        <v>46</v>
      </c>
      <c r="K1581">
        <f>Pqp_supermarket_data[[#This Row],[Unit_Price]]*Pqp_supermarket_data[[#This Row],[Quantity]]</f>
        <v>6</v>
      </c>
      <c r="L1581" t="str">
        <f>TEXT(Pqp_supermarket_data[[#This Row],[DateTime]],"ddd")</f>
        <v>Tue</v>
      </c>
      <c r="M1581" t="str">
        <f>TEXT(Pqp_supermarket_data[[#This Row],[DateTime]],"mmm")</f>
        <v>Aug</v>
      </c>
      <c r="N1581" t="str">
        <f>TEXT(Pqp_supermarket_data[[#This Row],[DateTime]],"yyy")</f>
        <v>2023</v>
      </c>
    </row>
    <row r="1582" spans="1:14" x14ac:dyDescent="0.35">
      <c r="A1582" t="s">
        <v>3294</v>
      </c>
      <c r="B1582" s="1">
        <v>45295.469487916664</v>
      </c>
      <c r="C1582" t="s">
        <v>3295</v>
      </c>
      <c r="D1582" t="s">
        <v>171</v>
      </c>
      <c r="E1582" t="s">
        <v>137</v>
      </c>
      <c r="F1582">
        <v>2.5</v>
      </c>
      <c r="G1582">
        <v>2</v>
      </c>
      <c r="H1582" t="s">
        <v>14</v>
      </c>
      <c r="I1582" t="s">
        <v>36</v>
      </c>
      <c r="J1582" t="s">
        <v>429</v>
      </c>
      <c r="K1582">
        <f>Pqp_supermarket_data[[#This Row],[Unit_Price]]*Pqp_supermarket_data[[#This Row],[Quantity]]</f>
        <v>5</v>
      </c>
      <c r="L1582" t="str">
        <f>TEXT(Pqp_supermarket_data[[#This Row],[DateTime]],"ddd")</f>
        <v>Thu</v>
      </c>
      <c r="M1582" t="str">
        <f>TEXT(Pqp_supermarket_data[[#This Row],[DateTime]],"mmm")</f>
        <v>Jan</v>
      </c>
      <c r="N1582" t="str">
        <f>TEXT(Pqp_supermarket_data[[#This Row],[DateTime]],"yyy")</f>
        <v>2024</v>
      </c>
    </row>
    <row r="1583" spans="1:14" x14ac:dyDescent="0.35">
      <c r="A1583" t="s">
        <v>3296</v>
      </c>
      <c r="B1583" s="1">
        <v>44651.8993490625</v>
      </c>
      <c r="C1583" t="s">
        <v>3297</v>
      </c>
      <c r="D1583" t="s">
        <v>34</v>
      </c>
      <c r="E1583" t="s">
        <v>35</v>
      </c>
      <c r="F1583">
        <v>1.2</v>
      </c>
      <c r="G1583">
        <v>7</v>
      </c>
      <c r="H1583" t="s">
        <v>14</v>
      </c>
      <c r="I1583" t="s">
        <v>36</v>
      </c>
      <c r="J1583" t="s">
        <v>138</v>
      </c>
      <c r="K1583">
        <f>Pqp_supermarket_data[[#This Row],[Unit_Price]]*Pqp_supermarket_data[[#This Row],[Quantity]]</f>
        <v>8.4</v>
      </c>
      <c r="L1583" t="str">
        <f>TEXT(Pqp_supermarket_data[[#This Row],[DateTime]],"ddd")</f>
        <v>Thu</v>
      </c>
      <c r="M1583" t="str">
        <f>TEXT(Pqp_supermarket_data[[#This Row],[DateTime]],"mmm")</f>
        <v>Mar</v>
      </c>
      <c r="N1583" t="str">
        <f>TEXT(Pqp_supermarket_data[[#This Row],[DateTime]],"yyy")</f>
        <v>2022</v>
      </c>
    </row>
    <row r="1584" spans="1:14" x14ac:dyDescent="0.35">
      <c r="A1584" t="s">
        <v>3298</v>
      </c>
      <c r="B1584" s="1">
        <v>45506.913237962966</v>
      </c>
      <c r="C1584" t="s">
        <v>3299</v>
      </c>
      <c r="D1584" t="s">
        <v>85</v>
      </c>
      <c r="E1584" t="s">
        <v>20</v>
      </c>
      <c r="F1584">
        <v>1</v>
      </c>
      <c r="G1584">
        <v>2</v>
      </c>
      <c r="H1584" t="s">
        <v>14</v>
      </c>
      <c r="I1584" t="s">
        <v>86</v>
      </c>
      <c r="J1584" t="s">
        <v>99</v>
      </c>
      <c r="K1584">
        <f>Pqp_supermarket_data[[#This Row],[Unit_Price]]*Pqp_supermarket_data[[#This Row],[Quantity]]</f>
        <v>2</v>
      </c>
      <c r="L1584" t="str">
        <f>TEXT(Pqp_supermarket_data[[#This Row],[DateTime]],"ddd")</f>
        <v>Fri</v>
      </c>
      <c r="M1584" t="str">
        <f>TEXT(Pqp_supermarket_data[[#This Row],[DateTime]],"mmm")</f>
        <v>Aug</v>
      </c>
      <c r="N1584" t="str">
        <f>TEXT(Pqp_supermarket_data[[#This Row],[DateTime]],"yyy")</f>
        <v>2024</v>
      </c>
    </row>
    <row r="1585" spans="1:14" x14ac:dyDescent="0.35">
      <c r="A1585" t="s">
        <v>3300</v>
      </c>
      <c r="B1585" s="1">
        <v>44524.269487962963</v>
      </c>
      <c r="C1585" t="s">
        <v>3301</v>
      </c>
      <c r="D1585" t="s">
        <v>34</v>
      </c>
      <c r="E1585" t="s">
        <v>35</v>
      </c>
      <c r="F1585">
        <v>1.2</v>
      </c>
      <c r="G1585">
        <v>7</v>
      </c>
      <c r="H1585" t="s">
        <v>14</v>
      </c>
      <c r="I1585" t="s">
        <v>36</v>
      </c>
      <c r="J1585" t="s">
        <v>183</v>
      </c>
      <c r="K1585">
        <f>Pqp_supermarket_data[[#This Row],[Unit_Price]]*Pqp_supermarket_data[[#This Row],[Quantity]]</f>
        <v>8.4</v>
      </c>
      <c r="L1585" t="str">
        <f>TEXT(Pqp_supermarket_data[[#This Row],[DateTime]],"ddd")</f>
        <v>Wed</v>
      </c>
      <c r="M1585" t="str">
        <f>TEXT(Pqp_supermarket_data[[#This Row],[DateTime]],"mmm")</f>
        <v>Nov</v>
      </c>
      <c r="N1585" t="str">
        <f>TEXT(Pqp_supermarket_data[[#This Row],[DateTime]],"yyy")</f>
        <v>2021</v>
      </c>
    </row>
    <row r="1586" spans="1:14" x14ac:dyDescent="0.35">
      <c r="A1586" t="s">
        <v>3302</v>
      </c>
      <c r="B1586" s="1">
        <v>45080.235460185184</v>
      </c>
      <c r="C1586" t="s">
        <v>3303</v>
      </c>
      <c r="D1586" t="s">
        <v>30</v>
      </c>
      <c r="E1586" t="s">
        <v>90</v>
      </c>
      <c r="F1586">
        <v>1.8</v>
      </c>
      <c r="G1586">
        <v>10</v>
      </c>
      <c r="H1586" t="s">
        <v>14</v>
      </c>
      <c r="I1586" t="s">
        <v>40</v>
      </c>
      <c r="J1586" t="s">
        <v>538</v>
      </c>
      <c r="K1586">
        <f>Pqp_supermarket_data[[#This Row],[Unit_Price]]*Pqp_supermarket_data[[#This Row],[Quantity]]</f>
        <v>18</v>
      </c>
      <c r="L1586" t="str">
        <f>TEXT(Pqp_supermarket_data[[#This Row],[DateTime]],"ddd")</f>
        <v>Sat</v>
      </c>
      <c r="M1586" t="str">
        <f>TEXT(Pqp_supermarket_data[[#This Row],[DateTime]],"mmm")</f>
        <v>Jun</v>
      </c>
      <c r="N1586" t="str">
        <f>TEXT(Pqp_supermarket_data[[#This Row],[DateTime]],"yyy")</f>
        <v>2023</v>
      </c>
    </row>
    <row r="1587" spans="1:14" x14ac:dyDescent="0.35">
      <c r="A1587" t="s">
        <v>3304</v>
      </c>
      <c r="B1587" s="1">
        <v>44868.321571296299</v>
      </c>
      <c r="C1587" t="s">
        <v>3305</v>
      </c>
      <c r="D1587" t="s">
        <v>19</v>
      </c>
      <c r="E1587" t="s">
        <v>90</v>
      </c>
      <c r="F1587">
        <v>1.8</v>
      </c>
      <c r="G1587">
        <v>4</v>
      </c>
      <c r="H1587" t="s">
        <v>14</v>
      </c>
      <c r="I1587" t="s">
        <v>15</v>
      </c>
      <c r="J1587" t="s">
        <v>205</v>
      </c>
      <c r="K1587">
        <f>Pqp_supermarket_data[[#This Row],[Unit_Price]]*Pqp_supermarket_data[[#This Row],[Quantity]]</f>
        <v>7.2</v>
      </c>
      <c r="L1587" t="str">
        <f>TEXT(Pqp_supermarket_data[[#This Row],[DateTime]],"ddd")</f>
        <v>Thu</v>
      </c>
      <c r="M1587" t="str">
        <f>TEXT(Pqp_supermarket_data[[#This Row],[DateTime]],"mmm")</f>
        <v>Nov</v>
      </c>
      <c r="N1587" t="str">
        <f>TEXT(Pqp_supermarket_data[[#This Row],[DateTime]],"yyy")</f>
        <v>2022</v>
      </c>
    </row>
    <row r="1588" spans="1:14" x14ac:dyDescent="0.35">
      <c r="A1588" t="s">
        <v>3306</v>
      </c>
      <c r="B1588" s="1">
        <v>45035.370876863424</v>
      </c>
      <c r="C1588" t="s">
        <v>3307</v>
      </c>
      <c r="D1588" t="s">
        <v>44</v>
      </c>
      <c r="E1588" t="s">
        <v>137</v>
      </c>
      <c r="F1588">
        <v>2.5</v>
      </c>
      <c r="G1588">
        <v>7</v>
      </c>
      <c r="H1588" t="s">
        <v>14</v>
      </c>
      <c r="I1588" t="s">
        <v>86</v>
      </c>
      <c r="J1588" t="s">
        <v>41</v>
      </c>
      <c r="K1588">
        <f>Pqp_supermarket_data[[#This Row],[Unit_Price]]*Pqp_supermarket_data[[#This Row],[Quantity]]</f>
        <v>17.5</v>
      </c>
      <c r="L1588" t="str">
        <f>TEXT(Pqp_supermarket_data[[#This Row],[DateTime]],"ddd")</f>
        <v>Wed</v>
      </c>
      <c r="M1588" t="str">
        <f>TEXT(Pqp_supermarket_data[[#This Row],[DateTime]],"mmm")</f>
        <v>Apr</v>
      </c>
      <c r="N1588" t="str">
        <f>TEXT(Pqp_supermarket_data[[#This Row],[DateTime]],"yyy")</f>
        <v>2023</v>
      </c>
    </row>
    <row r="1589" spans="1:14" x14ac:dyDescent="0.35">
      <c r="A1589" t="s">
        <v>3308</v>
      </c>
      <c r="B1589" s="1">
        <v>45437.096571307869</v>
      </c>
      <c r="C1589" t="s">
        <v>3309</v>
      </c>
      <c r="D1589" t="s">
        <v>44</v>
      </c>
      <c r="E1589" t="s">
        <v>26</v>
      </c>
      <c r="F1589">
        <v>2.5</v>
      </c>
      <c r="G1589">
        <v>9</v>
      </c>
      <c r="H1589" t="s">
        <v>14</v>
      </c>
      <c r="I1589" t="s">
        <v>40</v>
      </c>
      <c r="J1589" t="s">
        <v>50</v>
      </c>
      <c r="K1589">
        <f>Pqp_supermarket_data[[#This Row],[Unit_Price]]*Pqp_supermarket_data[[#This Row],[Quantity]]</f>
        <v>22.5</v>
      </c>
      <c r="L1589" t="str">
        <f>TEXT(Pqp_supermarket_data[[#This Row],[DateTime]],"ddd")</f>
        <v>Sat</v>
      </c>
      <c r="M1589" t="str">
        <f>TEXT(Pqp_supermarket_data[[#This Row],[DateTime]],"mmm")</f>
        <v>May</v>
      </c>
      <c r="N1589" t="str">
        <f>TEXT(Pqp_supermarket_data[[#This Row],[DateTime]],"yyy")</f>
        <v>2024</v>
      </c>
    </row>
    <row r="1590" spans="1:14" x14ac:dyDescent="0.35">
      <c r="A1590" t="s">
        <v>3310</v>
      </c>
      <c r="B1590" s="1">
        <v>45173.922265752313</v>
      </c>
      <c r="C1590" t="s">
        <v>3311</v>
      </c>
      <c r="D1590" t="s">
        <v>127</v>
      </c>
      <c r="E1590" t="s">
        <v>78</v>
      </c>
      <c r="F1590">
        <v>4</v>
      </c>
      <c r="G1590">
        <v>1</v>
      </c>
      <c r="H1590" t="s">
        <v>14</v>
      </c>
      <c r="I1590" t="s">
        <v>36</v>
      </c>
      <c r="J1590" t="s">
        <v>134</v>
      </c>
      <c r="K1590">
        <f>Pqp_supermarket_data[[#This Row],[Unit_Price]]*Pqp_supermarket_data[[#This Row],[Quantity]]</f>
        <v>4</v>
      </c>
      <c r="L1590" t="str">
        <f>TEXT(Pqp_supermarket_data[[#This Row],[DateTime]],"ddd")</f>
        <v>Mon</v>
      </c>
      <c r="M1590" t="str">
        <f>TEXT(Pqp_supermarket_data[[#This Row],[DateTime]],"mmm")</f>
        <v>Sep</v>
      </c>
      <c r="N1590" t="str">
        <f>TEXT(Pqp_supermarket_data[[#This Row],[DateTime]],"yyy")</f>
        <v>2023</v>
      </c>
    </row>
    <row r="1591" spans="1:14" x14ac:dyDescent="0.35">
      <c r="A1591" t="s">
        <v>3312</v>
      </c>
      <c r="B1591" s="1">
        <v>44622.050737986108</v>
      </c>
      <c r="C1591" t="s">
        <v>3313</v>
      </c>
      <c r="D1591" t="s">
        <v>19</v>
      </c>
      <c r="E1591" t="s">
        <v>57</v>
      </c>
      <c r="F1591">
        <v>4.5</v>
      </c>
      <c r="G1591">
        <v>9</v>
      </c>
      <c r="H1591" t="s">
        <v>14</v>
      </c>
      <c r="I1591" t="s">
        <v>40</v>
      </c>
      <c r="J1591" t="s">
        <v>311</v>
      </c>
      <c r="K1591">
        <f>Pqp_supermarket_data[[#This Row],[Unit_Price]]*Pqp_supermarket_data[[#This Row],[Quantity]]</f>
        <v>40.5</v>
      </c>
      <c r="L1591" t="str">
        <f>TEXT(Pqp_supermarket_data[[#This Row],[DateTime]],"ddd")</f>
        <v>Wed</v>
      </c>
      <c r="M1591" t="str">
        <f>TEXT(Pqp_supermarket_data[[#This Row],[DateTime]],"mmm")</f>
        <v>Mar</v>
      </c>
      <c r="N1591" t="str">
        <f>TEXT(Pqp_supermarket_data[[#This Row],[DateTime]],"yyy")</f>
        <v>2022</v>
      </c>
    </row>
    <row r="1592" spans="1:14" x14ac:dyDescent="0.35">
      <c r="A1592" t="s">
        <v>3314</v>
      </c>
      <c r="B1592" s="1">
        <v>44520.932682430554</v>
      </c>
      <c r="C1592" t="s">
        <v>3315</v>
      </c>
      <c r="D1592" t="s">
        <v>44</v>
      </c>
      <c r="E1592" t="s">
        <v>35</v>
      </c>
      <c r="F1592">
        <v>1.2</v>
      </c>
      <c r="G1592">
        <v>10</v>
      </c>
      <c r="H1592" t="s">
        <v>14</v>
      </c>
      <c r="I1592" t="s">
        <v>86</v>
      </c>
      <c r="J1592" t="s">
        <v>517</v>
      </c>
      <c r="K1592">
        <f>Pqp_supermarket_data[[#This Row],[Unit_Price]]*Pqp_supermarket_data[[#This Row],[Quantity]]</f>
        <v>12</v>
      </c>
      <c r="L1592" t="str">
        <f>TEXT(Pqp_supermarket_data[[#This Row],[DateTime]],"ddd")</f>
        <v>Sat</v>
      </c>
      <c r="M1592" t="str">
        <f>TEXT(Pqp_supermarket_data[[#This Row],[DateTime]],"mmm")</f>
        <v>Nov</v>
      </c>
      <c r="N1592" t="str">
        <f>TEXT(Pqp_supermarket_data[[#This Row],[DateTime]],"yyy")</f>
        <v>2021</v>
      </c>
    </row>
    <row r="1593" spans="1:14" x14ac:dyDescent="0.35">
      <c r="A1593" t="s">
        <v>3316</v>
      </c>
      <c r="B1593" s="1">
        <v>45175.097265763892</v>
      </c>
      <c r="C1593" t="s">
        <v>3317</v>
      </c>
      <c r="D1593" t="s">
        <v>208</v>
      </c>
      <c r="E1593" t="s">
        <v>53</v>
      </c>
      <c r="F1593">
        <v>2.8</v>
      </c>
      <c r="G1593">
        <v>3</v>
      </c>
      <c r="H1593" t="s">
        <v>14</v>
      </c>
      <c r="I1593" t="s">
        <v>86</v>
      </c>
      <c r="J1593" t="s">
        <v>62</v>
      </c>
      <c r="K1593">
        <f>Pqp_supermarket_data[[#This Row],[Unit_Price]]*Pqp_supermarket_data[[#This Row],[Quantity]]</f>
        <v>8.3999999999999986</v>
      </c>
      <c r="L1593" t="str">
        <f>TEXT(Pqp_supermarket_data[[#This Row],[DateTime]],"ddd")</f>
        <v>Wed</v>
      </c>
      <c r="M1593" t="str">
        <f>TEXT(Pqp_supermarket_data[[#This Row],[DateTime]],"mmm")</f>
        <v>Sep</v>
      </c>
      <c r="N1593" t="str">
        <f>TEXT(Pqp_supermarket_data[[#This Row],[DateTime]],"yyy")</f>
        <v>2023</v>
      </c>
    </row>
    <row r="1594" spans="1:14" x14ac:dyDescent="0.35">
      <c r="A1594" t="s">
        <v>3318</v>
      </c>
      <c r="B1594" s="1">
        <v>45768.41601577546</v>
      </c>
      <c r="C1594" t="s">
        <v>3319</v>
      </c>
      <c r="D1594" t="s">
        <v>98</v>
      </c>
      <c r="E1594" t="s">
        <v>78</v>
      </c>
      <c r="F1594">
        <v>4</v>
      </c>
      <c r="G1594">
        <v>2</v>
      </c>
      <c r="H1594" t="s">
        <v>14</v>
      </c>
      <c r="I1594" t="s">
        <v>21</v>
      </c>
      <c r="J1594" t="s">
        <v>138</v>
      </c>
      <c r="K1594">
        <f>Pqp_supermarket_data[[#This Row],[Unit_Price]]*Pqp_supermarket_data[[#This Row],[Quantity]]</f>
        <v>8</v>
      </c>
      <c r="L1594" t="str">
        <f>TEXT(Pqp_supermarket_data[[#This Row],[DateTime]],"ddd")</f>
        <v>Mon</v>
      </c>
      <c r="M1594" t="str">
        <f>TEXT(Pqp_supermarket_data[[#This Row],[DateTime]],"mmm")</f>
        <v>Apr</v>
      </c>
      <c r="N1594" t="str">
        <f>TEXT(Pqp_supermarket_data[[#This Row],[DateTime]],"yyy")</f>
        <v>2025</v>
      </c>
    </row>
    <row r="1595" spans="1:14" x14ac:dyDescent="0.35">
      <c r="A1595" t="s">
        <v>3320</v>
      </c>
      <c r="B1595" s="1">
        <v>45472.013238009262</v>
      </c>
      <c r="C1595" t="s">
        <v>3321</v>
      </c>
      <c r="D1595" t="s">
        <v>19</v>
      </c>
      <c r="E1595" t="s">
        <v>115</v>
      </c>
      <c r="F1595">
        <v>1.5</v>
      </c>
      <c r="G1595">
        <v>1</v>
      </c>
      <c r="H1595" t="s">
        <v>14</v>
      </c>
      <c r="I1595" t="s">
        <v>15</v>
      </c>
      <c r="J1595" t="s">
        <v>426</v>
      </c>
      <c r="K1595">
        <f>Pqp_supermarket_data[[#This Row],[Unit_Price]]*Pqp_supermarket_data[[#This Row],[Quantity]]</f>
        <v>1.5</v>
      </c>
      <c r="L1595" t="str">
        <f>TEXT(Pqp_supermarket_data[[#This Row],[DateTime]],"ddd")</f>
        <v>Sat</v>
      </c>
      <c r="M1595" t="str">
        <f>TEXT(Pqp_supermarket_data[[#This Row],[DateTime]],"mmm")</f>
        <v>Jun</v>
      </c>
      <c r="N1595" t="str">
        <f>TEXT(Pqp_supermarket_data[[#This Row],[DateTime]],"yyy")</f>
        <v>2024</v>
      </c>
    </row>
    <row r="1596" spans="1:14" x14ac:dyDescent="0.35">
      <c r="A1596" t="s">
        <v>3322</v>
      </c>
      <c r="B1596" s="1">
        <v>44442.216710243054</v>
      </c>
      <c r="C1596" t="s">
        <v>3323</v>
      </c>
      <c r="D1596" t="s">
        <v>98</v>
      </c>
      <c r="E1596" t="s">
        <v>49</v>
      </c>
      <c r="F1596">
        <v>7</v>
      </c>
      <c r="G1596">
        <v>6</v>
      </c>
      <c r="H1596" t="s">
        <v>14</v>
      </c>
      <c r="I1596" t="s">
        <v>61</v>
      </c>
      <c r="J1596" t="s">
        <v>116</v>
      </c>
      <c r="K1596">
        <f>Pqp_supermarket_data[[#This Row],[Unit_Price]]*Pqp_supermarket_data[[#This Row],[Quantity]]</f>
        <v>42</v>
      </c>
      <c r="L1596" t="str">
        <f>TEXT(Pqp_supermarket_data[[#This Row],[DateTime]],"ddd")</f>
        <v>Fri</v>
      </c>
      <c r="M1596" t="str">
        <f>TEXT(Pqp_supermarket_data[[#This Row],[DateTime]],"mmm")</f>
        <v>Sep</v>
      </c>
      <c r="N1596" t="str">
        <f>TEXT(Pqp_supermarket_data[[#This Row],[DateTime]],"yyy")</f>
        <v>2021</v>
      </c>
    </row>
    <row r="1597" spans="1:14" x14ac:dyDescent="0.35">
      <c r="A1597" t="s">
        <v>3324</v>
      </c>
      <c r="B1597" s="1">
        <v>44909.32782136574</v>
      </c>
      <c r="C1597" t="s">
        <v>3325</v>
      </c>
      <c r="D1597" t="s">
        <v>226</v>
      </c>
      <c r="E1597" t="s">
        <v>13</v>
      </c>
      <c r="F1597">
        <v>3.1</v>
      </c>
      <c r="G1597">
        <v>2</v>
      </c>
      <c r="H1597" t="s">
        <v>14</v>
      </c>
      <c r="I1597" t="s">
        <v>86</v>
      </c>
      <c r="J1597" t="s">
        <v>227</v>
      </c>
      <c r="K1597">
        <f>Pqp_supermarket_data[[#This Row],[Unit_Price]]*Pqp_supermarket_data[[#This Row],[Quantity]]</f>
        <v>6.2</v>
      </c>
      <c r="L1597" t="str">
        <f>TEXT(Pqp_supermarket_data[[#This Row],[DateTime]],"ddd")</f>
        <v>Wed</v>
      </c>
      <c r="M1597" t="str">
        <f>TEXT(Pqp_supermarket_data[[#This Row],[DateTime]],"mmm")</f>
        <v>Dec</v>
      </c>
      <c r="N1597" t="str">
        <f>TEXT(Pqp_supermarket_data[[#This Row],[DateTime]],"yyy")</f>
        <v>2022</v>
      </c>
    </row>
    <row r="1598" spans="1:14" x14ac:dyDescent="0.35">
      <c r="A1598" t="s">
        <v>3326</v>
      </c>
      <c r="B1598" s="1">
        <v>44887.345876921296</v>
      </c>
      <c r="C1598" t="s">
        <v>3327</v>
      </c>
      <c r="D1598" t="s">
        <v>44</v>
      </c>
      <c r="E1598" t="s">
        <v>145</v>
      </c>
      <c r="F1598">
        <v>1.7</v>
      </c>
      <c r="G1598">
        <v>1</v>
      </c>
      <c r="H1598" t="s">
        <v>14</v>
      </c>
      <c r="I1598" t="s">
        <v>61</v>
      </c>
      <c r="J1598" t="s">
        <v>54</v>
      </c>
      <c r="K1598">
        <f>Pqp_supermarket_data[[#This Row],[Unit_Price]]*Pqp_supermarket_data[[#This Row],[Quantity]]</f>
        <v>1.7</v>
      </c>
      <c r="L1598" t="str">
        <f>TEXT(Pqp_supermarket_data[[#This Row],[DateTime]],"ddd")</f>
        <v>Tue</v>
      </c>
      <c r="M1598" t="str">
        <f>TEXT(Pqp_supermarket_data[[#This Row],[DateTime]],"mmm")</f>
        <v>Nov</v>
      </c>
      <c r="N1598" t="str">
        <f>TEXT(Pqp_supermarket_data[[#This Row],[DateTime]],"yyy")</f>
        <v>2022</v>
      </c>
    </row>
    <row r="1599" spans="1:14" x14ac:dyDescent="0.35">
      <c r="A1599" t="s">
        <v>3328</v>
      </c>
      <c r="B1599" s="1">
        <v>45380.426432488428</v>
      </c>
      <c r="C1599" t="s">
        <v>3329</v>
      </c>
      <c r="D1599" t="s">
        <v>127</v>
      </c>
      <c r="E1599" t="s">
        <v>137</v>
      </c>
      <c r="F1599">
        <v>2.5</v>
      </c>
      <c r="G1599">
        <v>3</v>
      </c>
      <c r="H1599" t="s">
        <v>14</v>
      </c>
      <c r="I1599" t="s">
        <v>86</v>
      </c>
      <c r="J1599" t="s">
        <v>175</v>
      </c>
      <c r="K1599">
        <f>Pqp_supermarket_data[[#This Row],[Unit_Price]]*Pqp_supermarket_data[[#This Row],[Quantity]]</f>
        <v>7.5</v>
      </c>
      <c r="L1599" t="str">
        <f>TEXT(Pqp_supermarket_data[[#This Row],[DateTime]],"ddd")</f>
        <v>Fri</v>
      </c>
      <c r="M1599" t="str">
        <f>TEXT(Pqp_supermarket_data[[#This Row],[DateTime]],"mmm")</f>
        <v>Mar</v>
      </c>
      <c r="N1599" t="str">
        <f>TEXT(Pqp_supermarket_data[[#This Row],[DateTime]],"yyy")</f>
        <v>2024</v>
      </c>
    </row>
    <row r="1600" spans="1:14" x14ac:dyDescent="0.35">
      <c r="A1600" t="s">
        <v>3330</v>
      </c>
      <c r="B1600" s="1">
        <v>45108.511154722219</v>
      </c>
      <c r="C1600" t="s">
        <v>3331</v>
      </c>
      <c r="D1600" t="s">
        <v>30</v>
      </c>
      <c r="E1600" t="s">
        <v>78</v>
      </c>
      <c r="F1600">
        <v>4</v>
      </c>
      <c r="G1600">
        <v>8</v>
      </c>
      <c r="H1600" t="s">
        <v>14</v>
      </c>
      <c r="I1600" t="s">
        <v>36</v>
      </c>
      <c r="J1600" t="s">
        <v>195</v>
      </c>
      <c r="K1600">
        <f>Pqp_supermarket_data[[#This Row],[Unit_Price]]*Pqp_supermarket_data[[#This Row],[Quantity]]</f>
        <v>32</v>
      </c>
      <c r="L1600" t="str">
        <f>TEXT(Pqp_supermarket_data[[#This Row],[DateTime]],"ddd")</f>
        <v>Sat</v>
      </c>
      <c r="M1600" t="str">
        <f>TEXT(Pqp_supermarket_data[[#This Row],[DateTime]],"mmm")</f>
        <v>Jul</v>
      </c>
      <c r="N1600" t="str">
        <f>TEXT(Pqp_supermarket_data[[#This Row],[DateTime]],"yyy")</f>
        <v>2023</v>
      </c>
    </row>
    <row r="1601" spans="1:14" x14ac:dyDescent="0.35">
      <c r="A1601" t="s">
        <v>3332</v>
      </c>
      <c r="B1601" s="1">
        <v>45542.996571400465</v>
      </c>
      <c r="C1601" t="s">
        <v>3333</v>
      </c>
      <c r="D1601" t="s">
        <v>85</v>
      </c>
      <c r="E1601" t="s">
        <v>115</v>
      </c>
      <c r="F1601">
        <v>1.5</v>
      </c>
      <c r="G1601">
        <v>3</v>
      </c>
      <c r="H1601" t="s">
        <v>14</v>
      </c>
      <c r="I1601" t="s">
        <v>61</v>
      </c>
      <c r="J1601" t="s">
        <v>91</v>
      </c>
      <c r="K1601">
        <f>Pqp_supermarket_data[[#This Row],[Unit_Price]]*Pqp_supermarket_data[[#This Row],[Quantity]]</f>
        <v>4.5</v>
      </c>
      <c r="L1601" t="str">
        <f>TEXT(Pqp_supermarket_data[[#This Row],[DateTime]],"ddd")</f>
        <v>Sat</v>
      </c>
      <c r="M1601" t="str">
        <f>TEXT(Pqp_supermarket_data[[#This Row],[DateTime]],"mmm")</f>
        <v>Sep</v>
      </c>
      <c r="N1601" t="str">
        <f>TEXT(Pqp_supermarket_data[[#This Row],[DateTime]],"yyy")</f>
        <v>2024</v>
      </c>
    </row>
    <row r="1602" spans="1:14" x14ac:dyDescent="0.35">
      <c r="A1602" t="s">
        <v>3334</v>
      </c>
      <c r="B1602" s="1">
        <v>44967.861154745369</v>
      </c>
      <c r="C1602" t="s">
        <v>3335</v>
      </c>
      <c r="D1602" t="s">
        <v>19</v>
      </c>
      <c r="E1602" t="s">
        <v>49</v>
      </c>
      <c r="F1602">
        <v>7</v>
      </c>
      <c r="G1602">
        <v>3</v>
      </c>
      <c r="H1602" t="s">
        <v>14</v>
      </c>
      <c r="I1602" t="s">
        <v>40</v>
      </c>
      <c r="J1602" t="s">
        <v>192</v>
      </c>
      <c r="K1602">
        <f>Pqp_supermarket_data[[#This Row],[Unit_Price]]*Pqp_supermarket_data[[#This Row],[Quantity]]</f>
        <v>21</v>
      </c>
      <c r="L1602" t="str">
        <f>TEXT(Pqp_supermarket_data[[#This Row],[DateTime]],"ddd")</f>
        <v>Fri</v>
      </c>
      <c r="M1602" t="str">
        <f>TEXT(Pqp_supermarket_data[[#This Row],[DateTime]],"mmm")</f>
        <v>Feb</v>
      </c>
      <c r="N1602" t="str">
        <f>TEXT(Pqp_supermarket_data[[#This Row],[DateTime]],"yyy")</f>
        <v>2023</v>
      </c>
    </row>
    <row r="1603" spans="1:14" x14ac:dyDescent="0.35">
      <c r="A1603" t="s">
        <v>3336</v>
      </c>
      <c r="B1603" s="1">
        <v>45743.386849189817</v>
      </c>
      <c r="C1603" t="s">
        <v>3337</v>
      </c>
      <c r="D1603" t="s">
        <v>44</v>
      </c>
      <c r="E1603" t="s">
        <v>90</v>
      </c>
      <c r="F1603">
        <v>1.8</v>
      </c>
      <c r="G1603">
        <v>1</v>
      </c>
      <c r="H1603" t="s">
        <v>14</v>
      </c>
      <c r="I1603" t="s">
        <v>36</v>
      </c>
      <c r="J1603" t="s">
        <v>461</v>
      </c>
      <c r="K1603">
        <f>Pqp_supermarket_data[[#This Row],[Unit_Price]]*Pqp_supermarket_data[[#This Row],[Quantity]]</f>
        <v>1.8</v>
      </c>
      <c r="L1603" t="str">
        <f>TEXT(Pqp_supermarket_data[[#This Row],[DateTime]],"ddd")</f>
        <v>Thu</v>
      </c>
      <c r="M1603" t="str">
        <f>TEXT(Pqp_supermarket_data[[#This Row],[DateTime]],"mmm")</f>
        <v>Mar</v>
      </c>
      <c r="N1603" t="str">
        <f>TEXT(Pqp_supermarket_data[[#This Row],[DateTime]],"yyy")</f>
        <v>2025</v>
      </c>
    </row>
    <row r="1604" spans="1:14" x14ac:dyDescent="0.35">
      <c r="A1604" t="s">
        <v>3338</v>
      </c>
      <c r="B1604" s="1">
        <v>45679.647960312497</v>
      </c>
      <c r="C1604" t="s">
        <v>2369</v>
      </c>
      <c r="D1604" t="s">
        <v>44</v>
      </c>
      <c r="E1604" t="s">
        <v>145</v>
      </c>
      <c r="F1604">
        <v>1.7</v>
      </c>
      <c r="G1604">
        <v>10</v>
      </c>
      <c r="H1604" t="s">
        <v>14</v>
      </c>
      <c r="I1604" t="s">
        <v>36</v>
      </c>
      <c r="J1604" t="s">
        <v>99</v>
      </c>
      <c r="K1604">
        <f>Pqp_supermarket_data[[#This Row],[Unit_Price]]*Pqp_supermarket_data[[#This Row],[Quantity]]</f>
        <v>17</v>
      </c>
      <c r="L1604" t="str">
        <f>TEXT(Pqp_supermarket_data[[#This Row],[DateTime]],"ddd")</f>
        <v>Wed</v>
      </c>
      <c r="M1604" t="str">
        <f>TEXT(Pqp_supermarket_data[[#This Row],[DateTime]],"mmm")</f>
        <v>Jan</v>
      </c>
      <c r="N1604" t="str">
        <f>TEXT(Pqp_supermarket_data[[#This Row],[DateTime]],"yyy")</f>
        <v>2025</v>
      </c>
    </row>
    <row r="1605" spans="1:14" x14ac:dyDescent="0.35">
      <c r="A1605" t="s">
        <v>3339</v>
      </c>
      <c r="B1605" s="1">
        <v>44896.922265868059</v>
      </c>
      <c r="C1605" t="s">
        <v>3340</v>
      </c>
      <c r="D1605" t="s">
        <v>127</v>
      </c>
      <c r="E1605" t="s">
        <v>115</v>
      </c>
      <c r="F1605">
        <v>1.5</v>
      </c>
      <c r="G1605">
        <v>2</v>
      </c>
      <c r="H1605" t="s">
        <v>14</v>
      </c>
      <c r="I1605" t="s">
        <v>86</v>
      </c>
      <c r="J1605" t="s">
        <v>623</v>
      </c>
      <c r="K1605">
        <f>Pqp_supermarket_data[[#This Row],[Unit_Price]]*Pqp_supermarket_data[[#This Row],[Quantity]]</f>
        <v>3</v>
      </c>
      <c r="L1605" t="str">
        <f>TEXT(Pqp_supermarket_data[[#This Row],[DateTime]],"ddd")</f>
        <v>Thu</v>
      </c>
      <c r="M1605" t="str">
        <f>TEXT(Pqp_supermarket_data[[#This Row],[DateTime]],"mmm")</f>
        <v>Dec</v>
      </c>
      <c r="N1605" t="str">
        <f>TEXT(Pqp_supermarket_data[[#This Row],[DateTime]],"yyy")</f>
        <v>2022</v>
      </c>
    </row>
    <row r="1606" spans="1:14" x14ac:dyDescent="0.35">
      <c r="A1606" t="s">
        <v>3341</v>
      </c>
      <c r="B1606" s="1">
        <v>44522.36115478009</v>
      </c>
      <c r="C1606" t="s">
        <v>3342</v>
      </c>
      <c r="D1606" t="s">
        <v>85</v>
      </c>
      <c r="E1606" t="s">
        <v>94</v>
      </c>
      <c r="F1606">
        <v>0.8</v>
      </c>
      <c r="G1606">
        <v>4</v>
      </c>
      <c r="H1606" t="s">
        <v>14</v>
      </c>
      <c r="I1606" t="s">
        <v>61</v>
      </c>
      <c r="J1606" t="s">
        <v>426</v>
      </c>
      <c r="K1606">
        <f>Pqp_supermarket_data[[#This Row],[Unit_Price]]*Pqp_supermarket_data[[#This Row],[Quantity]]</f>
        <v>3.2</v>
      </c>
      <c r="L1606" t="str">
        <f>TEXT(Pqp_supermarket_data[[#This Row],[DateTime]],"ddd")</f>
        <v>Mon</v>
      </c>
      <c r="M1606" t="str">
        <f>TEXT(Pqp_supermarket_data[[#This Row],[DateTime]],"mmm")</f>
        <v>Nov</v>
      </c>
      <c r="N1606" t="str">
        <f>TEXT(Pqp_supermarket_data[[#This Row],[DateTime]],"yyy")</f>
        <v>2021</v>
      </c>
    </row>
    <row r="1607" spans="1:14" x14ac:dyDescent="0.35">
      <c r="A1607" t="s">
        <v>3343</v>
      </c>
      <c r="B1607" s="1">
        <v>45551.195877002312</v>
      </c>
      <c r="C1607" t="s">
        <v>3344</v>
      </c>
      <c r="D1607" t="s">
        <v>25</v>
      </c>
      <c r="E1607" t="s">
        <v>145</v>
      </c>
      <c r="F1607">
        <v>1.7</v>
      </c>
      <c r="G1607">
        <v>4</v>
      </c>
      <c r="H1607" t="s">
        <v>14</v>
      </c>
      <c r="I1607" t="s">
        <v>86</v>
      </c>
      <c r="J1607" t="s">
        <v>54</v>
      </c>
      <c r="K1607">
        <f>Pqp_supermarket_data[[#This Row],[Unit_Price]]*Pqp_supermarket_data[[#This Row],[Quantity]]</f>
        <v>6.8</v>
      </c>
      <c r="L1607" t="str">
        <f>TEXT(Pqp_supermarket_data[[#This Row],[DateTime]],"ddd")</f>
        <v>Mon</v>
      </c>
      <c r="M1607" t="str">
        <f>TEXT(Pqp_supermarket_data[[#This Row],[DateTime]],"mmm")</f>
        <v>Sep</v>
      </c>
      <c r="N1607" t="str">
        <f>TEXT(Pqp_supermarket_data[[#This Row],[DateTime]],"yyy")</f>
        <v>2024</v>
      </c>
    </row>
    <row r="1608" spans="1:14" x14ac:dyDescent="0.35">
      <c r="A1608" t="s">
        <v>3345</v>
      </c>
      <c r="B1608" s="1">
        <v>45574.61115478009</v>
      </c>
      <c r="C1608" t="s">
        <v>3346</v>
      </c>
      <c r="D1608" t="s">
        <v>85</v>
      </c>
      <c r="E1608" t="s">
        <v>45</v>
      </c>
      <c r="F1608">
        <v>1</v>
      </c>
      <c r="G1608">
        <v>3</v>
      </c>
      <c r="H1608" t="s">
        <v>14</v>
      </c>
      <c r="I1608" t="s">
        <v>15</v>
      </c>
      <c r="J1608" t="s">
        <v>131</v>
      </c>
      <c r="K1608">
        <f>Pqp_supermarket_data[[#This Row],[Unit_Price]]*Pqp_supermarket_data[[#This Row],[Quantity]]</f>
        <v>3</v>
      </c>
      <c r="L1608" t="str">
        <f>TEXT(Pqp_supermarket_data[[#This Row],[DateTime]],"ddd")</f>
        <v>Wed</v>
      </c>
      <c r="M1608" t="str">
        <f>TEXT(Pqp_supermarket_data[[#This Row],[DateTime]],"mmm")</f>
        <v>Oct</v>
      </c>
      <c r="N1608" t="str">
        <f>TEXT(Pqp_supermarket_data[[#This Row],[DateTime]],"yyy")</f>
        <v>2024</v>
      </c>
    </row>
    <row r="1609" spans="1:14" x14ac:dyDescent="0.35">
      <c r="A1609" t="s">
        <v>3347</v>
      </c>
      <c r="B1609" s="1">
        <v>44497.720182557867</v>
      </c>
      <c r="C1609" t="s">
        <v>3348</v>
      </c>
      <c r="D1609" t="s">
        <v>25</v>
      </c>
      <c r="E1609" t="s">
        <v>148</v>
      </c>
      <c r="F1609">
        <v>5.5</v>
      </c>
      <c r="G1609">
        <v>3</v>
      </c>
      <c r="H1609" t="s">
        <v>14</v>
      </c>
      <c r="I1609" t="s">
        <v>86</v>
      </c>
      <c r="J1609" t="s">
        <v>74</v>
      </c>
      <c r="K1609">
        <f>Pqp_supermarket_data[[#This Row],[Unit_Price]]*Pqp_supermarket_data[[#This Row],[Quantity]]</f>
        <v>16.5</v>
      </c>
      <c r="L1609" t="str">
        <f>TEXT(Pqp_supermarket_data[[#This Row],[DateTime]],"ddd")</f>
        <v>Thu</v>
      </c>
      <c r="M1609" t="str">
        <f>TEXT(Pqp_supermarket_data[[#This Row],[DateTime]],"mmm")</f>
        <v>Oct</v>
      </c>
      <c r="N1609" t="str">
        <f>TEXT(Pqp_supermarket_data[[#This Row],[DateTime]],"yyy")</f>
        <v>2021</v>
      </c>
    </row>
    <row r="1610" spans="1:14" x14ac:dyDescent="0.35">
      <c r="A1610" t="s">
        <v>3349</v>
      </c>
      <c r="B1610" s="1">
        <v>45226.268793680552</v>
      </c>
      <c r="C1610" t="s">
        <v>3350</v>
      </c>
      <c r="D1610" t="s">
        <v>69</v>
      </c>
      <c r="E1610" t="s">
        <v>145</v>
      </c>
      <c r="F1610">
        <v>1.7</v>
      </c>
      <c r="G1610">
        <v>1</v>
      </c>
      <c r="H1610" t="s">
        <v>14</v>
      </c>
      <c r="I1610" t="s">
        <v>21</v>
      </c>
      <c r="J1610" t="s">
        <v>485</v>
      </c>
      <c r="K1610">
        <f>Pqp_supermarket_data[[#This Row],[Unit_Price]]*Pqp_supermarket_data[[#This Row],[Quantity]]</f>
        <v>1.7</v>
      </c>
      <c r="L1610" t="str">
        <f>TEXT(Pqp_supermarket_data[[#This Row],[DateTime]],"ddd")</f>
        <v>Fri</v>
      </c>
      <c r="M1610" t="str">
        <f>TEXT(Pqp_supermarket_data[[#This Row],[DateTime]],"mmm")</f>
        <v>Oct</v>
      </c>
      <c r="N1610" t="str">
        <f>TEXT(Pqp_supermarket_data[[#This Row],[DateTime]],"yyy")</f>
        <v>2023</v>
      </c>
    </row>
    <row r="1611" spans="1:14" x14ac:dyDescent="0.35">
      <c r="A1611" t="s">
        <v>3351</v>
      </c>
      <c r="B1611" s="1">
        <v>45600.501432569443</v>
      </c>
      <c r="C1611" t="s">
        <v>3352</v>
      </c>
      <c r="D1611" t="s">
        <v>82</v>
      </c>
      <c r="E1611" t="s">
        <v>90</v>
      </c>
      <c r="F1611">
        <v>1.8</v>
      </c>
      <c r="G1611">
        <v>5</v>
      </c>
      <c r="H1611" t="s">
        <v>14</v>
      </c>
      <c r="I1611" t="s">
        <v>36</v>
      </c>
      <c r="J1611" t="s">
        <v>71</v>
      </c>
      <c r="K1611">
        <f>Pqp_supermarket_data[[#This Row],[Unit_Price]]*Pqp_supermarket_data[[#This Row],[Quantity]]</f>
        <v>9</v>
      </c>
      <c r="L1611" t="str">
        <f>TEXT(Pqp_supermarket_data[[#This Row],[DateTime]],"ddd")</f>
        <v>Mon</v>
      </c>
      <c r="M1611" t="str">
        <f>TEXT(Pqp_supermarket_data[[#This Row],[DateTime]],"mmm")</f>
        <v>Nov</v>
      </c>
      <c r="N1611" t="str">
        <f>TEXT(Pqp_supermarket_data[[#This Row],[DateTime]],"yyy")</f>
        <v>2024</v>
      </c>
    </row>
    <row r="1612" spans="1:14" x14ac:dyDescent="0.35">
      <c r="A1612" t="s">
        <v>3353</v>
      </c>
      <c r="B1612" s="1">
        <v>45313.253515925928</v>
      </c>
      <c r="C1612" t="s">
        <v>3354</v>
      </c>
      <c r="D1612" t="s">
        <v>82</v>
      </c>
      <c r="E1612" t="s">
        <v>115</v>
      </c>
      <c r="F1612">
        <v>1.5</v>
      </c>
      <c r="G1612">
        <v>1</v>
      </c>
      <c r="H1612" t="s">
        <v>14</v>
      </c>
      <c r="I1612" t="s">
        <v>21</v>
      </c>
      <c r="J1612" t="s">
        <v>22</v>
      </c>
      <c r="K1612">
        <f>Pqp_supermarket_data[[#This Row],[Unit_Price]]*Pqp_supermarket_data[[#This Row],[Quantity]]</f>
        <v>1.5</v>
      </c>
      <c r="L1612" t="str">
        <f>TEXT(Pqp_supermarket_data[[#This Row],[DateTime]],"ddd")</f>
        <v>Mon</v>
      </c>
      <c r="M1612" t="str">
        <f>TEXT(Pqp_supermarket_data[[#This Row],[DateTime]],"mmm")</f>
        <v>Jan</v>
      </c>
      <c r="N1612" t="str">
        <f>TEXT(Pqp_supermarket_data[[#This Row],[DateTime]],"yyy")</f>
        <v>2024</v>
      </c>
    </row>
    <row r="1613" spans="1:14" x14ac:dyDescent="0.35">
      <c r="A1613" t="s">
        <v>3355</v>
      </c>
      <c r="B1613" s="1">
        <v>44468.504904814814</v>
      </c>
      <c r="C1613" t="s">
        <v>3356</v>
      </c>
      <c r="D1613" t="s">
        <v>77</v>
      </c>
      <c r="E1613" t="s">
        <v>13</v>
      </c>
      <c r="F1613">
        <v>3.1</v>
      </c>
      <c r="G1613">
        <v>6</v>
      </c>
      <c r="H1613" t="s">
        <v>14</v>
      </c>
      <c r="I1613" t="s">
        <v>61</v>
      </c>
      <c r="J1613" t="s">
        <v>561</v>
      </c>
      <c r="K1613">
        <f>Pqp_supermarket_data[[#This Row],[Unit_Price]]*Pqp_supermarket_data[[#This Row],[Quantity]]</f>
        <v>18.600000000000001</v>
      </c>
      <c r="L1613" t="str">
        <f>TEXT(Pqp_supermarket_data[[#This Row],[DateTime]],"ddd")</f>
        <v>Wed</v>
      </c>
      <c r="M1613" t="str">
        <f>TEXT(Pqp_supermarket_data[[#This Row],[DateTime]],"mmm")</f>
        <v>Sep</v>
      </c>
      <c r="N1613" t="str">
        <f>TEXT(Pqp_supermarket_data[[#This Row],[DateTime]],"yyy")</f>
        <v>2021</v>
      </c>
    </row>
    <row r="1614" spans="1:14" x14ac:dyDescent="0.35">
      <c r="A1614" t="s">
        <v>3357</v>
      </c>
      <c r="B1614" s="1">
        <v>44329.00768260417</v>
      </c>
      <c r="C1614" t="s">
        <v>3358</v>
      </c>
      <c r="D1614" t="s">
        <v>44</v>
      </c>
      <c r="E1614" t="s">
        <v>137</v>
      </c>
      <c r="F1614">
        <v>2.5</v>
      </c>
      <c r="G1614">
        <v>3</v>
      </c>
      <c r="H1614" t="s">
        <v>14</v>
      </c>
      <c r="I1614" t="s">
        <v>40</v>
      </c>
      <c r="J1614" t="s">
        <v>288</v>
      </c>
      <c r="K1614">
        <f>Pqp_supermarket_data[[#This Row],[Unit_Price]]*Pqp_supermarket_data[[#This Row],[Quantity]]</f>
        <v>7.5</v>
      </c>
      <c r="L1614" t="str">
        <f>TEXT(Pqp_supermarket_data[[#This Row],[DateTime]],"ddd")</f>
        <v>Thu</v>
      </c>
      <c r="M1614" t="str">
        <f>TEXT(Pqp_supermarket_data[[#This Row],[DateTime]],"mmm")</f>
        <v>May</v>
      </c>
      <c r="N1614" t="str">
        <f>TEXT(Pqp_supermarket_data[[#This Row],[DateTime]],"yyy")</f>
        <v>2021</v>
      </c>
    </row>
    <row r="1615" spans="1:14" x14ac:dyDescent="0.35">
      <c r="A1615" t="s">
        <v>3359</v>
      </c>
      <c r="B1615" s="1">
        <v>45679.652127060188</v>
      </c>
      <c r="C1615" t="s">
        <v>3360</v>
      </c>
      <c r="D1615" t="s">
        <v>44</v>
      </c>
      <c r="E1615" t="s">
        <v>78</v>
      </c>
      <c r="F1615">
        <v>4</v>
      </c>
      <c r="G1615">
        <v>5</v>
      </c>
      <c r="H1615" t="s">
        <v>14</v>
      </c>
      <c r="I1615" t="s">
        <v>86</v>
      </c>
      <c r="J1615" t="s">
        <v>339</v>
      </c>
      <c r="K1615">
        <f>Pqp_supermarket_data[[#This Row],[Unit_Price]]*Pqp_supermarket_data[[#This Row],[Quantity]]</f>
        <v>20</v>
      </c>
      <c r="L1615" t="str">
        <f>TEXT(Pqp_supermarket_data[[#This Row],[DateTime]],"ddd")</f>
        <v>Wed</v>
      </c>
      <c r="M1615" t="str">
        <f>TEXT(Pqp_supermarket_data[[#This Row],[DateTime]],"mmm")</f>
        <v>Jan</v>
      </c>
      <c r="N1615" t="str">
        <f>TEXT(Pqp_supermarket_data[[#This Row],[DateTime]],"yyy")</f>
        <v>2025</v>
      </c>
    </row>
    <row r="1616" spans="1:14" x14ac:dyDescent="0.35">
      <c r="A1616" t="s">
        <v>3361</v>
      </c>
      <c r="B1616" s="1">
        <v>44544.416015949071</v>
      </c>
      <c r="C1616" t="s">
        <v>3362</v>
      </c>
      <c r="D1616" t="s">
        <v>69</v>
      </c>
      <c r="E1616" t="s">
        <v>13</v>
      </c>
      <c r="F1616">
        <v>3.1</v>
      </c>
      <c r="G1616">
        <v>8</v>
      </c>
      <c r="H1616" t="s">
        <v>14</v>
      </c>
      <c r="I1616" t="s">
        <v>61</v>
      </c>
      <c r="J1616" t="s">
        <v>517</v>
      </c>
      <c r="K1616">
        <f>Pqp_supermarket_data[[#This Row],[Unit_Price]]*Pqp_supermarket_data[[#This Row],[Quantity]]</f>
        <v>24.8</v>
      </c>
      <c r="L1616" t="str">
        <f>TEXT(Pqp_supermarket_data[[#This Row],[DateTime]],"ddd")</f>
        <v>Tue</v>
      </c>
      <c r="M1616" t="str">
        <f>TEXT(Pqp_supermarket_data[[#This Row],[DateTime]],"mmm")</f>
        <v>Dec</v>
      </c>
      <c r="N1616" t="str">
        <f>TEXT(Pqp_supermarket_data[[#This Row],[DateTime]],"yyy")</f>
        <v>2021</v>
      </c>
    </row>
    <row r="1617" spans="1:14" x14ac:dyDescent="0.35">
      <c r="A1617" t="s">
        <v>3363</v>
      </c>
      <c r="B1617" s="1">
        <v>45163.430599293984</v>
      </c>
      <c r="C1617" t="s">
        <v>3364</v>
      </c>
      <c r="D1617" t="s">
        <v>30</v>
      </c>
      <c r="E1617" t="s">
        <v>35</v>
      </c>
      <c r="F1617">
        <v>1.2</v>
      </c>
      <c r="G1617">
        <v>9</v>
      </c>
      <c r="H1617" t="s">
        <v>14</v>
      </c>
      <c r="I1617" t="s">
        <v>15</v>
      </c>
      <c r="J1617" t="s">
        <v>517</v>
      </c>
      <c r="K1617">
        <f>Pqp_supermarket_data[[#This Row],[Unit_Price]]*Pqp_supermarket_data[[#This Row],[Quantity]]</f>
        <v>10.799999999999999</v>
      </c>
      <c r="L1617" t="str">
        <f>TEXT(Pqp_supermarket_data[[#This Row],[DateTime]],"ddd")</f>
        <v>Fri</v>
      </c>
      <c r="M1617" t="str">
        <f>TEXT(Pqp_supermarket_data[[#This Row],[DateTime]],"mmm")</f>
        <v>Aug</v>
      </c>
      <c r="N1617" t="str">
        <f>TEXT(Pqp_supermarket_data[[#This Row],[DateTime]],"yyy")</f>
        <v>2023</v>
      </c>
    </row>
    <row r="1618" spans="1:14" x14ac:dyDescent="0.35">
      <c r="A1618" t="s">
        <v>3365</v>
      </c>
      <c r="B1618" s="1">
        <v>45047.566015972225</v>
      </c>
      <c r="C1618" t="s">
        <v>3366</v>
      </c>
      <c r="D1618" t="s">
        <v>44</v>
      </c>
      <c r="E1618" t="s">
        <v>119</v>
      </c>
      <c r="F1618">
        <v>4</v>
      </c>
      <c r="G1618">
        <v>9</v>
      </c>
      <c r="H1618" t="s">
        <v>14</v>
      </c>
      <c r="I1618" t="s">
        <v>21</v>
      </c>
      <c r="J1618" t="s">
        <v>186</v>
      </c>
      <c r="K1618">
        <f>Pqp_supermarket_data[[#This Row],[Unit_Price]]*Pqp_supermarket_data[[#This Row],[Quantity]]</f>
        <v>36</v>
      </c>
      <c r="L1618" t="str">
        <f>TEXT(Pqp_supermarket_data[[#This Row],[DateTime]],"ddd")</f>
        <v>Mon</v>
      </c>
      <c r="M1618" t="str">
        <f>TEXT(Pqp_supermarket_data[[#This Row],[DateTime]],"mmm")</f>
        <v>May</v>
      </c>
      <c r="N1618" t="str">
        <f>TEXT(Pqp_supermarket_data[[#This Row],[DateTime]],"yyy")</f>
        <v>2023</v>
      </c>
    </row>
    <row r="1619" spans="1:14" x14ac:dyDescent="0.35">
      <c r="A1619" t="s">
        <v>3367</v>
      </c>
      <c r="B1619" s="1">
        <v>45298.714627094909</v>
      </c>
      <c r="C1619" t="s">
        <v>3368</v>
      </c>
      <c r="D1619" t="s">
        <v>25</v>
      </c>
      <c r="E1619" t="s">
        <v>119</v>
      </c>
      <c r="F1619">
        <v>4</v>
      </c>
      <c r="G1619">
        <v>7</v>
      </c>
      <c r="H1619" t="s">
        <v>14</v>
      </c>
      <c r="I1619" t="s">
        <v>40</v>
      </c>
      <c r="J1619" t="s">
        <v>192</v>
      </c>
      <c r="K1619">
        <f>Pqp_supermarket_data[[#This Row],[Unit_Price]]*Pqp_supermarket_data[[#This Row],[Quantity]]</f>
        <v>28</v>
      </c>
      <c r="L1619" t="str">
        <f>TEXT(Pqp_supermarket_data[[#This Row],[DateTime]],"ddd")</f>
        <v>Sun</v>
      </c>
      <c r="M1619" t="str">
        <f>TEXT(Pqp_supermarket_data[[#This Row],[DateTime]],"mmm")</f>
        <v>Jan</v>
      </c>
      <c r="N1619" t="str">
        <f>TEXT(Pqp_supermarket_data[[#This Row],[DateTime]],"yyy")</f>
        <v>2024</v>
      </c>
    </row>
    <row r="1620" spans="1:14" x14ac:dyDescent="0.35">
      <c r="A1620" t="s">
        <v>3369</v>
      </c>
      <c r="B1620" s="1">
        <v>45518.693793761573</v>
      </c>
      <c r="C1620" t="s">
        <v>3370</v>
      </c>
      <c r="D1620" t="s">
        <v>171</v>
      </c>
      <c r="E1620" t="s">
        <v>148</v>
      </c>
      <c r="F1620">
        <v>5.5</v>
      </c>
      <c r="G1620">
        <v>1</v>
      </c>
      <c r="H1620" t="s">
        <v>14</v>
      </c>
      <c r="I1620" t="s">
        <v>21</v>
      </c>
      <c r="J1620" t="s">
        <v>189</v>
      </c>
      <c r="K1620">
        <f>Pqp_supermarket_data[[#This Row],[Unit_Price]]*Pqp_supermarket_data[[#This Row],[Quantity]]</f>
        <v>5.5</v>
      </c>
      <c r="L1620" t="str">
        <f>TEXT(Pqp_supermarket_data[[#This Row],[DateTime]],"ddd")</f>
        <v>Wed</v>
      </c>
      <c r="M1620" t="str">
        <f>TEXT(Pqp_supermarket_data[[#This Row],[DateTime]],"mmm")</f>
        <v>Aug</v>
      </c>
      <c r="N1620" t="str">
        <f>TEXT(Pqp_supermarket_data[[#This Row],[DateTime]],"yyy")</f>
        <v>2024</v>
      </c>
    </row>
    <row r="1621" spans="1:14" x14ac:dyDescent="0.35">
      <c r="A1621" t="s">
        <v>3371</v>
      </c>
      <c r="B1621" s="1">
        <v>45396.278515995371</v>
      </c>
      <c r="C1621" t="s">
        <v>3372</v>
      </c>
      <c r="D1621" t="s">
        <v>98</v>
      </c>
      <c r="E1621" t="s">
        <v>148</v>
      </c>
      <c r="F1621">
        <v>5.5</v>
      </c>
      <c r="G1621">
        <v>2</v>
      </c>
      <c r="H1621" t="s">
        <v>14</v>
      </c>
      <c r="I1621" t="s">
        <v>21</v>
      </c>
      <c r="J1621" t="s">
        <v>215</v>
      </c>
      <c r="K1621">
        <f>Pqp_supermarket_data[[#This Row],[Unit_Price]]*Pqp_supermarket_data[[#This Row],[Quantity]]</f>
        <v>11</v>
      </c>
      <c r="L1621" t="str">
        <f>TEXT(Pqp_supermarket_data[[#This Row],[DateTime]],"ddd")</f>
        <v>Sun</v>
      </c>
      <c r="M1621" t="str">
        <f>TEXT(Pqp_supermarket_data[[#This Row],[DateTime]],"mmm")</f>
        <v>Apr</v>
      </c>
      <c r="N1621" t="str">
        <f>TEXT(Pqp_supermarket_data[[#This Row],[DateTime]],"yyy")</f>
        <v>2024</v>
      </c>
    </row>
    <row r="1622" spans="1:14" x14ac:dyDescent="0.35">
      <c r="A1622" t="s">
        <v>3373</v>
      </c>
      <c r="B1622" s="1">
        <v>45084.152821550924</v>
      </c>
      <c r="C1622" t="s">
        <v>3374</v>
      </c>
      <c r="D1622" t="s">
        <v>98</v>
      </c>
      <c r="E1622" t="s">
        <v>78</v>
      </c>
      <c r="F1622">
        <v>4</v>
      </c>
      <c r="G1622">
        <v>9</v>
      </c>
      <c r="H1622" t="s">
        <v>14</v>
      </c>
      <c r="I1622" t="s">
        <v>36</v>
      </c>
      <c r="J1622" t="s">
        <v>744</v>
      </c>
      <c r="K1622">
        <f>Pqp_supermarket_data[[#This Row],[Unit_Price]]*Pqp_supermarket_data[[#This Row],[Quantity]]</f>
        <v>36</v>
      </c>
      <c r="L1622" t="str">
        <f>TEXT(Pqp_supermarket_data[[#This Row],[DateTime]],"ddd")</f>
        <v>Wed</v>
      </c>
      <c r="M1622" t="str">
        <f>TEXT(Pqp_supermarket_data[[#This Row],[DateTime]],"mmm")</f>
        <v>Jun</v>
      </c>
      <c r="N1622" t="str">
        <f>TEXT(Pqp_supermarket_data[[#This Row],[DateTime]],"yyy")</f>
        <v>2023</v>
      </c>
    </row>
    <row r="1623" spans="1:14" x14ac:dyDescent="0.35">
      <c r="A1623" t="s">
        <v>3375</v>
      </c>
      <c r="B1623" s="1">
        <v>45697.384766006944</v>
      </c>
      <c r="C1623" t="s">
        <v>3376</v>
      </c>
      <c r="D1623" t="s">
        <v>82</v>
      </c>
      <c r="E1623" t="s">
        <v>20</v>
      </c>
      <c r="F1623">
        <v>1</v>
      </c>
      <c r="G1623">
        <v>5</v>
      </c>
      <c r="H1623" t="s">
        <v>14</v>
      </c>
      <c r="I1623" t="s">
        <v>21</v>
      </c>
      <c r="J1623" t="s">
        <v>561</v>
      </c>
      <c r="K1623">
        <f>Pqp_supermarket_data[[#This Row],[Unit_Price]]*Pqp_supermarket_data[[#This Row],[Quantity]]</f>
        <v>5</v>
      </c>
      <c r="L1623" t="str">
        <f>TEXT(Pqp_supermarket_data[[#This Row],[DateTime]],"ddd")</f>
        <v>Sun</v>
      </c>
      <c r="M1623" t="str">
        <f>TEXT(Pqp_supermarket_data[[#This Row],[DateTime]],"mmm")</f>
        <v>Feb</v>
      </c>
      <c r="N1623" t="str">
        <f>TEXT(Pqp_supermarket_data[[#This Row],[DateTime]],"yyy")</f>
        <v>2025</v>
      </c>
    </row>
    <row r="1624" spans="1:14" x14ac:dyDescent="0.35">
      <c r="A1624" t="s">
        <v>3377</v>
      </c>
      <c r="B1624" s="1">
        <v>45036.948654907406</v>
      </c>
      <c r="C1624" t="s">
        <v>3378</v>
      </c>
      <c r="D1624" t="s">
        <v>12</v>
      </c>
      <c r="E1624" t="s">
        <v>148</v>
      </c>
      <c r="F1624">
        <v>5.5</v>
      </c>
      <c r="G1624">
        <v>7</v>
      </c>
      <c r="H1624" t="s">
        <v>14</v>
      </c>
      <c r="I1624" t="s">
        <v>40</v>
      </c>
      <c r="J1624" t="s">
        <v>470</v>
      </c>
      <c r="K1624">
        <f>Pqp_supermarket_data[[#This Row],[Unit_Price]]*Pqp_supermarket_data[[#This Row],[Quantity]]</f>
        <v>38.5</v>
      </c>
      <c r="L1624" t="str">
        <f>TEXT(Pqp_supermarket_data[[#This Row],[DateTime]],"ddd")</f>
        <v>Thu</v>
      </c>
      <c r="M1624" t="str">
        <f>TEXT(Pqp_supermarket_data[[#This Row],[DateTime]],"mmm")</f>
        <v>Apr</v>
      </c>
      <c r="N1624" t="str">
        <f>TEXT(Pqp_supermarket_data[[#This Row],[DateTime]],"yyy")</f>
        <v>2023</v>
      </c>
    </row>
    <row r="1625" spans="1:14" x14ac:dyDescent="0.35">
      <c r="A1625" t="s">
        <v>3379</v>
      </c>
      <c r="B1625" s="1">
        <v>44927.852127141203</v>
      </c>
      <c r="C1625" t="s">
        <v>3380</v>
      </c>
      <c r="D1625" t="s">
        <v>85</v>
      </c>
      <c r="E1625" t="s">
        <v>35</v>
      </c>
      <c r="F1625">
        <v>1.2</v>
      </c>
      <c r="G1625">
        <v>3</v>
      </c>
      <c r="H1625" t="s">
        <v>14</v>
      </c>
      <c r="I1625" t="s">
        <v>21</v>
      </c>
      <c r="J1625" t="s">
        <v>339</v>
      </c>
      <c r="K1625">
        <f>Pqp_supermarket_data[[#This Row],[Unit_Price]]*Pqp_supermarket_data[[#This Row],[Quantity]]</f>
        <v>3.5999999999999996</v>
      </c>
      <c r="L1625" t="str">
        <f>TEXT(Pqp_supermarket_data[[#This Row],[DateTime]],"ddd")</f>
        <v>Sun</v>
      </c>
      <c r="M1625" t="str">
        <f>TEXT(Pqp_supermarket_data[[#This Row],[DateTime]],"mmm")</f>
        <v>Jan</v>
      </c>
      <c r="N1625" t="str">
        <f>TEXT(Pqp_supermarket_data[[#This Row],[DateTime]],"yyy")</f>
        <v>2023</v>
      </c>
    </row>
    <row r="1626" spans="1:14" x14ac:dyDescent="0.35">
      <c r="A1626" t="s">
        <v>3381</v>
      </c>
      <c r="B1626" s="1">
        <v>44360.380599374999</v>
      </c>
      <c r="C1626" t="s">
        <v>3382</v>
      </c>
      <c r="D1626" t="s">
        <v>208</v>
      </c>
      <c r="E1626" t="s">
        <v>119</v>
      </c>
      <c r="F1626">
        <v>4</v>
      </c>
      <c r="G1626">
        <v>1</v>
      </c>
      <c r="H1626" t="s">
        <v>14</v>
      </c>
      <c r="I1626" t="s">
        <v>36</v>
      </c>
      <c r="J1626" t="s">
        <v>248</v>
      </c>
      <c r="K1626">
        <f>Pqp_supermarket_data[[#This Row],[Unit_Price]]*Pqp_supermarket_data[[#This Row],[Quantity]]</f>
        <v>4</v>
      </c>
      <c r="L1626" t="str">
        <f>TEXT(Pqp_supermarket_data[[#This Row],[DateTime]],"ddd")</f>
        <v>Sun</v>
      </c>
      <c r="M1626" t="str">
        <f>TEXT(Pqp_supermarket_data[[#This Row],[DateTime]],"mmm")</f>
        <v>Jun</v>
      </c>
      <c r="N1626" t="str">
        <f>TEXT(Pqp_supermarket_data[[#This Row],[DateTime]],"yyy")</f>
        <v>2021</v>
      </c>
    </row>
    <row r="1627" spans="1:14" x14ac:dyDescent="0.35">
      <c r="A1627" t="s">
        <v>3383</v>
      </c>
      <c r="B1627" s="1">
        <v>44971.904904930554</v>
      </c>
      <c r="C1627" t="s">
        <v>3384</v>
      </c>
      <c r="D1627" t="s">
        <v>85</v>
      </c>
      <c r="E1627" t="s">
        <v>90</v>
      </c>
      <c r="F1627">
        <v>1.8</v>
      </c>
      <c r="G1627">
        <v>2</v>
      </c>
      <c r="H1627" t="s">
        <v>14</v>
      </c>
      <c r="I1627" t="s">
        <v>15</v>
      </c>
      <c r="J1627" t="s">
        <v>510</v>
      </c>
      <c r="K1627">
        <f>Pqp_supermarket_data[[#This Row],[Unit_Price]]*Pqp_supermarket_data[[#This Row],[Quantity]]</f>
        <v>3.6</v>
      </c>
      <c r="L1627" t="str">
        <f>TEXT(Pqp_supermarket_data[[#This Row],[DateTime]],"ddd")</f>
        <v>Tue</v>
      </c>
      <c r="M1627" t="str">
        <f>TEXT(Pqp_supermarket_data[[#This Row],[DateTime]],"mmm")</f>
        <v>Feb</v>
      </c>
      <c r="N1627" t="str">
        <f>TEXT(Pqp_supermarket_data[[#This Row],[DateTime]],"yyy")</f>
        <v>2023</v>
      </c>
    </row>
    <row r="1628" spans="1:14" x14ac:dyDescent="0.35">
      <c r="A1628" t="s">
        <v>3385</v>
      </c>
      <c r="B1628" s="1">
        <v>44743.035460497682</v>
      </c>
      <c r="C1628" t="s">
        <v>3386</v>
      </c>
      <c r="D1628" t="s">
        <v>226</v>
      </c>
      <c r="E1628" t="s">
        <v>49</v>
      </c>
      <c r="F1628">
        <v>7</v>
      </c>
      <c r="G1628">
        <v>7</v>
      </c>
      <c r="H1628" t="s">
        <v>14</v>
      </c>
      <c r="I1628" t="s">
        <v>21</v>
      </c>
      <c r="J1628" t="s">
        <v>195</v>
      </c>
      <c r="K1628">
        <f>Pqp_supermarket_data[[#This Row],[Unit_Price]]*Pqp_supermarket_data[[#This Row],[Quantity]]</f>
        <v>49</v>
      </c>
      <c r="L1628" t="str">
        <f>TEXT(Pqp_supermarket_data[[#This Row],[DateTime]],"ddd")</f>
        <v>Fri</v>
      </c>
      <c r="M1628" t="str">
        <f>TEXT(Pqp_supermarket_data[[#This Row],[DateTime]],"mmm")</f>
        <v>Jul</v>
      </c>
      <c r="N1628" t="str">
        <f>TEXT(Pqp_supermarket_data[[#This Row],[DateTime]],"yyy")</f>
        <v>2022</v>
      </c>
    </row>
    <row r="1629" spans="1:14" x14ac:dyDescent="0.35">
      <c r="A1629" t="s">
        <v>3387</v>
      </c>
      <c r="B1629" s="1">
        <v>45363.351432719908</v>
      </c>
      <c r="C1629" t="s">
        <v>3388</v>
      </c>
      <c r="D1629" t="s">
        <v>69</v>
      </c>
      <c r="E1629" t="s">
        <v>119</v>
      </c>
      <c r="F1629">
        <v>4</v>
      </c>
      <c r="G1629">
        <v>4</v>
      </c>
      <c r="H1629" t="s">
        <v>14</v>
      </c>
      <c r="I1629" t="s">
        <v>21</v>
      </c>
      <c r="J1629" t="s">
        <v>160</v>
      </c>
      <c r="K1629">
        <f>Pqp_supermarket_data[[#This Row],[Unit_Price]]*Pqp_supermarket_data[[#This Row],[Quantity]]</f>
        <v>16</v>
      </c>
      <c r="L1629" t="str">
        <f>TEXT(Pqp_supermarket_data[[#This Row],[DateTime]],"ddd")</f>
        <v>Tue</v>
      </c>
      <c r="M1629" t="str">
        <f>TEXT(Pqp_supermarket_data[[#This Row],[DateTime]],"mmm")</f>
        <v>Mar</v>
      </c>
      <c r="N1629" t="str">
        <f>TEXT(Pqp_supermarket_data[[#This Row],[DateTime]],"yyy")</f>
        <v>2024</v>
      </c>
    </row>
    <row r="1630" spans="1:14" x14ac:dyDescent="0.35">
      <c r="A1630" t="s">
        <v>3389</v>
      </c>
      <c r="B1630" s="1">
        <v>45767.872960497683</v>
      </c>
      <c r="C1630" t="s">
        <v>3390</v>
      </c>
      <c r="D1630" t="s">
        <v>85</v>
      </c>
      <c r="E1630" t="s">
        <v>90</v>
      </c>
      <c r="F1630">
        <v>1.8</v>
      </c>
      <c r="G1630">
        <v>5</v>
      </c>
      <c r="H1630" t="s">
        <v>14</v>
      </c>
      <c r="I1630" t="s">
        <v>61</v>
      </c>
      <c r="J1630" t="s">
        <v>499</v>
      </c>
      <c r="K1630">
        <f>Pqp_supermarket_data[[#This Row],[Unit_Price]]*Pqp_supermarket_data[[#This Row],[Quantity]]</f>
        <v>9</v>
      </c>
      <c r="L1630" t="str">
        <f>TEXT(Pqp_supermarket_data[[#This Row],[DateTime]],"ddd")</f>
        <v>Sun</v>
      </c>
      <c r="M1630" t="str">
        <f>TEXT(Pqp_supermarket_data[[#This Row],[DateTime]],"mmm")</f>
        <v>Apr</v>
      </c>
      <c r="N1630" t="str">
        <f>TEXT(Pqp_supermarket_data[[#This Row],[DateTime]],"yyy")</f>
        <v>2025</v>
      </c>
    </row>
    <row r="1631" spans="1:14" x14ac:dyDescent="0.35">
      <c r="A1631" t="s">
        <v>3391</v>
      </c>
      <c r="B1631" s="1">
        <v>45179.631293842591</v>
      </c>
      <c r="C1631" t="s">
        <v>3392</v>
      </c>
      <c r="D1631" t="s">
        <v>85</v>
      </c>
      <c r="E1631" t="s">
        <v>148</v>
      </c>
      <c r="F1631">
        <v>5.5</v>
      </c>
      <c r="G1631">
        <v>3</v>
      </c>
      <c r="H1631" t="s">
        <v>14</v>
      </c>
      <c r="I1631" t="s">
        <v>15</v>
      </c>
      <c r="J1631" t="s">
        <v>436</v>
      </c>
      <c r="K1631">
        <f>Pqp_supermarket_data[[#This Row],[Unit_Price]]*Pqp_supermarket_data[[#This Row],[Quantity]]</f>
        <v>16.5</v>
      </c>
      <c r="L1631" t="str">
        <f>TEXT(Pqp_supermarket_data[[#This Row],[DateTime]],"ddd")</f>
        <v>Sun</v>
      </c>
      <c r="M1631" t="str">
        <f>TEXT(Pqp_supermarket_data[[#This Row],[DateTime]],"mmm")</f>
        <v>Sep</v>
      </c>
      <c r="N1631" t="str">
        <f>TEXT(Pqp_supermarket_data[[#This Row],[DateTime]],"yyy")</f>
        <v>2023</v>
      </c>
    </row>
    <row r="1632" spans="1:14" x14ac:dyDescent="0.35">
      <c r="A1632" t="s">
        <v>3393</v>
      </c>
      <c r="B1632" s="1">
        <v>44694.255599398151</v>
      </c>
      <c r="C1632" t="s">
        <v>3394</v>
      </c>
      <c r="D1632" t="s">
        <v>208</v>
      </c>
      <c r="E1632" t="s">
        <v>111</v>
      </c>
      <c r="F1632">
        <v>2.2000000000000002</v>
      </c>
      <c r="G1632">
        <v>5</v>
      </c>
      <c r="H1632" t="s">
        <v>14</v>
      </c>
      <c r="I1632" t="s">
        <v>15</v>
      </c>
      <c r="J1632" t="s">
        <v>195</v>
      </c>
      <c r="K1632">
        <f>Pqp_supermarket_data[[#This Row],[Unit_Price]]*Pqp_supermarket_data[[#This Row],[Quantity]]</f>
        <v>11</v>
      </c>
      <c r="L1632" t="str">
        <f>TEXT(Pqp_supermarket_data[[#This Row],[DateTime]],"ddd")</f>
        <v>Fri</v>
      </c>
      <c r="M1632" t="str">
        <f>TEXT(Pqp_supermarket_data[[#This Row],[DateTime]],"mmm")</f>
        <v>May</v>
      </c>
      <c r="N1632" t="str">
        <f>TEXT(Pqp_supermarket_data[[#This Row],[DateTime]],"yyy")</f>
        <v>2022</v>
      </c>
    </row>
    <row r="1633" spans="1:14" x14ac:dyDescent="0.35">
      <c r="A1633" t="s">
        <v>3395</v>
      </c>
      <c r="B1633" s="1">
        <v>45680.716016076389</v>
      </c>
      <c r="C1633" t="s">
        <v>3396</v>
      </c>
      <c r="D1633" t="s">
        <v>34</v>
      </c>
      <c r="E1633" t="s">
        <v>78</v>
      </c>
      <c r="F1633">
        <v>4</v>
      </c>
      <c r="G1633">
        <v>9</v>
      </c>
      <c r="H1633" t="s">
        <v>14</v>
      </c>
      <c r="I1633" t="s">
        <v>40</v>
      </c>
      <c r="J1633" t="s">
        <v>288</v>
      </c>
      <c r="K1633">
        <f>Pqp_supermarket_data[[#This Row],[Unit_Price]]*Pqp_supermarket_data[[#This Row],[Quantity]]</f>
        <v>36</v>
      </c>
      <c r="L1633" t="str">
        <f>TEXT(Pqp_supermarket_data[[#This Row],[DateTime]],"ddd")</f>
        <v>Thu</v>
      </c>
      <c r="M1633" t="str">
        <f>TEXT(Pqp_supermarket_data[[#This Row],[DateTime]],"mmm")</f>
        <v>Jan</v>
      </c>
      <c r="N1633" t="str">
        <f>TEXT(Pqp_supermarket_data[[#This Row],[DateTime]],"yyy")</f>
        <v>2025</v>
      </c>
    </row>
    <row r="1634" spans="1:14" x14ac:dyDescent="0.35">
      <c r="A1634" t="s">
        <v>3397</v>
      </c>
      <c r="B1634" s="1">
        <v>44458.073654976855</v>
      </c>
      <c r="C1634" t="s">
        <v>3398</v>
      </c>
      <c r="D1634" t="s">
        <v>171</v>
      </c>
      <c r="E1634" t="s">
        <v>53</v>
      </c>
      <c r="F1634">
        <v>2.8</v>
      </c>
      <c r="G1634">
        <v>6</v>
      </c>
      <c r="H1634" t="s">
        <v>14</v>
      </c>
      <c r="I1634" t="s">
        <v>40</v>
      </c>
      <c r="J1634" t="s">
        <v>54</v>
      </c>
      <c r="K1634">
        <f>Pqp_supermarket_data[[#This Row],[Unit_Price]]*Pqp_supermarket_data[[#This Row],[Quantity]]</f>
        <v>16.799999999999997</v>
      </c>
      <c r="L1634" t="str">
        <f>TEXT(Pqp_supermarket_data[[#This Row],[DateTime]],"ddd")</f>
        <v>Sun</v>
      </c>
      <c r="M1634" t="str">
        <f>TEXT(Pqp_supermarket_data[[#This Row],[DateTime]],"mmm")</f>
        <v>Sep</v>
      </c>
      <c r="N1634" t="str">
        <f>TEXT(Pqp_supermarket_data[[#This Row],[DateTime]],"yyy")</f>
        <v>2021</v>
      </c>
    </row>
    <row r="1635" spans="1:14" x14ac:dyDescent="0.35">
      <c r="A1635" t="s">
        <v>3399</v>
      </c>
      <c r="B1635" s="1">
        <v>44662.194488310182</v>
      </c>
      <c r="C1635" t="s">
        <v>3400</v>
      </c>
      <c r="D1635" t="s">
        <v>69</v>
      </c>
      <c r="E1635" t="s">
        <v>145</v>
      </c>
      <c r="F1635">
        <v>1.7</v>
      </c>
      <c r="G1635">
        <v>10</v>
      </c>
      <c r="H1635" t="s">
        <v>14</v>
      </c>
      <c r="I1635" t="s">
        <v>61</v>
      </c>
      <c r="J1635" t="s">
        <v>394</v>
      </c>
      <c r="K1635">
        <f>Pqp_supermarket_data[[#This Row],[Unit_Price]]*Pqp_supermarket_data[[#This Row],[Quantity]]</f>
        <v>17</v>
      </c>
      <c r="L1635" t="str">
        <f>TEXT(Pqp_supermarket_data[[#This Row],[DateTime]],"ddd")</f>
        <v>Mon</v>
      </c>
      <c r="M1635" t="str">
        <f>TEXT(Pqp_supermarket_data[[#This Row],[DateTime]],"mmm")</f>
        <v>Apr</v>
      </c>
      <c r="N1635" t="str">
        <f>TEXT(Pqp_supermarket_data[[#This Row],[DateTime]],"yyy")</f>
        <v>2022</v>
      </c>
    </row>
    <row r="1636" spans="1:14" x14ac:dyDescent="0.35">
      <c r="A1636" t="s">
        <v>3401</v>
      </c>
      <c r="B1636" s="1">
        <v>45668.690321666669</v>
      </c>
      <c r="C1636" t="s">
        <v>3402</v>
      </c>
      <c r="D1636" t="s">
        <v>208</v>
      </c>
      <c r="E1636" t="s">
        <v>53</v>
      </c>
      <c r="F1636">
        <v>2.8</v>
      </c>
      <c r="G1636">
        <v>4</v>
      </c>
      <c r="H1636" t="s">
        <v>14</v>
      </c>
      <c r="I1636" t="s">
        <v>36</v>
      </c>
      <c r="J1636" t="s">
        <v>339</v>
      </c>
      <c r="K1636">
        <f>Pqp_supermarket_data[[#This Row],[Unit_Price]]*Pqp_supermarket_data[[#This Row],[Quantity]]</f>
        <v>11.2</v>
      </c>
      <c r="L1636" t="str">
        <f>TEXT(Pqp_supermarket_data[[#This Row],[DateTime]],"ddd")</f>
        <v>Sat</v>
      </c>
      <c r="M1636" t="str">
        <f>TEXT(Pqp_supermarket_data[[#This Row],[DateTime]],"mmm")</f>
        <v>Jan</v>
      </c>
      <c r="N1636" t="str">
        <f>TEXT(Pqp_supermarket_data[[#This Row],[DateTime]],"yyy")</f>
        <v>2025</v>
      </c>
    </row>
    <row r="1637" spans="1:14" x14ac:dyDescent="0.35">
      <c r="A1637" t="s">
        <v>3403</v>
      </c>
      <c r="B1637" s="1">
        <v>45425.22573834491</v>
      </c>
      <c r="C1637" t="s">
        <v>3404</v>
      </c>
      <c r="D1637" t="s">
        <v>85</v>
      </c>
      <c r="E1637" t="s">
        <v>119</v>
      </c>
      <c r="F1637">
        <v>4</v>
      </c>
      <c r="G1637">
        <v>2</v>
      </c>
      <c r="H1637" t="s">
        <v>14</v>
      </c>
      <c r="I1637" t="s">
        <v>36</v>
      </c>
      <c r="J1637" t="s">
        <v>314</v>
      </c>
      <c r="K1637">
        <f>Pqp_supermarket_data[[#This Row],[Unit_Price]]*Pqp_supermarket_data[[#This Row],[Quantity]]</f>
        <v>8</v>
      </c>
      <c r="L1637" t="str">
        <f>TEXT(Pqp_supermarket_data[[#This Row],[DateTime]],"ddd")</f>
        <v>Mon</v>
      </c>
      <c r="M1637" t="str">
        <f>TEXT(Pqp_supermarket_data[[#This Row],[DateTime]],"mmm")</f>
        <v>May</v>
      </c>
      <c r="N1637" t="str">
        <f>TEXT(Pqp_supermarket_data[[#This Row],[DateTime]],"yyy")</f>
        <v>2024</v>
      </c>
    </row>
    <row r="1638" spans="1:14" x14ac:dyDescent="0.35">
      <c r="A1638" t="s">
        <v>3405</v>
      </c>
      <c r="B1638" s="1">
        <v>44377.031293900465</v>
      </c>
      <c r="C1638" t="s">
        <v>3406</v>
      </c>
      <c r="D1638" t="s">
        <v>127</v>
      </c>
      <c r="E1638" t="s">
        <v>45</v>
      </c>
      <c r="F1638">
        <v>1</v>
      </c>
      <c r="G1638">
        <v>9</v>
      </c>
      <c r="H1638" t="s">
        <v>14</v>
      </c>
      <c r="I1638" t="s">
        <v>15</v>
      </c>
      <c r="J1638" t="s">
        <v>510</v>
      </c>
      <c r="K1638">
        <f>Pqp_supermarket_data[[#This Row],[Unit_Price]]*Pqp_supermarket_data[[#This Row],[Quantity]]</f>
        <v>9</v>
      </c>
      <c r="L1638" t="str">
        <f>TEXT(Pqp_supermarket_data[[#This Row],[DateTime]],"ddd")</f>
        <v>Wed</v>
      </c>
      <c r="M1638" t="str">
        <f>TEXT(Pqp_supermarket_data[[#This Row],[DateTime]],"mmm")</f>
        <v>Jun</v>
      </c>
      <c r="N1638" t="str">
        <f>TEXT(Pqp_supermarket_data[[#This Row],[DateTime]],"yyy")</f>
        <v>2021</v>
      </c>
    </row>
    <row r="1639" spans="1:14" x14ac:dyDescent="0.35">
      <c r="A1639" t="s">
        <v>3407</v>
      </c>
      <c r="B1639" s="1">
        <v>45335.13129391204</v>
      </c>
      <c r="C1639" t="s">
        <v>3408</v>
      </c>
      <c r="D1639" t="s">
        <v>25</v>
      </c>
      <c r="E1639" t="s">
        <v>119</v>
      </c>
      <c r="F1639">
        <v>4</v>
      </c>
      <c r="G1639">
        <v>7</v>
      </c>
      <c r="H1639" t="s">
        <v>14</v>
      </c>
      <c r="I1639" t="s">
        <v>15</v>
      </c>
      <c r="J1639" t="s">
        <v>31</v>
      </c>
      <c r="K1639">
        <f>Pqp_supermarket_data[[#This Row],[Unit_Price]]*Pqp_supermarket_data[[#This Row],[Quantity]]</f>
        <v>28</v>
      </c>
      <c r="L1639" t="str">
        <f>TEXT(Pqp_supermarket_data[[#This Row],[DateTime]],"ddd")</f>
        <v>Tue</v>
      </c>
      <c r="M1639" t="str">
        <f>TEXT(Pqp_supermarket_data[[#This Row],[DateTime]],"mmm")</f>
        <v>Feb</v>
      </c>
      <c r="N1639" t="str">
        <f>TEXT(Pqp_supermarket_data[[#This Row],[DateTime]],"yyy")</f>
        <v>2024</v>
      </c>
    </row>
    <row r="1640" spans="1:14" x14ac:dyDescent="0.35">
      <c r="A1640" t="s">
        <v>3409</v>
      </c>
      <c r="B1640" s="1">
        <v>45311.569488368055</v>
      </c>
      <c r="C1640" t="s">
        <v>3410</v>
      </c>
      <c r="D1640" t="s">
        <v>82</v>
      </c>
      <c r="E1640" t="s">
        <v>53</v>
      </c>
      <c r="F1640">
        <v>2.8</v>
      </c>
      <c r="G1640">
        <v>3</v>
      </c>
      <c r="H1640" t="s">
        <v>14</v>
      </c>
      <c r="I1640" t="s">
        <v>86</v>
      </c>
      <c r="J1640" t="s">
        <v>451</v>
      </c>
      <c r="K1640">
        <f>Pqp_supermarket_data[[#This Row],[Unit_Price]]*Pqp_supermarket_data[[#This Row],[Quantity]]</f>
        <v>8.3999999999999986</v>
      </c>
      <c r="L1640" t="str">
        <f>TEXT(Pqp_supermarket_data[[#This Row],[DateTime]],"ddd")</f>
        <v>Sat</v>
      </c>
      <c r="M1640" t="str">
        <f>TEXT(Pqp_supermarket_data[[#This Row],[DateTime]],"mmm")</f>
        <v>Jan</v>
      </c>
      <c r="N1640" t="str">
        <f>TEXT(Pqp_supermarket_data[[#This Row],[DateTime]],"yyy")</f>
        <v>2024</v>
      </c>
    </row>
    <row r="1641" spans="1:14" x14ac:dyDescent="0.35">
      <c r="A1641" t="s">
        <v>3411</v>
      </c>
      <c r="B1641" s="1">
        <v>44771.331293935182</v>
      </c>
      <c r="C1641" t="s">
        <v>3412</v>
      </c>
      <c r="D1641" t="s">
        <v>69</v>
      </c>
      <c r="E1641" t="s">
        <v>94</v>
      </c>
      <c r="F1641">
        <v>0.8</v>
      </c>
      <c r="G1641">
        <v>4</v>
      </c>
      <c r="H1641" t="s">
        <v>14</v>
      </c>
      <c r="I1641" t="s">
        <v>21</v>
      </c>
      <c r="J1641" t="s">
        <v>723</v>
      </c>
      <c r="K1641">
        <f>Pqp_supermarket_data[[#This Row],[Unit_Price]]*Pqp_supermarket_data[[#This Row],[Quantity]]</f>
        <v>3.2</v>
      </c>
      <c r="L1641" t="str">
        <f>TEXT(Pqp_supermarket_data[[#This Row],[DateTime]],"ddd")</f>
        <v>Fri</v>
      </c>
      <c r="M1641" t="str">
        <f>TEXT(Pqp_supermarket_data[[#This Row],[DateTime]],"mmm")</f>
        <v>Jul</v>
      </c>
      <c r="N1641" t="str">
        <f>TEXT(Pqp_supermarket_data[[#This Row],[DateTime]],"yyy")</f>
        <v>2022</v>
      </c>
    </row>
    <row r="1642" spans="1:14" x14ac:dyDescent="0.35">
      <c r="A1642" t="s">
        <v>3413</v>
      </c>
      <c r="B1642" s="1">
        <v>45416.71393283565</v>
      </c>
      <c r="C1642" t="s">
        <v>3414</v>
      </c>
      <c r="D1642" t="s">
        <v>208</v>
      </c>
      <c r="E1642" t="s">
        <v>57</v>
      </c>
      <c r="F1642">
        <v>4.5</v>
      </c>
      <c r="G1642">
        <v>3</v>
      </c>
      <c r="H1642" t="s">
        <v>14</v>
      </c>
      <c r="I1642" t="s">
        <v>15</v>
      </c>
      <c r="J1642" t="s">
        <v>662</v>
      </c>
      <c r="K1642">
        <f>Pqp_supermarket_data[[#This Row],[Unit_Price]]*Pqp_supermarket_data[[#This Row],[Quantity]]</f>
        <v>13.5</v>
      </c>
      <c r="L1642" t="str">
        <f>TEXT(Pqp_supermarket_data[[#This Row],[DateTime]],"ddd")</f>
        <v>Sat</v>
      </c>
      <c r="M1642" t="str">
        <f>TEXT(Pqp_supermarket_data[[#This Row],[DateTime]],"mmm")</f>
        <v>May</v>
      </c>
      <c r="N1642" t="str">
        <f>TEXT(Pqp_supermarket_data[[#This Row],[DateTime]],"yyy")</f>
        <v>2024</v>
      </c>
    </row>
    <row r="1643" spans="1:14" x14ac:dyDescent="0.35">
      <c r="A1643" t="s">
        <v>3415</v>
      </c>
      <c r="B1643" s="1">
        <v>44378.75976616898</v>
      </c>
      <c r="C1643" t="s">
        <v>3416</v>
      </c>
      <c r="D1643" t="s">
        <v>77</v>
      </c>
      <c r="E1643" t="s">
        <v>111</v>
      </c>
      <c r="F1643">
        <v>2.2000000000000002</v>
      </c>
      <c r="G1643">
        <v>2</v>
      </c>
      <c r="H1643" t="s">
        <v>14</v>
      </c>
      <c r="I1643" t="s">
        <v>86</v>
      </c>
      <c r="J1643" t="s">
        <v>623</v>
      </c>
      <c r="K1643">
        <f>Pqp_supermarket_data[[#This Row],[Unit_Price]]*Pqp_supermarket_data[[#This Row],[Quantity]]</f>
        <v>4.4000000000000004</v>
      </c>
      <c r="L1643" t="str">
        <f>TEXT(Pqp_supermarket_data[[#This Row],[DateTime]],"ddd")</f>
        <v>Thu</v>
      </c>
      <c r="M1643" t="str">
        <f>TEXT(Pqp_supermarket_data[[#This Row],[DateTime]],"mmm")</f>
        <v>Jul</v>
      </c>
      <c r="N1643" t="str">
        <f>TEXT(Pqp_supermarket_data[[#This Row],[DateTime]],"yyy")</f>
        <v>2021</v>
      </c>
    </row>
    <row r="1644" spans="1:14" x14ac:dyDescent="0.35">
      <c r="A1644" t="s">
        <v>3417</v>
      </c>
      <c r="B1644" s="1">
        <v>44854.709071724537</v>
      </c>
      <c r="C1644" t="s">
        <v>3418</v>
      </c>
      <c r="D1644" t="s">
        <v>77</v>
      </c>
      <c r="E1644" t="s">
        <v>90</v>
      </c>
      <c r="F1644">
        <v>1.8</v>
      </c>
      <c r="G1644">
        <v>3</v>
      </c>
      <c r="H1644" t="s">
        <v>14</v>
      </c>
      <c r="I1644" t="s">
        <v>36</v>
      </c>
      <c r="J1644" t="s">
        <v>91</v>
      </c>
      <c r="K1644">
        <f>Pqp_supermarket_data[[#This Row],[Unit_Price]]*Pqp_supermarket_data[[#This Row],[Quantity]]</f>
        <v>5.4</v>
      </c>
      <c r="L1644" t="str">
        <f>TEXT(Pqp_supermarket_data[[#This Row],[DateTime]],"ddd")</f>
        <v>Thu</v>
      </c>
      <c r="M1644" t="str">
        <f>TEXT(Pqp_supermarket_data[[#This Row],[DateTime]],"mmm")</f>
        <v>Oct</v>
      </c>
      <c r="N1644" t="str">
        <f>TEXT(Pqp_supermarket_data[[#This Row],[DateTime]],"yyy")</f>
        <v>2022</v>
      </c>
    </row>
    <row r="1645" spans="1:14" x14ac:dyDescent="0.35">
      <c r="A1645" t="s">
        <v>3419</v>
      </c>
      <c r="B1645" s="1">
        <v>45761.763932847221</v>
      </c>
      <c r="C1645" t="s">
        <v>3420</v>
      </c>
      <c r="D1645" t="s">
        <v>82</v>
      </c>
      <c r="E1645" t="s">
        <v>49</v>
      </c>
      <c r="F1645">
        <v>7</v>
      </c>
      <c r="G1645">
        <v>1</v>
      </c>
      <c r="H1645" t="s">
        <v>14</v>
      </c>
      <c r="I1645" t="s">
        <v>40</v>
      </c>
      <c r="J1645" t="s">
        <v>99</v>
      </c>
      <c r="K1645">
        <f>Pqp_supermarket_data[[#This Row],[Unit_Price]]*Pqp_supermarket_data[[#This Row],[Quantity]]</f>
        <v>7</v>
      </c>
      <c r="L1645" t="str">
        <f>TEXT(Pqp_supermarket_data[[#This Row],[DateTime]],"ddd")</f>
        <v>Mon</v>
      </c>
      <c r="M1645" t="str">
        <f>TEXT(Pqp_supermarket_data[[#This Row],[DateTime]],"mmm")</f>
        <v>Apr</v>
      </c>
      <c r="N1645" t="str">
        <f>TEXT(Pqp_supermarket_data[[#This Row],[DateTime]],"yyy")</f>
        <v>2025</v>
      </c>
    </row>
    <row r="1646" spans="1:14" x14ac:dyDescent="0.35">
      <c r="A1646" t="s">
        <v>3421</v>
      </c>
      <c r="B1646" s="1">
        <v>44467.512543958335</v>
      </c>
      <c r="C1646" t="s">
        <v>3422</v>
      </c>
      <c r="D1646" t="s">
        <v>25</v>
      </c>
      <c r="E1646" t="s">
        <v>65</v>
      </c>
      <c r="F1646">
        <v>3</v>
      </c>
      <c r="G1646">
        <v>5</v>
      </c>
      <c r="H1646" t="s">
        <v>14</v>
      </c>
      <c r="I1646" t="s">
        <v>15</v>
      </c>
      <c r="J1646" t="s">
        <v>134</v>
      </c>
      <c r="K1646">
        <f>Pqp_supermarket_data[[#This Row],[Unit_Price]]*Pqp_supermarket_data[[#This Row],[Quantity]]</f>
        <v>15</v>
      </c>
      <c r="L1646" t="str">
        <f>TEXT(Pqp_supermarket_data[[#This Row],[DateTime]],"ddd")</f>
        <v>Tue</v>
      </c>
      <c r="M1646" t="str">
        <f>TEXT(Pqp_supermarket_data[[#This Row],[DateTime]],"mmm")</f>
        <v>Sep</v>
      </c>
      <c r="N1646" t="str">
        <f>TEXT(Pqp_supermarket_data[[#This Row],[DateTime]],"yyy")</f>
        <v>2021</v>
      </c>
    </row>
    <row r="1647" spans="1:14" x14ac:dyDescent="0.35">
      <c r="A1647" t="s">
        <v>3423</v>
      </c>
      <c r="B1647" s="1">
        <v>44558.525043969908</v>
      </c>
      <c r="C1647" t="s">
        <v>3424</v>
      </c>
      <c r="D1647" t="s">
        <v>208</v>
      </c>
      <c r="E1647" t="s">
        <v>148</v>
      </c>
      <c r="F1647">
        <v>5.5</v>
      </c>
      <c r="G1647">
        <v>9</v>
      </c>
      <c r="H1647" t="s">
        <v>14</v>
      </c>
      <c r="I1647" t="s">
        <v>36</v>
      </c>
      <c r="J1647" t="s">
        <v>102</v>
      </c>
      <c r="K1647">
        <f>Pqp_supermarket_data[[#This Row],[Unit_Price]]*Pqp_supermarket_data[[#This Row],[Quantity]]</f>
        <v>49.5</v>
      </c>
      <c r="L1647" t="str">
        <f>TEXT(Pqp_supermarket_data[[#This Row],[DateTime]],"ddd")</f>
        <v>Tue</v>
      </c>
      <c r="M1647" t="str">
        <f>TEXT(Pqp_supermarket_data[[#This Row],[DateTime]],"mmm")</f>
        <v>Dec</v>
      </c>
      <c r="N1647" t="str">
        <f>TEXT(Pqp_supermarket_data[[#This Row],[DateTime]],"yyy")</f>
        <v>2021</v>
      </c>
    </row>
    <row r="1648" spans="1:14" x14ac:dyDescent="0.35">
      <c r="A1648" t="s">
        <v>3425</v>
      </c>
      <c r="B1648" s="1">
        <v>44338.468099537036</v>
      </c>
      <c r="C1648" t="s">
        <v>3426</v>
      </c>
      <c r="D1648" t="s">
        <v>69</v>
      </c>
      <c r="E1648" t="s">
        <v>115</v>
      </c>
      <c r="F1648">
        <v>1.5</v>
      </c>
      <c r="G1648">
        <v>10</v>
      </c>
      <c r="H1648" t="s">
        <v>14</v>
      </c>
      <c r="I1648" t="s">
        <v>86</v>
      </c>
      <c r="J1648" t="s">
        <v>769</v>
      </c>
      <c r="K1648">
        <f>Pqp_supermarket_data[[#This Row],[Unit_Price]]*Pqp_supermarket_data[[#This Row],[Quantity]]</f>
        <v>15</v>
      </c>
      <c r="L1648" t="str">
        <f>TEXT(Pqp_supermarket_data[[#This Row],[DateTime]],"ddd")</f>
        <v>Sat</v>
      </c>
      <c r="M1648" t="str">
        <f>TEXT(Pqp_supermarket_data[[#This Row],[DateTime]],"mmm")</f>
        <v>May</v>
      </c>
      <c r="N1648" t="str">
        <f>TEXT(Pqp_supermarket_data[[#This Row],[DateTime]],"yyy")</f>
        <v>2021</v>
      </c>
    </row>
    <row r="1649" spans="1:14" x14ac:dyDescent="0.35">
      <c r="A1649" t="s">
        <v>3427</v>
      </c>
      <c r="B1649" s="1">
        <v>45157.122266203703</v>
      </c>
      <c r="C1649" t="s">
        <v>3428</v>
      </c>
      <c r="D1649" t="s">
        <v>69</v>
      </c>
      <c r="E1649" t="s">
        <v>26</v>
      </c>
      <c r="F1649">
        <v>2.5</v>
      </c>
      <c r="G1649">
        <v>1</v>
      </c>
      <c r="H1649" t="s">
        <v>14</v>
      </c>
      <c r="I1649" t="s">
        <v>21</v>
      </c>
      <c r="J1649" t="s">
        <v>320</v>
      </c>
      <c r="K1649">
        <f>Pqp_supermarket_data[[#This Row],[Unit_Price]]*Pqp_supermarket_data[[#This Row],[Quantity]]</f>
        <v>2.5</v>
      </c>
      <c r="L1649" t="str">
        <f>TEXT(Pqp_supermarket_data[[#This Row],[DateTime]],"ddd")</f>
        <v>Sat</v>
      </c>
      <c r="M1649" t="str">
        <f>TEXT(Pqp_supermarket_data[[#This Row],[DateTime]],"mmm")</f>
        <v>Aug</v>
      </c>
      <c r="N1649" t="str">
        <f>TEXT(Pqp_supermarket_data[[#This Row],[DateTime]],"yyy")</f>
        <v>2023</v>
      </c>
    </row>
    <row r="1650" spans="1:14" x14ac:dyDescent="0.35">
      <c r="A1650" t="s">
        <v>3429</v>
      </c>
      <c r="B1650" s="1">
        <v>45238.702821770836</v>
      </c>
      <c r="C1650" t="s">
        <v>3430</v>
      </c>
      <c r="D1650" t="s">
        <v>77</v>
      </c>
      <c r="E1650" t="s">
        <v>35</v>
      </c>
      <c r="F1650">
        <v>1.2</v>
      </c>
      <c r="G1650">
        <v>1</v>
      </c>
      <c r="H1650" t="s">
        <v>14</v>
      </c>
      <c r="I1650" t="s">
        <v>40</v>
      </c>
      <c r="J1650" t="s">
        <v>112</v>
      </c>
      <c r="K1650">
        <f>Pqp_supermarket_data[[#This Row],[Unit_Price]]*Pqp_supermarket_data[[#This Row],[Quantity]]</f>
        <v>1.2</v>
      </c>
      <c r="L1650" t="str">
        <f>TEXT(Pqp_supermarket_data[[#This Row],[DateTime]],"ddd")</f>
        <v>Wed</v>
      </c>
      <c r="M1650" t="str">
        <f>TEXT(Pqp_supermarket_data[[#This Row],[DateTime]],"mmm")</f>
        <v>Nov</v>
      </c>
      <c r="N1650" t="str">
        <f>TEXT(Pqp_supermarket_data[[#This Row],[DateTime]],"yyy")</f>
        <v>2023</v>
      </c>
    </row>
    <row r="1651" spans="1:14" x14ac:dyDescent="0.35">
      <c r="A1651" t="s">
        <v>3431</v>
      </c>
      <c r="B1651" s="1">
        <v>45179.412543993058</v>
      </c>
      <c r="C1651" t="s">
        <v>3432</v>
      </c>
      <c r="D1651" t="s">
        <v>19</v>
      </c>
      <c r="E1651" t="s">
        <v>145</v>
      </c>
      <c r="F1651">
        <v>1.7</v>
      </c>
      <c r="G1651">
        <v>3</v>
      </c>
      <c r="H1651" t="s">
        <v>14</v>
      </c>
      <c r="I1651" t="s">
        <v>40</v>
      </c>
      <c r="J1651" t="s">
        <v>499</v>
      </c>
      <c r="K1651">
        <f>Pqp_supermarket_data[[#This Row],[Unit_Price]]*Pqp_supermarket_data[[#This Row],[Quantity]]</f>
        <v>5.0999999999999996</v>
      </c>
      <c r="L1651" t="str">
        <f>TEXT(Pqp_supermarket_data[[#This Row],[DateTime]],"ddd")</f>
        <v>Sun</v>
      </c>
      <c r="M1651" t="str">
        <f>TEXT(Pqp_supermarket_data[[#This Row],[DateTime]],"mmm")</f>
        <v>Sep</v>
      </c>
      <c r="N1651" t="str">
        <f>TEXT(Pqp_supermarket_data[[#This Row],[DateTime]],"yyy")</f>
        <v>2023</v>
      </c>
    </row>
    <row r="1652" spans="1:14" x14ac:dyDescent="0.35">
      <c r="A1652" t="s">
        <v>3433</v>
      </c>
      <c r="B1652" s="1">
        <v>45737.249349548612</v>
      </c>
      <c r="C1652" t="s">
        <v>3434</v>
      </c>
      <c r="D1652" t="s">
        <v>82</v>
      </c>
      <c r="E1652" t="s">
        <v>111</v>
      </c>
      <c r="F1652">
        <v>2.2000000000000002</v>
      </c>
      <c r="G1652">
        <v>6</v>
      </c>
      <c r="H1652" t="s">
        <v>14</v>
      </c>
      <c r="I1652" t="s">
        <v>36</v>
      </c>
      <c r="J1652" t="s">
        <v>429</v>
      </c>
      <c r="K1652">
        <f>Pqp_supermarket_data[[#This Row],[Unit_Price]]*Pqp_supermarket_data[[#This Row],[Quantity]]</f>
        <v>13.200000000000001</v>
      </c>
      <c r="L1652" t="str">
        <f>TEXT(Pqp_supermarket_data[[#This Row],[DateTime]],"ddd")</f>
        <v>Fri</v>
      </c>
      <c r="M1652" t="str">
        <f>TEXT(Pqp_supermarket_data[[#This Row],[DateTime]],"mmm")</f>
        <v>Mar</v>
      </c>
      <c r="N1652" t="str">
        <f>TEXT(Pqp_supermarket_data[[#This Row],[DateTime]],"yyy")</f>
        <v>2025</v>
      </c>
    </row>
    <row r="1653" spans="1:14" x14ac:dyDescent="0.35">
      <c r="A1653" t="s">
        <v>3435</v>
      </c>
      <c r="B1653" s="1">
        <v>45323.668099560186</v>
      </c>
      <c r="C1653" t="s">
        <v>3436</v>
      </c>
      <c r="D1653" t="s">
        <v>30</v>
      </c>
      <c r="E1653" t="s">
        <v>148</v>
      </c>
      <c r="F1653">
        <v>5.5</v>
      </c>
      <c r="G1653">
        <v>8</v>
      </c>
      <c r="H1653" t="s">
        <v>14</v>
      </c>
      <c r="I1653" t="s">
        <v>15</v>
      </c>
      <c r="J1653" t="s">
        <v>233</v>
      </c>
      <c r="K1653">
        <f>Pqp_supermarket_data[[#This Row],[Unit_Price]]*Pqp_supermarket_data[[#This Row],[Quantity]]</f>
        <v>44</v>
      </c>
      <c r="L1653" t="str">
        <f>TEXT(Pqp_supermarket_data[[#This Row],[DateTime]],"ddd")</f>
        <v>Thu</v>
      </c>
      <c r="M1653" t="str">
        <f>TEXT(Pqp_supermarket_data[[#This Row],[DateTime]],"mmm")</f>
        <v>Feb</v>
      </c>
      <c r="N1653" t="str">
        <f>TEXT(Pqp_supermarket_data[[#This Row],[DateTime]],"yyy")</f>
        <v>2024</v>
      </c>
    </row>
    <row r="1654" spans="1:14" x14ac:dyDescent="0.35">
      <c r="A1654" t="s">
        <v>3437</v>
      </c>
      <c r="B1654" s="1">
        <v>45327.422266226851</v>
      </c>
      <c r="C1654" t="s">
        <v>3438</v>
      </c>
      <c r="D1654" t="s">
        <v>44</v>
      </c>
      <c r="E1654" t="s">
        <v>65</v>
      </c>
      <c r="F1654">
        <v>3</v>
      </c>
      <c r="G1654">
        <v>10</v>
      </c>
      <c r="H1654" t="s">
        <v>14</v>
      </c>
      <c r="I1654" t="s">
        <v>61</v>
      </c>
      <c r="J1654" t="s">
        <v>172</v>
      </c>
      <c r="K1654">
        <f>Pqp_supermarket_data[[#This Row],[Unit_Price]]*Pqp_supermarket_data[[#This Row],[Quantity]]</f>
        <v>30</v>
      </c>
      <c r="L1654" t="str">
        <f>TEXT(Pqp_supermarket_data[[#This Row],[DateTime]],"ddd")</f>
        <v>Mon</v>
      </c>
      <c r="M1654" t="str">
        <f>TEXT(Pqp_supermarket_data[[#This Row],[DateTime]],"mmm")</f>
        <v>Feb</v>
      </c>
      <c r="N1654" t="str">
        <f>TEXT(Pqp_supermarket_data[[#This Row],[DateTime]],"yyy")</f>
        <v>2024</v>
      </c>
    </row>
    <row r="1655" spans="1:14" x14ac:dyDescent="0.35">
      <c r="A1655" t="s">
        <v>3439</v>
      </c>
      <c r="B1655" s="1">
        <v>45048.436849560188</v>
      </c>
      <c r="C1655" t="s">
        <v>3440</v>
      </c>
      <c r="D1655" t="s">
        <v>208</v>
      </c>
      <c r="E1655" t="s">
        <v>45</v>
      </c>
      <c r="F1655">
        <v>1</v>
      </c>
      <c r="G1655">
        <v>3</v>
      </c>
      <c r="H1655" t="s">
        <v>14</v>
      </c>
      <c r="I1655" t="s">
        <v>15</v>
      </c>
      <c r="J1655" t="s">
        <v>22</v>
      </c>
      <c r="K1655">
        <f>Pqp_supermarket_data[[#This Row],[Unit_Price]]*Pqp_supermarket_data[[#This Row],[Quantity]]</f>
        <v>3</v>
      </c>
      <c r="L1655" t="str">
        <f>TEXT(Pqp_supermarket_data[[#This Row],[DateTime]],"ddd")</f>
        <v>Tue</v>
      </c>
      <c r="M1655" t="str">
        <f>TEXT(Pqp_supermarket_data[[#This Row],[DateTime]],"mmm")</f>
        <v>May</v>
      </c>
      <c r="N1655" t="str">
        <f>TEXT(Pqp_supermarket_data[[#This Row],[DateTime]],"yyy")</f>
        <v>2023</v>
      </c>
    </row>
    <row r="1656" spans="1:14" x14ac:dyDescent="0.35">
      <c r="A1656" t="s">
        <v>3441</v>
      </c>
      <c r="B1656" s="1">
        <v>44700.116710682873</v>
      </c>
      <c r="C1656" t="s">
        <v>3442</v>
      </c>
      <c r="D1656" t="s">
        <v>69</v>
      </c>
      <c r="E1656" t="s">
        <v>145</v>
      </c>
      <c r="F1656">
        <v>1.7</v>
      </c>
      <c r="G1656">
        <v>3</v>
      </c>
      <c r="H1656" t="s">
        <v>14</v>
      </c>
      <c r="I1656" t="s">
        <v>36</v>
      </c>
      <c r="J1656" t="s">
        <v>382</v>
      </c>
      <c r="K1656">
        <f>Pqp_supermarket_data[[#This Row],[Unit_Price]]*Pqp_supermarket_data[[#This Row],[Quantity]]</f>
        <v>5.0999999999999996</v>
      </c>
      <c r="L1656" t="str">
        <f>TEXT(Pqp_supermarket_data[[#This Row],[DateTime]],"ddd")</f>
        <v>Thu</v>
      </c>
      <c r="M1656" t="str">
        <f>TEXT(Pqp_supermarket_data[[#This Row],[DateTime]],"mmm")</f>
        <v>May</v>
      </c>
      <c r="N1656" t="str">
        <f>TEXT(Pqp_supermarket_data[[#This Row],[DateTime]],"yyy")</f>
        <v>2022</v>
      </c>
    </row>
    <row r="1657" spans="1:14" x14ac:dyDescent="0.35">
      <c r="A1657" t="s">
        <v>3443</v>
      </c>
      <c r="B1657" s="1">
        <v>45168.731988472224</v>
      </c>
      <c r="C1657" t="s">
        <v>3444</v>
      </c>
      <c r="D1657" t="s">
        <v>127</v>
      </c>
      <c r="E1657" t="s">
        <v>53</v>
      </c>
      <c r="F1657">
        <v>2.8</v>
      </c>
      <c r="G1657">
        <v>2</v>
      </c>
      <c r="H1657" t="s">
        <v>14</v>
      </c>
      <c r="I1657" t="s">
        <v>61</v>
      </c>
      <c r="J1657" t="s">
        <v>336</v>
      </c>
      <c r="K1657">
        <f>Pqp_supermarket_data[[#This Row],[Unit_Price]]*Pqp_supermarket_data[[#This Row],[Quantity]]</f>
        <v>5.6</v>
      </c>
      <c r="L1657" t="str">
        <f>TEXT(Pqp_supermarket_data[[#This Row],[DateTime]],"ddd")</f>
        <v>Wed</v>
      </c>
      <c r="M1657" t="str">
        <f>TEXT(Pqp_supermarket_data[[#This Row],[DateTime]],"mmm")</f>
        <v>Aug</v>
      </c>
      <c r="N1657" t="str">
        <f>TEXT(Pqp_supermarket_data[[#This Row],[DateTime]],"yyy")</f>
        <v>2023</v>
      </c>
    </row>
    <row r="1658" spans="1:14" x14ac:dyDescent="0.35">
      <c r="A1658" t="s">
        <v>3445</v>
      </c>
      <c r="B1658" s="1">
        <v>44431.060460706016</v>
      </c>
      <c r="C1658" t="s">
        <v>3446</v>
      </c>
      <c r="D1658" t="s">
        <v>127</v>
      </c>
      <c r="E1658" t="s">
        <v>65</v>
      </c>
      <c r="F1658">
        <v>3</v>
      </c>
      <c r="G1658">
        <v>1</v>
      </c>
      <c r="H1658" t="s">
        <v>14</v>
      </c>
      <c r="I1658" t="s">
        <v>15</v>
      </c>
      <c r="J1658" t="s">
        <v>267</v>
      </c>
      <c r="K1658">
        <f>Pqp_supermarket_data[[#This Row],[Unit_Price]]*Pqp_supermarket_data[[#This Row],[Quantity]]</f>
        <v>3</v>
      </c>
      <c r="L1658" t="str">
        <f>TEXT(Pqp_supermarket_data[[#This Row],[DateTime]],"ddd")</f>
        <v>Mon</v>
      </c>
      <c r="M1658" t="str">
        <f>TEXT(Pqp_supermarket_data[[#This Row],[DateTime]],"mmm")</f>
        <v>Aug</v>
      </c>
      <c r="N1658" t="str">
        <f>TEXT(Pqp_supermarket_data[[#This Row],[DateTime]],"yyy")</f>
        <v>2021</v>
      </c>
    </row>
    <row r="1659" spans="1:14" x14ac:dyDescent="0.35">
      <c r="A1659" t="s">
        <v>3447</v>
      </c>
      <c r="B1659" s="1">
        <v>44443.379210706022</v>
      </c>
      <c r="C1659" t="s">
        <v>3448</v>
      </c>
      <c r="D1659" t="s">
        <v>69</v>
      </c>
      <c r="E1659" t="s">
        <v>49</v>
      </c>
      <c r="F1659">
        <v>7</v>
      </c>
      <c r="G1659">
        <v>8</v>
      </c>
      <c r="H1659" t="s">
        <v>14</v>
      </c>
      <c r="I1659" t="s">
        <v>36</v>
      </c>
      <c r="J1659" t="s">
        <v>470</v>
      </c>
      <c r="K1659">
        <f>Pqp_supermarket_data[[#This Row],[Unit_Price]]*Pqp_supermarket_data[[#This Row],[Quantity]]</f>
        <v>56</v>
      </c>
      <c r="L1659" t="str">
        <f>TEXT(Pqp_supermarket_data[[#This Row],[DateTime]],"ddd")</f>
        <v>Sat</v>
      </c>
      <c r="M1659" t="str">
        <f>TEXT(Pqp_supermarket_data[[#This Row],[DateTime]],"mmm")</f>
        <v>Sep</v>
      </c>
      <c r="N1659" t="str">
        <f>TEXT(Pqp_supermarket_data[[#This Row],[DateTime]],"yyy")</f>
        <v>2021</v>
      </c>
    </row>
    <row r="1660" spans="1:14" x14ac:dyDescent="0.35">
      <c r="A1660" t="s">
        <v>3449</v>
      </c>
      <c r="B1660" s="1">
        <v>45649.409766261575</v>
      </c>
      <c r="C1660" t="s">
        <v>3450</v>
      </c>
      <c r="D1660" t="s">
        <v>82</v>
      </c>
      <c r="E1660" t="s">
        <v>13</v>
      </c>
      <c r="F1660">
        <v>3.1</v>
      </c>
      <c r="G1660">
        <v>3</v>
      </c>
      <c r="H1660" t="s">
        <v>14</v>
      </c>
      <c r="I1660" t="s">
        <v>40</v>
      </c>
      <c r="J1660" t="s">
        <v>394</v>
      </c>
      <c r="K1660">
        <f>Pqp_supermarket_data[[#This Row],[Unit_Price]]*Pqp_supermarket_data[[#This Row],[Quantity]]</f>
        <v>9.3000000000000007</v>
      </c>
      <c r="L1660" t="str">
        <f>TEXT(Pqp_supermarket_data[[#This Row],[DateTime]],"ddd")</f>
        <v>Mon</v>
      </c>
      <c r="M1660" t="str">
        <f>TEXT(Pqp_supermarket_data[[#This Row],[DateTime]],"mmm")</f>
        <v>Dec</v>
      </c>
      <c r="N1660" t="str">
        <f>TEXT(Pqp_supermarket_data[[#This Row],[DateTime]],"yyy")</f>
        <v>2024</v>
      </c>
    </row>
    <row r="1661" spans="1:14" x14ac:dyDescent="0.35">
      <c r="A1661" t="s">
        <v>3451</v>
      </c>
      <c r="B1661" s="1">
        <v>45525.317405162037</v>
      </c>
      <c r="C1661" t="s">
        <v>3452</v>
      </c>
      <c r="D1661" t="s">
        <v>82</v>
      </c>
      <c r="E1661" t="s">
        <v>53</v>
      </c>
      <c r="F1661">
        <v>2.8</v>
      </c>
      <c r="G1661">
        <v>6</v>
      </c>
      <c r="H1661" t="s">
        <v>14</v>
      </c>
      <c r="I1661" t="s">
        <v>86</v>
      </c>
      <c r="J1661" t="s">
        <v>22</v>
      </c>
      <c r="K1661">
        <f>Pqp_supermarket_data[[#This Row],[Unit_Price]]*Pqp_supermarket_data[[#This Row],[Quantity]]</f>
        <v>16.799999999999997</v>
      </c>
      <c r="L1661" t="str">
        <f>TEXT(Pqp_supermarket_data[[#This Row],[DateTime]],"ddd")</f>
        <v>Wed</v>
      </c>
      <c r="M1661" t="str">
        <f>TEXT(Pqp_supermarket_data[[#This Row],[DateTime]],"mmm")</f>
        <v>Aug</v>
      </c>
      <c r="N1661" t="str">
        <f>TEXT(Pqp_supermarket_data[[#This Row],[DateTime]],"yyy")</f>
        <v>2024</v>
      </c>
    </row>
    <row r="1662" spans="1:14" x14ac:dyDescent="0.35">
      <c r="A1662" t="s">
        <v>3453</v>
      </c>
      <c r="B1662" s="1">
        <v>44800.625044062501</v>
      </c>
      <c r="C1662" t="s">
        <v>3454</v>
      </c>
      <c r="D1662" t="s">
        <v>171</v>
      </c>
      <c r="E1662" t="s">
        <v>39</v>
      </c>
      <c r="F1662">
        <v>3.2</v>
      </c>
      <c r="G1662">
        <v>3</v>
      </c>
      <c r="H1662" t="s">
        <v>14</v>
      </c>
      <c r="I1662" t="s">
        <v>36</v>
      </c>
      <c r="J1662" t="s">
        <v>623</v>
      </c>
      <c r="K1662">
        <f>Pqp_supermarket_data[[#This Row],[Unit_Price]]*Pqp_supermarket_data[[#This Row],[Quantity]]</f>
        <v>9.6000000000000014</v>
      </c>
      <c r="L1662" t="str">
        <f>TEXT(Pqp_supermarket_data[[#This Row],[DateTime]],"ddd")</f>
        <v>Sat</v>
      </c>
      <c r="M1662" t="str">
        <f>TEXT(Pqp_supermarket_data[[#This Row],[DateTime]],"mmm")</f>
        <v>Aug</v>
      </c>
      <c r="N1662" t="str">
        <f>TEXT(Pqp_supermarket_data[[#This Row],[DateTime]],"yyy")</f>
        <v>2022</v>
      </c>
    </row>
    <row r="1663" spans="1:14" x14ac:dyDescent="0.35">
      <c r="A1663" t="s">
        <v>3455</v>
      </c>
      <c r="B1663" s="1">
        <v>45001.993794062502</v>
      </c>
      <c r="C1663" t="s">
        <v>3456</v>
      </c>
      <c r="D1663" t="s">
        <v>98</v>
      </c>
      <c r="E1663" t="s">
        <v>20</v>
      </c>
      <c r="F1663">
        <v>1</v>
      </c>
      <c r="G1663">
        <v>9</v>
      </c>
      <c r="H1663" t="s">
        <v>14</v>
      </c>
      <c r="I1663" t="s">
        <v>86</v>
      </c>
      <c r="J1663" t="s">
        <v>183</v>
      </c>
      <c r="K1663">
        <f>Pqp_supermarket_data[[#This Row],[Unit_Price]]*Pqp_supermarket_data[[#This Row],[Quantity]]</f>
        <v>9</v>
      </c>
      <c r="L1663" t="str">
        <f>TEXT(Pqp_supermarket_data[[#This Row],[DateTime]],"ddd")</f>
        <v>Thu</v>
      </c>
      <c r="M1663" t="str">
        <f>TEXT(Pqp_supermarket_data[[#This Row],[DateTime]],"mmm")</f>
        <v>Mar</v>
      </c>
      <c r="N1663" t="str">
        <f>TEXT(Pqp_supermarket_data[[#This Row],[DateTime]],"yyy")</f>
        <v>2023</v>
      </c>
    </row>
    <row r="1664" spans="1:14" x14ac:dyDescent="0.35">
      <c r="A1664" t="s">
        <v>3457</v>
      </c>
      <c r="B1664" s="1">
        <v>44688.251432951387</v>
      </c>
      <c r="C1664" t="s">
        <v>3458</v>
      </c>
      <c r="D1664" t="s">
        <v>77</v>
      </c>
      <c r="E1664" t="s">
        <v>119</v>
      </c>
      <c r="F1664">
        <v>4</v>
      </c>
      <c r="G1664">
        <v>7</v>
      </c>
      <c r="H1664" t="s">
        <v>14</v>
      </c>
      <c r="I1664" t="s">
        <v>21</v>
      </c>
      <c r="J1664" t="s">
        <v>317</v>
      </c>
      <c r="K1664">
        <f>Pqp_supermarket_data[[#This Row],[Unit_Price]]*Pqp_supermarket_data[[#This Row],[Quantity]]</f>
        <v>28</v>
      </c>
      <c r="L1664" t="str">
        <f>TEXT(Pqp_supermarket_data[[#This Row],[DateTime]],"ddd")</f>
        <v>Sat</v>
      </c>
      <c r="M1664" t="str">
        <f>TEXT(Pqp_supermarket_data[[#This Row],[DateTime]],"mmm")</f>
        <v>May</v>
      </c>
      <c r="N1664" t="str">
        <f>TEXT(Pqp_supermarket_data[[#This Row],[DateTime]],"yyy")</f>
        <v>2022</v>
      </c>
    </row>
    <row r="1665" spans="1:14" x14ac:dyDescent="0.35">
      <c r="A1665" t="s">
        <v>3459</v>
      </c>
      <c r="B1665" s="1">
        <v>44365.591710740744</v>
      </c>
      <c r="C1665" t="s">
        <v>3460</v>
      </c>
      <c r="D1665" t="s">
        <v>12</v>
      </c>
      <c r="E1665" t="s">
        <v>65</v>
      </c>
      <c r="F1665">
        <v>3</v>
      </c>
      <c r="G1665">
        <v>4</v>
      </c>
      <c r="H1665" t="s">
        <v>14</v>
      </c>
      <c r="I1665" t="s">
        <v>61</v>
      </c>
      <c r="J1665" t="s">
        <v>288</v>
      </c>
      <c r="K1665">
        <f>Pqp_supermarket_data[[#This Row],[Unit_Price]]*Pqp_supermarket_data[[#This Row],[Quantity]]</f>
        <v>12</v>
      </c>
      <c r="L1665" t="str">
        <f>TEXT(Pqp_supermarket_data[[#This Row],[DateTime]],"ddd")</f>
        <v>Fri</v>
      </c>
      <c r="M1665" t="str">
        <f>TEXT(Pqp_supermarket_data[[#This Row],[DateTime]],"mmm")</f>
        <v>Jun</v>
      </c>
      <c r="N1665" t="str">
        <f>TEXT(Pqp_supermarket_data[[#This Row],[DateTime]],"yyy")</f>
        <v>2021</v>
      </c>
    </row>
    <row r="1666" spans="1:14" x14ac:dyDescent="0.35">
      <c r="A1666" t="s">
        <v>3461</v>
      </c>
      <c r="B1666" s="1">
        <v>45370.543794074074</v>
      </c>
      <c r="C1666" t="s">
        <v>3462</v>
      </c>
      <c r="D1666" t="s">
        <v>85</v>
      </c>
      <c r="E1666" t="s">
        <v>115</v>
      </c>
      <c r="F1666">
        <v>1.5</v>
      </c>
      <c r="G1666">
        <v>3</v>
      </c>
      <c r="H1666" t="s">
        <v>14</v>
      </c>
      <c r="I1666" t="s">
        <v>40</v>
      </c>
      <c r="J1666" t="s">
        <v>387</v>
      </c>
      <c r="K1666">
        <f>Pqp_supermarket_data[[#This Row],[Unit_Price]]*Pqp_supermarket_data[[#This Row],[Quantity]]</f>
        <v>4.5</v>
      </c>
      <c r="L1666" t="str">
        <f>TEXT(Pqp_supermarket_data[[#This Row],[DateTime]],"ddd")</f>
        <v>Tue</v>
      </c>
      <c r="M1666" t="str">
        <f>TEXT(Pqp_supermarket_data[[#This Row],[DateTime]],"mmm")</f>
        <v>Mar</v>
      </c>
      <c r="N1666" t="str">
        <f>TEXT(Pqp_supermarket_data[[#This Row],[DateTime]],"yyy")</f>
        <v>2024</v>
      </c>
    </row>
    <row r="1667" spans="1:14" x14ac:dyDescent="0.35">
      <c r="A1667" t="s">
        <v>3463</v>
      </c>
      <c r="B1667" s="1">
        <v>45071.063932974539</v>
      </c>
      <c r="C1667" t="s">
        <v>3464</v>
      </c>
      <c r="D1667" t="s">
        <v>34</v>
      </c>
      <c r="E1667" t="s">
        <v>111</v>
      </c>
      <c r="F1667">
        <v>2.2000000000000002</v>
      </c>
      <c r="G1667">
        <v>5</v>
      </c>
      <c r="H1667" t="s">
        <v>14</v>
      </c>
      <c r="I1667" t="s">
        <v>86</v>
      </c>
      <c r="J1667" t="s">
        <v>209</v>
      </c>
      <c r="K1667">
        <f>Pqp_supermarket_data[[#This Row],[Unit_Price]]*Pqp_supermarket_data[[#This Row],[Quantity]]</f>
        <v>11</v>
      </c>
      <c r="L1667" t="str">
        <f>TEXT(Pqp_supermarket_data[[#This Row],[DateTime]],"ddd")</f>
        <v>Thu</v>
      </c>
      <c r="M1667" t="str">
        <f>TEXT(Pqp_supermarket_data[[#This Row],[DateTime]],"mmm")</f>
        <v>May</v>
      </c>
      <c r="N1667" t="str">
        <f>TEXT(Pqp_supermarket_data[[#This Row],[DateTime]],"yyy")</f>
        <v>2023</v>
      </c>
    </row>
    <row r="1668" spans="1:14" x14ac:dyDescent="0.35">
      <c r="A1668" t="s">
        <v>3465</v>
      </c>
      <c r="B1668" s="1">
        <v>44657.007682974538</v>
      </c>
      <c r="C1668" t="s">
        <v>3466</v>
      </c>
      <c r="D1668" t="s">
        <v>25</v>
      </c>
      <c r="E1668" t="s">
        <v>26</v>
      </c>
      <c r="F1668">
        <v>2.5</v>
      </c>
      <c r="G1668">
        <v>1</v>
      </c>
      <c r="H1668" t="s">
        <v>14</v>
      </c>
      <c r="I1668" t="s">
        <v>36</v>
      </c>
      <c r="J1668" t="s">
        <v>16</v>
      </c>
      <c r="K1668">
        <f>Pqp_supermarket_data[[#This Row],[Unit_Price]]*Pqp_supermarket_data[[#This Row],[Quantity]]</f>
        <v>2.5</v>
      </c>
      <c r="L1668" t="str">
        <f>TEXT(Pqp_supermarket_data[[#This Row],[DateTime]],"ddd")</f>
        <v>Wed</v>
      </c>
      <c r="M1668" t="str">
        <f>TEXT(Pqp_supermarket_data[[#This Row],[DateTime]],"mmm")</f>
        <v>Apr</v>
      </c>
      <c r="N1668" t="str">
        <f>TEXT(Pqp_supermarket_data[[#This Row],[DateTime]],"yyy")</f>
        <v>2022</v>
      </c>
    </row>
    <row r="1669" spans="1:14" x14ac:dyDescent="0.35">
      <c r="A1669" t="s">
        <v>3467</v>
      </c>
      <c r="B1669" s="1">
        <v>45545.611849652778</v>
      </c>
      <c r="C1669" t="s">
        <v>3468</v>
      </c>
      <c r="D1669" t="s">
        <v>69</v>
      </c>
      <c r="E1669" t="s">
        <v>49</v>
      </c>
      <c r="F1669">
        <v>7</v>
      </c>
      <c r="G1669">
        <v>1</v>
      </c>
      <c r="H1669" t="s">
        <v>14</v>
      </c>
      <c r="I1669" t="s">
        <v>36</v>
      </c>
      <c r="J1669" t="s">
        <v>22</v>
      </c>
      <c r="K1669">
        <f>Pqp_supermarket_data[[#This Row],[Unit_Price]]*Pqp_supermarket_data[[#This Row],[Quantity]]</f>
        <v>7</v>
      </c>
      <c r="L1669" t="str">
        <f>TEXT(Pqp_supermarket_data[[#This Row],[DateTime]],"ddd")</f>
        <v>Tue</v>
      </c>
      <c r="M1669" t="str">
        <f>TEXT(Pqp_supermarket_data[[#This Row],[DateTime]],"mmm")</f>
        <v>Sep</v>
      </c>
      <c r="N1669" t="str">
        <f>TEXT(Pqp_supermarket_data[[#This Row],[DateTime]],"yyy")</f>
        <v>2024</v>
      </c>
    </row>
    <row r="1670" spans="1:14" x14ac:dyDescent="0.35">
      <c r="A1670" t="s">
        <v>3469</v>
      </c>
      <c r="B1670" s="1">
        <v>45025.487544097225</v>
      </c>
      <c r="C1670" t="s">
        <v>3470</v>
      </c>
      <c r="D1670" t="s">
        <v>77</v>
      </c>
      <c r="E1670" t="s">
        <v>119</v>
      </c>
      <c r="F1670">
        <v>4</v>
      </c>
      <c r="G1670">
        <v>2</v>
      </c>
      <c r="H1670" t="s">
        <v>14</v>
      </c>
      <c r="I1670" t="s">
        <v>86</v>
      </c>
      <c r="J1670" t="s">
        <v>273</v>
      </c>
      <c r="K1670">
        <f>Pqp_supermarket_data[[#This Row],[Unit_Price]]*Pqp_supermarket_data[[#This Row],[Quantity]]</f>
        <v>8</v>
      </c>
      <c r="L1670" t="str">
        <f>TEXT(Pqp_supermarket_data[[#This Row],[DateTime]],"ddd")</f>
        <v>Sun</v>
      </c>
      <c r="M1670" t="str">
        <f>TEXT(Pqp_supermarket_data[[#This Row],[DateTime]],"mmm")</f>
        <v>Apr</v>
      </c>
      <c r="N1670" t="str">
        <f>TEXT(Pqp_supermarket_data[[#This Row],[DateTime]],"yyy")</f>
        <v>2023</v>
      </c>
    </row>
    <row r="1671" spans="1:14" x14ac:dyDescent="0.35">
      <c r="A1671" t="s">
        <v>3471</v>
      </c>
      <c r="B1671" s="1">
        <v>45463.55351633102</v>
      </c>
      <c r="C1671" t="s">
        <v>3472</v>
      </c>
      <c r="D1671" t="s">
        <v>44</v>
      </c>
      <c r="E1671" t="s">
        <v>111</v>
      </c>
      <c r="F1671">
        <v>2.2000000000000002</v>
      </c>
      <c r="G1671">
        <v>2</v>
      </c>
      <c r="H1671" t="s">
        <v>14</v>
      </c>
      <c r="I1671" t="s">
        <v>15</v>
      </c>
      <c r="J1671" t="s">
        <v>205</v>
      </c>
      <c r="K1671">
        <f>Pqp_supermarket_data[[#This Row],[Unit_Price]]*Pqp_supermarket_data[[#This Row],[Quantity]]</f>
        <v>4.4000000000000004</v>
      </c>
      <c r="L1671" t="str">
        <f>TEXT(Pqp_supermarket_data[[#This Row],[DateTime]],"ddd")</f>
        <v>Thu</v>
      </c>
      <c r="M1671" t="str">
        <f>TEXT(Pqp_supermarket_data[[#This Row],[DateTime]],"mmm")</f>
        <v>Jun</v>
      </c>
      <c r="N1671" t="str">
        <f>TEXT(Pqp_supermarket_data[[#This Row],[DateTime]],"yyy")</f>
        <v>2024</v>
      </c>
    </row>
    <row r="1672" spans="1:14" x14ac:dyDescent="0.35">
      <c r="A1672" t="s">
        <v>3473</v>
      </c>
      <c r="B1672" s="1">
        <v>45760.772960775466</v>
      </c>
      <c r="C1672" t="s">
        <v>3474</v>
      </c>
      <c r="D1672" t="s">
        <v>34</v>
      </c>
      <c r="E1672" t="s">
        <v>145</v>
      </c>
      <c r="F1672">
        <v>1.7</v>
      </c>
      <c r="G1672">
        <v>3</v>
      </c>
      <c r="H1672" t="s">
        <v>14</v>
      </c>
      <c r="I1672" t="s">
        <v>15</v>
      </c>
      <c r="J1672" t="s">
        <v>122</v>
      </c>
      <c r="K1672">
        <f>Pqp_supermarket_data[[#This Row],[Unit_Price]]*Pqp_supermarket_data[[#This Row],[Quantity]]</f>
        <v>5.0999999999999996</v>
      </c>
      <c r="L1672" t="str">
        <f>TEXT(Pqp_supermarket_data[[#This Row],[DateTime]],"ddd")</f>
        <v>Sun</v>
      </c>
      <c r="M1672" t="str">
        <f>TEXT(Pqp_supermarket_data[[#This Row],[DateTime]],"mmm")</f>
        <v>Apr</v>
      </c>
      <c r="N1672" t="str">
        <f>TEXT(Pqp_supermarket_data[[#This Row],[DateTime]],"yyy")</f>
        <v>2025</v>
      </c>
    </row>
    <row r="1673" spans="1:14" x14ac:dyDescent="0.35">
      <c r="A1673" t="s">
        <v>3475</v>
      </c>
      <c r="B1673" s="1">
        <v>45499.578516331021</v>
      </c>
      <c r="C1673" t="s">
        <v>3476</v>
      </c>
      <c r="D1673" t="s">
        <v>12</v>
      </c>
      <c r="E1673" t="s">
        <v>57</v>
      </c>
      <c r="F1673">
        <v>4.5</v>
      </c>
      <c r="G1673">
        <v>8</v>
      </c>
      <c r="H1673" t="s">
        <v>14</v>
      </c>
      <c r="I1673" t="s">
        <v>86</v>
      </c>
      <c r="J1673" t="s">
        <v>105</v>
      </c>
      <c r="K1673">
        <f>Pqp_supermarket_data[[#This Row],[Unit_Price]]*Pqp_supermarket_data[[#This Row],[Quantity]]</f>
        <v>36</v>
      </c>
      <c r="L1673" t="str">
        <f>TEXT(Pqp_supermarket_data[[#This Row],[DateTime]],"ddd")</f>
        <v>Fri</v>
      </c>
      <c r="M1673" t="str">
        <f>TEXT(Pqp_supermarket_data[[#This Row],[DateTime]],"mmm")</f>
        <v>Jul</v>
      </c>
      <c r="N1673" t="str">
        <f>TEXT(Pqp_supermarket_data[[#This Row],[DateTime]],"yyy")</f>
        <v>2024</v>
      </c>
    </row>
    <row r="1674" spans="1:14" x14ac:dyDescent="0.35">
      <c r="A1674" t="s">
        <v>3477</v>
      </c>
      <c r="B1674" s="1">
        <v>45095.941710787039</v>
      </c>
      <c r="C1674" t="s">
        <v>3478</v>
      </c>
      <c r="D1674" t="s">
        <v>30</v>
      </c>
      <c r="E1674" t="s">
        <v>35</v>
      </c>
      <c r="F1674">
        <v>1.2</v>
      </c>
      <c r="G1674">
        <v>5</v>
      </c>
      <c r="H1674" t="s">
        <v>14</v>
      </c>
      <c r="I1674" t="s">
        <v>40</v>
      </c>
      <c r="J1674" t="s">
        <v>744</v>
      </c>
      <c r="K1674">
        <f>Pqp_supermarket_data[[#This Row],[Unit_Price]]*Pqp_supermarket_data[[#This Row],[Quantity]]</f>
        <v>6</v>
      </c>
      <c r="L1674" t="str">
        <f>TEXT(Pqp_supermarket_data[[#This Row],[DateTime]],"ddd")</f>
        <v>Sun</v>
      </c>
      <c r="M1674" t="str">
        <f>TEXT(Pqp_supermarket_data[[#This Row],[DateTime]],"mmm")</f>
        <v>Jun</v>
      </c>
      <c r="N1674" t="str">
        <f>TEXT(Pqp_supermarket_data[[#This Row],[DateTime]],"yyy")</f>
        <v>2023</v>
      </c>
    </row>
    <row r="1675" spans="1:14" x14ac:dyDescent="0.35">
      <c r="A1675" t="s">
        <v>3479</v>
      </c>
      <c r="B1675" s="1">
        <v>45663.725044120372</v>
      </c>
      <c r="C1675" t="s">
        <v>3480</v>
      </c>
      <c r="D1675" t="s">
        <v>171</v>
      </c>
      <c r="E1675" t="s">
        <v>94</v>
      </c>
      <c r="F1675">
        <v>0.8</v>
      </c>
      <c r="G1675">
        <v>9</v>
      </c>
      <c r="H1675" t="s">
        <v>14</v>
      </c>
      <c r="I1675" t="s">
        <v>15</v>
      </c>
      <c r="J1675" t="s">
        <v>99</v>
      </c>
      <c r="K1675">
        <f>Pqp_supermarket_data[[#This Row],[Unit_Price]]*Pqp_supermarket_data[[#This Row],[Quantity]]</f>
        <v>7.2</v>
      </c>
      <c r="L1675" t="str">
        <f>TEXT(Pqp_supermarket_data[[#This Row],[DateTime]],"ddd")</f>
        <v>Mon</v>
      </c>
      <c r="M1675" t="str">
        <f>TEXT(Pqp_supermarket_data[[#This Row],[DateTime]],"mmm")</f>
        <v>Jan</v>
      </c>
      <c r="N1675" t="str">
        <f>TEXT(Pqp_supermarket_data[[#This Row],[DateTime]],"yyy")</f>
        <v>2025</v>
      </c>
    </row>
    <row r="1676" spans="1:14" x14ac:dyDescent="0.35">
      <c r="A1676" t="s">
        <v>3481</v>
      </c>
      <c r="B1676" s="1">
        <v>44974.988238564816</v>
      </c>
      <c r="C1676" t="s">
        <v>3482</v>
      </c>
      <c r="D1676" t="s">
        <v>19</v>
      </c>
      <c r="E1676" t="s">
        <v>70</v>
      </c>
      <c r="F1676">
        <v>5</v>
      </c>
      <c r="G1676">
        <v>9</v>
      </c>
      <c r="H1676" t="s">
        <v>14</v>
      </c>
      <c r="I1676" t="s">
        <v>36</v>
      </c>
      <c r="J1676" t="s">
        <v>924</v>
      </c>
      <c r="K1676">
        <f>Pqp_supermarket_data[[#This Row],[Unit_Price]]*Pqp_supermarket_data[[#This Row],[Quantity]]</f>
        <v>45</v>
      </c>
      <c r="L1676" t="str">
        <f>TEXT(Pqp_supermarket_data[[#This Row],[DateTime]],"ddd")</f>
        <v>Fri</v>
      </c>
      <c r="M1676" t="str">
        <f>TEXT(Pqp_supermarket_data[[#This Row],[DateTime]],"mmm")</f>
        <v>Feb</v>
      </c>
      <c r="N1676" t="str">
        <f>TEXT(Pqp_supermarket_data[[#This Row],[DateTime]],"yyy")</f>
        <v>2023</v>
      </c>
    </row>
    <row r="1677" spans="1:14" x14ac:dyDescent="0.35">
      <c r="A1677" t="s">
        <v>3483</v>
      </c>
      <c r="B1677" s="1">
        <v>44614.879905254631</v>
      </c>
      <c r="C1677" t="s">
        <v>3484</v>
      </c>
      <c r="D1677" t="s">
        <v>12</v>
      </c>
      <c r="E1677" t="s">
        <v>26</v>
      </c>
      <c r="F1677">
        <v>2.5</v>
      </c>
      <c r="G1677">
        <v>7</v>
      </c>
      <c r="H1677" t="s">
        <v>14</v>
      </c>
      <c r="I1677" t="s">
        <v>15</v>
      </c>
      <c r="J1677" t="s">
        <v>195</v>
      </c>
      <c r="K1677">
        <f>Pqp_supermarket_data[[#This Row],[Unit_Price]]*Pqp_supermarket_data[[#This Row],[Quantity]]</f>
        <v>17.5</v>
      </c>
      <c r="L1677" t="str">
        <f>TEXT(Pqp_supermarket_data[[#This Row],[DateTime]],"ddd")</f>
        <v>Tue</v>
      </c>
      <c r="M1677" t="str">
        <f>TEXT(Pqp_supermarket_data[[#This Row],[DateTime]],"mmm")</f>
        <v>Feb</v>
      </c>
      <c r="N1677" t="str">
        <f>TEXT(Pqp_supermarket_data[[#This Row],[DateTime]],"yyy")</f>
        <v>2022</v>
      </c>
    </row>
    <row r="1678" spans="1:14" x14ac:dyDescent="0.35">
      <c r="A1678" t="s">
        <v>3485</v>
      </c>
      <c r="B1678" s="1">
        <v>45597.876433032405</v>
      </c>
      <c r="C1678" t="s">
        <v>3486</v>
      </c>
      <c r="D1678" t="s">
        <v>69</v>
      </c>
      <c r="E1678" t="s">
        <v>78</v>
      </c>
      <c r="F1678">
        <v>4</v>
      </c>
      <c r="G1678">
        <v>7</v>
      </c>
      <c r="H1678" t="s">
        <v>14</v>
      </c>
      <c r="I1678" t="s">
        <v>21</v>
      </c>
      <c r="J1678" t="s">
        <v>387</v>
      </c>
      <c r="K1678">
        <f>Pqp_supermarket_data[[#This Row],[Unit_Price]]*Pqp_supermarket_data[[#This Row],[Quantity]]</f>
        <v>28</v>
      </c>
      <c r="L1678" t="str">
        <f>TEXT(Pqp_supermarket_data[[#This Row],[DateTime]],"ddd")</f>
        <v>Fri</v>
      </c>
      <c r="M1678" t="str">
        <f>TEXT(Pqp_supermarket_data[[#This Row],[DateTime]],"mmm")</f>
        <v>Nov</v>
      </c>
      <c r="N1678" t="str">
        <f>TEXT(Pqp_supermarket_data[[#This Row],[DateTime]],"yyy")</f>
        <v>2024</v>
      </c>
    </row>
    <row r="1679" spans="1:14" x14ac:dyDescent="0.35">
      <c r="A1679" t="s">
        <v>3487</v>
      </c>
      <c r="B1679" s="1">
        <v>45338.052127476854</v>
      </c>
      <c r="C1679" t="s">
        <v>3488</v>
      </c>
      <c r="D1679" t="s">
        <v>34</v>
      </c>
      <c r="E1679" t="s">
        <v>20</v>
      </c>
      <c r="F1679">
        <v>1</v>
      </c>
      <c r="G1679">
        <v>10</v>
      </c>
      <c r="H1679" t="s">
        <v>14</v>
      </c>
      <c r="I1679" t="s">
        <v>40</v>
      </c>
      <c r="J1679" t="s">
        <v>320</v>
      </c>
      <c r="K1679">
        <f>Pqp_supermarket_data[[#This Row],[Unit_Price]]*Pqp_supermarket_data[[#This Row],[Quantity]]</f>
        <v>10</v>
      </c>
      <c r="L1679" t="str">
        <f>TEXT(Pqp_supermarket_data[[#This Row],[DateTime]],"ddd")</f>
        <v>Fri</v>
      </c>
      <c r="M1679" t="str">
        <f>TEXT(Pqp_supermarket_data[[#This Row],[DateTime]],"mmm")</f>
        <v>Feb</v>
      </c>
      <c r="N1679" t="str">
        <f>TEXT(Pqp_supermarket_data[[#This Row],[DateTime]],"yyy")</f>
        <v>2024</v>
      </c>
    </row>
    <row r="1680" spans="1:14" x14ac:dyDescent="0.35">
      <c r="A1680" t="s">
        <v>3489</v>
      </c>
      <c r="B1680" s="1">
        <v>44826.920877476849</v>
      </c>
      <c r="C1680" t="s">
        <v>3490</v>
      </c>
      <c r="D1680" t="s">
        <v>30</v>
      </c>
      <c r="E1680" t="s">
        <v>49</v>
      </c>
      <c r="F1680">
        <v>7</v>
      </c>
      <c r="G1680">
        <v>7</v>
      </c>
      <c r="H1680" t="s">
        <v>14</v>
      </c>
      <c r="I1680" t="s">
        <v>15</v>
      </c>
      <c r="J1680" t="s">
        <v>166</v>
      </c>
      <c r="K1680">
        <f>Pqp_supermarket_data[[#This Row],[Unit_Price]]*Pqp_supermarket_data[[#This Row],[Quantity]]</f>
        <v>49</v>
      </c>
      <c r="L1680" t="str">
        <f>TEXT(Pqp_supermarket_data[[#This Row],[DateTime]],"ddd")</f>
        <v>Thu</v>
      </c>
      <c r="M1680" t="str">
        <f>TEXT(Pqp_supermarket_data[[#This Row],[DateTime]],"mmm")</f>
        <v>Sep</v>
      </c>
      <c r="N1680" t="str">
        <f>TEXT(Pqp_supermarket_data[[#This Row],[DateTime]],"yyy")</f>
        <v>2022</v>
      </c>
    </row>
    <row r="1681" spans="1:14" x14ac:dyDescent="0.35">
      <c r="A1681" t="s">
        <v>3491</v>
      </c>
      <c r="B1681" s="1">
        <v>45025.707683043984</v>
      </c>
      <c r="C1681" t="s">
        <v>3492</v>
      </c>
      <c r="D1681" t="s">
        <v>25</v>
      </c>
      <c r="E1681" t="s">
        <v>13</v>
      </c>
      <c r="F1681">
        <v>3.1</v>
      </c>
      <c r="G1681">
        <v>2</v>
      </c>
      <c r="H1681" t="s">
        <v>14</v>
      </c>
      <c r="I1681" t="s">
        <v>40</v>
      </c>
      <c r="J1681" t="s">
        <v>205</v>
      </c>
      <c r="K1681">
        <f>Pqp_supermarket_data[[#This Row],[Unit_Price]]*Pqp_supermarket_data[[#This Row],[Quantity]]</f>
        <v>6.2</v>
      </c>
      <c r="L1681" t="str">
        <f>TEXT(Pqp_supermarket_data[[#This Row],[DateTime]],"ddd")</f>
        <v>Sun</v>
      </c>
      <c r="M1681" t="str">
        <f>TEXT(Pqp_supermarket_data[[#This Row],[DateTime]],"mmm")</f>
        <v>Apr</v>
      </c>
      <c r="N1681" t="str">
        <f>TEXT(Pqp_supermarket_data[[#This Row],[DateTime]],"yyy")</f>
        <v>2023</v>
      </c>
    </row>
    <row r="1682" spans="1:14" x14ac:dyDescent="0.35">
      <c r="A1682" t="s">
        <v>3493</v>
      </c>
      <c r="B1682" s="1">
        <v>45043.734071932871</v>
      </c>
      <c r="C1682" t="s">
        <v>3494</v>
      </c>
      <c r="D1682" t="s">
        <v>34</v>
      </c>
      <c r="E1682" t="s">
        <v>39</v>
      </c>
      <c r="F1682">
        <v>3.2</v>
      </c>
      <c r="G1682">
        <v>1</v>
      </c>
      <c r="H1682" t="s">
        <v>14</v>
      </c>
      <c r="I1682" t="s">
        <v>15</v>
      </c>
      <c r="J1682" t="s">
        <v>429</v>
      </c>
      <c r="K1682">
        <f>Pqp_supermarket_data[[#This Row],[Unit_Price]]*Pqp_supermarket_data[[#This Row],[Quantity]]</f>
        <v>3.2</v>
      </c>
      <c r="L1682" t="str">
        <f>TEXT(Pqp_supermarket_data[[#This Row],[DateTime]],"ddd")</f>
        <v>Thu</v>
      </c>
      <c r="M1682" t="str">
        <f>TEXT(Pqp_supermarket_data[[#This Row],[DateTime]],"mmm")</f>
        <v>Apr</v>
      </c>
      <c r="N1682" t="str">
        <f>TEXT(Pqp_supermarket_data[[#This Row],[DateTime]],"yyy")</f>
        <v>2023</v>
      </c>
    </row>
    <row r="1683" spans="1:14" x14ac:dyDescent="0.35">
      <c r="A1683" t="s">
        <v>3495</v>
      </c>
      <c r="B1683" s="1">
        <v>45452.847266377314</v>
      </c>
      <c r="C1683" t="s">
        <v>3496</v>
      </c>
      <c r="D1683" t="s">
        <v>77</v>
      </c>
      <c r="E1683" t="s">
        <v>78</v>
      </c>
      <c r="F1683">
        <v>4</v>
      </c>
      <c r="G1683">
        <v>10</v>
      </c>
      <c r="H1683" t="s">
        <v>14</v>
      </c>
      <c r="I1683" t="s">
        <v>40</v>
      </c>
      <c r="J1683" t="s">
        <v>91</v>
      </c>
      <c r="K1683">
        <f>Pqp_supermarket_data[[#This Row],[Unit_Price]]*Pqp_supermarket_data[[#This Row],[Quantity]]</f>
        <v>40</v>
      </c>
      <c r="L1683" t="str">
        <f>TEXT(Pqp_supermarket_data[[#This Row],[DateTime]],"ddd")</f>
        <v>Sun</v>
      </c>
      <c r="M1683" t="str">
        <f>TEXT(Pqp_supermarket_data[[#This Row],[DateTime]],"mmm")</f>
        <v>Jun</v>
      </c>
      <c r="N1683" t="str">
        <f>TEXT(Pqp_supermarket_data[[#This Row],[DateTime]],"yyy")</f>
        <v>2024</v>
      </c>
    </row>
    <row r="1684" spans="1:14" x14ac:dyDescent="0.35">
      <c r="A1684" t="s">
        <v>3497</v>
      </c>
      <c r="B1684" s="1">
        <v>45153.285460833336</v>
      </c>
      <c r="C1684" t="s">
        <v>3498</v>
      </c>
      <c r="D1684" t="s">
        <v>25</v>
      </c>
      <c r="E1684" t="s">
        <v>137</v>
      </c>
      <c r="F1684">
        <v>2.5</v>
      </c>
      <c r="G1684">
        <v>4</v>
      </c>
      <c r="H1684" t="s">
        <v>14</v>
      </c>
      <c r="I1684" t="s">
        <v>61</v>
      </c>
      <c r="J1684" t="s">
        <v>369</v>
      </c>
      <c r="K1684">
        <f>Pqp_supermarket_data[[#This Row],[Unit_Price]]*Pqp_supermarket_data[[#This Row],[Quantity]]</f>
        <v>10</v>
      </c>
      <c r="L1684" t="str">
        <f>TEXT(Pqp_supermarket_data[[#This Row],[DateTime]],"ddd")</f>
        <v>Tue</v>
      </c>
      <c r="M1684" t="str">
        <f>TEXT(Pqp_supermarket_data[[#This Row],[DateTime]],"mmm")</f>
        <v>Aug</v>
      </c>
      <c r="N1684" t="str">
        <f>TEXT(Pqp_supermarket_data[[#This Row],[DateTime]],"yyy")</f>
        <v>2023</v>
      </c>
    </row>
    <row r="1685" spans="1:14" x14ac:dyDescent="0.35">
      <c r="A1685" t="s">
        <v>3499</v>
      </c>
      <c r="B1685" s="1">
        <v>44618.808377499998</v>
      </c>
      <c r="C1685" t="s">
        <v>3500</v>
      </c>
      <c r="D1685" t="s">
        <v>171</v>
      </c>
      <c r="E1685" t="s">
        <v>115</v>
      </c>
      <c r="F1685">
        <v>1.5</v>
      </c>
      <c r="G1685">
        <v>1</v>
      </c>
      <c r="H1685" t="s">
        <v>14</v>
      </c>
      <c r="I1685" t="s">
        <v>40</v>
      </c>
      <c r="J1685" t="s">
        <v>79</v>
      </c>
      <c r="K1685">
        <f>Pqp_supermarket_data[[#This Row],[Unit_Price]]*Pqp_supermarket_data[[#This Row],[Quantity]]</f>
        <v>1.5</v>
      </c>
      <c r="L1685" t="str">
        <f>TEXT(Pqp_supermarket_data[[#This Row],[DateTime]],"ddd")</f>
        <v>Sat</v>
      </c>
      <c r="M1685" t="str">
        <f>TEXT(Pqp_supermarket_data[[#This Row],[DateTime]],"mmm")</f>
        <v>Feb</v>
      </c>
      <c r="N1685" t="str">
        <f>TEXT(Pqp_supermarket_data[[#This Row],[DateTime]],"yyy")</f>
        <v>2022</v>
      </c>
    </row>
    <row r="1686" spans="1:14" x14ac:dyDescent="0.35">
      <c r="A1686" t="s">
        <v>3501</v>
      </c>
      <c r="B1686" s="1">
        <v>45596.18476640046</v>
      </c>
      <c r="C1686" t="s">
        <v>3502</v>
      </c>
      <c r="D1686" t="s">
        <v>44</v>
      </c>
      <c r="E1686" t="s">
        <v>57</v>
      </c>
      <c r="F1686">
        <v>4.5</v>
      </c>
      <c r="G1686">
        <v>7</v>
      </c>
      <c r="H1686" t="s">
        <v>14</v>
      </c>
      <c r="I1686" t="s">
        <v>21</v>
      </c>
      <c r="J1686" t="s">
        <v>248</v>
      </c>
      <c r="K1686">
        <f>Pqp_supermarket_data[[#This Row],[Unit_Price]]*Pqp_supermarket_data[[#This Row],[Quantity]]</f>
        <v>31.5</v>
      </c>
      <c r="L1686" t="str">
        <f>TEXT(Pqp_supermarket_data[[#This Row],[DateTime]],"ddd")</f>
        <v>Thu</v>
      </c>
      <c r="M1686" t="str">
        <f>TEXT(Pqp_supermarket_data[[#This Row],[DateTime]],"mmm")</f>
        <v>Oct</v>
      </c>
      <c r="N1686" t="str">
        <f>TEXT(Pqp_supermarket_data[[#This Row],[DateTime]],"yyy")</f>
        <v>2024</v>
      </c>
    </row>
    <row r="1687" spans="1:14" x14ac:dyDescent="0.35">
      <c r="A1687" t="s">
        <v>3503</v>
      </c>
      <c r="B1687" s="1">
        <v>45142.027821967589</v>
      </c>
      <c r="C1687" t="s">
        <v>3504</v>
      </c>
      <c r="D1687" t="s">
        <v>44</v>
      </c>
      <c r="E1687" t="s">
        <v>111</v>
      </c>
      <c r="F1687">
        <v>2.2000000000000002</v>
      </c>
      <c r="G1687">
        <v>2</v>
      </c>
      <c r="H1687" t="s">
        <v>14</v>
      </c>
      <c r="I1687" t="s">
        <v>61</v>
      </c>
      <c r="J1687" t="s">
        <v>404</v>
      </c>
      <c r="K1687">
        <f>Pqp_supermarket_data[[#This Row],[Unit_Price]]*Pqp_supermarket_data[[#This Row],[Quantity]]</f>
        <v>4.4000000000000004</v>
      </c>
      <c r="L1687" t="str">
        <f>TEXT(Pqp_supermarket_data[[#This Row],[DateTime]],"ddd")</f>
        <v>Fri</v>
      </c>
      <c r="M1687" t="str">
        <f>TEXT(Pqp_supermarket_data[[#This Row],[DateTime]],"mmm")</f>
        <v>Aug</v>
      </c>
      <c r="N1687" t="str">
        <f>TEXT(Pqp_supermarket_data[[#This Row],[DateTime]],"yyy")</f>
        <v>2023</v>
      </c>
    </row>
    <row r="1688" spans="1:14" x14ac:dyDescent="0.35">
      <c r="A1688" t="s">
        <v>3505</v>
      </c>
      <c r="B1688" s="1">
        <v>44755.41254420139</v>
      </c>
      <c r="C1688" t="s">
        <v>3506</v>
      </c>
      <c r="D1688" t="s">
        <v>226</v>
      </c>
      <c r="E1688" t="s">
        <v>111</v>
      </c>
      <c r="F1688">
        <v>2.2000000000000002</v>
      </c>
      <c r="G1688">
        <v>1</v>
      </c>
      <c r="H1688" t="s">
        <v>14</v>
      </c>
      <c r="I1688" t="s">
        <v>21</v>
      </c>
      <c r="J1688" t="s">
        <v>41</v>
      </c>
      <c r="K1688">
        <f>Pqp_supermarket_data[[#This Row],[Unit_Price]]*Pqp_supermarket_data[[#This Row],[Quantity]]</f>
        <v>2.2000000000000002</v>
      </c>
      <c r="L1688" t="str">
        <f>TEXT(Pqp_supermarket_data[[#This Row],[DateTime]],"ddd")</f>
        <v>Wed</v>
      </c>
      <c r="M1688" t="str">
        <f>TEXT(Pqp_supermarket_data[[#This Row],[DateTime]],"mmm")</f>
        <v>Jul</v>
      </c>
      <c r="N1688" t="str">
        <f>TEXT(Pqp_supermarket_data[[#This Row],[DateTime]],"yyy")</f>
        <v>2022</v>
      </c>
    </row>
    <row r="1689" spans="1:14" x14ac:dyDescent="0.35">
      <c r="A1689" t="s">
        <v>3507</v>
      </c>
      <c r="B1689" s="1">
        <v>44809.771571990743</v>
      </c>
      <c r="C1689" t="s">
        <v>3508</v>
      </c>
      <c r="D1689" t="s">
        <v>34</v>
      </c>
      <c r="E1689" t="s">
        <v>137</v>
      </c>
      <c r="F1689">
        <v>2.5</v>
      </c>
      <c r="G1689">
        <v>5</v>
      </c>
      <c r="H1689" t="s">
        <v>14</v>
      </c>
      <c r="I1689" t="s">
        <v>15</v>
      </c>
      <c r="J1689" t="s">
        <v>744</v>
      </c>
      <c r="K1689">
        <f>Pqp_supermarket_data[[#This Row],[Unit_Price]]*Pqp_supermarket_data[[#This Row],[Quantity]]</f>
        <v>12.5</v>
      </c>
      <c r="L1689" t="str">
        <f>TEXT(Pqp_supermarket_data[[#This Row],[DateTime]],"ddd")</f>
        <v>Mon</v>
      </c>
      <c r="M1689" t="str">
        <f>TEXT(Pqp_supermarket_data[[#This Row],[DateTime]],"mmm")</f>
        <v>Sep</v>
      </c>
      <c r="N1689" t="str">
        <f>TEXT(Pqp_supermarket_data[[#This Row],[DateTime]],"yyy")</f>
        <v>2022</v>
      </c>
    </row>
    <row r="1690" spans="1:14" x14ac:dyDescent="0.35">
      <c r="A1690" t="s">
        <v>3509</v>
      </c>
      <c r="B1690" s="1">
        <v>44388.972960879626</v>
      </c>
      <c r="C1690" t="s">
        <v>3510</v>
      </c>
      <c r="D1690" t="s">
        <v>19</v>
      </c>
      <c r="E1690" t="s">
        <v>65</v>
      </c>
      <c r="F1690">
        <v>3</v>
      </c>
      <c r="G1690">
        <v>4</v>
      </c>
      <c r="H1690" t="s">
        <v>14</v>
      </c>
      <c r="I1690" t="s">
        <v>15</v>
      </c>
      <c r="J1690" t="s">
        <v>382</v>
      </c>
      <c r="K1690">
        <f>Pqp_supermarket_data[[#This Row],[Unit_Price]]*Pqp_supermarket_data[[#This Row],[Quantity]]</f>
        <v>12</v>
      </c>
      <c r="L1690" t="str">
        <f>TEXT(Pqp_supermarket_data[[#This Row],[DateTime]],"ddd")</f>
        <v>Sun</v>
      </c>
      <c r="M1690" t="str">
        <f>TEXT(Pqp_supermarket_data[[#This Row],[DateTime]],"mmm")</f>
        <v>Jul</v>
      </c>
      <c r="N1690" t="str">
        <f>TEXT(Pqp_supermarket_data[[#This Row],[DateTime]],"yyy")</f>
        <v>2021</v>
      </c>
    </row>
    <row r="1691" spans="1:14" x14ac:dyDescent="0.35">
      <c r="A1691" t="s">
        <v>3511</v>
      </c>
      <c r="B1691" s="1">
        <v>44447.359071990744</v>
      </c>
      <c r="C1691" t="s">
        <v>3512</v>
      </c>
      <c r="D1691" t="s">
        <v>12</v>
      </c>
      <c r="E1691" t="s">
        <v>94</v>
      </c>
      <c r="F1691">
        <v>0.8</v>
      </c>
      <c r="G1691">
        <v>9</v>
      </c>
      <c r="H1691" t="s">
        <v>14</v>
      </c>
      <c r="I1691" t="s">
        <v>21</v>
      </c>
      <c r="J1691" t="s">
        <v>46</v>
      </c>
      <c r="K1691">
        <f>Pqp_supermarket_data[[#This Row],[Unit_Price]]*Pqp_supermarket_data[[#This Row],[Quantity]]</f>
        <v>7.2</v>
      </c>
      <c r="L1691" t="str">
        <f>TEXT(Pqp_supermarket_data[[#This Row],[DateTime]],"ddd")</f>
        <v>Wed</v>
      </c>
      <c r="M1691" t="str">
        <f>TEXT(Pqp_supermarket_data[[#This Row],[DateTime]],"mmm")</f>
        <v>Sep</v>
      </c>
      <c r="N1691" t="str">
        <f>TEXT(Pqp_supermarket_data[[#This Row],[DateTime]],"yyy")</f>
        <v>2021</v>
      </c>
    </row>
    <row r="1692" spans="1:14" x14ac:dyDescent="0.35">
      <c r="A1692" t="s">
        <v>3513</v>
      </c>
      <c r="B1692" s="1">
        <v>44539.70351644676</v>
      </c>
      <c r="C1692" t="s">
        <v>3514</v>
      </c>
      <c r="D1692" t="s">
        <v>19</v>
      </c>
      <c r="E1692" t="s">
        <v>39</v>
      </c>
      <c r="F1692">
        <v>3.2</v>
      </c>
      <c r="G1692">
        <v>8</v>
      </c>
      <c r="H1692" t="s">
        <v>14</v>
      </c>
      <c r="I1692" t="s">
        <v>15</v>
      </c>
      <c r="J1692" t="s">
        <v>102</v>
      </c>
      <c r="K1692">
        <f>Pqp_supermarket_data[[#This Row],[Unit_Price]]*Pqp_supermarket_data[[#This Row],[Quantity]]</f>
        <v>25.6</v>
      </c>
      <c r="L1692" t="str">
        <f>TEXT(Pqp_supermarket_data[[#This Row],[DateTime]],"ddd")</f>
        <v>Thu</v>
      </c>
      <c r="M1692" t="str">
        <f>TEXT(Pqp_supermarket_data[[#This Row],[DateTime]],"mmm")</f>
        <v>Dec</v>
      </c>
      <c r="N1692" t="str">
        <f>TEXT(Pqp_supermarket_data[[#This Row],[DateTime]],"yyy")</f>
        <v>2021</v>
      </c>
    </row>
    <row r="1693" spans="1:14" x14ac:dyDescent="0.35">
      <c r="A1693" t="s">
        <v>3515</v>
      </c>
      <c r="B1693" s="1">
        <v>45191.074349780094</v>
      </c>
      <c r="C1693" t="s">
        <v>3516</v>
      </c>
      <c r="D1693" t="s">
        <v>34</v>
      </c>
      <c r="E1693" t="s">
        <v>145</v>
      </c>
      <c r="F1693">
        <v>1.7</v>
      </c>
      <c r="G1693">
        <v>1</v>
      </c>
      <c r="H1693" t="s">
        <v>14</v>
      </c>
      <c r="I1693" t="s">
        <v>36</v>
      </c>
      <c r="J1693" t="s">
        <v>267</v>
      </c>
      <c r="K1693">
        <f>Pqp_supermarket_data[[#This Row],[Unit_Price]]*Pqp_supermarket_data[[#This Row],[Quantity]]</f>
        <v>1.7</v>
      </c>
      <c r="L1693" t="str">
        <f>TEXT(Pqp_supermarket_data[[#This Row],[DateTime]],"ddd")</f>
        <v>Fri</v>
      </c>
      <c r="M1693" t="str">
        <f>TEXT(Pqp_supermarket_data[[#This Row],[DateTime]],"mmm")</f>
        <v>Sep</v>
      </c>
      <c r="N1693" t="str">
        <f>TEXT(Pqp_supermarket_data[[#This Row],[DateTime]],"yyy")</f>
        <v>2023</v>
      </c>
    </row>
    <row r="1694" spans="1:14" x14ac:dyDescent="0.35">
      <c r="A1694" t="s">
        <v>3517</v>
      </c>
      <c r="B1694" s="1">
        <v>44388.049349780093</v>
      </c>
      <c r="C1694" t="s">
        <v>3518</v>
      </c>
      <c r="D1694" t="s">
        <v>25</v>
      </c>
      <c r="E1694" t="s">
        <v>45</v>
      </c>
      <c r="F1694">
        <v>1</v>
      </c>
      <c r="G1694">
        <v>10</v>
      </c>
      <c r="H1694" t="s">
        <v>14</v>
      </c>
      <c r="I1694" t="s">
        <v>40</v>
      </c>
      <c r="J1694" t="s">
        <v>744</v>
      </c>
      <c r="K1694">
        <f>Pqp_supermarket_data[[#This Row],[Unit_Price]]*Pqp_supermarket_data[[#This Row],[Quantity]]</f>
        <v>10</v>
      </c>
      <c r="L1694" t="str">
        <f>TEXT(Pqp_supermarket_data[[#This Row],[DateTime]],"ddd")</f>
        <v>Sun</v>
      </c>
      <c r="M1694" t="str">
        <f>TEXT(Pqp_supermarket_data[[#This Row],[DateTime]],"mmm")</f>
        <v>Jul</v>
      </c>
      <c r="N1694" t="str">
        <f>TEXT(Pqp_supermarket_data[[#This Row],[DateTime]],"yyy")</f>
        <v>2021</v>
      </c>
    </row>
    <row r="1695" spans="1:14" x14ac:dyDescent="0.35">
      <c r="A1695" t="s">
        <v>3519</v>
      </c>
      <c r="B1695" s="1">
        <v>44624.704905347222</v>
      </c>
      <c r="C1695" t="s">
        <v>3520</v>
      </c>
      <c r="D1695" t="s">
        <v>77</v>
      </c>
      <c r="E1695" t="s">
        <v>35</v>
      </c>
      <c r="F1695">
        <v>1.2</v>
      </c>
      <c r="G1695">
        <v>3</v>
      </c>
      <c r="H1695" t="s">
        <v>14</v>
      </c>
      <c r="I1695" t="s">
        <v>61</v>
      </c>
      <c r="J1695" t="s">
        <v>153</v>
      </c>
      <c r="K1695">
        <f>Pqp_supermarket_data[[#This Row],[Unit_Price]]*Pqp_supermarket_data[[#This Row],[Quantity]]</f>
        <v>3.5999999999999996</v>
      </c>
      <c r="L1695" t="str">
        <f>TEXT(Pqp_supermarket_data[[#This Row],[DateTime]],"ddd")</f>
        <v>Fri</v>
      </c>
      <c r="M1695" t="str">
        <f>TEXT(Pqp_supermarket_data[[#This Row],[DateTime]],"mmm")</f>
        <v>Mar</v>
      </c>
      <c r="N1695" t="str">
        <f>TEXT(Pqp_supermarket_data[[#This Row],[DateTime]],"yyy")</f>
        <v>2022</v>
      </c>
    </row>
    <row r="1696" spans="1:14" x14ac:dyDescent="0.35">
      <c r="A1696" t="s">
        <v>3521</v>
      </c>
      <c r="B1696" s="1">
        <v>45607.930599803243</v>
      </c>
      <c r="C1696" t="s">
        <v>2663</v>
      </c>
      <c r="D1696" t="s">
        <v>98</v>
      </c>
      <c r="E1696" t="s">
        <v>39</v>
      </c>
      <c r="F1696">
        <v>3.2</v>
      </c>
      <c r="G1696">
        <v>3</v>
      </c>
      <c r="H1696" t="s">
        <v>14</v>
      </c>
      <c r="I1696" t="s">
        <v>61</v>
      </c>
      <c r="J1696" t="s">
        <v>769</v>
      </c>
      <c r="K1696">
        <f>Pqp_supermarket_data[[#This Row],[Unit_Price]]*Pqp_supermarket_data[[#This Row],[Quantity]]</f>
        <v>9.6000000000000014</v>
      </c>
      <c r="L1696" t="str">
        <f>TEXT(Pqp_supermarket_data[[#This Row],[DateTime]],"ddd")</f>
        <v>Mon</v>
      </c>
      <c r="M1696" t="str">
        <f>TEXT(Pqp_supermarket_data[[#This Row],[DateTime]],"mmm")</f>
        <v>Nov</v>
      </c>
      <c r="N1696" t="str">
        <f>TEXT(Pqp_supermarket_data[[#This Row],[DateTime]],"yyy")</f>
        <v>2024</v>
      </c>
    </row>
    <row r="1697" spans="1:14" x14ac:dyDescent="0.35">
      <c r="A1697" t="s">
        <v>3522</v>
      </c>
      <c r="B1697" s="1">
        <v>45647.201433148148</v>
      </c>
      <c r="C1697" t="s">
        <v>3523</v>
      </c>
      <c r="D1697" t="s">
        <v>44</v>
      </c>
      <c r="E1697" t="s">
        <v>53</v>
      </c>
      <c r="F1697">
        <v>2.8</v>
      </c>
      <c r="G1697">
        <v>2</v>
      </c>
      <c r="H1697" t="s">
        <v>14</v>
      </c>
      <c r="I1697" t="s">
        <v>40</v>
      </c>
      <c r="J1697" t="s">
        <v>218</v>
      </c>
      <c r="K1697">
        <f>Pqp_supermarket_data[[#This Row],[Unit_Price]]*Pqp_supermarket_data[[#This Row],[Quantity]]</f>
        <v>5.6</v>
      </c>
      <c r="L1697" t="str">
        <f>TEXT(Pqp_supermarket_data[[#This Row],[DateTime]],"ddd")</f>
        <v>Sat</v>
      </c>
      <c r="M1697" t="str">
        <f>TEXT(Pqp_supermarket_data[[#This Row],[DateTime]],"mmm")</f>
        <v>Dec</v>
      </c>
      <c r="N1697" t="str">
        <f>TEXT(Pqp_supermarket_data[[#This Row],[DateTime]],"yyy")</f>
        <v>2024</v>
      </c>
    </row>
    <row r="1698" spans="1:14" x14ac:dyDescent="0.35">
      <c r="A1698" t="s">
        <v>3524</v>
      </c>
      <c r="B1698" s="1">
        <v>44330.965322037038</v>
      </c>
      <c r="C1698" t="s">
        <v>3525</v>
      </c>
      <c r="D1698" t="s">
        <v>98</v>
      </c>
      <c r="E1698" t="s">
        <v>13</v>
      </c>
      <c r="F1698">
        <v>3.1</v>
      </c>
      <c r="G1698">
        <v>8</v>
      </c>
      <c r="H1698" t="s">
        <v>14</v>
      </c>
      <c r="I1698" t="s">
        <v>36</v>
      </c>
      <c r="J1698" t="s">
        <v>16</v>
      </c>
      <c r="K1698">
        <f>Pqp_supermarket_data[[#This Row],[Unit_Price]]*Pqp_supermarket_data[[#This Row],[Quantity]]</f>
        <v>24.8</v>
      </c>
      <c r="L1698" t="str">
        <f>TEXT(Pqp_supermarket_data[[#This Row],[DateTime]],"ddd")</f>
        <v>Fri</v>
      </c>
      <c r="M1698" t="str">
        <f>TEXT(Pqp_supermarket_data[[#This Row],[DateTime]],"mmm")</f>
        <v>May</v>
      </c>
      <c r="N1698" t="str">
        <f>TEXT(Pqp_supermarket_data[[#This Row],[DateTime]],"yyy")</f>
        <v>2021</v>
      </c>
    </row>
    <row r="1699" spans="1:14" x14ac:dyDescent="0.35">
      <c r="A1699" t="s">
        <v>3526</v>
      </c>
      <c r="B1699" s="1">
        <v>45532.788238703703</v>
      </c>
      <c r="C1699" t="s">
        <v>3527</v>
      </c>
      <c r="D1699" t="s">
        <v>208</v>
      </c>
      <c r="E1699" t="s">
        <v>53</v>
      </c>
      <c r="F1699">
        <v>2.8</v>
      </c>
      <c r="G1699">
        <v>5</v>
      </c>
      <c r="H1699" t="s">
        <v>14</v>
      </c>
      <c r="I1699" t="s">
        <v>86</v>
      </c>
      <c r="J1699" t="s">
        <v>404</v>
      </c>
      <c r="K1699">
        <f>Pqp_supermarket_data[[#This Row],[Unit_Price]]*Pqp_supermarket_data[[#This Row],[Quantity]]</f>
        <v>14</v>
      </c>
      <c r="L1699" t="str">
        <f>TEXT(Pqp_supermarket_data[[#This Row],[DateTime]],"ddd")</f>
        <v>Wed</v>
      </c>
      <c r="M1699" t="str">
        <f>TEXT(Pqp_supermarket_data[[#This Row],[DateTime]],"mmm")</f>
        <v>Aug</v>
      </c>
      <c r="N1699" t="str">
        <f>TEXT(Pqp_supermarket_data[[#This Row],[DateTime]],"yyy")</f>
        <v>2024</v>
      </c>
    </row>
    <row r="1700" spans="1:14" x14ac:dyDescent="0.35">
      <c r="A1700" t="s">
        <v>3528</v>
      </c>
      <c r="B1700" s="1">
        <v>44516.679210925926</v>
      </c>
      <c r="C1700" t="s">
        <v>3529</v>
      </c>
      <c r="D1700" t="s">
        <v>98</v>
      </c>
      <c r="E1700" t="s">
        <v>53</v>
      </c>
      <c r="F1700">
        <v>2.8</v>
      </c>
      <c r="G1700">
        <v>9</v>
      </c>
      <c r="H1700" t="s">
        <v>14</v>
      </c>
      <c r="I1700" t="s">
        <v>21</v>
      </c>
      <c r="J1700" t="s">
        <v>79</v>
      </c>
      <c r="K1700">
        <f>Pqp_supermarket_data[[#This Row],[Unit_Price]]*Pqp_supermarket_data[[#This Row],[Quantity]]</f>
        <v>25.2</v>
      </c>
      <c r="L1700" t="str">
        <f>TEXT(Pqp_supermarket_data[[#This Row],[DateTime]],"ddd")</f>
        <v>Tue</v>
      </c>
      <c r="M1700" t="str">
        <f>TEXT(Pqp_supermarket_data[[#This Row],[DateTime]],"mmm")</f>
        <v>Nov</v>
      </c>
      <c r="N1700" t="str">
        <f>TEXT(Pqp_supermarket_data[[#This Row],[DateTime]],"yyy")</f>
        <v>2021</v>
      </c>
    </row>
    <row r="1701" spans="1:14" x14ac:dyDescent="0.35">
      <c r="A1701" t="s">
        <v>3530</v>
      </c>
      <c r="B1701" s="1">
        <v>45021.446572060187</v>
      </c>
      <c r="C1701" t="s">
        <v>3531</v>
      </c>
      <c r="D1701" t="s">
        <v>82</v>
      </c>
      <c r="E1701" t="s">
        <v>90</v>
      </c>
      <c r="F1701">
        <v>1.8</v>
      </c>
      <c r="G1701">
        <v>8</v>
      </c>
      <c r="H1701" t="s">
        <v>14</v>
      </c>
      <c r="I1701" t="s">
        <v>61</v>
      </c>
      <c r="J1701" t="s">
        <v>382</v>
      </c>
      <c r="K1701">
        <f>Pqp_supermarket_data[[#This Row],[Unit_Price]]*Pqp_supermarket_data[[#This Row],[Quantity]]</f>
        <v>14.4</v>
      </c>
      <c r="L1701" t="str">
        <f>TEXT(Pqp_supermarket_data[[#This Row],[DateTime]],"ddd")</f>
        <v>Wed</v>
      </c>
      <c r="M1701" t="str">
        <f>TEXT(Pqp_supermarket_data[[#This Row],[DateTime]],"mmm")</f>
        <v>Apr</v>
      </c>
      <c r="N1701" t="str">
        <f>TEXT(Pqp_supermarket_data[[#This Row],[DateTime]],"yyy")</f>
        <v>2023</v>
      </c>
    </row>
    <row r="1702" spans="1:14" x14ac:dyDescent="0.35">
      <c r="A1702" t="s">
        <v>3532</v>
      </c>
      <c r="B1702" s="1">
        <v>45698.739627615738</v>
      </c>
      <c r="C1702" t="s">
        <v>3533</v>
      </c>
      <c r="D1702" t="s">
        <v>208</v>
      </c>
      <c r="E1702" t="s">
        <v>26</v>
      </c>
      <c r="F1702">
        <v>2.5</v>
      </c>
      <c r="G1702">
        <v>9</v>
      </c>
      <c r="H1702" t="s">
        <v>14</v>
      </c>
      <c r="I1702" t="s">
        <v>40</v>
      </c>
      <c r="J1702" t="s">
        <v>744</v>
      </c>
      <c r="K1702">
        <f>Pqp_supermarket_data[[#This Row],[Unit_Price]]*Pqp_supermarket_data[[#This Row],[Quantity]]</f>
        <v>22.5</v>
      </c>
      <c r="L1702" t="str">
        <f>TEXT(Pqp_supermarket_data[[#This Row],[DateTime]],"ddd")</f>
        <v>Mon</v>
      </c>
      <c r="M1702" t="str">
        <f>TEXT(Pqp_supermarket_data[[#This Row],[DateTime]],"mmm")</f>
        <v>Feb</v>
      </c>
      <c r="N1702" t="str">
        <f>TEXT(Pqp_supermarket_data[[#This Row],[DateTime]],"yyy")</f>
        <v>2025</v>
      </c>
    </row>
    <row r="1703" spans="1:14" x14ac:dyDescent="0.35">
      <c r="A1703" t="s">
        <v>3534</v>
      </c>
      <c r="B1703" s="1">
        <v>45571.16809983796</v>
      </c>
      <c r="C1703" t="s">
        <v>3535</v>
      </c>
      <c r="D1703" t="s">
        <v>69</v>
      </c>
      <c r="E1703" t="s">
        <v>119</v>
      </c>
      <c r="F1703">
        <v>4</v>
      </c>
      <c r="G1703">
        <v>7</v>
      </c>
      <c r="H1703" t="s">
        <v>14</v>
      </c>
      <c r="I1703" t="s">
        <v>40</v>
      </c>
      <c r="J1703" t="s">
        <v>499</v>
      </c>
      <c r="K1703">
        <f>Pqp_supermarket_data[[#This Row],[Unit_Price]]*Pqp_supermarket_data[[#This Row],[Quantity]]</f>
        <v>28</v>
      </c>
      <c r="L1703" t="str">
        <f>TEXT(Pqp_supermarket_data[[#This Row],[DateTime]],"ddd")</f>
        <v>Sun</v>
      </c>
      <c r="M1703" t="str">
        <f>TEXT(Pqp_supermarket_data[[#This Row],[DateTime]],"mmm")</f>
        <v>Oct</v>
      </c>
      <c r="N1703" t="str">
        <f>TEXT(Pqp_supermarket_data[[#This Row],[DateTime]],"yyy")</f>
        <v>2024</v>
      </c>
    </row>
    <row r="1704" spans="1:14" x14ac:dyDescent="0.35">
      <c r="A1704" t="s">
        <v>3536</v>
      </c>
      <c r="B1704" s="1">
        <v>44990.947266516203</v>
      </c>
      <c r="C1704" t="s">
        <v>3537</v>
      </c>
      <c r="D1704" t="s">
        <v>77</v>
      </c>
      <c r="E1704" t="s">
        <v>53</v>
      </c>
      <c r="F1704">
        <v>2.8</v>
      </c>
      <c r="G1704">
        <v>8</v>
      </c>
      <c r="H1704" t="s">
        <v>14</v>
      </c>
      <c r="I1704" t="s">
        <v>86</v>
      </c>
      <c r="J1704" t="s">
        <v>230</v>
      </c>
      <c r="K1704">
        <f>Pqp_supermarket_data[[#This Row],[Unit_Price]]*Pqp_supermarket_data[[#This Row],[Quantity]]</f>
        <v>22.4</v>
      </c>
      <c r="L1704" t="str">
        <f>TEXT(Pqp_supermarket_data[[#This Row],[DateTime]],"ddd")</f>
        <v>Sun</v>
      </c>
      <c r="M1704" t="str">
        <f>TEXT(Pqp_supermarket_data[[#This Row],[DateTime]],"mmm")</f>
        <v>Mar</v>
      </c>
      <c r="N1704" t="str">
        <f>TEXT(Pqp_supermarket_data[[#This Row],[DateTime]],"yyy")</f>
        <v>2023</v>
      </c>
    </row>
    <row r="1705" spans="1:14" x14ac:dyDescent="0.35">
      <c r="A1705" t="s">
        <v>3538</v>
      </c>
      <c r="B1705" s="1">
        <v>44690.97226652778</v>
      </c>
      <c r="C1705" t="s">
        <v>3539</v>
      </c>
      <c r="D1705" t="s">
        <v>77</v>
      </c>
      <c r="E1705" t="s">
        <v>94</v>
      </c>
      <c r="F1705">
        <v>0.8</v>
      </c>
      <c r="G1705">
        <v>2</v>
      </c>
      <c r="H1705" t="s">
        <v>14</v>
      </c>
      <c r="I1705" t="s">
        <v>86</v>
      </c>
      <c r="J1705" t="s">
        <v>426</v>
      </c>
      <c r="K1705">
        <f>Pqp_supermarket_data[[#This Row],[Unit_Price]]*Pqp_supermarket_data[[#This Row],[Quantity]]</f>
        <v>1.6</v>
      </c>
      <c r="L1705" t="str">
        <f>TEXT(Pqp_supermarket_data[[#This Row],[DateTime]],"ddd")</f>
        <v>Mon</v>
      </c>
      <c r="M1705" t="str">
        <f>TEXT(Pqp_supermarket_data[[#This Row],[DateTime]],"mmm")</f>
        <v>May</v>
      </c>
      <c r="N1705" t="str">
        <f>TEXT(Pqp_supermarket_data[[#This Row],[DateTime]],"yyy")</f>
        <v>2022</v>
      </c>
    </row>
    <row r="1706" spans="1:14" x14ac:dyDescent="0.35">
      <c r="A1706" t="s">
        <v>3540</v>
      </c>
      <c r="B1706" s="1">
        <v>44899.292405428241</v>
      </c>
      <c r="C1706" t="s">
        <v>3541</v>
      </c>
      <c r="D1706" t="s">
        <v>44</v>
      </c>
      <c r="E1706" t="s">
        <v>65</v>
      </c>
      <c r="F1706">
        <v>3</v>
      </c>
      <c r="G1706">
        <v>6</v>
      </c>
      <c r="H1706" t="s">
        <v>14</v>
      </c>
      <c r="I1706" t="s">
        <v>61</v>
      </c>
      <c r="J1706" t="s">
        <v>538</v>
      </c>
      <c r="K1706">
        <f>Pqp_supermarket_data[[#This Row],[Unit_Price]]*Pqp_supermarket_data[[#This Row],[Quantity]]</f>
        <v>18</v>
      </c>
      <c r="L1706" t="str">
        <f>TEXT(Pqp_supermarket_data[[#This Row],[DateTime]],"ddd")</f>
        <v>Sun</v>
      </c>
      <c r="M1706" t="str">
        <f>TEXT(Pqp_supermarket_data[[#This Row],[DateTime]],"mmm")</f>
        <v>Dec</v>
      </c>
      <c r="N1706" t="str">
        <f>TEXT(Pqp_supermarket_data[[#This Row],[DateTime]],"yyy")</f>
        <v>2022</v>
      </c>
    </row>
    <row r="1707" spans="1:14" x14ac:dyDescent="0.35">
      <c r="A1707" t="s">
        <v>3542</v>
      </c>
      <c r="B1707" s="1">
        <v>44791.279210983797</v>
      </c>
      <c r="C1707" t="s">
        <v>3543</v>
      </c>
      <c r="D1707" t="s">
        <v>12</v>
      </c>
      <c r="E1707" t="s">
        <v>115</v>
      </c>
      <c r="F1707">
        <v>1.5</v>
      </c>
      <c r="G1707">
        <v>2</v>
      </c>
      <c r="H1707" t="s">
        <v>14</v>
      </c>
      <c r="I1707" t="s">
        <v>61</v>
      </c>
      <c r="J1707" t="s">
        <v>223</v>
      </c>
      <c r="K1707">
        <f>Pqp_supermarket_data[[#This Row],[Unit_Price]]*Pqp_supermarket_data[[#This Row],[Quantity]]</f>
        <v>3</v>
      </c>
      <c r="L1707" t="str">
        <f>TEXT(Pqp_supermarket_data[[#This Row],[DateTime]],"ddd")</f>
        <v>Thu</v>
      </c>
      <c r="M1707" t="str">
        <f>TEXT(Pqp_supermarket_data[[#This Row],[DateTime]],"mmm")</f>
        <v>Aug</v>
      </c>
      <c r="N1707" t="str">
        <f>TEXT(Pqp_supermarket_data[[#This Row],[DateTime]],"yyy")</f>
        <v>2022</v>
      </c>
    </row>
    <row r="1708" spans="1:14" x14ac:dyDescent="0.35">
      <c r="A1708" t="s">
        <v>3544</v>
      </c>
      <c r="B1708" s="1">
        <v>45707.845183217592</v>
      </c>
      <c r="C1708" t="s">
        <v>3545</v>
      </c>
      <c r="D1708" t="s">
        <v>98</v>
      </c>
      <c r="E1708" t="s">
        <v>111</v>
      </c>
      <c r="F1708">
        <v>2.2000000000000002</v>
      </c>
      <c r="G1708">
        <v>4</v>
      </c>
      <c r="H1708" t="s">
        <v>14</v>
      </c>
      <c r="I1708" t="s">
        <v>61</v>
      </c>
      <c r="J1708" t="s">
        <v>323</v>
      </c>
      <c r="K1708">
        <f>Pqp_supermarket_data[[#This Row],[Unit_Price]]*Pqp_supermarket_data[[#This Row],[Quantity]]</f>
        <v>8.8000000000000007</v>
      </c>
      <c r="L1708" t="str">
        <f>TEXT(Pqp_supermarket_data[[#This Row],[DateTime]],"ddd")</f>
        <v>Wed</v>
      </c>
      <c r="M1708" t="str">
        <f>TEXT(Pqp_supermarket_data[[#This Row],[DateTime]],"mmm")</f>
        <v>Feb</v>
      </c>
      <c r="N1708" t="str">
        <f>TEXT(Pqp_supermarket_data[[#This Row],[DateTime]],"yyy")</f>
        <v>2025</v>
      </c>
    </row>
    <row r="1709" spans="1:14" x14ac:dyDescent="0.35">
      <c r="A1709" t="s">
        <v>3546</v>
      </c>
      <c r="B1709" s="1">
        <v>45721.734072106483</v>
      </c>
      <c r="C1709" t="s">
        <v>3547</v>
      </c>
      <c r="D1709" t="s">
        <v>82</v>
      </c>
      <c r="E1709" t="s">
        <v>137</v>
      </c>
      <c r="F1709">
        <v>2.5</v>
      </c>
      <c r="G1709">
        <v>6</v>
      </c>
      <c r="H1709" t="s">
        <v>14</v>
      </c>
      <c r="I1709" t="s">
        <v>86</v>
      </c>
      <c r="J1709" t="s">
        <v>122</v>
      </c>
      <c r="K1709">
        <f>Pqp_supermarket_data[[#This Row],[Unit_Price]]*Pqp_supermarket_data[[#This Row],[Quantity]]</f>
        <v>15</v>
      </c>
      <c r="L1709" t="str">
        <f>TEXT(Pqp_supermarket_data[[#This Row],[DateTime]],"ddd")</f>
        <v>Wed</v>
      </c>
      <c r="M1709" t="str">
        <f>TEXT(Pqp_supermarket_data[[#This Row],[DateTime]],"mmm")</f>
        <v>Mar</v>
      </c>
      <c r="N1709" t="str">
        <f>TEXT(Pqp_supermarket_data[[#This Row],[DateTime]],"yyy")</f>
        <v>2025</v>
      </c>
    </row>
    <row r="1710" spans="1:14" x14ac:dyDescent="0.35">
      <c r="A1710" t="s">
        <v>3548</v>
      </c>
      <c r="B1710" s="1">
        <v>45349.509072106484</v>
      </c>
      <c r="C1710" t="s">
        <v>2841</v>
      </c>
      <c r="D1710" t="s">
        <v>34</v>
      </c>
      <c r="E1710" t="s">
        <v>35</v>
      </c>
      <c r="F1710">
        <v>1.2</v>
      </c>
      <c r="G1710">
        <v>7</v>
      </c>
      <c r="H1710" t="s">
        <v>14</v>
      </c>
      <c r="I1710" t="s">
        <v>61</v>
      </c>
      <c r="J1710" t="s">
        <v>364</v>
      </c>
      <c r="K1710">
        <f>Pqp_supermarket_data[[#This Row],[Unit_Price]]*Pqp_supermarket_data[[#This Row],[Quantity]]</f>
        <v>8.4</v>
      </c>
      <c r="L1710" t="str">
        <f>TEXT(Pqp_supermarket_data[[#This Row],[DateTime]],"ddd")</f>
        <v>Tue</v>
      </c>
      <c r="M1710" t="str">
        <f>TEXT(Pqp_supermarket_data[[#This Row],[DateTime]],"mmm")</f>
        <v>Feb</v>
      </c>
      <c r="N1710" t="str">
        <f>TEXT(Pqp_supermarket_data[[#This Row],[DateTime]],"yyy")</f>
        <v>2024</v>
      </c>
    </row>
    <row r="1711" spans="1:14" x14ac:dyDescent="0.35">
      <c r="A1711" t="s">
        <v>3549</v>
      </c>
      <c r="B1711" s="1">
        <v>44485.347961006948</v>
      </c>
      <c r="C1711" t="s">
        <v>3550</v>
      </c>
      <c r="D1711" t="s">
        <v>69</v>
      </c>
      <c r="E1711" t="s">
        <v>65</v>
      </c>
      <c r="F1711">
        <v>3</v>
      </c>
      <c r="G1711">
        <v>5</v>
      </c>
      <c r="H1711" t="s">
        <v>14</v>
      </c>
      <c r="I1711" t="s">
        <v>86</v>
      </c>
      <c r="J1711" t="s">
        <v>369</v>
      </c>
      <c r="K1711">
        <f>Pqp_supermarket_data[[#This Row],[Unit_Price]]*Pqp_supermarket_data[[#This Row],[Quantity]]</f>
        <v>15</v>
      </c>
      <c r="L1711" t="str">
        <f>TEXT(Pqp_supermarket_data[[#This Row],[DateTime]],"ddd")</f>
        <v>Sat</v>
      </c>
      <c r="M1711" t="str">
        <f>TEXT(Pqp_supermarket_data[[#This Row],[DateTime]],"mmm")</f>
        <v>Oct</v>
      </c>
      <c r="N1711" t="str">
        <f>TEXT(Pqp_supermarket_data[[#This Row],[DateTime]],"yyy")</f>
        <v>2021</v>
      </c>
    </row>
    <row r="1712" spans="1:14" x14ac:dyDescent="0.35">
      <c r="A1712" t="s">
        <v>3551</v>
      </c>
      <c r="B1712" s="1">
        <v>45175.623655451389</v>
      </c>
      <c r="C1712" t="s">
        <v>3552</v>
      </c>
      <c r="D1712" t="s">
        <v>34</v>
      </c>
      <c r="E1712" t="s">
        <v>145</v>
      </c>
      <c r="F1712">
        <v>1.7</v>
      </c>
      <c r="G1712">
        <v>9</v>
      </c>
      <c r="H1712" t="s">
        <v>14</v>
      </c>
      <c r="I1712" t="s">
        <v>15</v>
      </c>
      <c r="J1712" t="s">
        <v>178</v>
      </c>
      <c r="K1712">
        <f>Pqp_supermarket_data[[#This Row],[Unit_Price]]*Pqp_supermarket_data[[#This Row],[Quantity]]</f>
        <v>15.299999999999999</v>
      </c>
      <c r="L1712" t="str">
        <f>TEXT(Pqp_supermarket_data[[#This Row],[DateTime]],"ddd")</f>
        <v>Wed</v>
      </c>
      <c r="M1712" t="str">
        <f>TEXT(Pqp_supermarket_data[[#This Row],[DateTime]],"mmm")</f>
        <v>Sep</v>
      </c>
      <c r="N1712" t="str">
        <f>TEXT(Pqp_supermarket_data[[#This Row],[DateTime]],"yyy")</f>
        <v>2023</v>
      </c>
    </row>
    <row r="1713" spans="1:14" x14ac:dyDescent="0.35">
      <c r="A1713" t="s">
        <v>3553</v>
      </c>
      <c r="B1713" s="1">
        <v>45255.314627673608</v>
      </c>
      <c r="C1713" t="s">
        <v>3554</v>
      </c>
      <c r="D1713" t="s">
        <v>208</v>
      </c>
      <c r="E1713" t="s">
        <v>65</v>
      </c>
      <c r="F1713">
        <v>3</v>
      </c>
      <c r="G1713">
        <v>7</v>
      </c>
      <c r="H1713" t="s">
        <v>14</v>
      </c>
      <c r="I1713" t="s">
        <v>61</v>
      </c>
      <c r="J1713" t="s">
        <v>91</v>
      </c>
      <c r="K1713">
        <f>Pqp_supermarket_data[[#This Row],[Unit_Price]]*Pqp_supermarket_data[[#This Row],[Quantity]]</f>
        <v>21</v>
      </c>
      <c r="L1713" t="str">
        <f>TEXT(Pqp_supermarket_data[[#This Row],[DateTime]],"ddd")</f>
        <v>Sat</v>
      </c>
      <c r="M1713" t="str">
        <f>TEXT(Pqp_supermarket_data[[#This Row],[DateTime]],"mmm")</f>
        <v>Nov</v>
      </c>
      <c r="N1713" t="str">
        <f>TEXT(Pqp_supermarket_data[[#This Row],[DateTime]],"yyy")</f>
        <v>2023</v>
      </c>
    </row>
    <row r="1714" spans="1:14" x14ac:dyDescent="0.35">
      <c r="A1714" t="s">
        <v>3555</v>
      </c>
      <c r="B1714" s="1">
        <v>45178.343099895836</v>
      </c>
      <c r="C1714" t="s">
        <v>3556</v>
      </c>
      <c r="D1714" t="s">
        <v>44</v>
      </c>
      <c r="E1714" t="s">
        <v>145</v>
      </c>
      <c r="F1714">
        <v>1.7</v>
      </c>
      <c r="G1714">
        <v>8</v>
      </c>
      <c r="H1714" t="s">
        <v>14</v>
      </c>
      <c r="I1714" t="s">
        <v>86</v>
      </c>
      <c r="J1714" t="s">
        <v>183</v>
      </c>
      <c r="K1714">
        <f>Pqp_supermarket_data[[#This Row],[Unit_Price]]*Pqp_supermarket_data[[#This Row],[Quantity]]</f>
        <v>13.6</v>
      </c>
      <c r="L1714" t="str">
        <f>TEXT(Pqp_supermarket_data[[#This Row],[DateTime]],"ddd")</f>
        <v>Sat</v>
      </c>
      <c r="M1714" t="str">
        <f>TEXT(Pqp_supermarket_data[[#This Row],[DateTime]],"mmm")</f>
        <v>Sep</v>
      </c>
      <c r="N1714" t="str">
        <f>TEXT(Pqp_supermarket_data[[#This Row],[DateTime]],"yyy")</f>
        <v>2023</v>
      </c>
    </row>
    <row r="1715" spans="1:14" x14ac:dyDescent="0.35">
      <c r="A1715" t="s">
        <v>3557</v>
      </c>
      <c r="B1715" s="1">
        <v>44376.320877696759</v>
      </c>
      <c r="C1715" t="s">
        <v>3558</v>
      </c>
      <c r="D1715" t="s">
        <v>82</v>
      </c>
      <c r="E1715" t="s">
        <v>53</v>
      </c>
      <c r="F1715">
        <v>2.8</v>
      </c>
      <c r="G1715">
        <v>10</v>
      </c>
      <c r="H1715" t="s">
        <v>14</v>
      </c>
      <c r="I1715" t="s">
        <v>86</v>
      </c>
      <c r="J1715" t="s">
        <v>99</v>
      </c>
      <c r="K1715">
        <f>Pqp_supermarket_data[[#This Row],[Unit_Price]]*Pqp_supermarket_data[[#This Row],[Quantity]]</f>
        <v>28</v>
      </c>
      <c r="L1715" t="str">
        <f>TEXT(Pqp_supermarket_data[[#This Row],[DateTime]],"ddd")</f>
        <v>Tue</v>
      </c>
      <c r="M1715" t="str">
        <f>TEXT(Pqp_supermarket_data[[#This Row],[DateTime]],"mmm")</f>
        <v>Jun</v>
      </c>
      <c r="N1715" t="str">
        <f>TEXT(Pqp_supermarket_data[[#This Row],[DateTime]],"yyy")</f>
        <v>2021</v>
      </c>
    </row>
    <row r="1716" spans="1:14" x14ac:dyDescent="0.35">
      <c r="A1716" t="s">
        <v>3559</v>
      </c>
      <c r="B1716" s="1">
        <v>44637.759766585645</v>
      </c>
      <c r="C1716" t="s">
        <v>3560</v>
      </c>
      <c r="D1716" t="s">
        <v>77</v>
      </c>
      <c r="E1716" t="s">
        <v>119</v>
      </c>
      <c r="F1716">
        <v>4</v>
      </c>
      <c r="G1716">
        <v>10</v>
      </c>
      <c r="H1716" t="s">
        <v>14</v>
      </c>
      <c r="I1716" t="s">
        <v>15</v>
      </c>
      <c r="J1716" t="s">
        <v>394</v>
      </c>
      <c r="K1716">
        <f>Pqp_supermarket_data[[#This Row],[Unit_Price]]*Pqp_supermarket_data[[#This Row],[Quantity]]</f>
        <v>40</v>
      </c>
      <c r="L1716" t="str">
        <f>TEXT(Pqp_supermarket_data[[#This Row],[DateTime]],"ddd")</f>
        <v>Thu</v>
      </c>
      <c r="M1716" t="str">
        <f>TEXT(Pqp_supermarket_data[[#This Row],[DateTime]],"mmm")</f>
        <v>Mar</v>
      </c>
      <c r="N1716" t="str">
        <f>TEXT(Pqp_supermarket_data[[#This Row],[DateTime]],"yyy")</f>
        <v>2022</v>
      </c>
    </row>
    <row r="1717" spans="1:14" x14ac:dyDescent="0.35">
      <c r="A1717" t="s">
        <v>3561</v>
      </c>
      <c r="B1717" s="1">
        <v>44425.568794363426</v>
      </c>
      <c r="C1717" t="s">
        <v>3562</v>
      </c>
      <c r="D1717" t="s">
        <v>34</v>
      </c>
      <c r="E1717" t="s">
        <v>39</v>
      </c>
      <c r="F1717">
        <v>3.2</v>
      </c>
      <c r="G1717">
        <v>1</v>
      </c>
      <c r="H1717" t="s">
        <v>14</v>
      </c>
      <c r="I1717" t="s">
        <v>15</v>
      </c>
      <c r="J1717" t="s">
        <v>223</v>
      </c>
      <c r="K1717">
        <f>Pqp_supermarket_data[[#This Row],[Unit_Price]]*Pqp_supermarket_data[[#This Row],[Quantity]]</f>
        <v>3.2</v>
      </c>
      <c r="L1717" t="str">
        <f>TEXT(Pqp_supermarket_data[[#This Row],[DateTime]],"ddd")</f>
        <v>Tue</v>
      </c>
      <c r="M1717" t="str">
        <f>TEXT(Pqp_supermarket_data[[#This Row],[DateTime]],"mmm")</f>
        <v>Aug</v>
      </c>
      <c r="N1717" t="str">
        <f>TEXT(Pqp_supermarket_data[[#This Row],[DateTime]],"yyy")</f>
        <v>2021</v>
      </c>
    </row>
    <row r="1718" spans="1:14" x14ac:dyDescent="0.35">
      <c r="A1718" t="s">
        <v>3563</v>
      </c>
      <c r="B1718" s="1">
        <v>45483.896572152778</v>
      </c>
      <c r="C1718" t="s">
        <v>3564</v>
      </c>
      <c r="D1718" t="s">
        <v>44</v>
      </c>
      <c r="E1718" t="s">
        <v>148</v>
      </c>
      <c r="F1718">
        <v>5.5</v>
      </c>
      <c r="G1718">
        <v>7</v>
      </c>
      <c r="H1718" t="s">
        <v>14</v>
      </c>
      <c r="I1718" t="s">
        <v>61</v>
      </c>
      <c r="J1718" t="s">
        <v>128</v>
      </c>
      <c r="K1718">
        <f>Pqp_supermarket_data[[#This Row],[Unit_Price]]*Pqp_supermarket_data[[#This Row],[Quantity]]</f>
        <v>38.5</v>
      </c>
      <c r="L1718" t="str">
        <f>TEXT(Pqp_supermarket_data[[#This Row],[DateTime]],"ddd")</f>
        <v>Wed</v>
      </c>
      <c r="M1718" t="str">
        <f>TEXT(Pqp_supermarket_data[[#This Row],[DateTime]],"mmm")</f>
        <v>Jul</v>
      </c>
      <c r="N1718" t="str">
        <f>TEXT(Pqp_supermarket_data[[#This Row],[DateTime]],"yyy")</f>
        <v>2024</v>
      </c>
    </row>
    <row r="1719" spans="1:14" x14ac:dyDescent="0.35">
      <c r="A1719" t="s">
        <v>3565</v>
      </c>
      <c r="B1719" s="1">
        <v>45778.939627719905</v>
      </c>
      <c r="C1719" t="s">
        <v>3566</v>
      </c>
      <c r="D1719" t="s">
        <v>34</v>
      </c>
      <c r="E1719" t="s">
        <v>111</v>
      </c>
      <c r="F1719">
        <v>2.2000000000000002</v>
      </c>
      <c r="G1719">
        <v>8</v>
      </c>
      <c r="H1719" t="s">
        <v>14</v>
      </c>
      <c r="I1719" t="s">
        <v>36</v>
      </c>
      <c r="J1719" t="s">
        <v>87</v>
      </c>
      <c r="K1719">
        <f>Pqp_supermarket_data[[#This Row],[Unit_Price]]*Pqp_supermarket_data[[#This Row],[Quantity]]</f>
        <v>17.600000000000001</v>
      </c>
      <c r="L1719" t="str">
        <f>TEXT(Pqp_supermarket_data[[#This Row],[DateTime]],"ddd")</f>
        <v>Thu</v>
      </c>
      <c r="M1719" t="str">
        <f>TEXT(Pqp_supermarket_data[[#This Row],[DateTime]],"mmm")</f>
        <v>May</v>
      </c>
      <c r="N1719" t="str">
        <f>TEXT(Pqp_supermarket_data[[#This Row],[DateTime]],"yyy")</f>
        <v>2025</v>
      </c>
    </row>
    <row r="1720" spans="1:14" x14ac:dyDescent="0.35">
      <c r="A1720" t="s">
        <v>3567</v>
      </c>
      <c r="B1720" s="1">
        <v>45587.50907216435</v>
      </c>
      <c r="C1720" t="s">
        <v>3568</v>
      </c>
      <c r="D1720" t="s">
        <v>12</v>
      </c>
      <c r="E1720" t="s">
        <v>78</v>
      </c>
      <c r="F1720">
        <v>4</v>
      </c>
      <c r="G1720">
        <v>7</v>
      </c>
      <c r="H1720" t="s">
        <v>14</v>
      </c>
      <c r="I1720" t="s">
        <v>36</v>
      </c>
      <c r="J1720" t="s">
        <v>112</v>
      </c>
      <c r="K1720">
        <f>Pqp_supermarket_data[[#This Row],[Unit_Price]]*Pqp_supermarket_data[[#This Row],[Quantity]]</f>
        <v>28</v>
      </c>
      <c r="L1720" t="str">
        <f>TEXT(Pqp_supermarket_data[[#This Row],[DateTime]],"ddd")</f>
        <v>Tue</v>
      </c>
      <c r="M1720" t="str">
        <f>TEXT(Pqp_supermarket_data[[#This Row],[DateTime]],"mmm")</f>
        <v>Oct</v>
      </c>
      <c r="N1720" t="str">
        <f>TEXT(Pqp_supermarket_data[[#This Row],[DateTime]],"yyy")</f>
        <v>2024</v>
      </c>
    </row>
    <row r="1721" spans="1:14" x14ac:dyDescent="0.35">
      <c r="A1721" t="s">
        <v>3569</v>
      </c>
      <c r="B1721" s="1">
        <v>45445.751433287034</v>
      </c>
      <c r="C1721" t="s">
        <v>3570</v>
      </c>
      <c r="D1721" t="s">
        <v>25</v>
      </c>
      <c r="E1721" t="s">
        <v>53</v>
      </c>
      <c r="F1721">
        <v>2.8</v>
      </c>
      <c r="G1721">
        <v>4</v>
      </c>
      <c r="H1721" t="s">
        <v>14</v>
      </c>
      <c r="I1721" t="s">
        <v>15</v>
      </c>
      <c r="J1721" t="s">
        <v>255</v>
      </c>
      <c r="K1721">
        <f>Pqp_supermarket_data[[#This Row],[Unit_Price]]*Pqp_supermarket_data[[#This Row],[Quantity]]</f>
        <v>11.2</v>
      </c>
      <c r="L1721" t="str">
        <f>TEXT(Pqp_supermarket_data[[#This Row],[DateTime]],"ddd")</f>
        <v>Sun</v>
      </c>
      <c r="M1721" t="str">
        <f>TEXT(Pqp_supermarket_data[[#This Row],[DateTime]],"mmm")</f>
        <v>Jun</v>
      </c>
      <c r="N1721" t="str">
        <f>TEXT(Pqp_supermarket_data[[#This Row],[DateTime]],"yyy")</f>
        <v>2024</v>
      </c>
    </row>
    <row r="1722" spans="1:14" x14ac:dyDescent="0.35">
      <c r="A1722" t="s">
        <v>3571</v>
      </c>
      <c r="B1722" s="1">
        <v>44605.543794398145</v>
      </c>
      <c r="C1722" t="s">
        <v>3572</v>
      </c>
      <c r="D1722" t="s">
        <v>34</v>
      </c>
      <c r="E1722" t="s">
        <v>53</v>
      </c>
      <c r="F1722">
        <v>2.8</v>
      </c>
      <c r="G1722">
        <v>1</v>
      </c>
      <c r="H1722" t="s">
        <v>14</v>
      </c>
      <c r="I1722" t="s">
        <v>61</v>
      </c>
      <c r="J1722" t="s">
        <v>245</v>
      </c>
      <c r="K1722">
        <f>Pqp_supermarket_data[[#This Row],[Unit_Price]]*Pqp_supermarket_data[[#This Row],[Quantity]]</f>
        <v>2.8</v>
      </c>
      <c r="L1722" t="str">
        <f>TEXT(Pqp_supermarket_data[[#This Row],[DateTime]],"ddd")</f>
        <v>Sun</v>
      </c>
      <c r="M1722" t="str">
        <f>TEXT(Pqp_supermarket_data[[#This Row],[DateTime]],"mmm")</f>
        <v>Feb</v>
      </c>
      <c r="N1722" t="str">
        <f>TEXT(Pqp_supermarket_data[[#This Row],[DateTime]],"yyy")</f>
        <v>2022</v>
      </c>
    </row>
    <row r="1723" spans="1:14" x14ac:dyDescent="0.35">
      <c r="A1723" t="s">
        <v>3573</v>
      </c>
      <c r="B1723" s="1">
        <v>44758.404211076391</v>
      </c>
      <c r="C1723" t="s">
        <v>3574</v>
      </c>
      <c r="D1723" t="s">
        <v>98</v>
      </c>
      <c r="E1723" t="s">
        <v>70</v>
      </c>
      <c r="F1723">
        <v>5</v>
      </c>
      <c r="G1723">
        <v>7</v>
      </c>
      <c r="H1723" t="s">
        <v>14</v>
      </c>
      <c r="I1723" t="s">
        <v>86</v>
      </c>
      <c r="J1723" t="s">
        <v>62</v>
      </c>
      <c r="K1723">
        <f>Pqp_supermarket_data[[#This Row],[Unit_Price]]*Pqp_supermarket_data[[#This Row],[Quantity]]</f>
        <v>35</v>
      </c>
      <c r="L1723" t="str">
        <f>TEXT(Pqp_supermarket_data[[#This Row],[DateTime]],"ddd")</f>
        <v>Sat</v>
      </c>
      <c r="M1723" t="str">
        <f>TEXT(Pqp_supermarket_data[[#This Row],[DateTime]],"mmm")</f>
        <v>Jul</v>
      </c>
      <c r="N1723" t="str">
        <f>TEXT(Pqp_supermarket_data[[#This Row],[DateTime]],"yyy")</f>
        <v>2022</v>
      </c>
    </row>
    <row r="1724" spans="1:14" x14ac:dyDescent="0.35">
      <c r="A1724" t="s">
        <v>3575</v>
      </c>
      <c r="B1724" s="1">
        <v>45064.832683310182</v>
      </c>
      <c r="C1724" t="s">
        <v>3576</v>
      </c>
      <c r="D1724" t="s">
        <v>85</v>
      </c>
      <c r="E1724" t="s">
        <v>39</v>
      </c>
      <c r="F1724">
        <v>3.2</v>
      </c>
      <c r="G1724">
        <v>2</v>
      </c>
      <c r="H1724" t="s">
        <v>14</v>
      </c>
      <c r="I1724" t="s">
        <v>15</v>
      </c>
      <c r="J1724" t="s">
        <v>223</v>
      </c>
      <c r="K1724">
        <f>Pqp_supermarket_data[[#This Row],[Unit_Price]]*Pqp_supermarket_data[[#This Row],[Quantity]]</f>
        <v>6.4</v>
      </c>
      <c r="L1724" t="str">
        <f>TEXT(Pqp_supermarket_data[[#This Row],[DateTime]],"ddd")</f>
        <v>Thu</v>
      </c>
      <c r="M1724" t="str">
        <f>TEXT(Pqp_supermarket_data[[#This Row],[DateTime]],"mmm")</f>
        <v>May</v>
      </c>
      <c r="N1724" t="str">
        <f>TEXT(Pqp_supermarket_data[[#This Row],[DateTime]],"yyy")</f>
        <v>2023</v>
      </c>
    </row>
    <row r="1725" spans="1:14" x14ac:dyDescent="0.35">
      <c r="A1725" t="s">
        <v>3577</v>
      </c>
      <c r="B1725" s="1">
        <v>44909.093794432869</v>
      </c>
      <c r="C1725" t="s">
        <v>3578</v>
      </c>
      <c r="D1725" t="s">
        <v>85</v>
      </c>
      <c r="E1725" t="s">
        <v>45</v>
      </c>
      <c r="F1725">
        <v>1</v>
      </c>
      <c r="G1725">
        <v>3</v>
      </c>
      <c r="H1725" t="s">
        <v>14</v>
      </c>
      <c r="I1725" t="s">
        <v>21</v>
      </c>
      <c r="J1725" t="s">
        <v>236</v>
      </c>
      <c r="K1725">
        <f>Pqp_supermarket_data[[#This Row],[Unit_Price]]*Pqp_supermarket_data[[#This Row],[Quantity]]</f>
        <v>3</v>
      </c>
      <c r="L1725" t="str">
        <f>TEXT(Pqp_supermarket_data[[#This Row],[DateTime]],"ddd")</f>
        <v>Wed</v>
      </c>
      <c r="M1725" t="str">
        <f>TEXT(Pqp_supermarket_data[[#This Row],[DateTime]],"mmm")</f>
        <v>Dec</v>
      </c>
      <c r="N1725" t="str">
        <f>TEXT(Pqp_supermarket_data[[#This Row],[DateTime]],"yyy")</f>
        <v>2022</v>
      </c>
    </row>
    <row r="1726" spans="1:14" x14ac:dyDescent="0.35">
      <c r="A1726" t="s">
        <v>3579</v>
      </c>
      <c r="B1726" s="1">
        <v>45005.147266655091</v>
      </c>
      <c r="C1726" t="s">
        <v>3580</v>
      </c>
      <c r="D1726" t="s">
        <v>30</v>
      </c>
      <c r="E1726" t="s">
        <v>145</v>
      </c>
      <c r="F1726">
        <v>1.7</v>
      </c>
      <c r="G1726">
        <v>5</v>
      </c>
      <c r="H1726" t="s">
        <v>14</v>
      </c>
      <c r="I1726" t="s">
        <v>36</v>
      </c>
      <c r="J1726" t="s">
        <v>215</v>
      </c>
      <c r="K1726">
        <f>Pqp_supermarket_data[[#This Row],[Unit_Price]]*Pqp_supermarket_data[[#This Row],[Quantity]]</f>
        <v>8.5</v>
      </c>
      <c r="L1726" t="str">
        <f>TEXT(Pqp_supermarket_data[[#This Row],[DateTime]],"ddd")</f>
        <v>Mon</v>
      </c>
      <c r="M1726" t="str">
        <f>TEXT(Pqp_supermarket_data[[#This Row],[DateTime]],"mmm")</f>
        <v>Mar</v>
      </c>
      <c r="N1726" t="str">
        <f>TEXT(Pqp_supermarket_data[[#This Row],[DateTime]],"yyy")</f>
        <v>2023</v>
      </c>
    </row>
    <row r="1727" spans="1:14" x14ac:dyDescent="0.35">
      <c r="A1727" t="s">
        <v>3581</v>
      </c>
      <c r="B1727" s="1">
        <v>45583.441016655095</v>
      </c>
      <c r="C1727" t="s">
        <v>3582</v>
      </c>
      <c r="D1727" t="s">
        <v>34</v>
      </c>
      <c r="E1727" t="s">
        <v>148</v>
      </c>
      <c r="F1727">
        <v>5.5</v>
      </c>
      <c r="G1727">
        <v>2</v>
      </c>
      <c r="H1727" t="s">
        <v>14</v>
      </c>
      <c r="I1727" t="s">
        <v>36</v>
      </c>
      <c r="J1727" t="s">
        <v>397</v>
      </c>
      <c r="K1727">
        <f>Pqp_supermarket_data[[#This Row],[Unit_Price]]*Pqp_supermarket_data[[#This Row],[Quantity]]</f>
        <v>11</v>
      </c>
      <c r="L1727" t="str">
        <f>TEXT(Pqp_supermarket_data[[#This Row],[DateTime]],"ddd")</f>
        <v>Fri</v>
      </c>
      <c r="M1727" t="str">
        <f>TEXT(Pqp_supermarket_data[[#This Row],[DateTime]],"mmm")</f>
        <v>Oct</v>
      </c>
      <c r="N1727" t="str">
        <f>TEXT(Pqp_supermarket_data[[#This Row],[DateTime]],"yyy")</f>
        <v>2024</v>
      </c>
    </row>
    <row r="1728" spans="1:14" x14ac:dyDescent="0.35">
      <c r="A1728" t="s">
        <v>3583</v>
      </c>
      <c r="B1728" s="1">
        <v>44524.013933333335</v>
      </c>
      <c r="C1728" t="s">
        <v>3584</v>
      </c>
      <c r="D1728" t="s">
        <v>98</v>
      </c>
      <c r="E1728" t="s">
        <v>45</v>
      </c>
      <c r="F1728">
        <v>1</v>
      </c>
      <c r="G1728">
        <v>9</v>
      </c>
      <c r="H1728" t="s">
        <v>14</v>
      </c>
      <c r="I1728" t="s">
        <v>40</v>
      </c>
      <c r="J1728" t="s">
        <v>71</v>
      </c>
      <c r="K1728">
        <f>Pqp_supermarket_data[[#This Row],[Unit_Price]]*Pqp_supermarket_data[[#This Row],[Quantity]]</f>
        <v>9</v>
      </c>
      <c r="L1728" t="str">
        <f>TEXT(Pqp_supermarket_data[[#This Row],[DateTime]],"ddd")</f>
        <v>Wed</v>
      </c>
      <c r="M1728" t="str">
        <f>TEXT(Pqp_supermarket_data[[#This Row],[DateTime]],"mmm")</f>
        <v>Nov</v>
      </c>
      <c r="N1728" t="str">
        <f>TEXT(Pqp_supermarket_data[[#This Row],[DateTime]],"yyy")</f>
        <v>2021</v>
      </c>
    </row>
    <row r="1729" spans="1:14" x14ac:dyDescent="0.35">
      <c r="A1729" t="s">
        <v>3585</v>
      </c>
      <c r="B1729" s="1">
        <v>44876.867405555553</v>
      </c>
      <c r="C1729" t="s">
        <v>3586</v>
      </c>
      <c r="D1729" t="s">
        <v>226</v>
      </c>
      <c r="E1729" t="s">
        <v>137</v>
      </c>
      <c r="F1729">
        <v>2.5</v>
      </c>
      <c r="G1729">
        <v>5</v>
      </c>
      <c r="H1729" t="s">
        <v>14</v>
      </c>
      <c r="I1729" t="s">
        <v>86</v>
      </c>
      <c r="J1729" t="s">
        <v>163</v>
      </c>
      <c r="K1729">
        <f>Pqp_supermarket_data[[#This Row],[Unit_Price]]*Pqp_supermarket_data[[#This Row],[Quantity]]</f>
        <v>12.5</v>
      </c>
      <c r="L1729" t="str">
        <f>TEXT(Pqp_supermarket_data[[#This Row],[DateTime]],"ddd")</f>
        <v>Fri</v>
      </c>
      <c r="M1729" t="str">
        <f>TEXT(Pqp_supermarket_data[[#This Row],[DateTime]],"mmm")</f>
        <v>Nov</v>
      </c>
      <c r="N1729" t="str">
        <f>TEXT(Pqp_supermarket_data[[#This Row],[DateTime]],"yyy")</f>
        <v>2022</v>
      </c>
    </row>
    <row r="1730" spans="1:14" x14ac:dyDescent="0.35">
      <c r="A1730" t="s">
        <v>3587</v>
      </c>
      <c r="B1730" s="1">
        <v>45329.952127789351</v>
      </c>
      <c r="C1730" t="s">
        <v>3588</v>
      </c>
      <c r="D1730" t="s">
        <v>82</v>
      </c>
      <c r="E1730" t="s">
        <v>148</v>
      </c>
      <c r="F1730">
        <v>5.5</v>
      </c>
      <c r="G1730">
        <v>4</v>
      </c>
      <c r="H1730" t="s">
        <v>14</v>
      </c>
      <c r="I1730" t="s">
        <v>86</v>
      </c>
      <c r="J1730" t="s">
        <v>172</v>
      </c>
      <c r="K1730">
        <f>Pqp_supermarket_data[[#This Row],[Unit_Price]]*Pqp_supermarket_data[[#This Row],[Quantity]]</f>
        <v>22</v>
      </c>
      <c r="L1730" t="str">
        <f>TEXT(Pqp_supermarket_data[[#This Row],[DateTime]],"ddd")</f>
        <v>Wed</v>
      </c>
      <c r="M1730" t="str">
        <f>TEXT(Pqp_supermarket_data[[#This Row],[DateTime]],"mmm")</f>
        <v>Feb</v>
      </c>
      <c r="N1730" t="str">
        <f>TEXT(Pqp_supermarket_data[[#This Row],[DateTime]],"yyy")</f>
        <v>2024</v>
      </c>
    </row>
    <row r="1731" spans="1:14" x14ac:dyDescent="0.35">
      <c r="A1731" t="s">
        <v>3589</v>
      </c>
      <c r="B1731" s="1">
        <v>45067.958377800926</v>
      </c>
      <c r="C1731" t="s">
        <v>3590</v>
      </c>
      <c r="D1731" t="s">
        <v>19</v>
      </c>
      <c r="E1731" t="s">
        <v>49</v>
      </c>
      <c r="F1731">
        <v>7</v>
      </c>
      <c r="G1731">
        <v>1</v>
      </c>
      <c r="H1731" t="s">
        <v>14</v>
      </c>
      <c r="I1731" t="s">
        <v>61</v>
      </c>
      <c r="J1731" t="s">
        <v>499</v>
      </c>
      <c r="K1731">
        <f>Pqp_supermarket_data[[#This Row],[Unit_Price]]*Pqp_supermarket_data[[#This Row],[Quantity]]</f>
        <v>7</v>
      </c>
      <c r="L1731" t="str">
        <f>TEXT(Pqp_supermarket_data[[#This Row],[DateTime]],"ddd")</f>
        <v>Sun</v>
      </c>
      <c r="M1731" t="str">
        <f>TEXT(Pqp_supermarket_data[[#This Row],[DateTime]],"mmm")</f>
        <v>May</v>
      </c>
      <c r="N1731" t="str">
        <f>TEXT(Pqp_supermarket_data[[#This Row],[DateTime]],"yyy")</f>
        <v>2023</v>
      </c>
    </row>
    <row r="1732" spans="1:14" x14ac:dyDescent="0.35">
      <c r="A1732" t="s">
        <v>3591</v>
      </c>
      <c r="B1732" s="1">
        <v>44747.172961145836</v>
      </c>
      <c r="C1732" t="s">
        <v>595</v>
      </c>
      <c r="D1732" t="s">
        <v>19</v>
      </c>
      <c r="E1732" t="s">
        <v>13</v>
      </c>
      <c r="F1732">
        <v>3.1</v>
      </c>
      <c r="G1732">
        <v>5</v>
      </c>
      <c r="H1732" t="s">
        <v>14</v>
      </c>
      <c r="I1732" t="s">
        <v>86</v>
      </c>
      <c r="J1732" t="s">
        <v>255</v>
      </c>
      <c r="K1732">
        <f>Pqp_supermarket_data[[#This Row],[Unit_Price]]*Pqp_supermarket_data[[#This Row],[Quantity]]</f>
        <v>15.5</v>
      </c>
      <c r="L1732" t="str">
        <f>TEXT(Pqp_supermarket_data[[#This Row],[DateTime]],"ddd")</f>
        <v>Tue</v>
      </c>
      <c r="M1732" t="str">
        <f>TEXT(Pqp_supermarket_data[[#This Row],[DateTime]],"mmm")</f>
        <v>Jul</v>
      </c>
      <c r="N1732" t="str">
        <f>TEXT(Pqp_supermarket_data[[#This Row],[DateTime]],"yyy")</f>
        <v>2022</v>
      </c>
    </row>
    <row r="1733" spans="1:14" x14ac:dyDescent="0.35">
      <c r="A1733" t="s">
        <v>3592</v>
      </c>
      <c r="B1733" s="1">
        <v>45292.520183379631</v>
      </c>
      <c r="C1733" t="s">
        <v>3593</v>
      </c>
      <c r="D1733" t="s">
        <v>19</v>
      </c>
      <c r="E1733" t="s">
        <v>145</v>
      </c>
      <c r="F1733">
        <v>1.7</v>
      </c>
      <c r="G1733">
        <v>1</v>
      </c>
      <c r="H1733" t="s">
        <v>14</v>
      </c>
      <c r="I1733" t="s">
        <v>40</v>
      </c>
      <c r="J1733" t="s">
        <v>27</v>
      </c>
      <c r="K1733">
        <f>Pqp_supermarket_data[[#This Row],[Unit_Price]]*Pqp_supermarket_data[[#This Row],[Quantity]]</f>
        <v>1.7</v>
      </c>
      <c r="L1733" t="str">
        <f>TEXT(Pqp_supermarket_data[[#This Row],[DateTime]],"ddd")</f>
        <v>Mon</v>
      </c>
      <c r="M1733" t="str">
        <f>TEXT(Pqp_supermarket_data[[#This Row],[DateTime]],"mmm")</f>
        <v>Jan</v>
      </c>
      <c r="N1733" t="str">
        <f>TEXT(Pqp_supermarket_data[[#This Row],[DateTime]],"yyy")</f>
        <v>2024</v>
      </c>
    </row>
    <row r="1734" spans="1:14" x14ac:dyDescent="0.35">
      <c r="A1734" t="s">
        <v>3594</v>
      </c>
      <c r="B1734" s="1">
        <v>45472.064627824075</v>
      </c>
      <c r="C1734" t="s">
        <v>3595</v>
      </c>
      <c r="D1734" t="s">
        <v>34</v>
      </c>
      <c r="E1734" t="s">
        <v>90</v>
      </c>
      <c r="F1734">
        <v>1.8</v>
      </c>
      <c r="G1734">
        <v>10</v>
      </c>
      <c r="H1734" t="s">
        <v>14</v>
      </c>
      <c r="I1734" t="s">
        <v>61</v>
      </c>
      <c r="J1734" t="s">
        <v>517</v>
      </c>
      <c r="K1734">
        <f>Pqp_supermarket_data[[#This Row],[Unit_Price]]*Pqp_supermarket_data[[#This Row],[Quantity]]</f>
        <v>18</v>
      </c>
      <c r="L1734" t="str">
        <f>TEXT(Pqp_supermarket_data[[#This Row],[DateTime]],"ddd")</f>
        <v>Sat</v>
      </c>
      <c r="M1734" t="str">
        <f>TEXT(Pqp_supermarket_data[[#This Row],[DateTime]],"mmm")</f>
        <v>Jun</v>
      </c>
      <c r="N1734" t="str">
        <f>TEXT(Pqp_supermarket_data[[#This Row],[DateTime]],"yyy")</f>
        <v>2024</v>
      </c>
    </row>
    <row r="1735" spans="1:14" x14ac:dyDescent="0.35">
      <c r="A1735" t="s">
        <v>3596</v>
      </c>
      <c r="B1735" s="1">
        <v>45436.791016724535</v>
      </c>
      <c r="C1735" t="s">
        <v>3597</v>
      </c>
      <c r="D1735" t="s">
        <v>25</v>
      </c>
      <c r="E1735" t="s">
        <v>20</v>
      </c>
      <c r="F1735">
        <v>1</v>
      </c>
      <c r="G1735">
        <v>7</v>
      </c>
      <c r="H1735" t="s">
        <v>14</v>
      </c>
      <c r="I1735" t="s">
        <v>15</v>
      </c>
      <c r="J1735" t="s">
        <v>262</v>
      </c>
      <c r="K1735">
        <f>Pqp_supermarket_data[[#This Row],[Unit_Price]]*Pqp_supermarket_data[[#This Row],[Quantity]]</f>
        <v>7</v>
      </c>
      <c r="L1735" t="str">
        <f>TEXT(Pqp_supermarket_data[[#This Row],[DateTime]],"ddd")</f>
        <v>Fri</v>
      </c>
      <c r="M1735" t="str">
        <f>TEXT(Pqp_supermarket_data[[#This Row],[DateTime]],"mmm")</f>
        <v>May</v>
      </c>
      <c r="N1735" t="str">
        <f>TEXT(Pqp_supermarket_data[[#This Row],[DateTime]],"yyy")</f>
        <v>2024</v>
      </c>
    </row>
    <row r="1736" spans="1:14" x14ac:dyDescent="0.35">
      <c r="A1736" t="s">
        <v>3598</v>
      </c>
      <c r="B1736" s="1">
        <v>44467.022961180555</v>
      </c>
      <c r="C1736" t="s">
        <v>3599</v>
      </c>
      <c r="D1736" t="s">
        <v>208</v>
      </c>
      <c r="E1736" t="s">
        <v>119</v>
      </c>
      <c r="F1736">
        <v>4</v>
      </c>
      <c r="G1736">
        <v>7</v>
      </c>
      <c r="H1736" t="s">
        <v>14</v>
      </c>
      <c r="I1736" t="s">
        <v>15</v>
      </c>
      <c r="J1736" t="s">
        <v>71</v>
      </c>
      <c r="K1736">
        <f>Pqp_supermarket_data[[#This Row],[Unit_Price]]*Pqp_supermarket_data[[#This Row],[Quantity]]</f>
        <v>28</v>
      </c>
      <c r="L1736" t="str">
        <f>TEXT(Pqp_supermarket_data[[#This Row],[DateTime]],"ddd")</f>
        <v>Tue</v>
      </c>
      <c r="M1736" t="str">
        <f>TEXT(Pqp_supermarket_data[[#This Row],[DateTime]],"mmm")</f>
        <v>Sep</v>
      </c>
      <c r="N1736" t="str">
        <f>TEXT(Pqp_supermarket_data[[#This Row],[DateTime]],"yyy")</f>
        <v>2021</v>
      </c>
    </row>
    <row r="1737" spans="1:14" x14ac:dyDescent="0.35">
      <c r="A1737" t="s">
        <v>3600</v>
      </c>
      <c r="B1737" s="1">
        <v>44986.593794513887</v>
      </c>
      <c r="C1737" t="s">
        <v>3601</v>
      </c>
      <c r="D1737" t="s">
        <v>82</v>
      </c>
      <c r="E1737" t="s">
        <v>39</v>
      </c>
      <c r="F1737">
        <v>3.2</v>
      </c>
      <c r="G1737">
        <v>9</v>
      </c>
      <c r="H1737" t="s">
        <v>14</v>
      </c>
      <c r="I1737" t="s">
        <v>15</v>
      </c>
      <c r="J1737" t="s">
        <v>236</v>
      </c>
      <c r="K1737">
        <f>Pqp_supermarket_data[[#This Row],[Unit_Price]]*Pqp_supermarket_data[[#This Row],[Quantity]]</f>
        <v>28.8</v>
      </c>
      <c r="L1737" t="str">
        <f>TEXT(Pqp_supermarket_data[[#This Row],[DateTime]],"ddd")</f>
        <v>Wed</v>
      </c>
      <c r="M1737" t="str">
        <f>TEXT(Pqp_supermarket_data[[#This Row],[DateTime]],"mmm")</f>
        <v>Mar</v>
      </c>
      <c r="N1737" t="str">
        <f>TEXT(Pqp_supermarket_data[[#This Row],[DateTime]],"yyy")</f>
        <v>2023</v>
      </c>
    </row>
    <row r="1738" spans="1:14" x14ac:dyDescent="0.35">
      <c r="A1738" t="s">
        <v>3602</v>
      </c>
      <c r="B1738" s="1">
        <v>45313.403516736114</v>
      </c>
      <c r="C1738" t="s">
        <v>3603</v>
      </c>
      <c r="D1738" t="s">
        <v>226</v>
      </c>
      <c r="E1738" t="s">
        <v>111</v>
      </c>
      <c r="F1738">
        <v>2.2000000000000002</v>
      </c>
      <c r="G1738">
        <v>9</v>
      </c>
      <c r="H1738" t="s">
        <v>14</v>
      </c>
      <c r="I1738" t="s">
        <v>40</v>
      </c>
      <c r="J1738" t="s">
        <v>134</v>
      </c>
      <c r="K1738">
        <f>Pqp_supermarket_data[[#This Row],[Unit_Price]]*Pqp_supermarket_data[[#This Row],[Quantity]]</f>
        <v>19.8</v>
      </c>
      <c r="L1738" t="str">
        <f>TEXT(Pqp_supermarket_data[[#This Row],[DateTime]],"ddd")</f>
        <v>Mon</v>
      </c>
      <c r="M1738" t="str">
        <f>TEXT(Pqp_supermarket_data[[#This Row],[DateTime]],"mmm")</f>
        <v>Jan</v>
      </c>
      <c r="N1738" t="str">
        <f>TEXT(Pqp_supermarket_data[[#This Row],[DateTime]],"yyy")</f>
        <v>2024</v>
      </c>
    </row>
    <row r="1739" spans="1:14" x14ac:dyDescent="0.35">
      <c r="A1739" t="s">
        <v>3604</v>
      </c>
      <c r="B1739" s="1">
        <v>44605.022961192131</v>
      </c>
      <c r="C1739" t="s">
        <v>3605</v>
      </c>
      <c r="D1739" t="s">
        <v>226</v>
      </c>
      <c r="E1739" t="s">
        <v>13</v>
      </c>
      <c r="F1739">
        <v>3.1</v>
      </c>
      <c r="G1739">
        <v>9</v>
      </c>
      <c r="H1739" t="s">
        <v>14</v>
      </c>
      <c r="I1739" t="s">
        <v>15</v>
      </c>
      <c r="J1739" t="s">
        <v>394</v>
      </c>
      <c r="K1739">
        <f>Pqp_supermarket_data[[#This Row],[Unit_Price]]*Pqp_supermarket_data[[#This Row],[Quantity]]</f>
        <v>27.900000000000002</v>
      </c>
      <c r="L1739" t="str">
        <f>TEXT(Pqp_supermarket_data[[#This Row],[DateTime]],"ddd")</f>
        <v>Sun</v>
      </c>
      <c r="M1739" t="str">
        <f>TEXT(Pqp_supermarket_data[[#This Row],[DateTime]],"mmm")</f>
        <v>Feb</v>
      </c>
      <c r="N1739" t="str">
        <f>TEXT(Pqp_supermarket_data[[#This Row],[DateTime]],"yyy")</f>
        <v>2022</v>
      </c>
    </row>
    <row r="1740" spans="1:14" x14ac:dyDescent="0.35">
      <c r="A1740" t="s">
        <v>3606</v>
      </c>
      <c r="B1740" s="1">
        <v>45369.472961203704</v>
      </c>
      <c r="C1740" t="s">
        <v>3607</v>
      </c>
      <c r="D1740" t="s">
        <v>208</v>
      </c>
      <c r="E1740" t="s">
        <v>145</v>
      </c>
      <c r="F1740">
        <v>1.7</v>
      </c>
      <c r="G1740">
        <v>1</v>
      </c>
      <c r="H1740" t="s">
        <v>14</v>
      </c>
      <c r="I1740" t="s">
        <v>36</v>
      </c>
      <c r="J1740" t="s">
        <v>426</v>
      </c>
      <c r="K1740">
        <f>Pqp_supermarket_data[[#This Row],[Unit_Price]]*Pqp_supermarket_data[[#This Row],[Quantity]]</f>
        <v>1.7</v>
      </c>
      <c r="L1740" t="str">
        <f>TEXT(Pqp_supermarket_data[[#This Row],[DateTime]],"ddd")</f>
        <v>Mon</v>
      </c>
      <c r="M1740" t="str">
        <f>TEXT(Pqp_supermarket_data[[#This Row],[DateTime]],"mmm")</f>
        <v>Mar</v>
      </c>
      <c r="N1740" t="str">
        <f>TEXT(Pqp_supermarket_data[[#This Row],[DateTime]],"yyy")</f>
        <v>2024</v>
      </c>
    </row>
    <row r="1741" spans="1:14" x14ac:dyDescent="0.35">
      <c r="A1741" t="s">
        <v>3608</v>
      </c>
      <c r="B1741" s="1">
        <v>44571.392405659724</v>
      </c>
      <c r="C1741" t="s">
        <v>3609</v>
      </c>
      <c r="D1741" t="s">
        <v>171</v>
      </c>
      <c r="E1741" t="s">
        <v>20</v>
      </c>
      <c r="F1741">
        <v>1</v>
      </c>
      <c r="G1741">
        <v>2</v>
      </c>
      <c r="H1741" t="s">
        <v>14</v>
      </c>
      <c r="I1741" t="s">
        <v>21</v>
      </c>
      <c r="J1741" t="s">
        <v>41</v>
      </c>
      <c r="K1741">
        <f>Pqp_supermarket_data[[#This Row],[Unit_Price]]*Pqp_supermarket_data[[#This Row],[Quantity]]</f>
        <v>2</v>
      </c>
      <c r="L1741" t="str">
        <f>TEXT(Pqp_supermarket_data[[#This Row],[DateTime]],"ddd")</f>
        <v>Mon</v>
      </c>
      <c r="M1741" t="str">
        <f>TEXT(Pqp_supermarket_data[[#This Row],[DateTime]],"mmm")</f>
        <v>Jan</v>
      </c>
      <c r="N1741" t="str">
        <f>TEXT(Pqp_supermarket_data[[#This Row],[DateTime]],"yyy")</f>
        <v>2022</v>
      </c>
    </row>
    <row r="1742" spans="1:14" x14ac:dyDescent="0.35">
      <c r="A1742" t="s">
        <v>3610</v>
      </c>
      <c r="B1742" s="1">
        <v>45734.569489004629</v>
      </c>
      <c r="C1742" t="s">
        <v>3611</v>
      </c>
      <c r="D1742" t="s">
        <v>69</v>
      </c>
      <c r="E1742" t="s">
        <v>70</v>
      </c>
      <c r="F1742">
        <v>5</v>
      </c>
      <c r="G1742">
        <v>6</v>
      </c>
      <c r="H1742" t="s">
        <v>14</v>
      </c>
      <c r="I1742" t="s">
        <v>15</v>
      </c>
      <c r="J1742" t="s">
        <v>461</v>
      </c>
      <c r="K1742">
        <f>Pqp_supermarket_data[[#This Row],[Unit_Price]]*Pqp_supermarket_data[[#This Row],[Quantity]]</f>
        <v>30</v>
      </c>
      <c r="L1742" t="str">
        <f>TEXT(Pqp_supermarket_data[[#This Row],[DateTime]],"ddd")</f>
        <v>Tue</v>
      </c>
      <c r="M1742" t="str">
        <f>TEXT(Pqp_supermarket_data[[#This Row],[DateTime]],"mmm")</f>
        <v>Mar</v>
      </c>
      <c r="N1742" t="str">
        <f>TEXT(Pqp_supermarket_data[[#This Row],[DateTime]],"yyy")</f>
        <v>2025</v>
      </c>
    </row>
    <row r="1743" spans="1:14" x14ac:dyDescent="0.35">
      <c r="A1743" t="s">
        <v>3612</v>
      </c>
      <c r="B1743" s="1">
        <v>44450.254905671296</v>
      </c>
      <c r="C1743" t="s">
        <v>3613</v>
      </c>
      <c r="D1743" t="s">
        <v>25</v>
      </c>
      <c r="E1743" t="s">
        <v>20</v>
      </c>
      <c r="F1743">
        <v>1</v>
      </c>
      <c r="G1743">
        <v>4</v>
      </c>
      <c r="H1743" t="s">
        <v>14</v>
      </c>
      <c r="I1743" t="s">
        <v>36</v>
      </c>
      <c r="J1743" t="s">
        <v>267</v>
      </c>
      <c r="K1743">
        <f>Pqp_supermarket_data[[#This Row],[Unit_Price]]*Pqp_supermarket_data[[#This Row],[Quantity]]</f>
        <v>4</v>
      </c>
      <c r="L1743" t="str">
        <f>TEXT(Pqp_supermarket_data[[#This Row],[DateTime]],"ddd")</f>
        <v>Sat</v>
      </c>
      <c r="M1743" t="str">
        <f>TEXT(Pqp_supermarket_data[[#This Row],[DateTime]],"mmm")</f>
        <v>Sep</v>
      </c>
      <c r="N1743" t="str">
        <f>TEXT(Pqp_supermarket_data[[#This Row],[DateTime]],"yyy")</f>
        <v>2021</v>
      </c>
    </row>
    <row r="1744" spans="1:14" x14ac:dyDescent="0.35">
      <c r="A1744" t="s">
        <v>3614</v>
      </c>
      <c r="B1744" s="1">
        <v>45012.197266782408</v>
      </c>
      <c r="C1744" t="s">
        <v>3615</v>
      </c>
      <c r="D1744" t="s">
        <v>208</v>
      </c>
      <c r="E1744" t="s">
        <v>13</v>
      </c>
      <c r="F1744">
        <v>3.1</v>
      </c>
      <c r="G1744">
        <v>2</v>
      </c>
      <c r="H1744" t="s">
        <v>14</v>
      </c>
      <c r="I1744" t="s">
        <v>15</v>
      </c>
      <c r="J1744" t="s">
        <v>134</v>
      </c>
      <c r="K1744">
        <f>Pqp_supermarket_data[[#This Row],[Unit_Price]]*Pqp_supermarket_data[[#This Row],[Quantity]]</f>
        <v>6.2</v>
      </c>
      <c r="L1744" t="str">
        <f>TEXT(Pqp_supermarket_data[[#This Row],[DateTime]],"ddd")</f>
        <v>Mon</v>
      </c>
      <c r="M1744" t="str">
        <f>TEXT(Pqp_supermarket_data[[#This Row],[DateTime]],"mmm")</f>
        <v>Mar</v>
      </c>
      <c r="N1744" t="str">
        <f>TEXT(Pqp_supermarket_data[[#This Row],[DateTime]],"yyy")</f>
        <v>2023</v>
      </c>
    </row>
    <row r="1745" spans="1:14" x14ac:dyDescent="0.35">
      <c r="A1745" t="s">
        <v>3616</v>
      </c>
      <c r="B1745" s="1">
        <v>45738.700739016203</v>
      </c>
      <c r="C1745" t="s">
        <v>3617</v>
      </c>
      <c r="D1745" t="s">
        <v>34</v>
      </c>
      <c r="E1745" t="s">
        <v>148</v>
      </c>
      <c r="F1745">
        <v>5.5</v>
      </c>
      <c r="G1745">
        <v>2</v>
      </c>
      <c r="H1745" t="s">
        <v>14</v>
      </c>
      <c r="I1745" t="s">
        <v>86</v>
      </c>
      <c r="J1745" t="s">
        <v>273</v>
      </c>
      <c r="K1745">
        <f>Pqp_supermarket_data[[#This Row],[Unit_Price]]*Pqp_supermarket_data[[#This Row],[Quantity]]</f>
        <v>11</v>
      </c>
      <c r="L1745" t="str">
        <f>TEXT(Pqp_supermarket_data[[#This Row],[DateTime]],"ddd")</f>
        <v>Sat</v>
      </c>
      <c r="M1745" t="str">
        <f>TEXT(Pqp_supermarket_data[[#This Row],[DateTime]],"mmm")</f>
        <v>Mar</v>
      </c>
      <c r="N1745" t="str">
        <f>TEXT(Pqp_supermarket_data[[#This Row],[DateTime]],"yyy")</f>
        <v>2025</v>
      </c>
    </row>
    <row r="1746" spans="1:14" x14ac:dyDescent="0.35">
      <c r="A1746" t="s">
        <v>3618</v>
      </c>
      <c r="B1746" s="1">
        <v>45535.428516793982</v>
      </c>
      <c r="C1746" t="s">
        <v>3619</v>
      </c>
      <c r="D1746" t="s">
        <v>127</v>
      </c>
      <c r="E1746" t="s">
        <v>13</v>
      </c>
      <c r="F1746">
        <v>3.1</v>
      </c>
      <c r="G1746">
        <v>3</v>
      </c>
      <c r="H1746" t="s">
        <v>14</v>
      </c>
      <c r="I1746" t="s">
        <v>40</v>
      </c>
      <c r="J1746" t="s">
        <v>205</v>
      </c>
      <c r="K1746">
        <f>Pqp_supermarket_data[[#This Row],[Unit_Price]]*Pqp_supermarket_data[[#This Row],[Quantity]]</f>
        <v>9.3000000000000007</v>
      </c>
      <c r="L1746" t="str">
        <f>TEXT(Pqp_supermarket_data[[#This Row],[DateTime]],"ddd")</f>
        <v>Sat</v>
      </c>
      <c r="M1746" t="str">
        <f>TEXT(Pqp_supermarket_data[[#This Row],[DateTime]],"mmm")</f>
        <v>Aug</v>
      </c>
      <c r="N1746" t="str">
        <f>TEXT(Pqp_supermarket_data[[#This Row],[DateTime]],"yyy")</f>
        <v>2024</v>
      </c>
    </row>
    <row r="1747" spans="1:14" x14ac:dyDescent="0.35">
      <c r="A1747" t="s">
        <v>3620</v>
      </c>
      <c r="B1747" s="1">
        <v>44774.061155682874</v>
      </c>
      <c r="C1747" t="s">
        <v>3621</v>
      </c>
      <c r="D1747" t="s">
        <v>34</v>
      </c>
      <c r="E1747" t="s">
        <v>78</v>
      </c>
      <c r="F1747">
        <v>4</v>
      </c>
      <c r="G1747">
        <v>7</v>
      </c>
      <c r="H1747" t="s">
        <v>14</v>
      </c>
      <c r="I1747" t="s">
        <v>40</v>
      </c>
      <c r="J1747" t="s">
        <v>723</v>
      </c>
      <c r="K1747">
        <f>Pqp_supermarket_data[[#This Row],[Unit_Price]]*Pqp_supermarket_data[[#This Row],[Quantity]]</f>
        <v>28</v>
      </c>
      <c r="L1747" t="str">
        <f>TEXT(Pqp_supermarket_data[[#This Row],[DateTime]],"ddd")</f>
        <v>Mon</v>
      </c>
      <c r="M1747" t="str">
        <f>TEXT(Pqp_supermarket_data[[#This Row],[DateTime]],"mmm")</f>
        <v>Aug</v>
      </c>
      <c r="N1747" t="str">
        <f>TEXT(Pqp_supermarket_data[[#This Row],[DateTime]],"yyy")</f>
        <v>2022</v>
      </c>
    </row>
    <row r="1748" spans="1:14" x14ac:dyDescent="0.35">
      <c r="A1748" t="s">
        <v>3622</v>
      </c>
      <c r="B1748" s="1">
        <v>45742.015322361112</v>
      </c>
      <c r="C1748" t="s">
        <v>3623</v>
      </c>
      <c r="D1748" t="s">
        <v>98</v>
      </c>
      <c r="E1748" t="s">
        <v>65</v>
      </c>
      <c r="F1748">
        <v>3</v>
      </c>
      <c r="G1748">
        <v>4</v>
      </c>
      <c r="H1748" t="s">
        <v>14</v>
      </c>
      <c r="I1748" t="s">
        <v>36</v>
      </c>
      <c r="J1748" t="s">
        <v>175</v>
      </c>
      <c r="K1748">
        <f>Pqp_supermarket_data[[#This Row],[Unit_Price]]*Pqp_supermarket_data[[#This Row],[Quantity]]</f>
        <v>12</v>
      </c>
      <c r="L1748" t="str">
        <f>TEXT(Pqp_supermarket_data[[#This Row],[DateTime]],"ddd")</f>
        <v>Wed</v>
      </c>
      <c r="M1748" t="str">
        <f>TEXT(Pqp_supermarket_data[[#This Row],[DateTime]],"mmm")</f>
        <v>Mar</v>
      </c>
      <c r="N1748" t="str">
        <f>TEXT(Pqp_supermarket_data[[#This Row],[DateTime]],"yyy")</f>
        <v>2025</v>
      </c>
    </row>
    <row r="1749" spans="1:14" x14ac:dyDescent="0.35">
      <c r="A1749" t="s">
        <v>3624</v>
      </c>
      <c r="B1749" s="1">
        <v>45018.115322372687</v>
      </c>
      <c r="C1749" t="s">
        <v>3625</v>
      </c>
      <c r="D1749" t="s">
        <v>19</v>
      </c>
      <c r="E1749" t="s">
        <v>70</v>
      </c>
      <c r="F1749">
        <v>5</v>
      </c>
      <c r="G1749">
        <v>3</v>
      </c>
      <c r="H1749" t="s">
        <v>14</v>
      </c>
      <c r="I1749" t="s">
        <v>15</v>
      </c>
      <c r="J1749" t="s">
        <v>108</v>
      </c>
      <c r="K1749">
        <f>Pqp_supermarket_data[[#This Row],[Unit_Price]]*Pqp_supermarket_data[[#This Row],[Quantity]]</f>
        <v>15</v>
      </c>
      <c r="L1749" t="str">
        <f>TEXT(Pqp_supermarket_data[[#This Row],[DateTime]],"ddd")</f>
        <v>Sun</v>
      </c>
      <c r="M1749" t="str">
        <f>TEXT(Pqp_supermarket_data[[#This Row],[DateTime]],"mmm")</f>
        <v>Apr</v>
      </c>
      <c r="N1749" t="str">
        <f>TEXT(Pqp_supermarket_data[[#This Row],[DateTime]],"yyy")</f>
        <v>2023</v>
      </c>
    </row>
    <row r="1750" spans="1:14" x14ac:dyDescent="0.35">
      <c r="A1750" t="s">
        <v>3626</v>
      </c>
      <c r="B1750" s="1">
        <v>45766.322266817129</v>
      </c>
      <c r="C1750" t="s">
        <v>3627</v>
      </c>
      <c r="D1750" t="s">
        <v>171</v>
      </c>
      <c r="E1750" t="s">
        <v>45</v>
      </c>
      <c r="F1750">
        <v>1</v>
      </c>
      <c r="G1750">
        <v>1</v>
      </c>
      <c r="H1750" t="s">
        <v>14</v>
      </c>
      <c r="I1750" t="s">
        <v>40</v>
      </c>
      <c r="J1750" t="s">
        <v>102</v>
      </c>
      <c r="K1750">
        <f>Pqp_supermarket_data[[#This Row],[Unit_Price]]*Pqp_supermarket_data[[#This Row],[Quantity]]</f>
        <v>1</v>
      </c>
      <c r="L1750" t="str">
        <f>TEXT(Pqp_supermarket_data[[#This Row],[DateTime]],"ddd")</f>
        <v>Sat</v>
      </c>
      <c r="M1750" t="str">
        <f>TEXT(Pqp_supermarket_data[[#This Row],[DateTime]],"mmm")</f>
        <v>Apr</v>
      </c>
      <c r="N1750" t="str">
        <f>TEXT(Pqp_supermarket_data[[#This Row],[DateTime]],"yyy")</f>
        <v>2025</v>
      </c>
    </row>
    <row r="1751" spans="1:14" x14ac:dyDescent="0.35">
      <c r="A1751" t="s">
        <v>3628</v>
      </c>
      <c r="B1751" s="1">
        <v>45075.907683495374</v>
      </c>
      <c r="C1751" t="s">
        <v>3629</v>
      </c>
      <c r="D1751" t="s">
        <v>171</v>
      </c>
      <c r="E1751" t="s">
        <v>20</v>
      </c>
      <c r="F1751">
        <v>1</v>
      </c>
      <c r="G1751">
        <v>1</v>
      </c>
      <c r="H1751" t="s">
        <v>14</v>
      </c>
      <c r="I1751" t="s">
        <v>15</v>
      </c>
      <c r="J1751" t="s">
        <v>128</v>
      </c>
      <c r="K1751">
        <f>Pqp_supermarket_data[[#This Row],[Unit_Price]]*Pqp_supermarket_data[[#This Row],[Quantity]]</f>
        <v>1</v>
      </c>
      <c r="L1751" t="str">
        <f>TEXT(Pqp_supermarket_data[[#This Row],[DateTime]],"ddd")</f>
        <v>Mon</v>
      </c>
      <c r="M1751" t="str">
        <f>TEXT(Pqp_supermarket_data[[#This Row],[DateTime]],"mmm")</f>
        <v>May</v>
      </c>
      <c r="N1751" t="str">
        <f>TEXT(Pqp_supermarket_data[[#This Row],[DateTime]],"yyy")</f>
        <v>2023</v>
      </c>
    </row>
    <row r="1752" spans="1:14" x14ac:dyDescent="0.35">
      <c r="A1752" t="s">
        <v>3630</v>
      </c>
      <c r="B1752" s="1">
        <v>45265.42643349537</v>
      </c>
      <c r="C1752" t="s">
        <v>3631</v>
      </c>
      <c r="D1752" t="s">
        <v>171</v>
      </c>
      <c r="E1752" t="s">
        <v>35</v>
      </c>
      <c r="F1752">
        <v>1.2</v>
      </c>
      <c r="G1752">
        <v>9</v>
      </c>
      <c r="H1752" t="s">
        <v>14</v>
      </c>
      <c r="I1752" t="s">
        <v>40</v>
      </c>
      <c r="J1752" t="s">
        <v>128</v>
      </c>
      <c r="K1752">
        <f>Pqp_supermarket_data[[#This Row],[Unit_Price]]*Pqp_supermarket_data[[#This Row],[Quantity]]</f>
        <v>10.799999999999999</v>
      </c>
      <c r="L1752" t="str">
        <f>TEXT(Pqp_supermarket_data[[#This Row],[DateTime]],"ddd")</f>
        <v>Tue</v>
      </c>
      <c r="M1752" t="str">
        <f>TEXT(Pqp_supermarket_data[[#This Row],[DateTime]],"mmm")</f>
        <v>Dec</v>
      </c>
      <c r="N1752" t="str">
        <f>TEXT(Pqp_supermarket_data[[#This Row],[DateTime]],"yyy")</f>
        <v>2023</v>
      </c>
    </row>
    <row r="1753" spans="1:14" x14ac:dyDescent="0.35">
      <c r="A1753" t="s">
        <v>3632</v>
      </c>
      <c r="B1753" s="1">
        <v>44738.384072384259</v>
      </c>
      <c r="C1753" t="s">
        <v>3633</v>
      </c>
      <c r="D1753" t="s">
        <v>34</v>
      </c>
      <c r="E1753" t="s">
        <v>53</v>
      </c>
      <c r="F1753">
        <v>2.8</v>
      </c>
      <c r="G1753">
        <v>2</v>
      </c>
      <c r="H1753" t="s">
        <v>14</v>
      </c>
      <c r="I1753" t="s">
        <v>15</v>
      </c>
      <c r="J1753" t="s">
        <v>27</v>
      </c>
      <c r="K1753">
        <f>Pqp_supermarket_data[[#This Row],[Unit_Price]]*Pqp_supermarket_data[[#This Row],[Quantity]]</f>
        <v>5.6</v>
      </c>
      <c r="L1753" t="str">
        <f>TEXT(Pqp_supermarket_data[[#This Row],[DateTime]],"ddd")</f>
        <v>Sun</v>
      </c>
      <c r="M1753" t="str">
        <f>TEXT(Pqp_supermarket_data[[#This Row],[DateTime]],"mmm")</f>
        <v>Jun</v>
      </c>
      <c r="N1753" t="str">
        <f>TEXT(Pqp_supermarket_data[[#This Row],[DateTime]],"yyy")</f>
        <v>2022</v>
      </c>
    </row>
    <row r="1754" spans="1:14" x14ac:dyDescent="0.35">
      <c r="A1754" t="s">
        <v>3634</v>
      </c>
      <c r="B1754" s="1">
        <v>45116.383377951388</v>
      </c>
      <c r="C1754" t="s">
        <v>3635</v>
      </c>
      <c r="D1754" t="s">
        <v>77</v>
      </c>
      <c r="E1754" t="s">
        <v>111</v>
      </c>
      <c r="F1754">
        <v>2.2000000000000002</v>
      </c>
      <c r="G1754">
        <v>5</v>
      </c>
      <c r="H1754" t="s">
        <v>14</v>
      </c>
      <c r="I1754" t="s">
        <v>61</v>
      </c>
      <c r="J1754" t="s">
        <v>470</v>
      </c>
      <c r="K1754">
        <f>Pqp_supermarket_data[[#This Row],[Unit_Price]]*Pqp_supermarket_data[[#This Row],[Quantity]]</f>
        <v>11</v>
      </c>
      <c r="L1754" t="str">
        <f>TEXT(Pqp_supermarket_data[[#This Row],[DateTime]],"ddd")</f>
        <v>Sun</v>
      </c>
      <c r="M1754" t="str">
        <f>TEXT(Pqp_supermarket_data[[#This Row],[DateTime]],"mmm")</f>
        <v>Jul</v>
      </c>
      <c r="N1754" t="str">
        <f>TEXT(Pqp_supermarket_data[[#This Row],[DateTime]],"yyy")</f>
        <v>2023</v>
      </c>
    </row>
    <row r="1755" spans="1:14" x14ac:dyDescent="0.35">
      <c r="A1755" t="s">
        <v>3636</v>
      </c>
      <c r="B1755" s="1">
        <v>45378.461155740741</v>
      </c>
      <c r="C1755" t="s">
        <v>3637</v>
      </c>
      <c r="D1755" t="s">
        <v>12</v>
      </c>
      <c r="E1755" t="s">
        <v>20</v>
      </c>
      <c r="F1755">
        <v>1</v>
      </c>
      <c r="G1755">
        <v>5</v>
      </c>
      <c r="H1755" t="s">
        <v>14</v>
      </c>
      <c r="I1755" t="s">
        <v>86</v>
      </c>
      <c r="J1755" t="s">
        <v>314</v>
      </c>
      <c r="K1755">
        <f>Pqp_supermarket_data[[#This Row],[Unit_Price]]*Pqp_supermarket_data[[#This Row],[Quantity]]</f>
        <v>5</v>
      </c>
      <c r="L1755" t="str">
        <f>TEXT(Pqp_supermarket_data[[#This Row],[DateTime]],"ddd")</f>
        <v>Wed</v>
      </c>
      <c r="M1755" t="str">
        <f>TEXT(Pqp_supermarket_data[[#This Row],[DateTime]],"mmm")</f>
        <v>Mar</v>
      </c>
      <c r="N1755" t="str">
        <f>TEXT(Pqp_supermarket_data[[#This Row],[DateTime]],"yyy")</f>
        <v>2024</v>
      </c>
    </row>
    <row r="1756" spans="1:14" x14ac:dyDescent="0.35">
      <c r="A1756" t="s">
        <v>3638</v>
      </c>
      <c r="B1756" s="1">
        <v>44770.99587796296</v>
      </c>
      <c r="C1756" t="s">
        <v>3639</v>
      </c>
      <c r="D1756" t="s">
        <v>82</v>
      </c>
      <c r="E1756" t="s">
        <v>78</v>
      </c>
      <c r="F1756">
        <v>4</v>
      </c>
      <c r="G1756">
        <v>5</v>
      </c>
      <c r="H1756" t="s">
        <v>14</v>
      </c>
      <c r="I1756" t="s">
        <v>15</v>
      </c>
      <c r="J1756" t="s">
        <v>485</v>
      </c>
      <c r="K1756">
        <f>Pqp_supermarket_data[[#This Row],[Unit_Price]]*Pqp_supermarket_data[[#This Row],[Quantity]]</f>
        <v>20</v>
      </c>
      <c r="L1756" t="str">
        <f>TEXT(Pqp_supermarket_data[[#This Row],[DateTime]],"ddd")</f>
        <v>Thu</v>
      </c>
      <c r="M1756" t="str">
        <f>TEXT(Pqp_supermarket_data[[#This Row],[DateTime]],"mmm")</f>
        <v>Jul</v>
      </c>
      <c r="N1756" t="str">
        <f>TEXT(Pqp_supermarket_data[[#This Row],[DateTime]],"yyy")</f>
        <v>2022</v>
      </c>
    </row>
    <row r="1757" spans="1:14" x14ac:dyDescent="0.35">
      <c r="A1757" t="s">
        <v>3640</v>
      </c>
      <c r="B1757" s="1">
        <v>44378.631294629631</v>
      </c>
      <c r="C1757" t="s">
        <v>3641</v>
      </c>
      <c r="D1757" t="s">
        <v>82</v>
      </c>
      <c r="E1757" t="s">
        <v>148</v>
      </c>
      <c r="F1757">
        <v>5.5</v>
      </c>
      <c r="G1757">
        <v>10</v>
      </c>
      <c r="H1757" t="s">
        <v>14</v>
      </c>
      <c r="I1757" t="s">
        <v>21</v>
      </c>
      <c r="J1757" t="s">
        <v>245</v>
      </c>
      <c r="K1757">
        <f>Pqp_supermarket_data[[#This Row],[Unit_Price]]*Pqp_supermarket_data[[#This Row],[Quantity]]</f>
        <v>55</v>
      </c>
      <c r="L1757" t="str">
        <f>TEXT(Pqp_supermarket_data[[#This Row],[DateTime]],"ddd")</f>
        <v>Thu</v>
      </c>
      <c r="M1757" t="str">
        <f>TEXT(Pqp_supermarket_data[[#This Row],[DateTime]],"mmm")</f>
        <v>Jul</v>
      </c>
      <c r="N1757" t="str">
        <f>TEXT(Pqp_supermarket_data[[#This Row],[DateTime]],"yyy")</f>
        <v>2021</v>
      </c>
    </row>
    <row r="1758" spans="1:14" x14ac:dyDescent="0.35">
      <c r="A1758" t="s">
        <v>3642</v>
      </c>
      <c r="B1758" s="1">
        <v>45447.277822418982</v>
      </c>
      <c r="C1758" t="s">
        <v>3643</v>
      </c>
      <c r="D1758" t="s">
        <v>98</v>
      </c>
      <c r="E1758" t="s">
        <v>145</v>
      </c>
      <c r="F1758">
        <v>1.7</v>
      </c>
      <c r="G1758">
        <v>8</v>
      </c>
      <c r="H1758" t="s">
        <v>14</v>
      </c>
      <c r="I1758" t="s">
        <v>86</v>
      </c>
      <c r="J1758" t="s">
        <v>273</v>
      </c>
      <c r="K1758">
        <f>Pqp_supermarket_data[[#This Row],[Unit_Price]]*Pqp_supermarket_data[[#This Row],[Quantity]]</f>
        <v>13.6</v>
      </c>
      <c r="L1758" t="str">
        <f>TEXT(Pqp_supermarket_data[[#This Row],[DateTime]],"ddd")</f>
        <v>Tue</v>
      </c>
      <c r="M1758" t="str">
        <f>TEXT(Pqp_supermarket_data[[#This Row],[DateTime]],"mmm")</f>
        <v>Jun</v>
      </c>
      <c r="N1758" t="str">
        <f>TEXT(Pqp_supermarket_data[[#This Row],[DateTime]],"yyy")</f>
        <v>2024</v>
      </c>
    </row>
    <row r="1759" spans="1:14" x14ac:dyDescent="0.35">
      <c r="A1759" t="s">
        <v>3644</v>
      </c>
      <c r="B1759" s="1">
        <v>45230.116016863423</v>
      </c>
      <c r="C1759" t="s">
        <v>3645</v>
      </c>
      <c r="D1759" t="s">
        <v>77</v>
      </c>
      <c r="E1759" t="s">
        <v>45</v>
      </c>
      <c r="F1759">
        <v>1</v>
      </c>
      <c r="G1759">
        <v>7</v>
      </c>
      <c r="H1759" t="s">
        <v>14</v>
      </c>
      <c r="I1759" t="s">
        <v>86</v>
      </c>
      <c r="J1759" t="s">
        <v>485</v>
      </c>
      <c r="K1759">
        <f>Pqp_supermarket_data[[#This Row],[Unit_Price]]*Pqp_supermarket_data[[#This Row],[Quantity]]</f>
        <v>7</v>
      </c>
      <c r="L1759" t="str">
        <f>TEXT(Pqp_supermarket_data[[#This Row],[DateTime]],"ddd")</f>
        <v>Tue</v>
      </c>
      <c r="M1759" t="str">
        <f>TEXT(Pqp_supermarket_data[[#This Row],[DateTime]],"mmm")</f>
        <v>Oct</v>
      </c>
      <c r="N1759" t="str">
        <f>TEXT(Pqp_supermarket_data[[#This Row],[DateTime]],"yyy")</f>
        <v>2023</v>
      </c>
    </row>
    <row r="1760" spans="1:14" x14ac:dyDescent="0.35">
      <c r="A1760" t="s">
        <v>3646</v>
      </c>
      <c r="B1760" s="1">
        <v>44625.08546130787</v>
      </c>
      <c r="C1760" t="s">
        <v>3647</v>
      </c>
      <c r="D1760" t="s">
        <v>19</v>
      </c>
      <c r="E1760" t="s">
        <v>65</v>
      </c>
      <c r="F1760">
        <v>3</v>
      </c>
      <c r="G1760">
        <v>8</v>
      </c>
      <c r="H1760" t="s">
        <v>14</v>
      </c>
      <c r="I1760" t="s">
        <v>15</v>
      </c>
      <c r="J1760" t="s">
        <v>74</v>
      </c>
      <c r="K1760">
        <f>Pqp_supermarket_data[[#This Row],[Unit_Price]]*Pqp_supermarket_data[[#This Row],[Quantity]]</f>
        <v>24</v>
      </c>
      <c r="L1760" t="str">
        <f>TEXT(Pqp_supermarket_data[[#This Row],[DateTime]],"ddd")</f>
        <v>Sat</v>
      </c>
      <c r="M1760" t="str">
        <f>TEXT(Pqp_supermarket_data[[#This Row],[DateTime]],"mmm")</f>
        <v>Mar</v>
      </c>
      <c r="N1760" t="str">
        <f>TEXT(Pqp_supermarket_data[[#This Row],[DateTime]],"yyy")</f>
        <v>2022</v>
      </c>
    </row>
    <row r="1761" spans="1:14" x14ac:dyDescent="0.35">
      <c r="A1761" t="s">
        <v>3648</v>
      </c>
      <c r="B1761" s="1">
        <v>44739.200739097221</v>
      </c>
      <c r="C1761" t="s">
        <v>3649</v>
      </c>
      <c r="D1761" t="s">
        <v>82</v>
      </c>
      <c r="E1761" t="s">
        <v>57</v>
      </c>
      <c r="F1761">
        <v>4.5</v>
      </c>
      <c r="G1761">
        <v>10</v>
      </c>
      <c r="H1761" t="s">
        <v>14</v>
      </c>
      <c r="I1761" t="s">
        <v>36</v>
      </c>
      <c r="J1761" t="s">
        <v>716</v>
      </c>
      <c r="K1761">
        <f>Pqp_supermarket_data[[#This Row],[Unit_Price]]*Pqp_supermarket_data[[#This Row],[Quantity]]</f>
        <v>45</v>
      </c>
      <c r="L1761" t="str">
        <f>TEXT(Pqp_supermarket_data[[#This Row],[DateTime]],"ddd")</f>
        <v>Mon</v>
      </c>
      <c r="M1761" t="str">
        <f>TEXT(Pqp_supermarket_data[[#This Row],[DateTime]],"mmm")</f>
        <v>Jun</v>
      </c>
      <c r="N1761" t="str">
        <f>TEXT(Pqp_supermarket_data[[#This Row],[DateTime]],"yyy")</f>
        <v>2022</v>
      </c>
    </row>
    <row r="1762" spans="1:14" x14ac:dyDescent="0.35">
      <c r="A1762" t="s">
        <v>3650</v>
      </c>
      <c r="B1762" s="1">
        <v>45065.059072430558</v>
      </c>
      <c r="C1762" t="s">
        <v>3651</v>
      </c>
      <c r="D1762" t="s">
        <v>77</v>
      </c>
      <c r="E1762" t="s">
        <v>94</v>
      </c>
      <c r="F1762">
        <v>0.8</v>
      </c>
      <c r="G1762">
        <v>6</v>
      </c>
      <c r="H1762" t="s">
        <v>14</v>
      </c>
      <c r="I1762" t="s">
        <v>86</v>
      </c>
      <c r="J1762" t="s">
        <v>458</v>
      </c>
      <c r="K1762">
        <f>Pqp_supermarket_data[[#This Row],[Unit_Price]]*Pqp_supermarket_data[[#This Row],[Quantity]]</f>
        <v>4.8000000000000007</v>
      </c>
      <c r="L1762" t="str">
        <f>TEXT(Pqp_supermarket_data[[#This Row],[DateTime]],"ddd")</f>
        <v>Fri</v>
      </c>
      <c r="M1762" t="str">
        <f>TEXT(Pqp_supermarket_data[[#This Row],[DateTime]],"mmm")</f>
        <v>May</v>
      </c>
      <c r="N1762" t="str">
        <f>TEXT(Pqp_supermarket_data[[#This Row],[DateTime]],"yyy")</f>
        <v>2023</v>
      </c>
    </row>
    <row r="1763" spans="1:14" x14ac:dyDescent="0.35">
      <c r="A1763" t="s">
        <v>3652</v>
      </c>
      <c r="B1763" s="1">
        <v>45054.265322430554</v>
      </c>
      <c r="C1763" t="s">
        <v>3653</v>
      </c>
      <c r="D1763" t="s">
        <v>25</v>
      </c>
      <c r="E1763" t="s">
        <v>53</v>
      </c>
      <c r="F1763">
        <v>2.8</v>
      </c>
      <c r="G1763">
        <v>6</v>
      </c>
      <c r="H1763" t="s">
        <v>14</v>
      </c>
      <c r="I1763" t="s">
        <v>15</v>
      </c>
      <c r="J1763" t="s">
        <v>267</v>
      </c>
      <c r="K1763">
        <f>Pqp_supermarket_data[[#This Row],[Unit_Price]]*Pqp_supermarket_data[[#This Row],[Quantity]]</f>
        <v>16.799999999999997</v>
      </c>
      <c r="L1763" t="str">
        <f>TEXT(Pqp_supermarket_data[[#This Row],[DateTime]],"ddd")</f>
        <v>Mon</v>
      </c>
      <c r="M1763" t="str">
        <f>TEXT(Pqp_supermarket_data[[#This Row],[DateTime]],"mmm")</f>
        <v>May</v>
      </c>
      <c r="N1763" t="str">
        <f>TEXT(Pqp_supermarket_data[[#This Row],[DateTime]],"yyy")</f>
        <v>2023</v>
      </c>
    </row>
    <row r="1764" spans="1:14" x14ac:dyDescent="0.35">
      <c r="A1764" t="s">
        <v>3654</v>
      </c>
      <c r="B1764" s="1">
        <v>45143.434766886574</v>
      </c>
      <c r="C1764" t="s">
        <v>3655</v>
      </c>
      <c r="D1764" t="s">
        <v>44</v>
      </c>
      <c r="E1764" t="s">
        <v>35</v>
      </c>
      <c r="F1764">
        <v>1.2</v>
      </c>
      <c r="G1764">
        <v>6</v>
      </c>
      <c r="H1764" t="s">
        <v>14</v>
      </c>
      <c r="I1764" t="s">
        <v>15</v>
      </c>
      <c r="J1764" t="s">
        <v>311</v>
      </c>
      <c r="K1764">
        <f>Pqp_supermarket_data[[#This Row],[Unit_Price]]*Pqp_supermarket_data[[#This Row],[Quantity]]</f>
        <v>7.1999999999999993</v>
      </c>
      <c r="L1764" t="str">
        <f>TEXT(Pqp_supermarket_data[[#This Row],[DateTime]],"ddd")</f>
        <v>Sat</v>
      </c>
      <c r="M1764" t="str">
        <f>TEXT(Pqp_supermarket_data[[#This Row],[DateTime]],"mmm")</f>
        <v>Aug</v>
      </c>
      <c r="N1764" t="str">
        <f>TEXT(Pqp_supermarket_data[[#This Row],[DateTime]],"yyy")</f>
        <v>2023</v>
      </c>
    </row>
    <row r="1765" spans="1:14" x14ac:dyDescent="0.35">
      <c r="A1765" t="s">
        <v>3656</v>
      </c>
      <c r="B1765" s="1">
        <v>44624.103516898147</v>
      </c>
      <c r="C1765" t="s">
        <v>3657</v>
      </c>
      <c r="D1765" t="s">
        <v>25</v>
      </c>
      <c r="E1765" t="s">
        <v>20</v>
      </c>
      <c r="F1765">
        <v>1</v>
      </c>
      <c r="G1765">
        <v>2</v>
      </c>
      <c r="H1765" t="s">
        <v>14</v>
      </c>
      <c r="I1765" t="s">
        <v>86</v>
      </c>
      <c r="J1765" t="s">
        <v>429</v>
      </c>
      <c r="K1765">
        <f>Pqp_supermarket_data[[#This Row],[Unit_Price]]*Pqp_supermarket_data[[#This Row],[Quantity]]</f>
        <v>2</v>
      </c>
      <c r="L1765" t="str">
        <f>TEXT(Pqp_supermarket_data[[#This Row],[DateTime]],"ddd")</f>
        <v>Fri</v>
      </c>
      <c r="M1765" t="str">
        <f>TEXT(Pqp_supermarket_data[[#This Row],[DateTime]],"mmm")</f>
        <v>Mar</v>
      </c>
      <c r="N1765" t="str">
        <f>TEXT(Pqp_supermarket_data[[#This Row],[DateTime]],"yyy")</f>
        <v>2022</v>
      </c>
    </row>
    <row r="1766" spans="1:14" x14ac:dyDescent="0.35">
      <c r="A1766" t="s">
        <v>3658</v>
      </c>
      <c r="B1766" s="1">
        <v>44554.286850231481</v>
      </c>
      <c r="C1766" t="s">
        <v>3659</v>
      </c>
      <c r="D1766" t="s">
        <v>25</v>
      </c>
      <c r="E1766" t="s">
        <v>148</v>
      </c>
      <c r="F1766">
        <v>5.5</v>
      </c>
      <c r="G1766">
        <v>9</v>
      </c>
      <c r="H1766" t="s">
        <v>14</v>
      </c>
      <c r="I1766" t="s">
        <v>61</v>
      </c>
      <c r="J1766" t="s">
        <v>541</v>
      </c>
      <c r="K1766">
        <f>Pqp_supermarket_data[[#This Row],[Unit_Price]]*Pqp_supermarket_data[[#This Row],[Quantity]]</f>
        <v>49.5</v>
      </c>
      <c r="L1766" t="str">
        <f>TEXT(Pqp_supermarket_data[[#This Row],[DateTime]],"ddd")</f>
        <v>Fri</v>
      </c>
      <c r="M1766" t="str">
        <f>TEXT(Pqp_supermarket_data[[#This Row],[DateTime]],"mmm")</f>
        <v>Dec</v>
      </c>
      <c r="N1766" t="str">
        <f>TEXT(Pqp_supermarket_data[[#This Row],[DateTime]],"yyy")</f>
        <v>2021</v>
      </c>
    </row>
    <row r="1767" spans="1:14" x14ac:dyDescent="0.35">
      <c r="A1767" t="s">
        <v>3660</v>
      </c>
      <c r="B1767" s="1">
        <v>44541.681989131946</v>
      </c>
      <c r="C1767" t="s">
        <v>3661</v>
      </c>
      <c r="D1767" t="s">
        <v>171</v>
      </c>
      <c r="E1767" t="s">
        <v>145</v>
      </c>
      <c r="F1767">
        <v>1.7</v>
      </c>
      <c r="G1767">
        <v>7</v>
      </c>
      <c r="H1767" t="s">
        <v>14</v>
      </c>
      <c r="I1767" t="s">
        <v>61</v>
      </c>
      <c r="J1767" t="s">
        <v>79</v>
      </c>
      <c r="K1767">
        <f>Pqp_supermarket_data[[#This Row],[Unit_Price]]*Pqp_supermarket_data[[#This Row],[Quantity]]</f>
        <v>11.9</v>
      </c>
      <c r="L1767" t="str">
        <f>TEXT(Pqp_supermarket_data[[#This Row],[DateTime]],"ddd")</f>
        <v>Sat</v>
      </c>
      <c r="M1767" t="str">
        <f>TEXT(Pqp_supermarket_data[[#This Row],[DateTime]],"mmm")</f>
        <v>Dec</v>
      </c>
      <c r="N1767" t="str">
        <f>TEXT(Pqp_supermarket_data[[#This Row],[DateTime]],"yyy")</f>
        <v>2021</v>
      </c>
    </row>
    <row r="1768" spans="1:14" x14ac:dyDescent="0.35">
      <c r="A1768" t="s">
        <v>3662</v>
      </c>
      <c r="B1768" s="1">
        <v>45381.307683576386</v>
      </c>
      <c r="C1768" t="s">
        <v>3663</v>
      </c>
      <c r="D1768" t="s">
        <v>226</v>
      </c>
      <c r="E1768" t="s">
        <v>115</v>
      </c>
      <c r="F1768">
        <v>1.5</v>
      </c>
      <c r="G1768">
        <v>8</v>
      </c>
      <c r="H1768" t="s">
        <v>14</v>
      </c>
      <c r="I1768" t="s">
        <v>40</v>
      </c>
      <c r="J1768" t="s">
        <v>339</v>
      </c>
      <c r="K1768">
        <f>Pqp_supermarket_data[[#This Row],[Unit_Price]]*Pqp_supermarket_data[[#This Row],[Quantity]]</f>
        <v>12</v>
      </c>
      <c r="L1768" t="str">
        <f>TEXT(Pqp_supermarket_data[[#This Row],[DateTime]],"ddd")</f>
        <v>Sat</v>
      </c>
      <c r="M1768" t="str">
        <f>TEXT(Pqp_supermarket_data[[#This Row],[DateTime]],"mmm")</f>
        <v>Mar</v>
      </c>
      <c r="N1768" t="str">
        <f>TEXT(Pqp_supermarket_data[[#This Row],[DateTime]],"yyy")</f>
        <v>2024</v>
      </c>
    </row>
    <row r="1769" spans="1:14" x14ac:dyDescent="0.35">
      <c r="A1769" t="s">
        <v>3664</v>
      </c>
      <c r="B1769" s="1">
        <v>44924.429905810182</v>
      </c>
      <c r="C1769" t="s">
        <v>3665</v>
      </c>
      <c r="D1769" t="s">
        <v>98</v>
      </c>
      <c r="E1769" t="s">
        <v>94</v>
      </c>
      <c r="F1769">
        <v>0.8</v>
      </c>
      <c r="G1769">
        <v>10</v>
      </c>
      <c r="H1769" t="s">
        <v>14</v>
      </c>
      <c r="I1769" t="s">
        <v>61</v>
      </c>
      <c r="J1769" t="s">
        <v>131</v>
      </c>
      <c r="K1769">
        <f>Pqp_supermarket_data[[#This Row],[Unit_Price]]*Pqp_supermarket_data[[#This Row],[Quantity]]</f>
        <v>8</v>
      </c>
      <c r="L1769" t="str">
        <f>TEXT(Pqp_supermarket_data[[#This Row],[DateTime]],"ddd")</f>
        <v>Thu</v>
      </c>
      <c r="M1769" t="str">
        <f>TEXT(Pqp_supermarket_data[[#This Row],[DateTime]],"mmm")</f>
        <v>Dec</v>
      </c>
      <c r="N1769" t="str">
        <f>TEXT(Pqp_supermarket_data[[#This Row],[DateTime]],"yyy")</f>
        <v>2022</v>
      </c>
    </row>
    <row r="1770" spans="1:14" x14ac:dyDescent="0.35">
      <c r="A1770" t="s">
        <v>3666</v>
      </c>
      <c r="B1770" s="1">
        <v>45002.243100254629</v>
      </c>
      <c r="C1770" t="s">
        <v>3667</v>
      </c>
      <c r="D1770" t="s">
        <v>208</v>
      </c>
      <c r="E1770" t="s">
        <v>57</v>
      </c>
      <c r="F1770">
        <v>4.5</v>
      </c>
      <c r="G1770">
        <v>1</v>
      </c>
      <c r="H1770" t="s">
        <v>14</v>
      </c>
      <c r="I1770" t="s">
        <v>36</v>
      </c>
      <c r="J1770" t="s">
        <v>317</v>
      </c>
      <c r="K1770">
        <f>Pqp_supermarket_data[[#This Row],[Unit_Price]]*Pqp_supermarket_data[[#This Row],[Quantity]]</f>
        <v>4.5</v>
      </c>
      <c r="L1770" t="str">
        <f>TEXT(Pqp_supermarket_data[[#This Row],[DateTime]],"ddd")</f>
        <v>Fri</v>
      </c>
      <c r="M1770" t="str">
        <f>TEXT(Pqp_supermarket_data[[#This Row],[DateTime]],"mmm")</f>
        <v>Mar</v>
      </c>
      <c r="N1770" t="str">
        <f>TEXT(Pqp_supermarket_data[[#This Row],[DateTime]],"yyy")</f>
        <v>2023</v>
      </c>
    </row>
    <row r="1771" spans="1:14" x14ac:dyDescent="0.35">
      <c r="A1771" t="s">
        <v>3668</v>
      </c>
      <c r="B1771" s="1">
        <v>45776.963933599538</v>
      </c>
      <c r="C1771" t="s">
        <v>3669</v>
      </c>
      <c r="D1771" t="s">
        <v>69</v>
      </c>
      <c r="E1771" t="s">
        <v>49</v>
      </c>
      <c r="F1771">
        <v>7</v>
      </c>
      <c r="G1771">
        <v>1</v>
      </c>
      <c r="H1771" t="s">
        <v>14</v>
      </c>
      <c r="I1771" t="s">
        <v>21</v>
      </c>
      <c r="J1771" t="s">
        <v>716</v>
      </c>
      <c r="K1771">
        <f>Pqp_supermarket_data[[#This Row],[Unit_Price]]*Pqp_supermarket_data[[#This Row],[Quantity]]</f>
        <v>7</v>
      </c>
      <c r="L1771" t="str">
        <f>TEXT(Pqp_supermarket_data[[#This Row],[DateTime]],"ddd")</f>
        <v>Tue</v>
      </c>
      <c r="M1771" t="str">
        <f>TEXT(Pqp_supermarket_data[[#This Row],[DateTime]],"mmm")</f>
        <v>Apr</v>
      </c>
      <c r="N1771" t="str">
        <f>TEXT(Pqp_supermarket_data[[#This Row],[DateTime]],"yyy")</f>
        <v>2025</v>
      </c>
    </row>
    <row r="1772" spans="1:14" x14ac:dyDescent="0.35">
      <c r="A1772" t="s">
        <v>3670</v>
      </c>
      <c r="B1772" s="1">
        <v>45706.114628043979</v>
      </c>
      <c r="C1772" t="s">
        <v>3671</v>
      </c>
      <c r="D1772" t="s">
        <v>208</v>
      </c>
      <c r="E1772" t="s">
        <v>65</v>
      </c>
      <c r="F1772">
        <v>3</v>
      </c>
      <c r="G1772">
        <v>8</v>
      </c>
      <c r="H1772" t="s">
        <v>14</v>
      </c>
      <c r="I1772" t="s">
        <v>40</v>
      </c>
      <c r="J1772" t="s">
        <v>175</v>
      </c>
      <c r="K1772">
        <f>Pqp_supermarket_data[[#This Row],[Unit_Price]]*Pqp_supermarket_data[[#This Row],[Quantity]]</f>
        <v>24</v>
      </c>
      <c r="L1772" t="str">
        <f>TEXT(Pqp_supermarket_data[[#This Row],[DateTime]],"ddd")</f>
        <v>Tue</v>
      </c>
      <c r="M1772" t="str">
        <f>TEXT(Pqp_supermarket_data[[#This Row],[DateTime]],"mmm")</f>
        <v>Feb</v>
      </c>
      <c r="N1772" t="str">
        <f>TEXT(Pqp_supermarket_data[[#This Row],[DateTime]],"yyy")</f>
        <v>2025</v>
      </c>
    </row>
    <row r="1773" spans="1:14" x14ac:dyDescent="0.35">
      <c r="A1773" t="s">
        <v>3672</v>
      </c>
      <c r="B1773" s="1">
        <v>45170.212544722221</v>
      </c>
      <c r="C1773" t="s">
        <v>3673</v>
      </c>
      <c r="D1773" t="s">
        <v>226</v>
      </c>
      <c r="E1773" t="s">
        <v>53</v>
      </c>
      <c r="F1773">
        <v>2.8</v>
      </c>
      <c r="G1773">
        <v>7</v>
      </c>
      <c r="H1773" t="s">
        <v>14</v>
      </c>
      <c r="I1773" t="s">
        <v>40</v>
      </c>
      <c r="J1773" t="s">
        <v>270</v>
      </c>
      <c r="K1773">
        <f>Pqp_supermarket_data[[#This Row],[Unit_Price]]*Pqp_supermarket_data[[#This Row],[Quantity]]</f>
        <v>19.599999999999998</v>
      </c>
      <c r="L1773" t="str">
        <f>TEXT(Pqp_supermarket_data[[#This Row],[DateTime]],"ddd")</f>
        <v>Fri</v>
      </c>
      <c r="M1773" t="str">
        <f>TEXT(Pqp_supermarket_data[[#This Row],[DateTime]],"mmm")</f>
        <v>Sep</v>
      </c>
      <c r="N1773" t="str">
        <f>TEXT(Pqp_supermarket_data[[#This Row],[DateTime]],"yyy")</f>
        <v>2023</v>
      </c>
    </row>
    <row r="1774" spans="1:14" x14ac:dyDescent="0.35">
      <c r="A1774" t="s">
        <v>3674</v>
      </c>
      <c r="B1774" s="1">
        <v>45144.907683611113</v>
      </c>
      <c r="C1774" t="s">
        <v>3675</v>
      </c>
      <c r="D1774" t="s">
        <v>208</v>
      </c>
      <c r="E1774" t="s">
        <v>49</v>
      </c>
      <c r="F1774">
        <v>7</v>
      </c>
      <c r="G1774">
        <v>5</v>
      </c>
      <c r="H1774" t="s">
        <v>14</v>
      </c>
      <c r="I1774" t="s">
        <v>36</v>
      </c>
      <c r="J1774" t="s">
        <v>223</v>
      </c>
      <c r="K1774">
        <f>Pqp_supermarket_data[[#This Row],[Unit_Price]]*Pqp_supermarket_data[[#This Row],[Quantity]]</f>
        <v>35</v>
      </c>
      <c r="L1774" t="str">
        <f>TEXT(Pqp_supermarket_data[[#This Row],[DateTime]],"ddd")</f>
        <v>Sun</v>
      </c>
      <c r="M1774" t="str">
        <f>TEXT(Pqp_supermarket_data[[#This Row],[DateTime]],"mmm")</f>
        <v>Aug</v>
      </c>
      <c r="N1774" t="str">
        <f>TEXT(Pqp_supermarket_data[[#This Row],[DateTime]],"yyy")</f>
        <v>2023</v>
      </c>
    </row>
    <row r="1775" spans="1:14" x14ac:dyDescent="0.35">
      <c r="A1775" t="s">
        <v>3676</v>
      </c>
      <c r="B1775" s="1">
        <v>44775.686155833333</v>
      </c>
      <c r="C1775" t="s">
        <v>3677</v>
      </c>
      <c r="D1775" t="s">
        <v>77</v>
      </c>
      <c r="E1775" t="s">
        <v>53</v>
      </c>
      <c r="F1775">
        <v>2.8</v>
      </c>
      <c r="G1775">
        <v>10</v>
      </c>
      <c r="H1775" t="s">
        <v>14</v>
      </c>
      <c r="I1775" t="s">
        <v>40</v>
      </c>
      <c r="J1775" t="s">
        <v>27</v>
      </c>
      <c r="K1775">
        <f>Pqp_supermarket_data[[#This Row],[Unit_Price]]*Pqp_supermarket_data[[#This Row],[Quantity]]</f>
        <v>28</v>
      </c>
      <c r="L1775" t="str">
        <f>TEXT(Pqp_supermarket_data[[#This Row],[DateTime]],"ddd")</f>
        <v>Tue</v>
      </c>
      <c r="M1775" t="str">
        <f>TEXT(Pqp_supermarket_data[[#This Row],[DateTime]],"mmm")</f>
        <v>Aug</v>
      </c>
      <c r="N1775" t="str">
        <f>TEXT(Pqp_supermarket_data[[#This Row],[DateTime]],"yyy")</f>
        <v>2022</v>
      </c>
    </row>
    <row r="1776" spans="1:14" x14ac:dyDescent="0.35">
      <c r="A1776" t="s">
        <v>3678</v>
      </c>
      <c r="B1776" s="1">
        <v>45328.481989178239</v>
      </c>
      <c r="C1776" t="s">
        <v>3679</v>
      </c>
      <c r="D1776" t="s">
        <v>208</v>
      </c>
      <c r="E1776" t="s">
        <v>111</v>
      </c>
      <c r="F1776">
        <v>2.2000000000000002</v>
      </c>
      <c r="G1776">
        <v>2</v>
      </c>
      <c r="H1776" t="s">
        <v>14</v>
      </c>
      <c r="I1776" t="s">
        <v>61</v>
      </c>
      <c r="J1776" t="s">
        <v>320</v>
      </c>
      <c r="K1776">
        <f>Pqp_supermarket_data[[#This Row],[Unit_Price]]*Pqp_supermarket_data[[#This Row],[Quantity]]</f>
        <v>4.4000000000000004</v>
      </c>
      <c r="L1776" t="str">
        <f>TEXT(Pqp_supermarket_data[[#This Row],[DateTime]],"ddd")</f>
        <v>Tue</v>
      </c>
      <c r="M1776" t="str">
        <f>TEXT(Pqp_supermarket_data[[#This Row],[DateTime]],"mmm")</f>
        <v>Feb</v>
      </c>
      <c r="N1776" t="str">
        <f>TEXT(Pqp_supermarket_data[[#This Row],[DateTime]],"yyy")</f>
        <v>2024</v>
      </c>
    </row>
    <row r="1777" spans="1:14" x14ac:dyDescent="0.35">
      <c r="A1777" t="s">
        <v>3680</v>
      </c>
      <c r="B1777" s="1">
        <v>44894.261155856482</v>
      </c>
      <c r="C1777" t="s">
        <v>3681</v>
      </c>
      <c r="D1777" t="s">
        <v>77</v>
      </c>
      <c r="E1777" t="s">
        <v>78</v>
      </c>
      <c r="F1777">
        <v>4</v>
      </c>
      <c r="G1777">
        <v>6</v>
      </c>
      <c r="H1777" t="s">
        <v>14</v>
      </c>
      <c r="I1777" t="s">
        <v>21</v>
      </c>
      <c r="J1777" t="s">
        <v>288</v>
      </c>
      <c r="K1777">
        <f>Pqp_supermarket_data[[#This Row],[Unit_Price]]*Pqp_supermarket_data[[#This Row],[Quantity]]</f>
        <v>24</v>
      </c>
      <c r="L1777" t="str">
        <f>TEXT(Pqp_supermarket_data[[#This Row],[DateTime]],"ddd")</f>
        <v>Tue</v>
      </c>
      <c r="M1777" t="str">
        <f>TEXT(Pqp_supermarket_data[[#This Row],[DateTime]],"mmm")</f>
        <v>Nov</v>
      </c>
      <c r="N1777" t="str">
        <f>TEXT(Pqp_supermarket_data[[#This Row],[DateTime]],"yyy")</f>
        <v>2022</v>
      </c>
    </row>
    <row r="1778" spans="1:14" x14ac:dyDescent="0.35">
      <c r="A1778" t="s">
        <v>3682</v>
      </c>
      <c r="B1778" s="1">
        <v>44377.506989189817</v>
      </c>
      <c r="C1778" t="s">
        <v>3683</v>
      </c>
      <c r="D1778" t="s">
        <v>19</v>
      </c>
      <c r="E1778" t="s">
        <v>137</v>
      </c>
      <c r="F1778">
        <v>2.5</v>
      </c>
      <c r="G1778">
        <v>2</v>
      </c>
      <c r="H1778" t="s">
        <v>14</v>
      </c>
      <c r="I1778" t="s">
        <v>40</v>
      </c>
      <c r="J1778" t="s">
        <v>108</v>
      </c>
      <c r="K1778">
        <f>Pqp_supermarket_data[[#This Row],[Unit_Price]]*Pqp_supermarket_data[[#This Row],[Quantity]]</f>
        <v>5</v>
      </c>
      <c r="L1778" t="str">
        <f>TEXT(Pqp_supermarket_data[[#This Row],[DateTime]],"ddd")</f>
        <v>Wed</v>
      </c>
      <c r="M1778" t="str">
        <f>TEXT(Pqp_supermarket_data[[#This Row],[DateTime]],"mmm")</f>
        <v>Jun</v>
      </c>
      <c r="N1778" t="str">
        <f>TEXT(Pqp_supermarket_data[[#This Row],[DateTime]],"yyy")</f>
        <v>2021</v>
      </c>
    </row>
    <row r="1779" spans="1:14" x14ac:dyDescent="0.35">
      <c r="A1779" t="s">
        <v>3684</v>
      </c>
      <c r="B1779" s="1">
        <v>45633.211850312502</v>
      </c>
      <c r="C1779" t="s">
        <v>3685</v>
      </c>
      <c r="D1779" t="s">
        <v>12</v>
      </c>
      <c r="E1779" t="s">
        <v>45</v>
      </c>
      <c r="F1779">
        <v>1</v>
      </c>
      <c r="G1779">
        <v>7</v>
      </c>
      <c r="H1779" t="s">
        <v>14</v>
      </c>
      <c r="I1779" t="s">
        <v>61</v>
      </c>
      <c r="J1779" t="s">
        <v>160</v>
      </c>
      <c r="K1779">
        <f>Pqp_supermarket_data[[#This Row],[Unit_Price]]*Pqp_supermarket_data[[#This Row],[Quantity]]</f>
        <v>7</v>
      </c>
      <c r="L1779" t="str">
        <f>TEXT(Pqp_supermarket_data[[#This Row],[DateTime]],"ddd")</f>
        <v>Sat</v>
      </c>
      <c r="M1779" t="str">
        <f>TEXT(Pqp_supermarket_data[[#This Row],[DateTime]],"mmm")</f>
        <v>Dec</v>
      </c>
      <c r="N1779" t="str">
        <f>TEXT(Pqp_supermarket_data[[#This Row],[DateTime]],"yyy")</f>
        <v>2024</v>
      </c>
    </row>
    <row r="1780" spans="1:14" x14ac:dyDescent="0.35">
      <c r="A1780" t="s">
        <v>3686</v>
      </c>
      <c r="B1780" s="1">
        <v>45438.367405868055</v>
      </c>
      <c r="C1780" t="s">
        <v>3687</v>
      </c>
      <c r="D1780" t="s">
        <v>98</v>
      </c>
      <c r="E1780" t="s">
        <v>148</v>
      </c>
      <c r="F1780">
        <v>5.5</v>
      </c>
      <c r="G1780">
        <v>3</v>
      </c>
      <c r="H1780" t="s">
        <v>14</v>
      </c>
      <c r="I1780" t="s">
        <v>61</v>
      </c>
      <c r="J1780" t="s">
        <v>209</v>
      </c>
      <c r="K1780">
        <f>Pqp_supermarket_data[[#This Row],[Unit_Price]]*Pqp_supermarket_data[[#This Row],[Quantity]]</f>
        <v>16.5</v>
      </c>
      <c r="L1780" t="str">
        <f>TEXT(Pqp_supermarket_data[[#This Row],[DateTime]],"ddd")</f>
        <v>Sun</v>
      </c>
      <c r="M1780" t="str">
        <f>TEXT(Pqp_supermarket_data[[#This Row],[DateTime]],"mmm")</f>
        <v>May</v>
      </c>
      <c r="N1780" t="str">
        <f>TEXT(Pqp_supermarket_data[[#This Row],[DateTime]],"yyy")</f>
        <v>2024</v>
      </c>
    </row>
    <row r="1781" spans="1:14" x14ac:dyDescent="0.35">
      <c r="A1781" t="s">
        <v>3688</v>
      </c>
      <c r="B1781" s="1">
        <v>44589.990322546299</v>
      </c>
      <c r="C1781" t="s">
        <v>3689</v>
      </c>
      <c r="D1781" t="s">
        <v>98</v>
      </c>
      <c r="E1781" t="s">
        <v>148</v>
      </c>
      <c r="F1781">
        <v>5.5</v>
      </c>
      <c r="G1781">
        <v>9</v>
      </c>
      <c r="H1781" t="s">
        <v>14</v>
      </c>
      <c r="I1781" t="s">
        <v>21</v>
      </c>
      <c r="J1781" t="s">
        <v>461</v>
      </c>
      <c r="K1781">
        <f>Pqp_supermarket_data[[#This Row],[Unit_Price]]*Pqp_supermarket_data[[#This Row],[Quantity]]</f>
        <v>49.5</v>
      </c>
      <c r="L1781" t="str">
        <f>TEXT(Pqp_supermarket_data[[#This Row],[DateTime]],"ddd")</f>
        <v>Fri</v>
      </c>
      <c r="M1781" t="str">
        <f>TEXT(Pqp_supermarket_data[[#This Row],[DateTime]],"mmm")</f>
        <v>Jan</v>
      </c>
      <c r="N1781" t="str">
        <f>TEXT(Pqp_supermarket_data[[#This Row],[DateTime]],"yyy")</f>
        <v>2022</v>
      </c>
    </row>
    <row r="1782" spans="1:14" x14ac:dyDescent="0.35">
      <c r="A1782" t="s">
        <v>3690</v>
      </c>
      <c r="B1782" s="1">
        <v>44602.905600324077</v>
      </c>
      <c r="C1782" t="s">
        <v>3691</v>
      </c>
      <c r="D1782" t="s">
        <v>98</v>
      </c>
      <c r="E1782" t="s">
        <v>13</v>
      </c>
      <c r="F1782">
        <v>3.1</v>
      </c>
      <c r="G1782">
        <v>6</v>
      </c>
      <c r="H1782" t="s">
        <v>14</v>
      </c>
      <c r="I1782" t="s">
        <v>36</v>
      </c>
      <c r="J1782" t="s">
        <v>470</v>
      </c>
      <c r="K1782">
        <f>Pqp_supermarket_data[[#This Row],[Unit_Price]]*Pqp_supermarket_data[[#This Row],[Quantity]]</f>
        <v>18.600000000000001</v>
      </c>
      <c r="L1782" t="str">
        <f>TEXT(Pqp_supermarket_data[[#This Row],[DateTime]],"ddd")</f>
        <v>Thu</v>
      </c>
      <c r="M1782" t="str">
        <f>TEXT(Pqp_supermarket_data[[#This Row],[DateTime]],"mmm")</f>
        <v>Feb</v>
      </c>
      <c r="N1782" t="str">
        <f>TEXT(Pqp_supermarket_data[[#This Row],[DateTime]],"yyy")</f>
        <v>2022</v>
      </c>
    </row>
    <row r="1783" spans="1:14" x14ac:dyDescent="0.35">
      <c r="A1783" t="s">
        <v>3692</v>
      </c>
      <c r="B1783" s="1">
        <v>45324.465322557873</v>
      </c>
      <c r="C1783" t="s">
        <v>3693</v>
      </c>
      <c r="D1783" t="s">
        <v>226</v>
      </c>
      <c r="E1783" t="s">
        <v>57</v>
      </c>
      <c r="F1783">
        <v>4.5</v>
      </c>
      <c r="G1783">
        <v>2</v>
      </c>
      <c r="H1783" t="s">
        <v>14</v>
      </c>
      <c r="I1783" t="s">
        <v>61</v>
      </c>
      <c r="J1783" t="s">
        <v>270</v>
      </c>
      <c r="K1783">
        <f>Pqp_supermarket_data[[#This Row],[Unit_Price]]*Pqp_supermarket_data[[#This Row],[Quantity]]</f>
        <v>9</v>
      </c>
      <c r="L1783" t="str">
        <f>TEXT(Pqp_supermarket_data[[#This Row],[DateTime]],"ddd")</f>
        <v>Fri</v>
      </c>
      <c r="M1783" t="str">
        <f>TEXT(Pqp_supermarket_data[[#This Row],[DateTime]],"mmm")</f>
        <v>Feb</v>
      </c>
      <c r="N1783" t="str">
        <f>TEXT(Pqp_supermarket_data[[#This Row],[DateTime]],"yyy")</f>
        <v>2024</v>
      </c>
    </row>
    <row r="1784" spans="1:14" x14ac:dyDescent="0.35">
      <c r="A1784" t="s">
        <v>3694</v>
      </c>
      <c r="B1784" s="1">
        <v>45289.656294780092</v>
      </c>
      <c r="C1784" t="s">
        <v>3695</v>
      </c>
      <c r="D1784" t="s">
        <v>12</v>
      </c>
      <c r="E1784" t="s">
        <v>78</v>
      </c>
      <c r="F1784">
        <v>4</v>
      </c>
      <c r="G1784">
        <v>2</v>
      </c>
      <c r="H1784" t="s">
        <v>14</v>
      </c>
      <c r="I1784" t="s">
        <v>40</v>
      </c>
      <c r="J1784" t="s">
        <v>336</v>
      </c>
      <c r="K1784">
        <f>Pqp_supermarket_data[[#This Row],[Unit_Price]]*Pqp_supermarket_data[[#This Row],[Quantity]]</f>
        <v>8</v>
      </c>
      <c r="L1784" t="str">
        <f>TEXT(Pqp_supermarket_data[[#This Row],[DateTime]],"ddd")</f>
        <v>Fri</v>
      </c>
      <c r="M1784" t="str">
        <f>TEXT(Pqp_supermarket_data[[#This Row],[DateTime]],"mmm")</f>
        <v>Dec</v>
      </c>
      <c r="N1784" t="str">
        <f>TEXT(Pqp_supermarket_data[[#This Row],[DateTime]],"yyy")</f>
        <v>2023</v>
      </c>
    </row>
    <row r="1785" spans="1:14" x14ac:dyDescent="0.35">
      <c r="A1785" t="s">
        <v>3696</v>
      </c>
      <c r="B1785" s="1">
        <v>45663.309767013889</v>
      </c>
      <c r="C1785" t="s">
        <v>3697</v>
      </c>
      <c r="D1785" t="s">
        <v>30</v>
      </c>
      <c r="E1785" t="s">
        <v>78</v>
      </c>
      <c r="F1785">
        <v>4</v>
      </c>
      <c r="G1785">
        <v>8</v>
      </c>
      <c r="H1785" t="s">
        <v>14</v>
      </c>
      <c r="I1785" t="s">
        <v>86</v>
      </c>
      <c r="J1785" t="s">
        <v>248</v>
      </c>
      <c r="K1785">
        <f>Pqp_supermarket_data[[#This Row],[Unit_Price]]*Pqp_supermarket_data[[#This Row],[Quantity]]</f>
        <v>32</v>
      </c>
      <c r="L1785" t="str">
        <f>TEXT(Pqp_supermarket_data[[#This Row],[DateTime]],"ddd")</f>
        <v>Mon</v>
      </c>
      <c r="M1785" t="str">
        <f>TEXT(Pqp_supermarket_data[[#This Row],[DateTime]],"mmm")</f>
        <v>Jan</v>
      </c>
      <c r="N1785" t="str">
        <f>TEXT(Pqp_supermarket_data[[#This Row],[DateTime]],"yyy")</f>
        <v>2025</v>
      </c>
    </row>
    <row r="1786" spans="1:14" x14ac:dyDescent="0.35">
      <c r="A1786" t="s">
        <v>3698</v>
      </c>
      <c r="B1786" s="1">
        <v>44788.420183703704</v>
      </c>
      <c r="C1786" t="s">
        <v>3699</v>
      </c>
      <c r="D1786" t="s">
        <v>25</v>
      </c>
      <c r="E1786" t="s">
        <v>119</v>
      </c>
      <c r="F1786">
        <v>4</v>
      </c>
      <c r="G1786">
        <v>9</v>
      </c>
      <c r="H1786" t="s">
        <v>14</v>
      </c>
      <c r="I1786" t="s">
        <v>21</v>
      </c>
      <c r="J1786" t="s">
        <v>79</v>
      </c>
      <c r="K1786">
        <f>Pqp_supermarket_data[[#This Row],[Unit_Price]]*Pqp_supermarket_data[[#This Row],[Quantity]]</f>
        <v>36</v>
      </c>
      <c r="L1786" t="str">
        <f>TEXT(Pqp_supermarket_data[[#This Row],[DateTime]],"ddd")</f>
        <v>Mon</v>
      </c>
      <c r="M1786" t="str">
        <f>TEXT(Pqp_supermarket_data[[#This Row],[DateTime]],"mmm")</f>
        <v>Aug</v>
      </c>
      <c r="N1786" t="str">
        <f>TEXT(Pqp_supermarket_data[[#This Row],[DateTime]],"yyy")</f>
        <v>2022</v>
      </c>
    </row>
    <row r="1787" spans="1:14" x14ac:dyDescent="0.35">
      <c r="A1787" t="s">
        <v>3700</v>
      </c>
      <c r="B1787" s="1">
        <v>45147.622961493056</v>
      </c>
      <c r="C1787" t="s">
        <v>3701</v>
      </c>
      <c r="D1787" t="s">
        <v>30</v>
      </c>
      <c r="E1787" t="s">
        <v>111</v>
      </c>
      <c r="F1787">
        <v>2.2000000000000002</v>
      </c>
      <c r="G1787">
        <v>9</v>
      </c>
      <c r="H1787" t="s">
        <v>14</v>
      </c>
      <c r="I1787" t="s">
        <v>40</v>
      </c>
      <c r="J1787" t="s">
        <v>295</v>
      </c>
      <c r="K1787">
        <f>Pqp_supermarket_data[[#This Row],[Unit_Price]]*Pqp_supermarket_data[[#This Row],[Quantity]]</f>
        <v>19.8</v>
      </c>
      <c r="L1787" t="str">
        <f>TEXT(Pqp_supermarket_data[[#This Row],[DateTime]],"ddd")</f>
        <v>Wed</v>
      </c>
      <c r="M1787" t="str">
        <f>TEXT(Pqp_supermarket_data[[#This Row],[DateTime]],"mmm")</f>
        <v>Aug</v>
      </c>
      <c r="N1787" t="str">
        <f>TEXT(Pqp_supermarket_data[[#This Row],[DateTime]],"yyy")</f>
        <v>2023</v>
      </c>
    </row>
    <row r="1788" spans="1:14" x14ac:dyDescent="0.35">
      <c r="A1788" t="s">
        <v>3702</v>
      </c>
      <c r="B1788" s="1">
        <v>45338.084767048611</v>
      </c>
      <c r="C1788" t="s">
        <v>3703</v>
      </c>
      <c r="D1788" t="s">
        <v>98</v>
      </c>
      <c r="E1788" t="s">
        <v>45</v>
      </c>
      <c r="F1788">
        <v>1</v>
      </c>
      <c r="G1788">
        <v>9</v>
      </c>
      <c r="H1788" t="s">
        <v>14</v>
      </c>
      <c r="I1788" t="s">
        <v>15</v>
      </c>
      <c r="J1788" t="s">
        <v>267</v>
      </c>
      <c r="K1788">
        <f>Pqp_supermarket_data[[#This Row],[Unit_Price]]*Pqp_supermarket_data[[#This Row],[Quantity]]</f>
        <v>9</v>
      </c>
      <c r="L1788" t="str">
        <f>TEXT(Pqp_supermarket_data[[#This Row],[DateTime]],"ddd")</f>
        <v>Fri</v>
      </c>
      <c r="M1788" t="str">
        <f>TEXT(Pqp_supermarket_data[[#This Row],[DateTime]],"mmm")</f>
        <v>Feb</v>
      </c>
      <c r="N1788" t="str">
        <f>TEXT(Pqp_supermarket_data[[#This Row],[DateTime]],"yyy")</f>
        <v>2024</v>
      </c>
    </row>
    <row r="1789" spans="1:14" x14ac:dyDescent="0.35">
      <c r="A1789" t="s">
        <v>3704</v>
      </c>
      <c r="B1789" s="1">
        <v>44967.306989282406</v>
      </c>
      <c r="C1789" t="s">
        <v>3705</v>
      </c>
      <c r="D1789" t="s">
        <v>127</v>
      </c>
      <c r="E1789" t="s">
        <v>145</v>
      </c>
      <c r="F1789">
        <v>1.7</v>
      </c>
      <c r="G1789">
        <v>3</v>
      </c>
      <c r="H1789" t="s">
        <v>14</v>
      </c>
      <c r="I1789" t="s">
        <v>36</v>
      </c>
      <c r="J1789" t="s">
        <v>245</v>
      </c>
      <c r="K1789">
        <f>Pqp_supermarket_data[[#This Row],[Unit_Price]]*Pqp_supermarket_data[[#This Row],[Quantity]]</f>
        <v>5.0999999999999996</v>
      </c>
      <c r="L1789" t="str">
        <f>TEXT(Pqp_supermarket_data[[#This Row],[DateTime]],"ddd")</f>
        <v>Fri</v>
      </c>
      <c r="M1789" t="str">
        <f>TEXT(Pqp_supermarket_data[[#This Row],[DateTime]],"mmm")</f>
        <v>Feb</v>
      </c>
      <c r="N1789" t="str">
        <f>TEXT(Pqp_supermarket_data[[#This Row],[DateTime]],"yyy")</f>
        <v>2023</v>
      </c>
    </row>
    <row r="1790" spans="1:14" x14ac:dyDescent="0.35">
      <c r="A1790" t="s">
        <v>3706</v>
      </c>
      <c r="B1790" s="1">
        <v>44603.722267060184</v>
      </c>
      <c r="C1790" t="s">
        <v>3707</v>
      </c>
      <c r="D1790" t="s">
        <v>69</v>
      </c>
      <c r="E1790" t="s">
        <v>70</v>
      </c>
      <c r="F1790">
        <v>5</v>
      </c>
      <c r="G1790">
        <v>2</v>
      </c>
      <c r="H1790" t="s">
        <v>14</v>
      </c>
      <c r="I1790" t="s">
        <v>36</v>
      </c>
      <c r="J1790" t="s">
        <v>233</v>
      </c>
      <c r="K1790">
        <f>Pqp_supermarket_data[[#This Row],[Unit_Price]]*Pqp_supermarket_data[[#This Row],[Quantity]]</f>
        <v>10</v>
      </c>
      <c r="L1790" t="str">
        <f>TEXT(Pqp_supermarket_data[[#This Row],[DateTime]],"ddd")</f>
        <v>Fri</v>
      </c>
      <c r="M1790" t="str">
        <f>TEXT(Pqp_supermarket_data[[#This Row],[DateTime]],"mmm")</f>
        <v>Feb</v>
      </c>
      <c r="N1790" t="str">
        <f>TEXT(Pqp_supermarket_data[[#This Row],[DateTime]],"yyy")</f>
        <v>2022</v>
      </c>
    </row>
    <row r="1791" spans="1:14" x14ac:dyDescent="0.35">
      <c r="A1791" t="s">
        <v>3708</v>
      </c>
      <c r="B1791" s="1">
        <v>45294.520183738423</v>
      </c>
      <c r="C1791" t="s">
        <v>3709</v>
      </c>
      <c r="D1791" t="s">
        <v>98</v>
      </c>
      <c r="E1791" t="s">
        <v>94</v>
      </c>
      <c r="F1791">
        <v>0.8</v>
      </c>
      <c r="G1791">
        <v>5</v>
      </c>
      <c r="H1791" t="s">
        <v>14</v>
      </c>
      <c r="I1791" t="s">
        <v>40</v>
      </c>
      <c r="J1791" t="s">
        <v>122</v>
      </c>
      <c r="K1791">
        <f>Pqp_supermarket_data[[#This Row],[Unit_Price]]*Pqp_supermarket_data[[#This Row],[Quantity]]</f>
        <v>4</v>
      </c>
      <c r="L1791" t="str">
        <f>TEXT(Pqp_supermarket_data[[#This Row],[DateTime]],"ddd")</f>
        <v>Wed</v>
      </c>
      <c r="M1791" t="str">
        <f>TEXT(Pqp_supermarket_data[[#This Row],[DateTime]],"mmm")</f>
        <v>Jan</v>
      </c>
      <c r="N1791" t="str">
        <f>TEXT(Pqp_supermarket_data[[#This Row],[DateTime]],"yyy")</f>
        <v>2024</v>
      </c>
    </row>
    <row r="1792" spans="1:14" x14ac:dyDescent="0.35">
      <c r="A1792" t="s">
        <v>3710</v>
      </c>
      <c r="B1792" s="1">
        <v>44430.873655960648</v>
      </c>
      <c r="C1792" t="s">
        <v>2723</v>
      </c>
      <c r="D1792" t="s">
        <v>44</v>
      </c>
      <c r="E1792" t="s">
        <v>13</v>
      </c>
      <c r="F1792">
        <v>3.1</v>
      </c>
      <c r="G1792">
        <v>2</v>
      </c>
      <c r="H1792" t="s">
        <v>14</v>
      </c>
      <c r="I1792" t="s">
        <v>21</v>
      </c>
      <c r="J1792" t="s">
        <v>369</v>
      </c>
      <c r="K1792">
        <f>Pqp_supermarket_data[[#This Row],[Unit_Price]]*Pqp_supermarket_data[[#This Row],[Quantity]]</f>
        <v>6.2</v>
      </c>
      <c r="L1792" t="str">
        <f>TEXT(Pqp_supermarket_data[[#This Row],[DateTime]],"ddd")</f>
        <v>Sun</v>
      </c>
      <c r="M1792" t="str">
        <f>TEXT(Pqp_supermarket_data[[#This Row],[DateTime]],"mmm")</f>
        <v>Aug</v>
      </c>
      <c r="N1792" t="str">
        <f>TEXT(Pqp_supermarket_data[[#This Row],[DateTime]],"yyy")</f>
        <v>2021</v>
      </c>
    </row>
    <row r="1793" spans="1:14" x14ac:dyDescent="0.35">
      <c r="A1793" t="s">
        <v>3711</v>
      </c>
      <c r="B1793" s="1">
        <v>45061.009072627312</v>
      </c>
      <c r="C1793" t="s">
        <v>3712</v>
      </c>
      <c r="D1793" t="s">
        <v>69</v>
      </c>
      <c r="E1793" t="s">
        <v>49</v>
      </c>
      <c r="F1793">
        <v>7</v>
      </c>
      <c r="G1793">
        <v>9</v>
      </c>
      <c r="H1793" t="s">
        <v>14</v>
      </c>
      <c r="I1793" t="s">
        <v>86</v>
      </c>
      <c r="J1793" t="s">
        <v>138</v>
      </c>
      <c r="K1793">
        <f>Pqp_supermarket_data[[#This Row],[Unit_Price]]*Pqp_supermarket_data[[#This Row],[Quantity]]</f>
        <v>63</v>
      </c>
      <c r="L1793" t="str">
        <f>TEXT(Pqp_supermarket_data[[#This Row],[DateTime]],"ddd")</f>
        <v>Mon</v>
      </c>
      <c r="M1793" t="str">
        <f>TEXT(Pqp_supermarket_data[[#This Row],[DateTime]],"mmm")</f>
        <v>May</v>
      </c>
      <c r="N1793" t="str">
        <f>TEXT(Pqp_supermarket_data[[#This Row],[DateTime]],"yyy")</f>
        <v>2023</v>
      </c>
    </row>
    <row r="1794" spans="1:14" x14ac:dyDescent="0.35">
      <c r="A1794" t="s">
        <v>3713</v>
      </c>
      <c r="B1794" s="1">
        <v>45103.498655972224</v>
      </c>
      <c r="C1794" t="s">
        <v>3714</v>
      </c>
      <c r="D1794" t="s">
        <v>127</v>
      </c>
      <c r="E1794" t="s">
        <v>53</v>
      </c>
      <c r="F1794">
        <v>2.8</v>
      </c>
      <c r="G1794">
        <v>2</v>
      </c>
      <c r="H1794" t="s">
        <v>14</v>
      </c>
      <c r="I1794" t="s">
        <v>40</v>
      </c>
      <c r="J1794" t="s">
        <v>189</v>
      </c>
      <c r="K1794">
        <f>Pqp_supermarket_data[[#This Row],[Unit_Price]]*Pqp_supermarket_data[[#This Row],[Quantity]]</f>
        <v>5.6</v>
      </c>
      <c r="L1794" t="str">
        <f>TEXT(Pqp_supermarket_data[[#This Row],[DateTime]],"ddd")</f>
        <v>Mon</v>
      </c>
      <c r="M1794" t="str">
        <f>TEXT(Pqp_supermarket_data[[#This Row],[DateTime]],"mmm")</f>
        <v>Jun</v>
      </c>
      <c r="N1794" t="str">
        <f>TEXT(Pqp_supermarket_data[[#This Row],[DateTime]],"yyy")</f>
        <v>2023</v>
      </c>
    </row>
    <row r="1795" spans="1:14" x14ac:dyDescent="0.35">
      <c r="A1795" t="s">
        <v>3715</v>
      </c>
      <c r="B1795" s="1">
        <v>45002.560461527777</v>
      </c>
      <c r="C1795" t="s">
        <v>3716</v>
      </c>
      <c r="D1795" t="s">
        <v>82</v>
      </c>
      <c r="E1795" t="s">
        <v>78</v>
      </c>
      <c r="F1795">
        <v>4</v>
      </c>
      <c r="G1795">
        <v>5</v>
      </c>
      <c r="H1795" t="s">
        <v>14</v>
      </c>
      <c r="I1795" t="s">
        <v>15</v>
      </c>
      <c r="J1795" t="s">
        <v>548</v>
      </c>
      <c r="K1795">
        <f>Pqp_supermarket_data[[#This Row],[Unit_Price]]*Pqp_supermarket_data[[#This Row],[Quantity]]</f>
        <v>20</v>
      </c>
      <c r="L1795" t="str">
        <f>TEXT(Pqp_supermarket_data[[#This Row],[DateTime]],"ddd")</f>
        <v>Fri</v>
      </c>
      <c r="M1795" t="str">
        <f>TEXT(Pqp_supermarket_data[[#This Row],[DateTime]],"mmm")</f>
        <v>Mar</v>
      </c>
      <c r="N1795" t="str">
        <f>TEXT(Pqp_supermarket_data[[#This Row],[DateTime]],"yyy")</f>
        <v>2023</v>
      </c>
    </row>
    <row r="1796" spans="1:14" x14ac:dyDescent="0.35">
      <c r="A1796" t="s">
        <v>3717</v>
      </c>
      <c r="B1796" s="1">
        <v>45424.756294861108</v>
      </c>
      <c r="C1796" t="s">
        <v>3718</v>
      </c>
      <c r="D1796" t="s">
        <v>85</v>
      </c>
      <c r="E1796" t="s">
        <v>45</v>
      </c>
      <c r="F1796">
        <v>1</v>
      </c>
      <c r="G1796">
        <v>8</v>
      </c>
      <c r="H1796" t="s">
        <v>14</v>
      </c>
      <c r="I1796" t="s">
        <v>21</v>
      </c>
      <c r="J1796" t="s">
        <v>236</v>
      </c>
      <c r="K1796">
        <f>Pqp_supermarket_data[[#This Row],[Unit_Price]]*Pqp_supermarket_data[[#This Row],[Quantity]]</f>
        <v>8</v>
      </c>
      <c r="L1796" t="str">
        <f>TEXT(Pqp_supermarket_data[[#This Row],[DateTime]],"ddd")</f>
        <v>Sun</v>
      </c>
      <c r="M1796" t="str">
        <f>TEXT(Pqp_supermarket_data[[#This Row],[DateTime]],"mmm")</f>
        <v>May</v>
      </c>
      <c r="N1796" t="str">
        <f>TEXT(Pqp_supermarket_data[[#This Row],[DateTime]],"yyy")</f>
        <v>2024</v>
      </c>
    </row>
    <row r="1797" spans="1:14" x14ac:dyDescent="0.35">
      <c r="A1797" t="s">
        <v>3719</v>
      </c>
      <c r="B1797" s="1">
        <v>45562.682683749998</v>
      </c>
      <c r="C1797" t="s">
        <v>3720</v>
      </c>
      <c r="D1797" t="s">
        <v>30</v>
      </c>
      <c r="E1797" t="s">
        <v>26</v>
      </c>
      <c r="F1797">
        <v>2.5</v>
      </c>
      <c r="G1797">
        <v>2</v>
      </c>
      <c r="H1797" t="s">
        <v>14</v>
      </c>
      <c r="I1797" t="s">
        <v>15</v>
      </c>
      <c r="J1797" t="s">
        <v>233</v>
      </c>
      <c r="K1797">
        <f>Pqp_supermarket_data[[#This Row],[Unit_Price]]*Pqp_supermarket_data[[#This Row],[Quantity]]</f>
        <v>5</v>
      </c>
      <c r="L1797" t="str">
        <f>TEXT(Pqp_supermarket_data[[#This Row],[DateTime]],"ddd")</f>
        <v>Fri</v>
      </c>
      <c r="M1797" t="str">
        <f>TEXT(Pqp_supermarket_data[[#This Row],[DateTime]],"mmm")</f>
        <v>Sep</v>
      </c>
      <c r="N1797" t="str">
        <f>TEXT(Pqp_supermarket_data[[#This Row],[DateTime]],"yyy")</f>
        <v>2024</v>
      </c>
    </row>
    <row r="1798" spans="1:14" x14ac:dyDescent="0.35">
      <c r="A1798" t="s">
        <v>3721</v>
      </c>
      <c r="B1798" s="1">
        <v>45678.493100428241</v>
      </c>
      <c r="C1798" t="s">
        <v>3722</v>
      </c>
      <c r="D1798" t="s">
        <v>127</v>
      </c>
      <c r="E1798" t="s">
        <v>26</v>
      </c>
      <c r="F1798">
        <v>2.5</v>
      </c>
      <c r="G1798">
        <v>2</v>
      </c>
      <c r="H1798" t="s">
        <v>14</v>
      </c>
      <c r="I1798" t="s">
        <v>21</v>
      </c>
      <c r="J1798" t="s">
        <v>58</v>
      </c>
      <c r="K1798">
        <f>Pqp_supermarket_data[[#This Row],[Unit_Price]]*Pqp_supermarket_data[[#This Row],[Quantity]]</f>
        <v>5</v>
      </c>
      <c r="L1798" t="str">
        <f>TEXT(Pqp_supermarket_data[[#This Row],[DateTime]],"ddd")</f>
        <v>Tue</v>
      </c>
      <c r="M1798" t="str">
        <f>TEXT(Pqp_supermarket_data[[#This Row],[DateTime]],"mmm")</f>
        <v>Jan</v>
      </c>
      <c r="N1798" t="str">
        <f>TEXT(Pqp_supermarket_data[[#This Row],[DateTime]],"yyy")</f>
        <v>2025</v>
      </c>
    </row>
    <row r="1799" spans="1:14" x14ac:dyDescent="0.35">
      <c r="A1799" t="s">
        <v>3723</v>
      </c>
      <c r="B1799" s="1">
        <v>45222.22921153935</v>
      </c>
      <c r="C1799" t="s">
        <v>3724</v>
      </c>
      <c r="D1799" t="s">
        <v>171</v>
      </c>
      <c r="E1799" t="s">
        <v>49</v>
      </c>
      <c r="F1799">
        <v>7</v>
      </c>
      <c r="G1799">
        <v>7</v>
      </c>
      <c r="H1799" t="s">
        <v>14</v>
      </c>
      <c r="I1799" t="s">
        <v>86</v>
      </c>
      <c r="J1799" t="s">
        <v>58</v>
      </c>
      <c r="K1799">
        <f>Pqp_supermarket_data[[#This Row],[Unit_Price]]*Pqp_supermarket_data[[#This Row],[Quantity]]</f>
        <v>49</v>
      </c>
      <c r="L1799" t="str">
        <f>TEXT(Pqp_supermarket_data[[#This Row],[DateTime]],"ddd")</f>
        <v>Mon</v>
      </c>
      <c r="M1799" t="str">
        <f>TEXT(Pqp_supermarket_data[[#This Row],[DateTime]],"mmm")</f>
        <v>Oct</v>
      </c>
      <c r="N1799" t="str">
        <f>TEXT(Pqp_supermarket_data[[#This Row],[DateTime]],"yyy")</f>
        <v>2023</v>
      </c>
    </row>
    <row r="1800" spans="1:14" x14ac:dyDescent="0.35">
      <c r="A1800" t="s">
        <v>3725</v>
      </c>
      <c r="B1800" s="1">
        <v>45335.565322650466</v>
      </c>
      <c r="C1800" t="s">
        <v>3726</v>
      </c>
      <c r="D1800" t="s">
        <v>19</v>
      </c>
      <c r="E1800" t="s">
        <v>13</v>
      </c>
      <c r="F1800">
        <v>3.1</v>
      </c>
      <c r="G1800">
        <v>8</v>
      </c>
      <c r="H1800" t="s">
        <v>14</v>
      </c>
      <c r="I1800" t="s">
        <v>15</v>
      </c>
      <c r="J1800" t="s">
        <v>66</v>
      </c>
      <c r="K1800">
        <f>Pqp_supermarket_data[[#This Row],[Unit_Price]]*Pqp_supermarket_data[[#This Row],[Quantity]]</f>
        <v>24.8</v>
      </c>
      <c r="L1800" t="str">
        <f>TEXT(Pqp_supermarket_data[[#This Row],[DateTime]],"ddd")</f>
        <v>Tue</v>
      </c>
      <c r="M1800" t="str">
        <f>TEXT(Pqp_supermarket_data[[#This Row],[DateTime]],"mmm")</f>
        <v>Feb</v>
      </c>
      <c r="N1800" t="str">
        <f>TEXT(Pqp_supermarket_data[[#This Row],[DateTime]],"yyy")</f>
        <v>2024</v>
      </c>
    </row>
    <row r="1801" spans="1:14" x14ac:dyDescent="0.35">
      <c r="A1801" t="s">
        <v>3727</v>
      </c>
      <c r="B1801" s="1">
        <v>45370.073655983797</v>
      </c>
      <c r="C1801" t="s">
        <v>3728</v>
      </c>
      <c r="D1801" t="s">
        <v>127</v>
      </c>
      <c r="E1801" t="s">
        <v>45</v>
      </c>
      <c r="F1801">
        <v>1</v>
      </c>
      <c r="G1801">
        <v>5</v>
      </c>
      <c r="H1801" t="s">
        <v>14</v>
      </c>
      <c r="I1801" t="s">
        <v>36</v>
      </c>
      <c r="J1801" t="s">
        <v>288</v>
      </c>
      <c r="K1801">
        <f>Pqp_supermarket_data[[#This Row],[Unit_Price]]*Pqp_supermarket_data[[#This Row],[Quantity]]</f>
        <v>5</v>
      </c>
      <c r="L1801" t="str">
        <f>TEXT(Pqp_supermarket_data[[#This Row],[DateTime]],"ddd")</f>
        <v>Tue</v>
      </c>
      <c r="M1801" t="str">
        <f>TEXT(Pqp_supermarket_data[[#This Row],[DateTime]],"mmm")</f>
        <v>Mar</v>
      </c>
      <c r="N1801" t="str">
        <f>TEXT(Pqp_supermarket_data[[#This Row],[DateTime]],"yyy")</f>
        <v>2024</v>
      </c>
    </row>
    <row r="1802" spans="1:14" x14ac:dyDescent="0.35">
      <c r="A1802" t="s">
        <v>3729</v>
      </c>
      <c r="B1802" s="1">
        <v>45593.329211539349</v>
      </c>
      <c r="C1802" t="s">
        <v>3730</v>
      </c>
      <c r="D1802" t="s">
        <v>19</v>
      </c>
      <c r="E1802" t="s">
        <v>45</v>
      </c>
      <c r="F1802">
        <v>1</v>
      </c>
      <c r="G1802">
        <v>8</v>
      </c>
      <c r="H1802" t="s">
        <v>14</v>
      </c>
      <c r="I1802" t="s">
        <v>36</v>
      </c>
      <c r="J1802" t="s">
        <v>245</v>
      </c>
      <c r="K1802">
        <f>Pqp_supermarket_data[[#This Row],[Unit_Price]]*Pqp_supermarket_data[[#This Row],[Quantity]]</f>
        <v>8</v>
      </c>
      <c r="L1802" t="str">
        <f>TEXT(Pqp_supermarket_data[[#This Row],[DateTime]],"ddd")</f>
        <v>Mon</v>
      </c>
      <c r="M1802" t="str">
        <f>TEXT(Pqp_supermarket_data[[#This Row],[DateTime]],"mmm")</f>
        <v>Oct</v>
      </c>
      <c r="N1802" t="str">
        <f>TEXT(Pqp_supermarket_data[[#This Row],[DateTime]],"yyy")</f>
        <v>2024</v>
      </c>
    </row>
    <row r="1803" spans="1:14" x14ac:dyDescent="0.35">
      <c r="A1803" t="s">
        <v>3731</v>
      </c>
      <c r="B1803" s="1">
        <v>44378.261155995373</v>
      </c>
      <c r="C1803" t="s">
        <v>3732</v>
      </c>
      <c r="D1803" t="s">
        <v>44</v>
      </c>
      <c r="E1803" t="s">
        <v>65</v>
      </c>
      <c r="F1803">
        <v>3</v>
      </c>
      <c r="G1803">
        <v>3</v>
      </c>
      <c r="H1803" t="s">
        <v>14</v>
      </c>
      <c r="I1803" t="s">
        <v>15</v>
      </c>
      <c r="J1803" t="s">
        <v>517</v>
      </c>
      <c r="K1803">
        <f>Pqp_supermarket_data[[#This Row],[Unit_Price]]*Pqp_supermarket_data[[#This Row],[Quantity]]</f>
        <v>9</v>
      </c>
      <c r="L1803" t="str">
        <f>TEXT(Pqp_supermarket_data[[#This Row],[DateTime]],"ddd")</f>
        <v>Thu</v>
      </c>
      <c r="M1803" t="str">
        <f>TEXT(Pqp_supermarket_data[[#This Row],[DateTime]],"mmm")</f>
        <v>Jul</v>
      </c>
      <c r="N1803" t="str">
        <f>TEXT(Pqp_supermarket_data[[#This Row],[DateTime]],"yyy")</f>
        <v>2021</v>
      </c>
    </row>
    <row r="1804" spans="1:14" x14ac:dyDescent="0.35">
      <c r="A1804" t="s">
        <v>3733</v>
      </c>
      <c r="B1804" s="1">
        <v>44854.393100439818</v>
      </c>
      <c r="C1804" t="s">
        <v>3734</v>
      </c>
      <c r="D1804" t="s">
        <v>30</v>
      </c>
      <c r="E1804" t="s">
        <v>115</v>
      </c>
      <c r="F1804">
        <v>1.5</v>
      </c>
      <c r="G1804">
        <v>7</v>
      </c>
      <c r="H1804" t="s">
        <v>14</v>
      </c>
      <c r="I1804" t="s">
        <v>61</v>
      </c>
      <c r="J1804" t="s">
        <v>397</v>
      </c>
      <c r="K1804">
        <f>Pqp_supermarket_data[[#This Row],[Unit_Price]]*Pqp_supermarket_data[[#This Row],[Quantity]]</f>
        <v>10.5</v>
      </c>
      <c r="L1804" t="str">
        <f>TEXT(Pqp_supermarket_data[[#This Row],[DateTime]],"ddd")</f>
        <v>Thu</v>
      </c>
      <c r="M1804" t="str">
        <f>TEXT(Pqp_supermarket_data[[#This Row],[DateTime]],"mmm")</f>
        <v>Oct</v>
      </c>
      <c r="N1804" t="str">
        <f>TEXT(Pqp_supermarket_data[[#This Row],[DateTime]],"yyy")</f>
        <v>2022</v>
      </c>
    </row>
    <row r="1805" spans="1:14" x14ac:dyDescent="0.35">
      <c r="A1805" t="s">
        <v>3735</v>
      </c>
      <c r="B1805" s="1">
        <v>45423.187544907407</v>
      </c>
      <c r="C1805" t="s">
        <v>3736</v>
      </c>
      <c r="D1805" t="s">
        <v>77</v>
      </c>
      <c r="E1805" t="s">
        <v>94</v>
      </c>
      <c r="F1805">
        <v>0.8</v>
      </c>
      <c r="G1805">
        <v>1</v>
      </c>
      <c r="H1805" t="s">
        <v>14</v>
      </c>
      <c r="I1805" t="s">
        <v>21</v>
      </c>
      <c r="J1805" t="s">
        <v>62</v>
      </c>
      <c r="K1805">
        <f>Pqp_supermarket_data[[#This Row],[Unit_Price]]*Pqp_supermarket_data[[#This Row],[Quantity]]</f>
        <v>0.8</v>
      </c>
      <c r="L1805" t="str">
        <f>TEXT(Pqp_supermarket_data[[#This Row],[DateTime]],"ddd")</f>
        <v>Sat</v>
      </c>
      <c r="M1805" t="str">
        <f>TEXT(Pqp_supermarket_data[[#This Row],[DateTime]],"mmm")</f>
        <v>May</v>
      </c>
      <c r="N1805" t="str">
        <f>TEXT(Pqp_supermarket_data[[#This Row],[DateTime]],"yyy")</f>
        <v>2024</v>
      </c>
    </row>
    <row r="1806" spans="1:14" x14ac:dyDescent="0.35">
      <c r="A1806" t="s">
        <v>3737</v>
      </c>
      <c r="B1806" s="1">
        <v>44815.809767129627</v>
      </c>
      <c r="C1806" t="s">
        <v>3738</v>
      </c>
      <c r="D1806" t="s">
        <v>98</v>
      </c>
      <c r="E1806" t="s">
        <v>26</v>
      </c>
      <c r="F1806">
        <v>2.5</v>
      </c>
      <c r="G1806">
        <v>8</v>
      </c>
      <c r="H1806" t="s">
        <v>14</v>
      </c>
      <c r="I1806" t="s">
        <v>40</v>
      </c>
      <c r="J1806" t="s">
        <v>436</v>
      </c>
      <c r="K1806">
        <f>Pqp_supermarket_data[[#This Row],[Unit_Price]]*Pqp_supermarket_data[[#This Row],[Quantity]]</f>
        <v>20</v>
      </c>
      <c r="L1806" t="str">
        <f>TEXT(Pqp_supermarket_data[[#This Row],[DateTime]],"ddd")</f>
        <v>Sun</v>
      </c>
      <c r="M1806" t="str">
        <f>TEXT(Pqp_supermarket_data[[#This Row],[DateTime]],"mmm")</f>
        <v>Sep</v>
      </c>
      <c r="N1806" t="str">
        <f>TEXT(Pqp_supermarket_data[[#This Row],[DateTime]],"yyy")</f>
        <v>2022</v>
      </c>
    </row>
    <row r="1807" spans="1:14" x14ac:dyDescent="0.35">
      <c r="A1807" t="s">
        <v>3739</v>
      </c>
      <c r="B1807" s="1">
        <v>45750.779906030089</v>
      </c>
      <c r="C1807" t="s">
        <v>3740</v>
      </c>
      <c r="D1807" t="s">
        <v>127</v>
      </c>
      <c r="E1807" t="s">
        <v>26</v>
      </c>
      <c r="F1807">
        <v>2.5</v>
      </c>
      <c r="G1807">
        <v>9</v>
      </c>
      <c r="H1807" t="s">
        <v>14</v>
      </c>
      <c r="I1807" t="s">
        <v>21</v>
      </c>
      <c r="J1807" t="s">
        <v>66</v>
      </c>
      <c r="K1807">
        <f>Pqp_supermarket_data[[#This Row],[Unit_Price]]*Pqp_supermarket_data[[#This Row],[Quantity]]</f>
        <v>22.5</v>
      </c>
      <c r="L1807" t="str">
        <f>TEXT(Pqp_supermarket_data[[#This Row],[DateTime]],"ddd")</f>
        <v>Thu</v>
      </c>
      <c r="M1807" t="str">
        <f>TEXT(Pqp_supermarket_data[[#This Row],[DateTime]],"mmm")</f>
        <v>Apr</v>
      </c>
      <c r="N1807" t="str">
        <f>TEXT(Pqp_supermarket_data[[#This Row],[DateTime]],"yyy")</f>
        <v>2025</v>
      </c>
    </row>
    <row r="1808" spans="1:14" x14ac:dyDescent="0.35">
      <c r="A1808" t="s">
        <v>3741</v>
      </c>
      <c r="B1808" s="1">
        <v>45486.430600486114</v>
      </c>
      <c r="C1808" t="s">
        <v>3742</v>
      </c>
      <c r="D1808" t="s">
        <v>127</v>
      </c>
      <c r="E1808" t="s">
        <v>39</v>
      </c>
      <c r="F1808">
        <v>3.2</v>
      </c>
      <c r="G1808">
        <v>8</v>
      </c>
      <c r="H1808" t="s">
        <v>14</v>
      </c>
      <c r="I1808" t="s">
        <v>86</v>
      </c>
      <c r="J1808" t="s">
        <v>202</v>
      </c>
      <c r="K1808">
        <f>Pqp_supermarket_data[[#This Row],[Unit_Price]]*Pqp_supermarket_data[[#This Row],[Quantity]]</f>
        <v>25.6</v>
      </c>
      <c r="L1808" t="str">
        <f>TEXT(Pqp_supermarket_data[[#This Row],[DateTime]],"ddd")</f>
        <v>Sat</v>
      </c>
      <c r="M1808" t="str">
        <f>TEXT(Pqp_supermarket_data[[#This Row],[DateTime]],"mmm")</f>
        <v>Jul</v>
      </c>
      <c r="N1808" t="str">
        <f>TEXT(Pqp_supermarket_data[[#This Row],[DateTime]],"yyy")</f>
        <v>2024</v>
      </c>
    </row>
    <row r="1809" spans="1:14" x14ac:dyDescent="0.35">
      <c r="A1809" t="s">
        <v>3743</v>
      </c>
      <c r="B1809" s="1">
        <v>45067.840322708333</v>
      </c>
      <c r="C1809" t="s">
        <v>3744</v>
      </c>
      <c r="D1809" t="s">
        <v>30</v>
      </c>
      <c r="E1809" t="s">
        <v>115</v>
      </c>
      <c r="F1809">
        <v>1.5</v>
      </c>
      <c r="G1809">
        <v>5</v>
      </c>
      <c r="H1809" t="s">
        <v>14</v>
      </c>
      <c r="I1809" t="s">
        <v>61</v>
      </c>
      <c r="J1809" t="s">
        <v>223</v>
      </c>
      <c r="K1809">
        <f>Pqp_supermarket_data[[#This Row],[Unit_Price]]*Pqp_supermarket_data[[#This Row],[Quantity]]</f>
        <v>7.5</v>
      </c>
      <c r="L1809" t="str">
        <f>TEXT(Pqp_supermarket_data[[#This Row],[DateTime]],"ddd")</f>
        <v>Sun</v>
      </c>
      <c r="M1809" t="str">
        <f>TEXT(Pqp_supermarket_data[[#This Row],[DateTime]],"mmm")</f>
        <v>May</v>
      </c>
      <c r="N1809" t="str">
        <f>TEXT(Pqp_supermarket_data[[#This Row],[DateTime]],"yyy")</f>
        <v>2023</v>
      </c>
    </row>
    <row r="1810" spans="1:14" x14ac:dyDescent="0.35">
      <c r="A1810" t="s">
        <v>3745</v>
      </c>
      <c r="B1810" s="1">
        <v>45759.088239386576</v>
      </c>
      <c r="C1810" t="s">
        <v>3746</v>
      </c>
      <c r="D1810" t="s">
        <v>12</v>
      </c>
      <c r="E1810" t="s">
        <v>39</v>
      </c>
      <c r="F1810">
        <v>3.2</v>
      </c>
      <c r="G1810">
        <v>9</v>
      </c>
      <c r="H1810" t="s">
        <v>14</v>
      </c>
      <c r="I1810" t="s">
        <v>36</v>
      </c>
      <c r="J1810" t="s">
        <v>273</v>
      </c>
      <c r="K1810">
        <f>Pqp_supermarket_data[[#This Row],[Unit_Price]]*Pqp_supermarket_data[[#This Row],[Quantity]]</f>
        <v>28.8</v>
      </c>
      <c r="L1810" t="str">
        <f>TEXT(Pqp_supermarket_data[[#This Row],[DateTime]],"ddd")</f>
        <v>Sat</v>
      </c>
      <c r="M1810" t="str">
        <f>TEXT(Pqp_supermarket_data[[#This Row],[DateTime]],"mmm")</f>
        <v>Apr</v>
      </c>
      <c r="N1810" t="str">
        <f>TEXT(Pqp_supermarket_data[[#This Row],[DateTime]],"yyy")</f>
        <v>2025</v>
      </c>
    </row>
    <row r="1811" spans="1:14" x14ac:dyDescent="0.35">
      <c r="A1811" t="s">
        <v>3747</v>
      </c>
      <c r="B1811" s="1">
        <v>44795.422961620374</v>
      </c>
      <c r="C1811" t="s">
        <v>3748</v>
      </c>
      <c r="D1811" t="s">
        <v>30</v>
      </c>
      <c r="E1811" t="s">
        <v>90</v>
      </c>
      <c r="F1811">
        <v>1.8</v>
      </c>
      <c r="G1811">
        <v>1</v>
      </c>
      <c r="H1811" t="s">
        <v>14</v>
      </c>
      <c r="I1811" t="s">
        <v>15</v>
      </c>
      <c r="J1811" t="s">
        <v>404</v>
      </c>
      <c r="K1811">
        <f>Pqp_supermarket_data[[#This Row],[Unit_Price]]*Pqp_supermarket_data[[#This Row],[Quantity]]</f>
        <v>1.8</v>
      </c>
      <c r="L1811" t="str">
        <f>TEXT(Pqp_supermarket_data[[#This Row],[DateTime]],"ddd")</f>
        <v>Mon</v>
      </c>
      <c r="M1811" t="str">
        <f>TEXT(Pqp_supermarket_data[[#This Row],[DateTime]],"mmm")</f>
        <v>Aug</v>
      </c>
      <c r="N1811" t="str">
        <f>TEXT(Pqp_supermarket_data[[#This Row],[DateTime]],"yyy")</f>
        <v>2022</v>
      </c>
    </row>
    <row r="1812" spans="1:14" x14ac:dyDescent="0.35">
      <c r="A1812" t="s">
        <v>3749</v>
      </c>
      <c r="B1812" s="1">
        <v>45334.678517175926</v>
      </c>
      <c r="C1812" t="s">
        <v>3750</v>
      </c>
      <c r="D1812" t="s">
        <v>44</v>
      </c>
      <c r="E1812" t="s">
        <v>115</v>
      </c>
      <c r="F1812">
        <v>1.5</v>
      </c>
      <c r="G1812">
        <v>1</v>
      </c>
      <c r="H1812" t="s">
        <v>14</v>
      </c>
      <c r="I1812" t="s">
        <v>15</v>
      </c>
      <c r="J1812" t="s">
        <v>317</v>
      </c>
      <c r="K1812">
        <f>Pqp_supermarket_data[[#This Row],[Unit_Price]]*Pqp_supermarket_data[[#This Row],[Quantity]]</f>
        <v>1.5</v>
      </c>
      <c r="L1812" t="str">
        <f>TEXT(Pqp_supermarket_data[[#This Row],[DateTime]],"ddd")</f>
        <v>Mon</v>
      </c>
      <c r="M1812" t="str">
        <f>TEXT(Pqp_supermarket_data[[#This Row],[DateTime]],"mmm")</f>
        <v>Feb</v>
      </c>
      <c r="N1812" t="str">
        <f>TEXT(Pqp_supermarket_data[[#This Row],[DateTime]],"yyy")</f>
        <v>2024</v>
      </c>
    </row>
    <row r="1813" spans="1:14" x14ac:dyDescent="0.35">
      <c r="A1813" t="s">
        <v>3751</v>
      </c>
      <c r="B1813" s="1">
        <v>44361.002128298613</v>
      </c>
      <c r="C1813" t="s">
        <v>3752</v>
      </c>
      <c r="D1813" t="s">
        <v>25</v>
      </c>
      <c r="E1813" t="s">
        <v>65</v>
      </c>
      <c r="F1813">
        <v>3</v>
      </c>
      <c r="G1813">
        <v>4</v>
      </c>
      <c r="H1813" t="s">
        <v>14</v>
      </c>
      <c r="I1813" t="s">
        <v>86</v>
      </c>
      <c r="J1813" t="s">
        <v>71</v>
      </c>
      <c r="K1813">
        <f>Pqp_supermarket_data[[#This Row],[Unit_Price]]*Pqp_supermarket_data[[#This Row],[Quantity]]</f>
        <v>12</v>
      </c>
      <c r="L1813" t="str">
        <f>TEXT(Pqp_supermarket_data[[#This Row],[DateTime]],"ddd")</f>
        <v>Mon</v>
      </c>
      <c r="M1813" t="str">
        <f>TEXT(Pqp_supermarket_data[[#This Row],[DateTime]],"mmm")</f>
        <v>Jun</v>
      </c>
      <c r="N1813" t="str">
        <f>TEXT(Pqp_supermarket_data[[#This Row],[DateTime]],"yyy")</f>
        <v>2021</v>
      </c>
    </row>
    <row r="1814" spans="1:14" x14ac:dyDescent="0.35">
      <c r="A1814" t="s">
        <v>3753</v>
      </c>
      <c r="B1814" s="1">
        <v>45565.187544976849</v>
      </c>
      <c r="C1814" t="s">
        <v>3754</v>
      </c>
      <c r="D1814" t="s">
        <v>30</v>
      </c>
      <c r="E1814" t="s">
        <v>20</v>
      </c>
      <c r="F1814">
        <v>1</v>
      </c>
      <c r="G1814">
        <v>8</v>
      </c>
      <c r="H1814" t="s">
        <v>14</v>
      </c>
      <c r="I1814" t="s">
        <v>21</v>
      </c>
      <c r="J1814" t="s">
        <v>218</v>
      </c>
      <c r="K1814">
        <f>Pqp_supermarket_data[[#This Row],[Unit_Price]]*Pqp_supermarket_data[[#This Row],[Quantity]]</f>
        <v>8</v>
      </c>
      <c r="L1814" t="str">
        <f>TEXT(Pqp_supermarket_data[[#This Row],[DateTime]],"ddd")</f>
        <v>Mon</v>
      </c>
      <c r="M1814" t="str">
        <f>TEXT(Pqp_supermarket_data[[#This Row],[DateTime]],"mmm")</f>
        <v>Sep</v>
      </c>
      <c r="N1814" t="str">
        <f>TEXT(Pqp_supermarket_data[[#This Row],[DateTime]],"yyy")</f>
        <v>2024</v>
      </c>
    </row>
    <row r="1815" spans="1:14" x14ac:dyDescent="0.35">
      <c r="A1815" t="s">
        <v>3755</v>
      </c>
      <c r="B1815" s="1">
        <v>45242.6694894213</v>
      </c>
      <c r="C1815" t="s">
        <v>3756</v>
      </c>
      <c r="D1815" t="s">
        <v>19</v>
      </c>
      <c r="E1815" t="s">
        <v>39</v>
      </c>
      <c r="F1815">
        <v>3.2</v>
      </c>
      <c r="G1815">
        <v>7</v>
      </c>
      <c r="H1815" t="s">
        <v>14</v>
      </c>
      <c r="I1815" t="s">
        <v>21</v>
      </c>
      <c r="J1815" t="s">
        <v>175</v>
      </c>
      <c r="K1815">
        <f>Pqp_supermarket_data[[#This Row],[Unit_Price]]*Pqp_supermarket_data[[#This Row],[Quantity]]</f>
        <v>22.400000000000002</v>
      </c>
      <c r="L1815" t="str">
        <f>TEXT(Pqp_supermarket_data[[#This Row],[DateTime]],"ddd")</f>
        <v>Sun</v>
      </c>
      <c r="M1815" t="str">
        <f>TEXT(Pqp_supermarket_data[[#This Row],[DateTime]],"mmm")</f>
        <v>Nov</v>
      </c>
      <c r="N1815" t="str">
        <f>TEXT(Pqp_supermarket_data[[#This Row],[DateTime]],"yyy")</f>
        <v>2023</v>
      </c>
    </row>
    <row r="1816" spans="1:14" x14ac:dyDescent="0.35">
      <c r="A1816" t="s">
        <v>3757</v>
      </c>
      <c r="B1816" s="1">
        <v>45221.176433865738</v>
      </c>
      <c r="C1816" t="s">
        <v>3758</v>
      </c>
      <c r="D1816" t="s">
        <v>208</v>
      </c>
      <c r="E1816" t="s">
        <v>119</v>
      </c>
      <c r="F1816">
        <v>4</v>
      </c>
      <c r="G1816">
        <v>9</v>
      </c>
      <c r="H1816" t="s">
        <v>14</v>
      </c>
      <c r="I1816" t="s">
        <v>36</v>
      </c>
      <c r="J1816" t="s">
        <v>102</v>
      </c>
      <c r="K1816">
        <f>Pqp_supermarket_data[[#This Row],[Unit_Price]]*Pqp_supermarket_data[[#This Row],[Quantity]]</f>
        <v>36</v>
      </c>
      <c r="L1816" t="str">
        <f>TEXT(Pqp_supermarket_data[[#This Row],[DateTime]],"ddd")</f>
        <v>Sun</v>
      </c>
      <c r="M1816" t="str">
        <f>TEXT(Pqp_supermarket_data[[#This Row],[DateTime]],"mmm")</f>
        <v>Oct</v>
      </c>
      <c r="N1816" t="str">
        <f>TEXT(Pqp_supermarket_data[[#This Row],[DateTime]],"yyy")</f>
        <v>2023</v>
      </c>
    </row>
    <row r="1817" spans="1:14" x14ac:dyDescent="0.35">
      <c r="A1817" t="s">
        <v>3759</v>
      </c>
      <c r="B1817" s="1">
        <v>44532.416017199073</v>
      </c>
      <c r="C1817" t="s">
        <v>3760</v>
      </c>
      <c r="D1817" t="s">
        <v>226</v>
      </c>
      <c r="E1817" t="s">
        <v>70</v>
      </c>
      <c r="F1817">
        <v>5</v>
      </c>
      <c r="G1817">
        <v>10</v>
      </c>
      <c r="H1817" t="s">
        <v>14</v>
      </c>
      <c r="I1817" t="s">
        <v>61</v>
      </c>
      <c r="J1817" t="s">
        <v>429</v>
      </c>
      <c r="K1817">
        <f>Pqp_supermarket_data[[#This Row],[Unit_Price]]*Pqp_supermarket_data[[#This Row],[Quantity]]</f>
        <v>50</v>
      </c>
      <c r="L1817" t="str">
        <f>TEXT(Pqp_supermarket_data[[#This Row],[DateTime]],"ddd")</f>
        <v>Thu</v>
      </c>
      <c r="M1817" t="str">
        <f>TEXT(Pqp_supermarket_data[[#This Row],[DateTime]],"mmm")</f>
        <v>Dec</v>
      </c>
      <c r="N1817" t="str">
        <f>TEXT(Pqp_supermarket_data[[#This Row],[DateTime]],"yyy")</f>
        <v>2021</v>
      </c>
    </row>
    <row r="1818" spans="1:14" x14ac:dyDescent="0.35">
      <c r="A1818" t="s">
        <v>3761</v>
      </c>
      <c r="B1818" s="1">
        <v>45561.53823943287</v>
      </c>
      <c r="C1818" t="s">
        <v>3762</v>
      </c>
      <c r="D1818" t="s">
        <v>19</v>
      </c>
      <c r="E1818" t="s">
        <v>111</v>
      </c>
      <c r="F1818">
        <v>2.2000000000000002</v>
      </c>
      <c r="G1818">
        <v>8</v>
      </c>
      <c r="H1818" t="s">
        <v>14</v>
      </c>
      <c r="I1818" t="s">
        <v>36</v>
      </c>
      <c r="J1818" t="s">
        <v>744</v>
      </c>
      <c r="K1818">
        <f>Pqp_supermarket_data[[#This Row],[Unit_Price]]*Pqp_supermarket_data[[#This Row],[Quantity]]</f>
        <v>17.600000000000001</v>
      </c>
      <c r="L1818" t="str">
        <f>TEXT(Pqp_supermarket_data[[#This Row],[DateTime]],"ddd")</f>
        <v>Thu</v>
      </c>
      <c r="M1818" t="str">
        <f>TEXT(Pqp_supermarket_data[[#This Row],[DateTime]],"mmm")</f>
        <v>Sep</v>
      </c>
      <c r="N1818" t="str">
        <f>TEXT(Pqp_supermarket_data[[#This Row],[DateTime]],"yyy")</f>
        <v>2024</v>
      </c>
    </row>
    <row r="1819" spans="1:14" x14ac:dyDescent="0.35">
      <c r="A1819" t="s">
        <v>3763</v>
      </c>
      <c r="B1819" s="1">
        <v>44715.157683877318</v>
      </c>
      <c r="C1819" t="s">
        <v>3764</v>
      </c>
      <c r="D1819" t="s">
        <v>85</v>
      </c>
      <c r="E1819" t="s">
        <v>94</v>
      </c>
      <c r="F1819">
        <v>0.8</v>
      </c>
      <c r="G1819">
        <v>5</v>
      </c>
      <c r="H1819" t="s">
        <v>14</v>
      </c>
      <c r="I1819" t="s">
        <v>86</v>
      </c>
      <c r="J1819" t="s">
        <v>429</v>
      </c>
      <c r="K1819">
        <f>Pqp_supermarket_data[[#This Row],[Unit_Price]]*Pqp_supermarket_data[[#This Row],[Quantity]]</f>
        <v>4</v>
      </c>
      <c r="L1819" t="str">
        <f>TEXT(Pqp_supermarket_data[[#This Row],[DateTime]],"ddd")</f>
        <v>Fri</v>
      </c>
      <c r="M1819" t="str">
        <f>TEXT(Pqp_supermarket_data[[#This Row],[DateTime]],"mmm")</f>
        <v>Jun</v>
      </c>
      <c r="N1819" t="str">
        <f>TEXT(Pqp_supermarket_data[[#This Row],[DateTime]],"yyy")</f>
        <v>2022</v>
      </c>
    </row>
    <row r="1820" spans="1:14" x14ac:dyDescent="0.35">
      <c r="A1820" t="s">
        <v>3765</v>
      </c>
      <c r="B1820" s="1">
        <v>45654.184767210645</v>
      </c>
      <c r="C1820" t="s">
        <v>3766</v>
      </c>
      <c r="D1820" t="s">
        <v>98</v>
      </c>
      <c r="E1820" t="s">
        <v>137</v>
      </c>
      <c r="F1820">
        <v>2.5</v>
      </c>
      <c r="G1820">
        <v>4</v>
      </c>
      <c r="H1820" t="s">
        <v>14</v>
      </c>
      <c r="I1820" t="s">
        <v>61</v>
      </c>
      <c r="J1820" t="s">
        <v>131</v>
      </c>
      <c r="K1820">
        <f>Pqp_supermarket_data[[#This Row],[Unit_Price]]*Pqp_supermarket_data[[#This Row],[Quantity]]</f>
        <v>10</v>
      </c>
      <c r="L1820" t="str">
        <f>TEXT(Pqp_supermarket_data[[#This Row],[DateTime]],"ddd")</f>
        <v>Sat</v>
      </c>
      <c r="M1820" t="str">
        <f>TEXT(Pqp_supermarket_data[[#This Row],[DateTime]],"mmm")</f>
        <v>Dec</v>
      </c>
      <c r="N1820" t="str">
        <f>TEXT(Pqp_supermarket_data[[#This Row],[DateTime]],"yyy")</f>
        <v>2024</v>
      </c>
    </row>
    <row r="1821" spans="1:14" x14ac:dyDescent="0.35">
      <c r="A1821" t="s">
        <v>3767</v>
      </c>
      <c r="B1821" s="1">
        <v>45534.496572766206</v>
      </c>
      <c r="C1821" t="s">
        <v>3768</v>
      </c>
      <c r="D1821" t="s">
        <v>127</v>
      </c>
      <c r="E1821" t="s">
        <v>35</v>
      </c>
      <c r="F1821">
        <v>1.2</v>
      </c>
      <c r="G1821">
        <v>7</v>
      </c>
      <c r="H1821" t="s">
        <v>14</v>
      </c>
      <c r="I1821" t="s">
        <v>61</v>
      </c>
      <c r="J1821" t="s">
        <v>227</v>
      </c>
      <c r="K1821">
        <f>Pqp_supermarket_data[[#This Row],[Unit_Price]]*Pqp_supermarket_data[[#This Row],[Quantity]]</f>
        <v>8.4</v>
      </c>
      <c r="L1821" t="str">
        <f>TEXT(Pqp_supermarket_data[[#This Row],[DateTime]],"ddd")</f>
        <v>Fri</v>
      </c>
      <c r="M1821" t="str">
        <f>TEXT(Pqp_supermarket_data[[#This Row],[DateTime]],"mmm")</f>
        <v>Aug</v>
      </c>
      <c r="N1821" t="str">
        <f>TEXT(Pqp_supermarket_data[[#This Row],[DateTime]],"yyy")</f>
        <v>2024</v>
      </c>
    </row>
    <row r="1822" spans="1:14" x14ac:dyDescent="0.35">
      <c r="A1822" t="s">
        <v>3769</v>
      </c>
      <c r="B1822" s="1">
        <v>45785.506989444446</v>
      </c>
      <c r="C1822" t="s">
        <v>3770</v>
      </c>
      <c r="D1822" t="s">
        <v>69</v>
      </c>
      <c r="E1822" t="s">
        <v>53</v>
      </c>
      <c r="F1822">
        <v>2.8</v>
      </c>
      <c r="G1822">
        <v>5</v>
      </c>
      <c r="H1822" t="s">
        <v>14</v>
      </c>
      <c r="I1822" t="s">
        <v>21</v>
      </c>
      <c r="J1822" t="s">
        <v>178</v>
      </c>
      <c r="K1822">
        <f>Pqp_supermarket_data[[#This Row],[Unit_Price]]*Pqp_supermarket_data[[#This Row],[Quantity]]</f>
        <v>14</v>
      </c>
      <c r="L1822" t="str">
        <f>TEXT(Pqp_supermarket_data[[#This Row],[DateTime]],"ddd")</f>
        <v>Thu</v>
      </c>
      <c r="M1822" t="str">
        <f>TEXT(Pqp_supermarket_data[[#This Row],[DateTime]],"mmm")</f>
        <v>May</v>
      </c>
      <c r="N1822" t="str">
        <f>TEXT(Pqp_supermarket_data[[#This Row],[DateTime]],"yyy")</f>
        <v>2025</v>
      </c>
    </row>
    <row r="1823" spans="1:14" x14ac:dyDescent="0.35">
      <c r="A1823" t="s">
        <v>3771</v>
      </c>
      <c r="B1823" s="1">
        <v>44638.389628333331</v>
      </c>
      <c r="C1823" t="s">
        <v>3772</v>
      </c>
      <c r="D1823" t="s">
        <v>12</v>
      </c>
      <c r="E1823" t="s">
        <v>13</v>
      </c>
      <c r="F1823">
        <v>3.1</v>
      </c>
      <c r="G1823">
        <v>3</v>
      </c>
      <c r="H1823" t="s">
        <v>14</v>
      </c>
      <c r="I1823" t="s">
        <v>36</v>
      </c>
      <c r="J1823" t="s">
        <v>485</v>
      </c>
      <c r="K1823">
        <f>Pqp_supermarket_data[[#This Row],[Unit_Price]]*Pqp_supermarket_data[[#This Row],[Quantity]]</f>
        <v>9.3000000000000007</v>
      </c>
      <c r="L1823" t="str">
        <f>TEXT(Pqp_supermarket_data[[#This Row],[DateTime]],"ddd")</f>
        <v>Fri</v>
      </c>
      <c r="M1823" t="str">
        <f>TEXT(Pqp_supermarket_data[[#This Row],[DateTime]],"mmm")</f>
        <v>Mar</v>
      </c>
      <c r="N1823" t="str">
        <f>TEXT(Pqp_supermarket_data[[#This Row],[DateTime]],"yyy")</f>
        <v>2022</v>
      </c>
    </row>
    <row r="1824" spans="1:14" x14ac:dyDescent="0.35">
      <c r="A1824" t="s">
        <v>3773</v>
      </c>
      <c r="B1824" s="1">
        <v>44901.769489444443</v>
      </c>
      <c r="C1824" t="s">
        <v>3774</v>
      </c>
      <c r="D1824" t="s">
        <v>77</v>
      </c>
      <c r="E1824" t="s">
        <v>57</v>
      </c>
      <c r="F1824">
        <v>4.5</v>
      </c>
      <c r="G1824">
        <v>4</v>
      </c>
      <c r="H1824" t="s">
        <v>14</v>
      </c>
      <c r="I1824" t="s">
        <v>40</v>
      </c>
      <c r="J1824" t="s">
        <v>122</v>
      </c>
      <c r="K1824">
        <f>Pqp_supermarket_data[[#This Row],[Unit_Price]]*Pqp_supermarket_data[[#This Row],[Quantity]]</f>
        <v>18</v>
      </c>
      <c r="L1824" t="str">
        <f>TEXT(Pqp_supermarket_data[[#This Row],[DateTime]],"ddd")</f>
        <v>Tue</v>
      </c>
      <c r="M1824" t="str">
        <f>TEXT(Pqp_supermarket_data[[#This Row],[DateTime]],"mmm")</f>
        <v>Dec</v>
      </c>
      <c r="N1824" t="str">
        <f>TEXT(Pqp_supermarket_data[[#This Row],[DateTime]],"yyy")</f>
        <v>2022</v>
      </c>
    </row>
    <row r="1825" spans="1:14" x14ac:dyDescent="0.35">
      <c r="A1825" t="s">
        <v>3775</v>
      </c>
      <c r="B1825" s="1">
        <v>45060.232683888891</v>
      </c>
      <c r="C1825" t="s">
        <v>3776</v>
      </c>
      <c r="D1825" t="s">
        <v>30</v>
      </c>
      <c r="E1825" t="s">
        <v>49</v>
      </c>
      <c r="F1825">
        <v>7</v>
      </c>
      <c r="G1825">
        <v>7</v>
      </c>
      <c r="H1825" t="s">
        <v>14</v>
      </c>
      <c r="I1825" t="s">
        <v>86</v>
      </c>
      <c r="J1825" t="s">
        <v>58</v>
      </c>
      <c r="K1825">
        <f>Pqp_supermarket_data[[#This Row],[Unit_Price]]*Pqp_supermarket_data[[#This Row],[Quantity]]</f>
        <v>49</v>
      </c>
      <c r="L1825" t="str">
        <f>TEXT(Pqp_supermarket_data[[#This Row],[DateTime]],"ddd")</f>
        <v>Sun</v>
      </c>
      <c r="M1825" t="str">
        <f>TEXT(Pqp_supermarket_data[[#This Row],[DateTime]],"mmm")</f>
        <v>May</v>
      </c>
      <c r="N1825" t="str">
        <f>TEXT(Pqp_supermarket_data[[#This Row],[DateTime]],"yyy")</f>
        <v>2023</v>
      </c>
    </row>
    <row r="1826" spans="1:14" x14ac:dyDescent="0.35">
      <c r="A1826" t="s">
        <v>3777</v>
      </c>
      <c r="B1826" s="1">
        <v>45251.158378356478</v>
      </c>
      <c r="C1826" t="s">
        <v>3778</v>
      </c>
      <c r="D1826" t="s">
        <v>127</v>
      </c>
      <c r="E1826" t="s">
        <v>94</v>
      </c>
      <c r="F1826">
        <v>0.8</v>
      </c>
      <c r="G1826">
        <v>10</v>
      </c>
      <c r="H1826" t="s">
        <v>14</v>
      </c>
      <c r="I1826" t="s">
        <v>86</v>
      </c>
      <c r="J1826" t="s">
        <v>255</v>
      </c>
      <c r="K1826">
        <f>Pqp_supermarket_data[[#This Row],[Unit_Price]]*Pqp_supermarket_data[[#This Row],[Quantity]]</f>
        <v>8</v>
      </c>
      <c r="L1826" t="str">
        <f>TEXT(Pqp_supermarket_data[[#This Row],[DateTime]],"ddd")</f>
        <v>Tue</v>
      </c>
      <c r="M1826" t="str">
        <f>TEXT(Pqp_supermarket_data[[#This Row],[DateTime]],"mmm")</f>
        <v>Nov</v>
      </c>
      <c r="N1826" t="str">
        <f>TEXT(Pqp_supermarket_data[[#This Row],[DateTime]],"yyy")</f>
        <v>2023</v>
      </c>
    </row>
    <row r="1827" spans="1:14" x14ac:dyDescent="0.35">
      <c r="A1827" t="s">
        <v>3779</v>
      </c>
      <c r="B1827" s="1">
        <v>45125.804211689814</v>
      </c>
      <c r="C1827" t="s">
        <v>3780</v>
      </c>
      <c r="D1827" t="s">
        <v>30</v>
      </c>
      <c r="E1827" t="s">
        <v>78</v>
      </c>
      <c r="F1827">
        <v>4</v>
      </c>
      <c r="G1827">
        <v>5</v>
      </c>
      <c r="H1827" t="s">
        <v>14</v>
      </c>
      <c r="I1827" t="s">
        <v>15</v>
      </c>
      <c r="J1827" t="s">
        <v>175</v>
      </c>
      <c r="K1827">
        <f>Pqp_supermarket_data[[#This Row],[Unit_Price]]*Pqp_supermarket_data[[#This Row],[Quantity]]</f>
        <v>20</v>
      </c>
      <c r="L1827" t="str">
        <f>TEXT(Pqp_supermarket_data[[#This Row],[DateTime]],"ddd")</f>
        <v>Tue</v>
      </c>
      <c r="M1827" t="str">
        <f>TEXT(Pqp_supermarket_data[[#This Row],[DateTime]],"mmm")</f>
        <v>Jul</v>
      </c>
      <c r="N1827" t="str">
        <f>TEXT(Pqp_supermarket_data[[#This Row],[DateTime]],"yyy")</f>
        <v>2023</v>
      </c>
    </row>
    <row r="1828" spans="1:14" x14ac:dyDescent="0.35">
      <c r="A1828" t="s">
        <v>3781</v>
      </c>
      <c r="B1828" s="1">
        <v>44651.296572800929</v>
      </c>
      <c r="C1828" t="s">
        <v>3782</v>
      </c>
      <c r="D1828" t="s">
        <v>127</v>
      </c>
      <c r="E1828" t="s">
        <v>65</v>
      </c>
      <c r="F1828">
        <v>3</v>
      </c>
      <c r="G1828">
        <v>5</v>
      </c>
      <c r="H1828" t="s">
        <v>14</v>
      </c>
      <c r="I1828" t="s">
        <v>21</v>
      </c>
      <c r="J1828" t="s">
        <v>134</v>
      </c>
      <c r="K1828">
        <f>Pqp_supermarket_data[[#This Row],[Unit_Price]]*Pqp_supermarket_data[[#This Row],[Quantity]]</f>
        <v>15</v>
      </c>
      <c r="L1828" t="str">
        <f>TEXT(Pqp_supermarket_data[[#This Row],[DateTime]],"ddd")</f>
        <v>Thu</v>
      </c>
      <c r="M1828" t="str">
        <f>TEXT(Pqp_supermarket_data[[#This Row],[DateTime]],"mmm")</f>
        <v>Mar</v>
      </c>
      <c r="N1828" t="str">
        <f>TEXT(Pqp_supermarket_data[[#This Row],[DateTime]],"yyy")</f>
        <v>2022</v>
      </c>
    </row>
    <row r="1829" spans="1:14" x14ac:dyDescent="0.35">
      <c r="A1829" t="s">
        <v>3783</v>
      </c>
      <c r="B1829" s="1">
        <v>44841.843795023146</v>
      </c>
      <c r="C1829" t="s">
        <v>3784</v>
      </c>
      <c r="D1829" t="s">
        <v>82</v>
      </c>
      <c r="E1829" t="s">
        <v>145</v>
      </c>
      <c r="F1829">
        <v>1.7</v>
      </c>
      <c r="G1829">
        <v>2</v>
      </c>
      <c r="H1829" t="s">
        <v>14</v>
      </c>
      <c r="I1829" t="s">
        <v>15</v>
      </c>
      <c r="J1829" t="s">
        <v>716</v>
      </c>
      <c r="K1829">
        <f>Pqp_supermarket_data[[#This Row],[Unit_Price]]*Pqp_supermarket_data[[#This Row],[Quantity]]</f>
        <v>3.4</v>
      </c>
      <c r="L1829" t="str">
        <f>TEXT(Pqp_supermarket_data[[#This Row],[DateTime]],"ddd")</f>
        <v>Fri</v>
      </c>
      <c r="M1829" t="str">
        <f>TEXT(Pqp_supermarket_data[[#This Row],[DateTime]],"mmm")</f>
        <v>Oct</v>
      </c>
      <c r="N1829" t="str">
        <f>TEXT(Pqp_supermarket_data[[#This Row],[DateTime]],"yyy")</f>
        <v>2022</v>
      </c>
    </row>
    <row r="1830" spans="1:14" x14ac:dyDescent="0.35">
      <c r="A1830" t="s">
        <v>3785</v>
      </c>
      <c r="B1830" s="1">
        <v>44880.629211701387</v>
      </c>
      <c r="C1830" t="s">
        <v>3786</v>
      </c>
      <c r="D1830" t="s">
        <v>85</v>
      </c>
      <c r="E1830" t="s">
        <v>53</v>
      </c>
      <c r="F1830">
        <v>2.8</v>
      </c>
      <c r="G1830">
        <v>8</v>
      </c>
      <c r="H1830" t="s">
        <v>14</v>
      </c>
      <c r="I1830" t="s">
        <v>61</v>
      </c>
      <c r="J1830" t="s">
        <v>22</v>
      </c>
      <c r="K1830">
        <f>Pqp_supermarket_data[[#This Row],[Unit_Price]]*Pqp_supermarket_data[[#This Row],[Quantity]]</f>
        <v>22.4</v>
      </c>
      <c r="L1830" t="str">
        <f>TEXT(Pqp_supermarket_data[[#This Row],[DateTime]],"ddd")</f>
        <v>Tue</v>
      </c>
      <c r="M1830" t="str">
        <f>TEXT(Pqp_supermarket_data[[#This Row],[DateTime]],"mmm")</f>
        <v>Nov</v>
      </c>
      <c r="N1830" t="str">
        <f>TEXT(Pqp_supermarket_data[[#This Row],[DateTime]],"yyy")</f>
        <v>2022</v>
      </c>
    </row>
    <row r="1831" spans="1:14" x14ac:dyDescent="0.35">
      <c r="A1831" t="s">
        <v>3787</v>
      </c>
      <c r="B1831" s="1">
        <v>44831.000045046298</v>
      </c>
      <c r="C1831" t="s">
        <v>3788</v>
      </c>
      <c r="D1831" t="s">
        <v>98</v>
      </c>
      <c r="E1831" t="s">
        <v>35</v>
      </c>
      <c r="F1831">
        <v>1.2</v>
      </c>
      <c r="G1831">
        <v>9</v>
      </c>
      <c r="H1831" t="s">
        <v>14</v>
      </c>
      <c r="I1831" t="s">
        <v>40</v>
      </c>
      <c r="J1831" t="s">
        <v>426</v>
      </c>
      <c r="K1831">
        <f>Pqp_supermarket_data[[#This Row],[Unit_Price]]*Pqp_supermarket_data[[#This Row],[Quantity]]</f>
        <v>10.799999999999999</v>
      </c>
      <c r="L1831" t="str">
        <f>TEXT(Pqp_supermarket_data[[#This Row],[DateTime]],"ddd")</f>
        <v>Tue</v>
      </c>
      <c r="M1831" t="str">
        <f>TEXT(Pqp_supermarket_data[[#This Row],[DateTime]],"mmm")</f>
        <v>Sep</v>
      </c>
      <c r="N1831" t="str">
        <f>TEXT(Pqp_supermarket_data[[#This Row],[DateTime]],"yyy")</f>
        <v>2022</v>
      </c>
    </row>
    <row r="1832" spans="1:14" x14ac:dyDescent="0.35">
      <c r="A1832" t="s">
        <v>3789</v>
      </c>
      <c r="B1832" s="1">
        <v>44924.443100613425</v>
      </c>
      <c r="C1832" t="s">
        <v>3790</v>
      </c>
      <c r="D1832" t="s">
        <v>69</v>
      </c>
      <c r="E1832" t="s">
        <v>45</v>
      </c>
      <c r="F1832">
        <v>1</v>
      </c>
      <c r="G1832">
        <v>5</v>
      </c>
      <c r="H1832" t="s">
        <v>14</v>
      </c>
      <c r="I1832" t="s">
        <v>15</v>
      </c>
      <c r="J1832" t="s">
        <v>87</v>
      </c>
      <c r="K1832">
        <f>Pqp_supermarket_data[[#This Row],[Unit_Price]]*Pqp_supermarket_data[[#This Row],[Quantity]]</f>
        <v>5</v>
      </c>
      <c r="L1832" t="str">
        <f>TEXT(Pqp_supermarket_data[[#This Row],[DateTime]],"ddd")</f>
        <v>Thu</v>
      </c>
      <c r="M1832" t="str">
        <f>TEXT(Pqp_supermarket_data[[#This Row],[DateTime]],"mmm")</f>
        <v>Dec</v>
      </c>
      <c r="N1832" t="str">
        <f>TEXT(Pqp_supermarket_data[[#This Row],[DateTime]],"yyy")</f>
        <v>2022</v>
      </c>
    </row>
    <row r="1833" spans="1:14" x14ac:dyDescent="0.35">
      <c r="A1833" t="s">
        <v>3791</v>
      </c>
      <c r="B1833" s="1">
        <v>44738.095878391206</v>
      </c>
      <c r="C1833" t="s">
        <v>3792</v>
      </c>
      <c r="D1833" t="s">
        <v>171</v>
      </c>
      <c r="E1833" t="s">
        <v>20</v>
      </c>
      <c r="F1833">
        <v>1</v>
      </c>
      <c r="G1833">
        <v>10</v>
      </c>
      <c r="H1833" t="s">
        <v>14</v>
      </c>
      <c r="I1833" t="s">
        <v>61</v>
      </c>
      <c r="J1833" t="s">
        <v>166</v>
      </c>
      <c r="K1833">
        <f>Pqp_supermarket_data[[#This Row],[Unit_Price]]*Pqp_supermarket_data[[#This Row],[Quantity]]</f>
        <v>10</v>
      </c>
      <c r="L1833" t="str">
        <f>TEXT(Pqp_supermarket_data[[#This Row],[DateTime]],"ddd")</f>
        <v>Sun</v>
      </c>
      <c r="M1833" t="str">
        <f>TEXT(Pqp_supermarket_data[[#This Row],[DateTime]],"mmm")</f>
        <v>Jun</v>
      </c>
      <c r="N1833" t="str">
        <f>TEXT(Pqp_supermarket_data[[#This Row],[DateTime]],"yyy")</f>
        <v>2022</v>
      </c>
    </row>
    <row r="1834" spans="1:14" x14ac:dyDescent="0.35">
      <c r="A1834" t="s">
        <v>3793</v>
      </c>
      <c r="B1834" s="1">
        <v>44982.375739513889</v>
      </c>
      <c r="C1834" t="s">
        <v>3794</v>
      </c>
      <c r="D1834" t="s">
        <v>30</v>
      </c>
      <c r="E1834" t="s">
        <v>35</v>
      </c>
      <c r="F1834">
        <v>1.2</v>
      </c>
      <c r="G1834">
        <v>8</v>
      </c>
      <c r="H1834" t="s">
        <v>14</v>
      </c>
      <c r="I1834" t="s">
        <v>21</v>
      </c>
      <c r="J1834" t="s">
        <v>223</v>
      </c>
      <c r="K1834">
        <f>Pqp_supermarket_data[[#This Row],[Unit_Price]]*Pqp_supermarket_data[[#This Row],[Quantity]]</f>
        <v>9.6</v>
      </c>
      <c r="L1834" t="str">
        <f>TEXT(Pqp_supermarket_data[[#This Row],[DateTime]],"ddd")</f>
        <v>Sat</v>
      </c>
      <c r="M1834" t="str">
        <f>TEXT(Pqp_supermarket_data[[#This Row],[DateTime]],"mmm")</f>
        <v>Feb</v>
      </c>
      <c r="N1834" t="str">
        <f>TEXT(Pqp_supermarket_data[[#This Row],[DateTime]],"yyy")</f>
        <v>2023</v>
      </c>
    </row>
    <row r="1835" spans="1:14" x14ac:dyDescent="0.35">
      <c r="A1835" t="s">
        <v>3795</v>
      </c>
      <c r="B1835" s="1">
        <v>45675.474350625002</v>
      </c>
      <c r="C1835" t="s">
        <v>3796</v>
      </c>
      <c r="D1835" t="s">
        <v>127</v>
      </c>
      <c r="E1835" t="s">
        <v>148</v>
      </c>
      <c r="F1835">
        <v>5.5</v>
      </c>
      <c r="G1835">
        <v>6</v>
      </c>
      <c r="H1835" t="s">
        <v>14</v>
      </c>
      <c r="I1835" t="s">
        <v>21</v>
      </c>
      <c r="J1835" t="s">
        <v>58</v>
      </c>
      <c r="K1835">
        <f>Pqp_supermarket_data[[#This Row],[Unit_Price]]*Pqp_supermarket_data[[#This Row],[Quantity]]</f>
        <v>33</v>
      </c>
      <c r="L1835" t="str">
        <f>TEXT(Pqp_supermarket_data[[#This Row],[DateTime]],"ddd")</f>
        <v>Sat</v>
      </c>
      <c r="M1835" t="str">
        <f>TEXT(Pqp_supermarket_data[[#This Row],[DateTime]],"mmm")</f>
        <v>Jan</v>
      </c>
      <c r="N1835" t="str">
        <f>TEXT(Pqp_supermarket_data[[#This Row],[DateTime]],"yyy")</f>
        <v>2025</v>
      </c>
    </row>
    <row r="1836" spans="1:14" x14ac:dyDescent="0.35">
      <c r="A1836" t="s">
        <v>3797</v>
      </c>
      <c r="B1836" s="1">
        <v>45190.78893396991</v>
      </c>
      <c r="C1836" t="s">
        <v>3798</v>
      </c>
      <c r="D1836" t="s">
        <v>12</v>
      </c>
      <c r="E1836" t="s">
        <v>39</v>
      </c>
      <c r="F1836">
        <v>3.2</v>
      </c>
      <c r="G1836">
        <v>1</v>
      </c>
      <c r="H1836" t="s">
        <v>14</v>
      </c>
      <c r="I1836" t="s">
        <v>40</v>
      </c>
      <c r="J1836" t="s">
        <v>202</v>
      </c>
      <c r="K1836">
        <f>Pqp_supermarket_data[[#This Row],[Unit_Price]]*Pqp_supermarket_data[[#This Row],[Quantity]]</f>
        <v>3.2</v>
      </c>
      <c r="L1836" t="str">
        <f>TEXT(Pqp_supermarket_data[[#This Row],[DateTime]],"ddd")</f>
        <v>Thu</v>
      </c>
      <c r="M1836" t="str">
        <f>TEXT(Pqp_supermarket_data[[#This Row],[DateTime]],"mmm")</f>
        <v>Sep</v>
      </c>
      <c r="N1836" t="str">
        <f>TEXT(Pqp_supermarket_data[[#This Row],[DateTime]],"yyy")</f>
        <v>2023</v>
      </c>
    </row>
    <row r="1837" spans="1:14" x14ac:dyDescent="0.35">
      <c r="A1837" t="s">
        <v>3799</v>
      </c>
      <c r="B1837" s="1">
        <v>44588.662545092593</v>
      </c>
      <c r="C1837" t="s">
        <v>3800</v>
      </c>
      <c r="D1837" t="s">
        <v>12</v>
      </c>
      <c r="E1837" t="s">
        <v>137</v>
      </c>
      <c r="F1837">
        <v>2.5</v>
      </c>
      <c r="G1837">
        <v>4</v>
      </c>
      <c r="H1837" t="s">
        <v>14</v>
      </c>
      <c r="I1837" t="s">
        <v>21</v>
      </c>
      <c r="J1837" t="s">
        <v>209</v>
      </c>
      <c r="K1837">
        <f>Pqp_supermarket_data[[#This Row],[Unit_Price]]*Pqp_supermarket_data[[#This Row],[Quantity]]</f>
        <v>10</v>
      </c>
      <c r="L1837" t="str">
        <f>TEXT(Pqp_supermarket_data[[#This Row],[DateTime]],"ddd")</f>
        <v>Thu</v>
      </c>
      <c r="M1837" t="str">
        <f>TEXT(Pqp_supermarket_data[[#This Row],[DateTime]],"mmm")</f>
        <v>Jan</v>
      </c>
      <c r="N1837" t="str">
        <f>TEXT(Pqp_supermarket_data[[#This Row],[DateTime]],"yyy")</f>
        <v>2022</v>
      </c>
    </row>
    <row r="1838" spans="1:14" x14ac:dyDescent="0.35">
      <c r="A1838" t="s">
        <v>3801</v>
      </c>
      <c r="B1838" s="1">
        <v>44634.57990621528</v>
      </c>
      <c r="C1838" t="s">
        <v>3802</v>
      </c>
      <c r="D1838" t="s">
        <v>69</v>
      </c>
      <c r="E1838" t="s">
        <v>26</v>
      </c>
      <c r="F1838">
        <v>2.5</v>
      </c>
      <c r="G1838">
        <v>3</v>
      </c>
      <c r="H1838" t="s">
        <v>14</v>
      </c>
      <c r="I1838" t="s">
        <v>61</v>
      </c>
      <c r="J1838" t="s">
        <v>134</v>
      </c>
      <c r="K1838">
        <f>Pqp_supermarket_data[[#This Row],[Unit_Price]]*Pqp_supermarket_data[[#This Row],[Quantity]]</f>
        <v>7.5</v>
      </c>
      <c r="L1838" t="str">
        <f>TEXT(Pqp_supermarket_data[[#This Row],[DateTime]],"ddd")</f>
        <v>Mon</v>
      </c>
      <c r="M1838" t="str">
        <f>TEXT(Pqp_supermarket_data[[#This Row],[DateTime]],"mmm")</f>
        <v>Mar</v>
      </c>
      <c r="N1838" t="str">
        <f>TEXT(Pqp_supermarket_data[[#This Row],[DateTime]],"yyy")</f>
        <v>2022</v>
      </c>
    </row>
    <row r="1839" spans="1:14" x14ac:dyDescent="0.35">
      <c r="A1839" t="s">
        <v>3803</v>
      </c>
      <c r="B1839" s="1">
        <v>45149.560461782406</v>
      </c>
      <c r="C1839" t="s">
        <v>3804</v>
      </c>
      <c r="D1839" t="s">
        <v>208</v>
      </c>
      <c r="E1839" t="s">
        <v>115</v>
      </c>
      <c r="F1839">
        <v>1.5</v>
      </c>
      <c r="G1839">
        <v>10</v>
      </c>
      <c r="H1839" t="s">
        <v>14</v>
      </c>
      <c r="I1839" t="s">
        <v>36</v>
      </c>
      <c r="J1839" t="s">
        <v>485</v>
      </c>
      <c r="K1839">
        <f>Pqp_supermarket_data[[#This Row],[Unit_Price]]*Pqp_supermarket_data[[#This Row],[Quantity]]</f>
        <v>15</v>
      </c>
      <c r="L1839" t="str">
        <f>TEXT(Pqp_supermarket_data[[#This Row],[DateTime]],"ddd")</f>
        <v>Fri</v>
      </c>
      <c r="M1839" t="str">
        <f>TEXT(Pqp_supermarket_data[[#This Row],[DateTime]],"mmm")</f>
        <v>Aug</v>
      </c>
      <c r="N1839" t="str">
        <f>TEXT(Pqp_supermarket_data[[#This Row],[DateTime]],"yyy")</f>
        <v>2023</v>
      </c>
    </row>
    <row r="1840" spans="1:14" x14ac:dyDescent="0.35">
      <c r="A1840" t="s">
        <v>3805</v>
      </c>
      <c r="B1840" s="1">
        <v>45552.476434004631</v>
      </c>
      <c r="C1840" t="s">
        <v>3806</v>
      </c>
      <c r="D1840" t="s">
        <v>69</v>
      </c>
      <c r="E1840" t="s">
        <v>45</v>
      </c>
      <c r="F1840">
        <v>1</v>
      </c>
      <c r="G1840">
        <v>2</v>
      </c>
      <c r="H1840" t="s">
        <v>14</v>
      </c>
      <c r="I1840" t="s">
        <v>21</v>
      </c>
      <c r="J1840" t="s">
        <v>58</v>
      </c>
      <c r="K1840">
        <f>Pqp_supermarket_data[[#This Row],[Unit_Price]]*Pqp_supermarket_data[[#This Row],[Quantity]]</f>
        <v>2</v>
      </c>
      <c r="L1840" t="str">
        <f>TEXT(Pqp_supermarket_data[[#This Row],[DateTime]],"ddd")</f>
        <v>Tue</v>
      </c>
      <c r="M1840" t="str">
        <f>TEXT(Pqp_supermarket_data[[#This Row],[DateTime]],"mmm")</f>
        <v>Sep</v>
      </c>
      <c r="N1840" t="str">
        <f>TEXT(Pqp_supermarket_data[[#This Row],[DateTime]],"yyy")</f>
        <v>2024</v>
      </c>
    </row>
    <row r="1841" spans="1:14" x14ac:dyDescent="0.35">
      <c r="A1841" t="s">
        <v>3807</v>
      </c>
      <c r="B1841" s="1">
        <v>45280.305600671294</v>
      </c>
      <c r="C1841" t="s">
        <v>3808</v>
      </c>
      <c r="D1841" t="s">
        <v>98</v>
      </c>
      <c r="E1841" t="s">
        <v>35</v>
      </c>
      <c r="F1841">
        <v>1.2</v>
      </c>
      <c r="G1841">
        <v>9</v>
      </c>
      <c r="H1841" t="s">
        <v>14</v>
      </c>
      <c r="I1841" t="s">
        <v>86</v>
      </c>
      <c r="J1841" t="s">
        <v>662</v>
      </c>
      <c r="K1841">
        <f>Pqp_supermarket_data[[#This Row],[Unit_Price]]*Pqp_supermarket_data[[#This Row],[Quantity]]</f>
        <v>10.799999999999999</v>
      </c>
      <c r="L1841" t="str">
        <f>TEXT(Pqp_supermarket_data[[#This Row],[DateTime]],"ddd")</f>
        <v>Wed</v>
      </c>
      <c r="M1841" t="str">
        <f>TEXT(Pqp_supermarket_data[[#This Row],[DateTime]],"mmm")</f>
        <v>Dec</v>
      </c>
      <c r="N1841" t="str">
        <f>TEXT(Pqp_supermarket_data[[#This Row],[DateTime]],"yyy")</f>
        <v>2023</v>
      </c>
    </row>
    <row r="1842" spans="1:14" x14ac:dyDescent="0.35">
      <c r="A1842" t="s">
        <v>3809</v>
      </c>
      <c r="B1842" s="1">
        <v>45673.421572893516</v>
      </c>
      <c r="C1842" t="s">
        <v>3810</v>
      </c>
      <c r="D1842" t="s">
        <v>82</v>
      </c>
      <c r="E1842" t="s">
        <v>115</v>
      </c>
      <c r="F1842">
        <v>1.5</v>
      </c>
      <c r="G1842">
        <v>3</v>
      </c>
      <c r="H1842" t="s">
        <v>14</v>
      </c>
      <c r="I1842" t="s">
        <v>15</v>
      </c>
      <c r="J1842" t="s">
        <v>112</v>
      </c>
      <c r="K1842">
        <f>Pqp_supermarket_data[[#This Row],[Unit_Price]]*Pqp_supermarket_data[[#This Row],[Quantity]]</f>
        <v>4.5</v>
      </c>
      <c r="L1842" t="str">
        <f>TEXT(Pqp_supermarket_data[[#This Row],[DateTime]],"ddd")</f>
        <v>Thu</v>
      </c>
      <c r="M1842" t="str">
        <f>TEXT(Pqp_supermarket_data[[#This Row],[DateTime]],"mmm")</f>
        <v>Jan</v>
      </c>
      <c r="N1842" t="str">
        <f>TEXT(Pqp_supermarket_data[[#This Row],[DateTime]],"yyy")</f>
        <v>2025</v>
      </c>
    </row>
    <row r="1843" spans="1:14" x14ac:dyDescent="0.35">
      <c r="A1843" t="s">
        <v>3811</v>
      </c>
      <c r="B1843" s="1">
        <v>45252.738239571758</v>
      </c>
      <c r="C1843" t="s">
        <v>3812</v>
      </c>
      <c r="D1843" t="s">
        <v>98</v>
      </c>
      <c r="E1843" t="s">
        <v>45</v>
      </c>
      <c r="F1843">
        <v>1</v>
      </c>
      <c r="G1843">
        <v>2</v>
      </c>
      <c r="H1843" t="s">
        <v>14</v>
      </c>
      <c r="I1843" t="s">
        <v>86</v>
      </c>
      <c r="J1843" t="s">
        <v>209</v>
      </c>
      <c r="K1843">
        <f>Pqp_supermarket_data[[#This Row],[Unit_Price]]*Pqp_supermarket_data[[#This Row],[Quantity]]</f>
        <v>2</v>
      </c>
      <c r="L1843" t="str">
        <f>TEXT(Pqp_supermarket_data[[#This Row],[DateTime]],"ddd")</f>
        <v>Wed</v>
      </c>
      <c r="M1843" t="str">
        <f>TEXT(Pqp_supermarket_data[[#This Row],[DateTime]],"mmm")</f>
        <v>Nov</v>
      </c>
      <c r="N1843" t="str">
        <f>TEXT(Pqp_supermarket_data[[#This Row],[DateTime]],"yyy")</f>
        <v>2023</v>
      </c>
    </row>
    <row r="1844" spans="1:14" x14ac:dyDescent="0.35">
      <c r="A1844" t="s">
        <v>3813</v>
      </c>
      <c r="B1844" s="1">
        <v>44484.552128460651</v>
      </c>
      <c r="C1844" t="s">
        <v>3814</v>
      </c>
      <c r="D1844" t="s">
        <v>69</v>
      </c>
      <c r="E1844" t="s">
        <v>26</v>
      </c>
      <c r="F1844">
        <v>2.5</v>
      </c>
      <c r="G1844">
        <v>3</v>
      </c>
      <c r="H1844" t="s">
        <v>14</v>
      </c>
      <c r="I1844" t="s">
        <v>21</v>
      </c>
      <c r="J1844" t="s">
        <v>202</v>
      </c>
      <c r="K1844">
        <f>Pqp_supermarket_data[[#This Row],[Unit_Price]]*Pqp_supermarket_data[[#This Row],[Quantity]]</f>
        <v>7.5</v>
      </c>
      <c r="L1844" t="str">
        <f>TEXT(Pqp_supermarket_data[[#This Row],[DateTime]],"ddd")</f>
        <v>Fri</v>
      </c>
      <c r="M1844" t="str">
        <f>TEXT(Pqp_supermarket_data[[#This Row],[DateTime]],"mmm")</f>
        <v>Oct</v>
      </c>
      <c r="N1844" t="str">
        <f>TEXT(Pqp_supermarket_data[[#This Row],[DateTime]],"yyy")</f>
        <v>2021</v>
      </c>
    </row>
    <row r="1845" spans="1:14" x14ac:dyDescent="0.35">
      <c r="A1845" t="s">
        <v>3815</v>
      </c>
      <c r="B1845" s="1">
        <v>44353.843100694445</v>
      </c>
      <c r="C1845" t="s">
        <v>3816</v>
      </c>
      <c r="D1845" t="s">
        <v>98</v>
      </c>
      <c r="E1845" t="s">
        <v>115</v>
      </c>
      <c r="F1845">
        <v>1.5</v>
      </c>
      <c r="G1845">
        <v>5</v>
      </c>
      <c r="H1845" t="s">
        <v>14</v>
      </c>
      <c r="I1845" t="s">
        <v>61</v>
      </c>
      <c r="J1845" t="s">
        <v>178</v>
      </c>
      <c r="K1845">
        <f>Pqp_supermarket_data[[#This Row],[Unit_Price]]*Pqp_supermarket_data[[#This Row],[Quantity]]</f>
        <v>7.5</v>
      </c>
      <c r="L1845" t="str">
        <f>TEXT(Pqp_supermarket_data[[#This Row],[DateTime]],"ddd")</f>
        <v>Sun</v>
      </c>
      <c r="M1845" t="str">
        <f>TEXT(Pqp_supermarket_data[[#This Row],[DateTime]],"mmm")</f>
        <v>Jun</v>
      </c>
      <c r="N1845" t="str">
        <f>TEXT(Pqp_supermarket_data[[#This Row],[DateTime]],"yyy")</f>
        <v>2021</v>
      </c>
    </row>
    <row r="1846" spans="1:14" x14ac:dyDescent="0.35">
      <c r="A1846" t="s">
        <v>3817</v>
      </c>
      <c r="B1846" s="1">
        <v>45581.788239583337</v>
      </c>
      <c r="C1846" t="s">
        <v>3818</v>
      </c>
      <c r="D1846" t="s">
        <v>44</v>
      </c>
      <c r="E1846" t="s">
        <v>13</v>
      </c>
      <c r="F1846">
        <v>3.1</v>
      </c>
      <c r="G1846">
        <v>7</v>
      </c>
      <c r="H1846" t="s">
        <v>14</v>
      </c>
      <c r="I1846" t="s">
        <v>86</v>
      </c>
      <c r="J1846" t="s">
        <v>160</v>
      </c>
      <c r="K1846">
        <f>Pqp_supermarket_data[[#This Row],[Unit_Price]]*Pqp_supermarket_data[[#This Row],[Quantity]]</f>
        <v>21.7</v>
      </c>
      <c r="L1846" t="str">
        <f>TEXT(Pqp_supermarket_data[[#This Row],[DateTime]],"ddd")</f>
        <v>Wed</v>
      </c>
      <c r="M1846" t="str">
        <f>TEXT(Pqp_supermarket_data[[#This Row],[DateTime]],"mmm")</f>
        <v>Oct</v>
      </c>
      <c r="N1846" t="str">
        <f>TEXT(Pqp_supermarket_data[[#This Row],[DateTime]],"yyy")</f>
        <v>2024</v>
      </c>
    </row>
    <row r="1847" spans="1:14" x14ac:dyDescent="0.35">
      <c r="A1847" t="s">
        <v>3819</v>
      </c>
      <c r="B1847" s="1">
        <v>45566.958378495372</v>
      </c>
      <c r="C1847" t="s">
        <v>3820</v>
      </c>
      <c r="D1847" t="s">
        <v>34</v>
      </c>
      <c r="E1847" t="s">
        <v>145</v>
      </c>
      <c r="F1847">
        <v>1.7</v>
      </c>
      <c r="G1847">
        <v>3</v>
      </c>
      <c r="H1847" t="s">
        <v>14</v>
      </c>
      <c r="I1847" t="s">
        <v>40</v>
      </c>
      <c r="J1847" t="s">
        <v>429</v>
      </c>
      <c r="K1847">
        <f>Pqp_supermarket_data[[#This Row],[Unit_Price]]*Pqp_supermarket_data[[#This Row],[Quantity]]</f>
        <v>5.0999999999999996</v>
      </c>
      <c r="L1847" t="str">
        <f>TEXT(Pqp_supermarket_data[[#This Row],[DateTime]],"ddd")</f>
        <v>Tue</v>
      </c>
      <c r="M1847" t="str">
        <f>TEXT(Pqp_supermarket_data[[#This Row],[DateTime]],"mmm")</f>
        <v>Oct</v>
      </c>
      <c r="N1847" t="str">
        <f>TEXT(Pqp_supermarket_data[[#This Row],[DateTime]],"yyy")</f>
        <v>2024</v>
      </c>
    </row>
    <row r="1848" spans="1:14" x14ac:dyDescent="0.35">
      <c r="A1848" t="s">
        <v>3821</v>
      </c>
      <c r="B1848" s="1">
        <v>44850.409767384263</v>
      </c>
      <c r="C1848" t="s">
        <v>3822</v>
      </c>
      <c r="D1848" t="s">
        <v>82</v>
      </c>
      <c r="E1848" t="s">
        <v>35</v>
      </c>
      <c r="F1848">
        <v>1.2</v>
      </c>
      <c r="G1848">
        <v>10</v>
      </c>
      <c r="H1848" t="s">
        <v>14</v>
      </c>
      <c r="I1848" t="s">
        <v>61</v>
      </c>
      <c r="J1848" t="s">
        <v>74</v>
      </c>
      <c r="K1848">
        <f>Pqp_supermarket_data[[#This Row],[Unit_Price]]*Pqp_supermarket_data[[#This Row],[Quantity]]</f>
        <v>12</v>
      </c>
      <c r="L1848" t="str">
        <f>TEXT(Pqp_supermarket_data[[#This Row],[DateTime]],"ddd")</f>
        <v>Sun</v>
      </c>
      <c r="M1848" t="str">
        <f>TEXT(Pqp_supermarket_data[[#This Row],[DateTime]],"mmm")</f>
        <v>Oct</v>
      </c>
      <c r="N1848" t="str">
        <f>TEXT(Pqp_supermarket_data[[#This Row],[DateTime]],"yyy")</f>
        <v>2022</v>
      </c>
    </row>
    <row r="1849" spans="1:14" x14ac:dyDescent="0.35">
      <c r="A1849" t="s">
        <v>3823</v>
      </c>
      <c r="B1849" s="1">
        <v>44464.68685071759</v>
      </c>
      <c r="C1849" t="s">
        <v>3824</v>
      </c>
      <c r="D1849" t="s">
        <v>30</v>
      </c>
      <c r="E1849" t="s">
        <v>45</v>
      </c>
      <c r="F1849">
        <v>1</v>
      </c>
      <c r="G1849">
        <v>8</v>
      </c>
      <c r="H1849" t="s">
        <v>14</v>
      </c>
      <c r="I1849" t="s">
        <v>40</v>
      </c>
      <c r="J1849" t="s">
        <v>62</v>
      </c>
      <c r="K1849">
        <f>Pqp_supermarket_data[[#This Row],[Unit_Price]]*Pqp_supermarket_data[[#This Row],[Quantity]]</f>
        <v>8</v>
      </c>
      <c r="L1849" t="str">
        <f>TEXT(Pqp_supermarket_data[[#This Row],[DateTime]],"ddd")</f>
        <v>Sat</v>
      </c>
      <c r="M1849" t="str">
        <f>TEXT(Pqp_supermarket_data[[#This Row],[DateTime]],"mmm")</f>
        <v>Sep</v>
      </c>
      <c r="N1849" t="str">
        <f>TEXT(Pqp_supermarket_data[[#This Row],[DateTime]],"yyy")</f>
        <v>2021</v>
      </c>
    </row>
    <row r="1850" spans="1:14" x14ac:dyDescent="0.35">
      <c r="A1850" t="s">
        <v>3825</v>
      </c>
      <c r="B1850" s="1">
        <v>45500.937545173612</v>
      </c>
      <c r="C1850" t="s">
        <v>3826</v>
      </c>
      <c r="D1850" t="s">
        <v>12</v>
      </c>
      <c r="E1850" t="s">
        <v>70</v>
      </c>
      <c r="F1850">
        <v>5</v>
      </c>
      <c r="G1850">
        <v>5</v>
      </c>
      <c r="H1850" t="s">
        <v>14</v>
      </c>
      <c r="I1850" t="s">
        <v>40</v>
      </c>
      <c r="J1850" t="s">
        <v>769</v>
      </c>
      <c r="K1850">
        <f>Pqp_supermarket_data[[#This Row],[Unit_Price]]*Pqp_supermarket_data[[#This Row],[Quantity]]</f>
        <v>25</v>
      </c>
      <c r="L1850" t="str">
        <f>TEXT(Pqp_supermarket_data[[#This Row],[DateTime]],"ddd")</f>
        <v>Sat</v>
      </c>
      <c r="M1850" t="str">
        <f>TEXT(Pqp_supermarket_data[[#This Row],[DateTime]],"mmm")</f>
        <v>Jul</v>
      </c>
      <c r="N1850" t="str">
        <f>TEXT(Pqp_supermarket_data[[#This Row],[DateTime]],"yyy")</f>
        <v>2024</v>
      </c>
    </row>
    <row r="1851" spans="1:14" x14ac:dyDescent="0.35">
      <c r="A1851" t="s">
        <v>3827</v>
      </c>
      <c r="B1851" s="1">
        <v>45053.85560072917</v>
      </c>
      <c r="C1851" t="s">
        <v>3828</v>
      </c>
      <c r="D1851" t="s">
        <v>34</v>
      </c>
      <c r="E1851" t="s">
        <v>90</v>
      </c>
      <c r="F1851">
        <v>1.8</v>
      </c>
      <c r="G1851">
        <v>4</v>
      </c>
      <c r="H1851" t="s">
        <v>14</v>
      </c>
      <c r="I1851" t="s">
        <v>61</v>
      </c>
      <c r="J1851" t="s">
        <v>54</v>
      </c>
      <c r="K1851">
        <f>Pqp_supermarket_data[[#This Row],[Unit_Price]]*Pqp_supermarket_data[[#This Row],[Quantity]]</f>
        <v>7.2</v>
      </c>
      <c r="L1851" t="str">
        <f>TEXT(Pqp_supermarket_data[[#This Row],[DateTime]],"ddd")</f>
        <v>Sun</v>
      </c>
      <c r="M1851" t="str">
        <f>TEXT(Pqp_supermarket_data[[#This Row],[DateTime]],"mmm")</f>
        <v>May</v>
      </c>
      <c r="N1851" t="str">
        <f>TEXT(Pqp_supermarket_data[[#This Row],[DateTime]],"yyy")</f>
        <v>2023</v>
      </c>
    </row>
    <row r="1852" spans="1:14" x14ac:dyDescent="0.35">
      <c r="A1852" t="s">
        <v>3829</v>
      </c>
      <c r="B1852" s="1">
        <v>44711.037545185187</v>
      </c>
      <c r="C1852" t="s">
        <v>3830</v>
      </c>
      <c r="D1852" t="s">
        <v>77</v>
      </c>
      <c r="E1852" t="s">
        <v>94</v>
      </c>
      <c r="F1852">
        <v>0.8</v>
      </c>
      <c r="G1852">
        <v>3</v>
      </c>
      <c r="H1852" t="s">
        <v>14</v>
      </c>
      <c r="I1852" t="s">
        <v>61</v>
      </c>
      <c r="J1852" t="s">
        <v>189</v>
      </c>
      <c r="K1852">
        <f>Pqp_supermarket_data[[#This Row],[Unit_Price]]*Pqp_supermarket_data[[#This Row],[Quantity]]</f>
        <v>2.4000000000000004</v>
      </c>
      <c r="L1852" t="str">
        <f>TEXT(Pqp_supermarket_data[[#This Row],[DateTime]],"ddd")</f>
        <v>Mon</v>
      </c>
      <c r="M1852" t="str">
        <f>TEXT(Pqp_supermarket_data[[#This Row],[DateTime]],"mmm")</f>
        <v>May</v>
      </c>
      <c r="N1852" t="str">
        <f>TEXT(Pqp_supermarket_data[[#This Row],[DateTime]],"yyy")</f>
        <v>2022</v>
      </c>
    </row>
    <row r="1853" spans="1:14" x14ac:dyDescent="0.35">
      <c r="A1853" t="s">
        <v>3831</v>
      </c>
      <c r="B1853" s="1">
        <v>44633.122961851848</v>
      </c>
      <c r="C1853" t="s">
        <v>3832</v>
      </c>
      <c r="D1853" t="s">
        <v>12</v>
      </c>
      <c r="E1853" t="s">
        <v>111</v>
      </c>
      <c r="F1853">
        <v>2.2000000000000002</v>
      </c>
      <c r="G1853">
        <v>5</v>
      </c>
      <c r="H1853" t="s">
        <v>14</v>
      </c>
      <c r="I1853" t="s">
        <v>36</v>
      </c>
      <c r="J1853" t="s">
        <v>108</v>
      </c>
      <c r="K1853">
        <f>Pqp_supermarket_data[[#This Row],[Unit_Price]]*Pqp_supermarket_data[[#This Row],[Quantity]]</f>
        <v>11</v>
      </c>
      <c r="L1853" t="str">
        <f>TEXT(Pqp_supermarket_data[[#This Row],[DateTime]],"ddd")</f>
        <v>Sun</v>
      </c>
      <c r="M1853" t="str">
        <f>TEXT(Pqp_supermarket_data[[#This Row],[DateTime]],"mmm")</f>
        <v>Mar</v>
      </c>
      <c r="N1853" t="str">
        <f>TEXT(Pqp_supermarket_data[[#This Row],[DateTime]],"yyy")</f>
        <v>2022</v>
      </c>
    </row>
    <row r="1854" spans="1:14" x14ac:dyDescent="0.35">
      <c r="A1854" t="s">
        <v>3833</v>
      </c>
      <c r="B1854" s="1">
        <v>44980.436156307871</v>
      </c>
      <c r="C1854" t="s">
        <v>3834</v>
      </c>
      <c r="D1854" t="s">
        <v>34</v>
      </c>
      <c r="E1854" t="s">
        <v>115</v>
      </c>
      <c r="F1854">
        <v>1.5</v>
      </c>
      <c r="G1854">
        <v>7</v>
      </c>
      <c r="H1854" t="s">
        <v>14</v>
      </c>
      <c r="I1854" t="s">
        <v>86</v>
      </c>
      <c r="J1854" t="s">
        <v>538</v>
      </c>
      <c r="K1854">
        <f>Pqp_supermarket_data[[#This Row],[Unit_Price]]*Pqp_supermarket_data[[#This Row],[Quantity]]</f>
        <v>10.5</v>
      </c>
      <c r="L1854" t="str">
        <f>TEXT(Pqp_supermarket_data[[#This Row],[DateTime]],"ddd")</f>
        <v>Thu</v>
      </c>
      <c r="M1854" t="str">
        <f>TEXT(Pqp_supermarket_data[[#This Row],[DateTime]],"mmm")</f>
        <v>Feb</v>
      </c>
      <c r="N1854" t="str">
        <f>TEXT(Pqp_supermarket_data[[#This Row],[DateTime]],"yyy")</f>
        <v>2023</v>
      </c>
    </row>
    <row r="1855" spans="1:14" x14ac:dyDescent="0.35">
      <c r="A1855" t="s">
        <v>3835</v>
      </c>
      <c r="B1855" s="1">
        <v>44437.326434085648</v>
      </c>
      <c r="C1855" t="s">
        <v>3836</v>
      </c>
      <c r="D1855" t="s">
        <v>12</v>
      </c>
      <c r="E1855" t="s">
        <v>90</v>
      </c>
      <c r="F1855">
        <v>1.8</v>
      </c>
      <c r="G1855">
        <v>9</v>
      </c>
      <c r="H1855" t="s">
        <v>14</v>
      </c>
      <c r="I1855" t="s">
        <v>61</v>
      </c>
      <c r="J1855" t="s">
        <v>295</v>
      </c>
      <c r="K1855">
        <f>Pqp_supermarket_data[[#This Row],[Unit_Price]]*Pqp_supermarket_data[[#This Row],[Quantity]]</f>
        <v>16.2</v>
      </c>
      <c r="L1855" t="str">
        <f>TEXT(Pqp_supermarket_data[[#This Row],[DateTime]],"ddd")</f>
        <v>Sun</v>
      </c>
      <c r="M1855" t="str">
        <f>TEXT(Pqp_supermarket_data[[#This Row],[DateTime]],"mmm")</f>
        <v>Aug</v>
      </c>
      <c r="N1855" t="str">
        <f>TEXT(Pqp_supermarket_data[[#This Row],[DateTime]],"yyy")</f>
        <v>2021</v>
      </c>
    </row>
    <row r="1856" spans="1:14" x14ac:dyDescent="0.35">
      <c r="A1856" t="s">
        <v>3837</v>
      </c>
      <c r="B1856" s="1">
        <v>44357.117406307872</v>
      </c>
      <c r="C1856" t="s">
        <v>3838</v>
      </c>
      <c r="D1856" t="s">
        <v>171</v>
      </c>
      <c r="E1856" t="s">
        <v>53</v>
      </c>
      <c r="F1856">
        <v>2.8</v>
      </c>
      <c r="G1856">
        <v>10</v>
      </c>
      <c r="H1856" t="s">
        <v>14</v>
      </c>
      <c r="I1856" t="s">
        <v>21</v>
      </c>
      <c r="J1856" t="s">
        <v>548</v>
      </c>
      <c r="K1856">
        <f>Pqp_supermarket_data[[#This Row],[Unit_Price]]*Pqp_supermarket_data[[#This Row],[Quantity]]</f>
        <v>28</v>
      </c>
      <c r="L1856" t="str">
        <f>TEXT(Pqp_supermarket_data[[#This Row],[DateTime]],"ddd")</f>
        <v>Thu</v>
      </c>
      <c r="M1856" t="str">
        <f>TEXT(Pqp_supermarket_data[[#This Row],[DateTime]],"mmm")</f>
        <v>Jun</v>
      </c>
      <c r="N1856" t="str">
        <f>TEXT(Pqp_supermarket_data[[#This Row],[DateTime]],"yyy")</f>
        <v>2021</v>
      </c>
    </row>
    <row r="1857" spans="1:14" x14ac:dyDescent="0.35">
      <c r="A1857" t="s">
        <v>3839</v>
      </c>
      <c r="B1857" s="1">
        <v>45648.517406319443</v>
      </c>
      <c r="C1857" t="s">
        <v>3840</v>
      </c>
      <c r="D1857" t="s">
        <v>34</v>
      </c>
      <c r="E1857" t="s">
        <v>94</v>
      </c>
      <c r="F1857">
        <v>0.8</v>
      </c>
      <c r="G1857">
        <v>4</v>
      </c>
      <c r="H1857" t="s">
        <v>14</v>
      </c>
      <c r="I1857" t="s">
        <v>40</v>
      </c>
      <c r="J1857" t="s">
        <v>178</v>
      </c>
      <c r="K1857">
        <f>Pqp_supermarket_data[[#This Row],[Unit_Price]]*Pqp_supermarket_data[[#This Row],[Quantity]]</f>
        <v>3.2</v>
      </c>
      <c r="L1857" t="str">
        <f>TEXT(Pqp_supermarket_data[[#This Row],[DateTime]],"ddd")</f>
        <v>Sun</v>
      </c>
      <c r="M1857" t="str">
        <f>TEXT(Pqp_supermarket_data[[#This Row],[DateTime]],"mmm")</f>
        <v>Dec</v>
      </c>
      <c r="N1857" t="str">
        <f>TEXT(Pqp_supermarket_data[[#This Row],[DateTime]],"yyy")</f>
        <v>2024</v>
      </c>
    </row>
    <row r="1858" spans="1:14" x14ac:dyDescent="0.35">
      <c r="A1858" t="s">
        <v>3841</v>
      </c>
      <c r="B1858" s="1">
        <v>45568.893795208336</v>
      </c>
      <c r="C1858" t="s">
        <v>3842</v>
      </c>
      <c r="D1858" t="s">
        <v>30</v>
      </c>
      <c r="E1858" t="s">
        <v>115</v>
      </c>
      <c r="F1858">
        <v>1.5</v>
      </c>
      <c r="G1858">
        <v>6</v>
      </c>
      <c r="H1858" t="s">
        <v>14</v>
      </c>
      <c r="I1858" t="s">
        <v>15</v>
      </c>
      <c r="J1858" t="s">
        <v>426</v>
      </c>
      <c r="K1858">
        <f>Pqp_supermarket_data[[#This Row],[Unit_Price]]*Pqp_supermarket_data[[#This Row],[Quantity]]</f>
        <v>9</v>
      </c>
      <c r="L1858" t="str">
        <f>TEXT(Pqp_supermarket_data[[#This Row],[DateTime]],"ddd")</f>
        <v>Thu</v>
      </c>
      <c r="M1858" t="str">
        <f>TEXT(Pqp_supermarket_data[[#This Row],[DateTime]],"mmm")</f>
        <v>Oct</v>
      </c>
      <c r="N1858" t="str">
        <f>TEXT(Pqp_supermarket_data[[#This Row],[DateTime]],"yyy")</f>
        <v>2024</v>
      </c>
    </row>
    <row r="1859" spans="1:14" x14ac:dyDescent="0.35">
      <c r="A1859" t="s">
        <v>3843</v>
      </c>
      <c r="B1859" s="1">
        <v>45302.395184108798</v>
      </c>
      <c r="C1859" t="s">
        <v>3844</v>
      </c>
      <c r="D1859" t="s">
        <v>19</v>
      </c>
      <c r="E1859" t="s">
        <v>94</v>
      </c>
      <c r="F1859">
        <v>0.8</v>
      </c>
      <c r="G1859">
        <v>7</v>
      </c>
      <c r="H1859" t="s">
        <v>14</v>
      </c>
      <c r="I1859" t="s">
        <v>86</v>
      </c>
      <c r="J1859" t="s">
        <v>95</v>
      </c>
      <c r="K1859">
        <f>Pqp_supermarket_data[[#This Row],[Unit_Price]]*Pqp_supermarket_data[[#This Row],[Quantity]]</f>
        <v>5.6000000000000005</v>
      </c>
      <c r="L1859" t="str">
        <f>TEXT(Pqp_supermarket_data[[#This Row],[DateTime]],"ddd")</f>
        <v>Thu</v>
      </c>
      <c r="M1859" t="str">
        <f>TEXT(Pqp_supermarket_data[[#This Row],[DateTime]],"mmm")</f>
        <v>Jan</v>
      </c>
      <c r="N1859" t="str">
        <f>TEXT(Pqp_supermarket_data[[#This Row],[DateTime]],"yyy")</f>
        <v>2024</v>
      </c>
    </row>
    <row r="1860" spans="1:14" x14ac:dyDescent="0.35">
      <c r="A1860" t="s">
        <v>3845</v>
      </c>
      <c r="B1860" s="1">
        <v>45659.756989664354</v>
      </c>
      <c r="C1860" t="s">
        <v>3846</v>
      </c>
      <c r="D1860" t="s">
        <v>77</v>
      </c>
      <c r="E1860" t="s">
        <v>137</v>
      </c>
      <c r="F1860">
        <v>2.5</v>
      </c>
      <c r="G1860">
        <v>2</v>
      </c>
      <c r="H1860" t="s">
        <v>14</v>
      </c>
      <c r="I1860" t="s">
        <v>86</v>
      </c>
      <c r="J1860" t="s">
        <v>302</v>
      </c>
      <c r="K1860">
        <f>Pqp_supermarket_data[[#This Row],[Unit_Price]]*Pqp_supermarket_data[[#This Row],[Quantity]]</f>
        <v>5</v>
      </c>
      <c r="L1860" t="str">
        <f>TEXT(Pqp_supermarket_data[[#This Row],[DateTime]],"ddd")</f>
        <v>Thu</v>
      </c>
      <c r="M1860" t="str">
        <f>TEXT(Pqp_supermarket_data[[#This Row],[DateTime]],"mmm")</f>
        <v>Jan</v>
      </c>
      <c r="N1860" t="str">
        <f>TEXT(Pqp_supermarket_data[[#This Row],[DateTime]],"yyy")</f>
        <v>2025</v>
      </c>
    </row>
    <row r="1861" spans="1:14" x14ac:dyDescent="0.35">
      <c r="A1861" t="s">
        <v>3847</v>
      </c>
      <c r="B1861" s="1">
        <v>45019.740322997684</v>
      </c>
      <c r="C1861" t="s">
        <v>3848</v>
      </c>
      <c r="D1861" t="s">
        <v>34</v>
      </c>
      <c r="E1861" t="s">
        <v>35</v>
      </c>
      <c r="F1861">
        <v>1.2</v>
      </c>
      <c r="G1861">
        <v>3</v>
      </c>
      <c r="H1861" t="s">
        <v>14</v>
      </c>
      <c r="I1861" t="s">
        <v>61</v>
      </c>
      <c r="J1861" t="s">
        <v>192</v>
      </c>
      <c r="K1861">
        <f>Pqp_supermarket_data[[#This Row],[Unit_Price]]*Pqp_supermarket_data[[#This Row],[Quantity]]</f>
        <v>3.5999999999999996</v>
      </c>
      <c r="L1861" t="str">
        <f>TEXT(Pqp_supermarket_data[[#This Row],[DateTime]],"ddd")</f>
        <v>Mon</v>
      </c>
      <c r="M1861" t="str">
        <f>TEXT(Pqp_supermarket_data[[#This Row],[DateTime]],"mmm")</f>
        <v>Apr</v>
      </c>
      <c r="N1861" t="str">
        <f>TEXT(Pqp_supermarket_data[[#This Row],[DateTime]],"yyy")</f>
        <v>2023</v>
      </c>
    </row>
    <row r="1862" spans="1:14" x14ac:dyDescent="0.35">
      <c r="A1862" t="s">
        <v>3849</v>
      </c>
      <c r="B1862" s="1">
        <v>44355.959767442131</v>
      </c>
      <c r="C1862" t="s">
        <v>3850</v>
      </c>
      <c r="D1862" t="s">
        <v>69</v>
      </c>
      <c r="E1862" t="s">
        <v>119</v>
      </c>
      <c r="F1862">
        <v>4</v>
      </c>
      <c r="G1862">
        <v>9</v>
      </c>
      <c r="H1862" t="s">
        <v>14</v>
      </c>
      <c r="I1862" t="s">
        <v>15</v>
      </c>
      <c r="J1862" t="s">
        <v>485</v>
      </c>
      <c r="K1862">
        <f>Pqp_supermarket_data[[#This Row],[Unit_Price]]*Pqp_supermarket_data[[#This Row],[Quantity]]</f>
        <v>36</v>
      </c>
      <c r="L1862" t="str">
        <f>TEXT(Pqp_supermarket_data[[#This Row],[DateTime]],"ddd")</f>
        <v>Tue</v>
      </c>
      <c r="M1862" t="str">
        <f>TEXT(Pqp_supermarket_data[[#This Row],[DateTime]],"mmm")</f>
        <v>Jun</v>
      </c>
      <c r="N1862" t="str">
        <f>TEXT(Pqp_supermarket_data[[#This Row],[DateTime]],"yyy")</f>
        <v>2021</v>
      </c>
    </row>
    <row r="1863" spans="1:14" x14ac:dyDescent="0.35">
      <c r="A1863" t="s">
        <v>3851</v>
      </c>
      <c r="B1863" s="1">
        <v>45268.915323009256</v>
      </c>
      <c r="C1863" t="s">
        <v>3852</v>
      </c>
      <c r="D1863" t="s">
        <v>30</v>
      </c>
      <c r="E1863" t="s">
        <v>57</v>
      </c>
      <c r="F1863">
        <v>4.5</v>
      </c>
      <c r="G1863">
        <v>4</v>
      </c>
      <c r="H1863" t="s">
        <v>14</v>
      </c>
      <c r="I1863" t="s">
        <v>15</v>
      </c>
      <c r="J1863" t="s">
        <v>202</v>
      </c>
      <c r="K1863">
        <f>Pqp_supermarket_data[[#This Row],[Unit_Price]]*Pqp_supermarket_data[[#This Row],[Quantity]]</f>
        <v>18</v>
      </c>
      <c r="L1863" t="str">
        <f>TEXT(Pqp_supermarket_data[[#This Row],[DateTime]],"ddd")</f>
        <v>Fri</v>
      </c>
      <c r="M1863" t="str">
        <f>TEXT(Pqp_supermarket_data[[#This Row],[DateTime]],"mmm")</f>
        <v>Dec</v>
      </c>
      <c r="N1863" t="str">
        <f>TEXT(Pqp_supermarket_data[[#This Row],[DateTime]],"yyy")</f>
        <v>2023</v>
      </c>
    </row>
    <row r="1864" spans="1:14" x14ac:dyDescent="0.35">
      <c r="A1864" t="s">
        <v>3853</v>
      </c>
      <c r="B1864" s="1">
        <v>45454.981989675929</v>
      </c>
      <c r="C1864" t="s">
        <v>3854</v>
      </c>
      <c r="D1864" t="s">
        <v>85</v>
      </c>
      <c r="E1864" t="s">
        <v>78</v>
      </c>
      <c r="F1864">
        <v>4</v>
      </c>
      <c r="G1864">
        <v>2</v>
      </c>
      <c r="H1864" t="s">
        <v>14</v>
      </c>
      <c r="I1864" t="s">
        <v>21</v>
      </c>
      <c r="J1864" t="s">
        <v>27</v>
      </c>
      <c r="K1864">
        <f>Pqp_supermarket_data[[#This Row],[Unit_Price]]*Pqp_supermarket_data[[#This Row],[Quantity]]</f>
        <v>8</v>
      </c>
      <c r="L1864" t="str">
        <f>TEXT(Pqp_supermarket_data[[#This Row],[DateTime]],"ddd")</f>
        <v>Tue</v>
      </c>
      <c r="M1864" t="str">
        <f>TEXT(Pqp_supermarket_data[[#This Row],[DateTime]],"mmm")</f>
        <v>Jun</v>
      </c>
      <c r="N1864" t="str">
        <f>TEXT(Pqp_supermarket_data[[#This Row],[DateTime]],"yyy")</f>
        <v>2024</v>
      </c>
    </row>
    <row r="1865" spans="1:14" x14ac:dyDescent="0.35">
      <c r="A1865" t="s">
        <v>3855</v>
      </c>
      <c r="B1865" s="1">
        <v>44497.68060078704</v>
      </c>
      <c r="C1865" t="s">
        <v>3856</v>
      </c>
      <c r="D1865" t="s">
        <v>25</v>
      </c>
      <c r="E1865" t="s">
        <v>137</v>
      </c>
      <c r="F1865">
        <v>2.5</v>
      </c>
      <c r="G1865">
        <v>3</v>
      </c>
      <c r="H1865" t="s">
        <v>14</v>
      </c>
      <c r="I1865" t="s">
        <v>40</v>
      </c>
      <c r="J1865" t="s">
        <v>116</v>
      </c>
      <c r="K1865">
        <f>Pqp_supermarket_data[[#This Row],[Unit_Price]]*Pqp_supermarket_data[[#This Row],[Quantity]]</f>
        <v>7.5</v>
      </c>
      <c r="L1865" t="str">
        <f>TEXT(Pqp_supermarket_data[[#This Row],[DateTime]],"ddd")</f>
        <v>Thu</v>
      </c>
      <c r="M1865" t="str">
        <f>TEXT(Pqp_supermarket_data[[#This Row],[DateTime]],"mmm")</f>
        <v>Oct</v>
      </c>
      <c r="N1865" t="str">
        <f>TEXT(Pqp_supermarket_data[[#This Row],[DateTime]],"yyy")</f>
        <v>2021</v>
      </c>
    </row>
    <row r="1866" spans="1:14" x14ac:dyDescent="0.35">
      <c r="A1866" t="s">
        <v>3857</v>
      </c>
      <c r="B1866" s="1">
        <v>44950.786156354166</v>
      </c>
      <c r="C1866" t="s">
        <v>3858</v>
      </c>
      <c r="D1866" t="s">
        <v>34</v>
      </c>
      <c r="E1866" t="s">
        <v>65</v>
      </c>
      <c r="F1866">
        <v>3</v>
      </c>
      <c r="G1866">
        <v>6</v>
      </c>
      <c r="H1866" t="s">
        <v>14</v>
      </c>
      <c r="I1866" t="s">
        <v>15</v>
      </c>
      <c r="J1866" t="s">
        <v>382</v>
      </c>
      <c r="K1866">
        <f>Pqp_supermarket_data[[#This Row],[Unit_Price]]*Pqp_supermarket_data[[#This Row],[Quantity]]</f>
        <v>18</v>
      </c>
      <c r="L1866" t="str">
        <f>TEXT(Pqp_supermarket_data[[#This Row],[DateTime]],"ddd")</f>
        <v>Tue</v>
      </c>
      <c r="M1866" t="str">
        <f>TEXT(Pqp_supermarket_data[[#This Row],[DateTime]],"mmm")</f>
        <v>Jan</v>
      </c>
      <c r="N1866" t="str">
        <f>TEXT(Pqp_supermarket_data[[#This Row],[DateTime]],"yyy")</f>
        <v>2023</v>
      </c>
    </row>
    <row r="1867" spans="1:14" x14ac:dyDescent="0.35">
      <c r="A1867" t="s">
        <v>3859</v>
      </c>
      <c r="B1867" s="1">
        <v>44470.871573020835</v>
      </c>
      <c r="C1867" t="s">
        <v>2409</v>
      </c>
      <c r="D1867" t="s">
        <v>25</v>
      </c>
      <c r="E1867" t="s">
        <v>78</v>
      </c>
      <c r="F1867">
        <v>4</v>
      </c>
      <c r="G1867">
        <v>10</v>
      </c>
      <c r="H1867" t="s">
        <v>14</v>
      </c>
      <c r="I1867" t="s">
        <v>86</v>
      </c>
      <c r="J1867" t="s">
        <v>616</v>
      </c>
      <c r="K1867">
        <f>Pqp_supermarket_data[[#This Row],[Unit_Price]]*Pqp_supermarket_data[[#This Row],[Quantity]]</f>
        <v>40</v>
      </c>
      <c r="L1867" t="str">
        <f>TEXT(Pqp_supermarket_data[[#This Row],[DateTime]],"ddd")</f>
        <v>Fri</v>
      </c>
      <c r="M1867" t="str">
        <f>TEXT(Pqp_supermarket_data[[#This Row],[DateTime]],"mmm")</f>
        <v>Oct</v>
      </c>
      <c r="N1867" t="str">
        <f>TEXT(Pqp_supermarket_data[[#This Row],[DateTime]],"yyy")</f>
        <v>2021</v>
      </c>
    </row>
    <row r="1868" spans="1:14" x14ac:dyDescent="0.35">
      <c r="A1868" t="s">
        <v>3860</v>
      </c>
      <c r="B1868" s="1">
        <v>45065.074350821757</v>
      </c>
      <c r="C1868" t="s">
        <v>3861</v>
      </c>
      <c r="D1868" t="s">
        <v>19</v>
      </c>
      <c r="E1868" t="s">
        <v>20</v>
      </c>
      <c r="F1868">
        <v>1</v>
      </c>
      <c r="G1868">
        <v>3</v>
      </c>
      <c r="H1868" t="s">
        <v>14</v>
      </c>
      <c r="I1868" t="s">
        <v>40</v>
      </c>
      <c r="J1868" t="s">
        <v>510</v>
      </c>
      <c r="K1868">
        <f>Pqp_supermarket_data[[#This Row],[Unit_Price]]*Pqp_supermarket_data[[#This Row],[Quantity]]</f>
        <v>3</v>
      </c>
      <c r="L1868" t="str">
        <f>TEXT(Pqp_supermarket_data[[#This Row],[DateTime]],"ddd")</f>
        <v>Fri</v>
      </c>
      <c r="M1868" t="str">
        <f>TEXT(Pqp_supermarket_data[[#This Row],[DateTime]],"mmm")</f>
        <v>May</v>
      </c>
      <c r="N1868" t="str">
        <f>TEXT(Pqp_supermarket_data[[#This Row],[DateTime]],"yyy")</f>
        <v>2023</v>
      </c>
    </row>
    <row r="1869" spans="1:14" x14ac:dyDescent="0.35">
      <c r="A1869" t="s">
        <v>3862</v>
      </c>
      <c r="B1869" s="1">
        <v>44910.709767488428</v>
      </c>
      <c r="C1869" t="s">
        <v>3863</v>
      </c>
      <c r="D1869" t="s">
        <v>34</v>
      </c>
      <c r="E1869" t="s">
        <v>65</v>
      </c>
      <c r="F1869">
        <v>3</v>
      </c>
      <c r="G1869">
        <v>10</v>
      </c>
      <c r="H1869" t="s">
        <v>14</v>
      </c>
      <c r="I1869" t="s">
        <v>40</v>
      </c>
      <c r="J1869" t="s">
        <v>295</v>
      </c>
      <c r="K1869">
        <f>Pqp_supermarket_data[[#This Row],[Unit_Price]]*Pqp_supermarket_data[[#This Row],[Quantity]]</f>
        <v>30</v>
      </c>
      <c r="L1869" t="str">
        <f>TEXT(Pqp_supermarket_data[[#This Row],[DateTime]],"ddd")</f>
        <v>Thu</v>
      </c>
      <c r="M1869" t="str">
        <f>TEXT(Pqp_supermarket_data[[#This Row],[DateTime]],"mmm")</f>
        <v>Dec</v>
      </c>
      <c r="N1869" t="str">
        <f>TEXT(Pqp_supermarket_data[[#This Row],[DateTime]],"yyy")</f>
        <v>2022</v>
      </c>
    </row>
    <row r="1870" spans="1:14" x14ac:dyDescent="0.35">
      <c r="A1870" t="s">
        <v>3864</v>
      </c>
      <c r="B1870" s="1">
        <v>44727.180600821761</v>
      </c>
      <c r="C1870" t="s">
        <v>3865</v>
      </c>
      <c r="D1870" t="s">
        <v>77</v>
      </c>
      <c r="E1870" t="s">
        <v>115</v>
      </c>
      <c r="F1870">
        <v>1.5</v>
      </c>
      <c r="G1870">
        <v>4</v>
      </c>
      <c r="H1870" t="s">
        <v>14</v>
      </c>
      <c r="I1870" t="s">
        <v>40</v>
      </c>
      <c r="J1870" t="s">
        <v>273</v>
      </c>
      <c r="K1870">
        <f>Pqp_supermarket_data[[#This Row],[Unit_Price]]*Pqp_supermarket_data[[#This Row],[Quantity]]</f>
        <v>6</v>
      </c>
      <c r="L1870" t="str">
        <f>TEXT(Pqp_supermarket_data[[#This Row],[DateTime]],"ddd")</f>
        <v>Wed</v>
      </c>
      <c r="M1870" t="str">
        <f>TEXT(Pqp_supermarket_data[[#This Row],[DateTime]],"mmm")</f>
        <v>Jun</v>
      </c>
      <c r="N1870" t="str">
        <f>TEXT(Pqp_supermarket_data[[#This Row],[DateTime]],"yyy")</f>
        <v>2022</v>
      </c>
    </row>
    <row r="1871" spans="1:14" x14ac:dyDescent="0.35">
      <c r="A1871" t="s">
        <v>3866</v>
      </c>
      <c r="B1871" s="1">
        <v>44679.142406388892</v>
      </c>
      <c r="C1871" t="s">
        <v>3867</v>
      </c>
      <c r="D1871" t="s">
        <v>25</v>
      </c>
      <c r="E1871" t="s">
        <v>57</v>
      </c>
      <c r="F1871">
        <v>4.5</v>
      </c>
      <c r="G1871">
        <v>5</v>
      </c>
      <c r="H1871" t="s">
        <v>14</v>
      </c>
      <c r="I1871" t="s">
        <v>86</v>
      </c>
      <c r="J1871" t="s">
        <v>54</v>
      </c>
      <c r="K1871">
        <f>Pqp_supermarket_data[[#This Row],[Unit_Price]]*Pqp_supermarket_data[[#This Row],[Quantity]]</f>
        <v>22.5</v>
      </c>
      <c r="L1871" t="str">
        <f>TEXT(Pqp_supermarket_data[[#This Row],[DateTime]],"ddd")</f>
        <v>Thu</v>
      </c>
      <c r="M1871" t="str">
        <f>TEXT(Pqp_supermarket_data[[#This Row],[DateTime]],"mmm")</f>
        <v>Apr</v>
      </c>
      <c r="N1871" t="str">
        <f>TEXT(Pqp_supermarket_data[[#This Row],[DateTime]],"yyy")</f>
        <v>2022</v>
      </c>
    </row>
    <row r="1872" spans="1:14" x14ac:dyDescent="0.35">
      <c r="A1872" t="s">
        <v>3868</v>
      </c>
      <c r="B1872" s="1">
        <v>45054.438239722222</v>
      </c>
      <c r="C1872" t="s">
        <v>3869</v>
      </c>
      <c r="D1872" t="s">
        <v>34</v>
      </c>
      <c r="E1872" t="s">
        <v>94</v>
      </c>
      <c r="F1872">
        <v>0.8</v>
      </c>
      <c r="G1872">
        <v>5</v>
      </c>
      <c r="H1872" t="s">
        <v>14</v>
      </c>
      <c r="I1872" t="s">
        <v>40</v>
      </c>
      <c r="J1872" t="s">
        <v>183</v>
      </c>
      <c r="K1872">
        <f>Pqp_supermarket_data[[#This Row],[Unit_Price]]*Pqp_supermarket_data[[#This Row],[Quantity]]</f>
        <v>4</v>
      </c>
      <c r="L1872" t="str">
        <f>TEXT(Pqp_supermarket_data[[#This Row],[DateTime]],"ddd")</f>
        <v>Mon</v>
      </c>
      <c r="M1872" t="str">
        <f>TEXT(Pqp_supermarket_data[[#This Row],[DateTime]],"mmm")</f>
        <v>May</v>
      </c>
      <c r="N1872" t="str">
        <f>TEXT(Pqp_supermarket_data[[#This Row],[DateTime]],"yyy")</f>
        <v>2023</v>
      </c>
    </row>
    <row r="1873" spans="1:14" x14ac:dyDescent="0.35">
      <c r="A1873" t="s">
        <v>3870</v>
      </c>
      <c r="B1873" s="1">
        <v>44608.230600844909</v>
      </c>
      <c r="C1873" t="s">
        <v>3871</v>
      </c>
      <c r="D1873" t="s">
        <v>85</v>
      </c>
      <c r="E1873" t="s">
        <v>45</v>
      </c>
      <c r="F1873">
        <v>1</v>
      </c>
      <c r="G1873">
        <v>9</v>
      </c>
      <c r="H1873" t="s">
        <v>14</v>
      </c>
      <c r="I1873" t="s">
        <v>61</v>
      </c>
      <c r="J1873" t="s">
        <v>548</v>
      </c>
      <c r="K1873">
        <f>Pqp_supermarket_data[[#This Row],[Unit_Price]]*Pqp_supermarket_data[[#This Row],[Quantity]]</f>
        <v>9</v>
      </c>
      <c r="L1873" t="str">
        <f>TEXT(Pqp_supermarket_data[[#This Row],[DateTime]],"ddd")</f>
        <v>Wed</v>
      </c>
      <c r="M1873" t="str">
        <f>TEXT(Pqp_supermarket_data[[#This Row],[DateTime]],"mmm")</f>
        <v>Feb</v>
      </c>
      <c r="N1873" t="str">
        <f>TEXT(Pqp_supermarket_data[[#This Row],[DateTime]],"yyy")</f>
        <v>2022</v>
      </c>
    </row>
    <row r="1874" spans="1:14" x14ac:dyDescent="0.35">
      <c r="A1874" t="s">
        <v>3872</v>
      </c>
      <c r="B1874" s="1">
        <v>44520.494489745368</v>
      </c>
      <c r="C1874" t="s">
        <v>3873</v>
      </c>
      <c r="D1874" t="s">
        <v>12</v>
      </c>
      <c r="E1874" t="s">
        <v>148</v>
      </c>
      <c r="F1874">
        <v>5.5</v>
      </c>
      <c r="G1874">
        <v>10</v>
      </c>
      <c r="H1874" t="s">
        <v>14</v>
      </c>
      <c r="I1874" t="s">
        <v>86</v>
      </c>
      <c r="J1874" t="s">
        <v>924</v>
      </c>
      <c r="K1874">
        <f>Pqp_supermarket_data[[#This Row],[Unit_Price]]*Pqp_supermarket_data[[#This Row],[Quantity]]</f>
        <v>55</v>
      </c>
      <c r="L1874" t="str">
        <f>TEXT(Pqp_supermarket_data[[#This Row],[DateTime]],"ddd")</f>
        <v>Sat</v>
      </c>
      <c r="M1874" t="str">
        <f>TEXT(Pqp_supermarket_data[[#This Row],[DateTime]],"mmm")</f>
        <v>Nov</v>
      </c>
      <c r="N1874" t="str">
        <f>TEXT(Pqp_supermarket_data[[#This Row],[DateTime]],"yyy")</f>
        <v>2021</v>
      </c>
    </row>
    <row r="1875" spans="1:14" x14ac:dyDescent="0.35">
      <c r="A1875" t="s">
        <v>3874</v>
      </c>
      <c r="B1875" s="1">
        <v>44449.558378634261</v>
      </c>
      <c r="C1875" t="s">
        <v>3875</v>
      </c>
      <c r="D1875" t="s">
        <v>44</v>
      </c>
      <c r="E1875" t="s">
        <v>145</v>
      </c>
      <c r="F1875">
        <v>1.7</v>
      </c>
      <c r="G1875">
        <v>5</v>
      </c>
      <c r="H1875" t="s">
        <v>14</v>
      </c>
      <c r="I1875" t="s">
        <v>15</v>
      </c>
      <c r="J1875" t="s">
        <v>517</v>
      </c>
      <c r="K1875">
        <f>Pqp_supermarket_data[[#This Row],[Unit_Price]]*Pqp_supermarket_data[[#This Row],[Quantity]]</f>
        <v>8.5</v>
      </c>
      <c r="L1875" t="str">
        <f>TEXT(Pqp_supermarket_data[[#This Row],[DateTime]],"ddd")</f>
        <v>Fri</v>
      </c>
      <c r="M1875" t="str">
        <f>TEXT(Pqp_supermarket_data[[#This Row],[DateTime]],"mmm")</f>
        <v>Sep</v>
      </c>
      <c r="N1875" t="str">
        <f>TEXT(Pqp_supermarket_data[[#This Row],[DateTime]],"yyy")</f>
        <v>2021</v>
      </c>
    </row>
    <row r="1876" spans="1:14" x14ac:dyDescent="0.35">
      <c r="A1876" t="s">
        <v>3876</v>
      </c>
      <c r="B1876" s="1">
        <v>45665.384073090281</v>
      </c>
      <c r="C1876" t="s">
        <v>3877</v>
      </c>
      <c r="D1876" t="s">
        <v>85</v>
      </c>
      <c r="E1876" t="s">
        <v>39</v>
      </c>
      <c r="F1876">
        <v>3.2</v>
      </c>
      <c r="G1876">
        <v>1</v>
      </c>
      <c r="H1876" t="s">
        <v>14</v>
      </c>
      <c r="I1876" t="s">
        <v>15</v>
      </c>
      <c r="J1876" t="s">
        <v>336</v>
      </c>
      <c r="K1876">
        <f>Pqp_supermarket_data[[#This Row],[Unit_Price]]*Pqp_supermarket_data[[#This Row],[Quantity]]</f>
        <v>3.2</v>
      </c>
      <c r="L1876" t="str">
        <f>TEXT(Pqp_supermarket_data[[#This Row],[DateTime]],"ddd")</f>
        <v>Wed</v>
      </c>
      <c r="M1876" t="str">
        <f>TEXT(Pqp_supermarket_data[[#This Row],[DateTime]],"mmm")</f>
        <v>Jan</v>
      </c>
      <c r="N1876" t="str">
        <f>TEXT(Pqp_supermarket_data[[#This Row],[DateTime]],"yyy")</f>
        <v>2025</v>
      </c>
    </row>
    <row r="1877" spans="1:14" x14ac:dyDescent="0.35">
      <c r="A1877" t="s">
        <v>3878</v>
      </c>
      <c r="B1877" s="1">
        <v>45636.770184212961</v>
      </c>
      <c r="C1877" t="s">
        <v>3879</v>
      </c>
      <c r="D1877" t="s">
        <v>171</v>
      </c>
      <c r="E1877" t="s">
        <v>137</v>
      </c>
      <c r="F1877">
        <v>2.5</v>
      </c>
      <c r="G1877">
        <v>6</v>
      </c>
      <c r="H1877" t="s">
        <v>14</v>
      </c>
      <c r="I1877" t="s">
        <v>40</v>
      </c>
      <c r="J1877" t="s">
        <v>175</v>
      </c>
      <c r="K1877">
        <f>Pqp_supermarket_data[[#This Row],[Unit_Price]]*Pqp_supermarket_data[[#This Row],[Quantity]]</f>
        <v>15</v>
      </c>
      <c r="L1877" t="str">
        <f>TEXT(Pqp_supermarket_data[[#This Row],[DateTime]],"ddd")</f>
        <v>Tue</v>
      </c>
      <c r="M1877" t="str">
        <f>TEXT(Pqp_supermarket_data[[#This Row],[DateTime]],"mmm")</f>
        <v>Dec</v>
      </c>
      <c r="N1877" t="str">
        <f>TEXT(Pqp_supermarket_data[[#This Row],[DateTime]],"yyy")</f>
        <v>2024</v>
      </c>
    </row>
    <row r="1878" spans="1:14" x14ac:dyDescent="0.35">
      <c r="A1878" t="s">
        <v>3880</v>
      </c>
      <c r="B1878" s="1">
        <v>44560.574350891206</v>
      </c>
      <c r="C1878" t="s">
        <v>3881</v>
      </c>
      <c r="D1878" t="s">
        <v>19</v>
      </c>
      <c r="E1878" t="s">
        <v>65</v>
      </c>
      <c r="F1878">
        <v>3</v>
      </c>
      <c r="G1878">
        <v>9</v>
      </c>
      <c r="H1878" t="s">
        <v>14</v>
      </c>
      <c r="I1878" t="s">
        <v>86</v>
      </c>
      <c r="J1878" t="s">
        <v>295</v>
      </c>
      <c r="K1878">
        <f>Pqp_supermarket_data[[#This Row],[Unit_Price]]*Pqp_supermarket_data[[#This Row],[Quantity]]</f>
        <v>27</v>
      </c>
      <c r="L1878" t="str">
        <f>TEXT(Pqp_supermarket_data[[#This Row],[DateTime]],"ddd")</f>
        <v>Thu</v>
      </c>
      <c r="M1878" t="str">
        <f>TEXT(Pqp_supermarket_data[[#This Row],[DateTime]],"mmm")</f>
        <v>Dec</v>
      </c>
      <c r="N1878" t="str">
        <f>TEXT(Pqp_supermarket_data[[#This Row],[DateTime]],"yyy")</f>
        <v>2021</v>
      </c>
    </row>
    <row r="1879" spans="1:14" x14ac:dyDescent="0.35">
      <c r="A1879" t="s">
        <v>3882</v>
      </c>
      <c r="B1879" s="1">
        <v>45231.600045347222</v>
      </c>
      <c r="C1879" t="s">
        <v>3883</v>
      </c>
      <c r="D1879" t="s">
        <v>77</v>
      </c>
      <c r="E1879" t="s">
        <v>137</v>
      </c>
      <c r="F1879">
        <v>2.5</v>
      </c>
      <c r="G1879">
        <v>8</v>
      </c>
      <c r="H1879" t="s">
        <v>14</v>
      </c>
      <c r="I1879" t="s">
        <v>21</v>
      </c>
      <c r="J1879" t="s">
        <v>499</v>
      </c>
      <c r="K1879">
        <f>Pqp_supermarket_data[[#This Row],[Unit_Price]]*Pqp_supermarket_data[[#This Row],[Quantity]]</f>
        <v>20</v>
      </c>
      <c r="L1879" t="str">
        <f>TEXT(Pqp_supermarket_data[[#This Row],[DateTime]],"ddd")</f>
        <v>Wed</v>
      </c>
      <c r="M1879" t="str">
        <f>TEXT(Pqp_supermarket_data[[#This Row],[DateTime]],"mmm")</f>
        <v>Nov</v>
      </c>
      <c r="N1879" t="str">
        <f>TEXT(Pqp_supermarket_data[[#This Row],[DateTime]],"yyy")</f>
        <v>2023</v>
      </c>
    </row>
    <row r="1880" spans="1:14" x14ac:dyDescent="0.35">
      <c r="A1880" t="s">
        <v>3884</v>
      </c>
      <c r="B1880" s="1">
        <v>44455.082684247682</v>
      </c>
      <c r="C1880" t="s">
        <v>3885</v>
      </c>
      <c r="D1880" t="s">
        <v>98</v>
      </c>
      <c r="E1880" t="s">
        <v>57</v>
      </c>
      <c r="F1880">
        <v>4.5</v>
      </c>
      <c r="G1880">
        <v>4</v>
      </c>
      <c r="H1880" t="s">
        <v>14</v>
      </c>
      <c r="I1880" t="s">
        <v>40</v>
      </c>
      <c r="J1880" t="s">
        <v>387</v>
      </c>
      <c r="K1880">
        <f>Pqp_supermarket_data[[#This Row],[Unit_Price]]*Pqp_supermarket_data[[#This Row],[Quantity]]</f>
        <v>18</v>
      </c>
      <c r="L1880" t="str">
        <f>TEXT(Pqp_supermarket_data[[#This Row],[DateTime]],"ddd")</f>
        <v>Thu</v>
      </c>
      <c r="M1880" t="str">
        <f>TEXT(Pqp_supermarket_data[[#This Row],[DateTime]],"mmm")</f>
        <v>Sep</v>
      </c>
      <c r="N1880" t="str">
        <f>TEXT(Pqp_supermarket_data[[#This Row],[DateTime]],"yyy")</f>
        <v>2021</v>
      </c>
    </row>
    <row r="1881" spans="1:14" x14ac:dyDescent="0.35">
      <c r="A1881" t="s">
        <v>3886</v>
      </c>
      <c r="B1881" s="1">
        <v>45733.286156481481</v>
      </c>
      <c r="C1881" t="s">
        <v>3887</v>
      </c>
      <c r="D1881" t="s">
        <v>171</v>
      </c>
      <c r="E1881" t="s">
        <v>49</v>
      </c>
      <c r="F1881">
        <v>7</v>
      </c>
      <c r="G1881">
        <v>1</v>
      </c>
      <c r="H1881" t="s">
        <v>14</v>
      </c>
      <c r="I1881" t="s">
        <v>21</v>
      </c>
      <c r="J1881" t="s">
        <v>470</v>
      </c>
      <c r="K1881">
        <f>Pqp_supermarket_data[[#This Row],[Unit_Price]]*Pqp_supermarket_data[[#This Row],[Quantity]]</f>
        <v>7</v>
      </c>
      <c r="L1881" t="str">
        <f>TEXT(Pqp_supermarket_data[[#This Row],[DateTime]],"ddd")</f>
        <v>Mon</v>
      </c>
      <c r="M1881" t="str">
        <f>TEXT(Pqp_supermarket_data[[#This Row],[DateTime]],"mmm")</f>
        <v>Mar</v>
      </c>
      <c r="N1881" t="str">
        <f>TEXT(Pqp_supermarket_data[[#This Row],[DateTime]],"yyy")</f>
        <v>2025</v>
      </c>
    </row>
    <row r="1882" spans="1:14" x14ac:dyDescent="0.35">
      <c r="A1882" t="s">
        <v>3888</v>
      </c>
      <c r="B1882" s="1">
        <v>45680.025739814817</v>
      </c>
      <c r="C1882" t="s">
        <v>3889</v>
      </c>
      <c r="D1882" t="s">
        <v>82</v>
      </c>
      <c r="E1882" t="s">
        <v>111</v>
      </c>
      <c r="F1882">
        <v>2.2000000000000002</v>
      </c>
      <c r="G1882">
        <v>7</v>
      </c>
      <c r="H1882" t="s">
        <v>14</v>
      </c>
      <c r="I1882" t="s">
        <v>36</v>
      </c>
      <c r="J1882" t="s">
        <v>22</v>
      </c>
      <c r="K1882">
        <f>Pqp_supermarket_data[[#This Row],[Unit_Price]]*Pqp_supermarket_data[[#This Row],[Quantity]]</f>
        <v>15.400000000000002</v>
      </c>
      <c r="L1882" t="str">
        <f>TEXT(Pqp_supermarket_data[[#This Row],[DateTime]],"ddd")</f>
        <v>Thu</v>
      </c>
      <c r="M1882" t="str">
        <f>TEXT(Pqp_supermarket_data[[#This Row],[DateTime]],"mmm")</f>
        <v>Jan</v>
      </c>
      <c r="N1882" t="str">
        <f>TEXT(Pqp_supermarket_data[[#This Row],[DateTime]],"yyy")</f>
        <v>2025</v>
      </c>
    </row>
    <row r="1883" spans="1:14" x14ac:dyDescent="0.35">
      <c r="A1883" t="s">
        <v>3890</v>
      </c>
      <c r="B1883" s="1">
        <v>44661.388239826389</v>
      </c>
      <c r="C1883" t="s">
        <v>3891</v>
      </c>
      <c r="D1883" t="s">
        <v>98</v>
      </c>
      <c r="E1883" t="s">
        <v>148</v>
      </c>
      <c r="F1883">
        <v>5.5</v>
      </c>
      <c r="G1883">
        <v>10</v>
      </c>
      <c r="H1883" t="s">
        <v>14</v>
      </c>
      <c r="I1883" t="s">
        <v>61</v>
      </c>
      <c r="J1883" t="s">
        <v>62</v>
      </c>
      <c r="K1883">
        <f>Pqp_supermarket_data[[#This Row],[Unit_Price]]*Pqp_supermarket_data[[#This Row],[Quantity]]</f>
        <v>55</v>
      </c>
      <c r="L1883" t="str">
        <f>TEXT(Pqp_supermarket_data[[#This Row],[DateTime]],"ddd")</f>
        <v>Sun</v>
      </c>
      <c r="M1883" t="str">
        <f>TEXT(Pqp_supermarket_data[[#This Row],[DateTime]],"mmm")</f>
        <v>Apr</v>
      </c>
      <c r="N1883" t="str">
        <f>TEXT(Pqp_supermarket_data[[#This Row],[DateTime]],"yyy")</f>
        <v>2022</v>
      </c>
    </row>
    <row r="1884" spans="1:14" x14ac:dyDescent="0.35">
      <c r="A1884" t="s">
        <v>3892</v>
      </c>
      <c r="B1884" s="1">
        <v>45390.124350949074</v>
      </c>
      <c r="C1884" t="s">
        <v>3893</v>
      </c>
      <c r="D1884" t="s">
        <v>19</v>
      </c>
      <c r="E1884" t="s">
        <v>137</v>
      </c>
      <c r="F1884">
        <v>2.5</v>
      </c>
      <c r="G1884">
        <v>4</v>
      </c>
      <c r="H1884" t="s">
        <v>14</v>
      </c>
      <c r="I1884" t="s">
        <v>15</v>
      </c>
      <c r="J1884" t="s">
        <v>451</v>
      </c>
      <c r="K1884">
        <f>Pqp_supermarket_data[[#This Row],[Unit_Price]]*Pqp_supermarket_data[[#This Row],[Quantity]]</f>
        <v>10</v>
      </c>
      <c r="L1884" t="str">
        <f>TEXT(Pqp_supermarket_data[[#This Row],[DateTime]],"ddd")</f>
        <v>Mon</v>
      </c>
      <c r="M1884" t="str">
        <f>TEXT(Pqp_supermarket_data[[#This Row],[DateTime]],"mmm")</f>
        <v>Apr</v>
      </c>
      <c r="N1884" t="str">
        <f>TEXT(Pqp_supermarket_data[[#This Row],[DateTime]],"yyy")</f>
        <v>2024</v>
      </c>
    </row>
    <row r="1885" spans="1:14" x14ac:dyDescent="0.35">
      <c r="A1885" t="s">
        <v>3894</v>
      </c>
      <c r="B1885" s="1">
        <v>44581.550045405093</v>
      </c>
      <c r="C1885" t="s">
        <v>3895</v>
      </c>
      <c r="D1885" t="s">
        <v>82</v>
      </c>
      <c r="E1885" t="s">
        <v>20</v>
      </c>
      <c r="F1885">
        <v>1</v>
      </c>
      <c r="G1885">
        <v>10</v>
      </c>
      <c r="H1885" t="s">
        <v>14</v>
      </c>
      <c r="I1885" t="s">
        <v>40</v>
      </c>
      <c r="J1885" t="s">
        <v>99</v>
      </c>
      <c r="K1885">
        <f>Pqp_supermarket_data[[#This Row],[Unit_Price]]*Pqp_supermarket_data[[#This Row],[Quantity]]</f>
        <v>10</v>
      </c>
      <c r="L1885" t="str">
        <f>TEXT(Pqp_supermarket_data[[#This Row],[DateTime]],"ddd")</f>
        <v>Thu</v>
      </c>
      <c r="M1885" t="str">
        <f>TEXT(Pqp_supermarket_data[[#This Row],[DateTime]],"mmm")</f>
        <v>Jan</v>
      </c>
      <c r="N1885" t="str">
        <f>TEXT(Pqp_supermarket_data[[#This Row],[DateTime]],"yyy")</f>
        <v>2022</v>
      </c>
    </row>
    <row r="1886" spans="1:14" x14ac:dyDescent="0.35">
      <c r="A1886" t="s">
        <v>3896</v>
      </c>
      <c r="B1886" s="1">
        <v>45275.515323194442</v>
      </c>
      <c r="C1886" t="s">
        <v>3897</v>
      </c>
      <c r="D1886" t="s">
        <v>208</v>
      </c>
      <c r="E1886" t="s">
        <v>111</v>
      </c>
      <c r="F1886">
        <v>2.2000000000000002</v>
      </c>
      <c r="G1886">
        <v>8</v>
      </c>
      <c r="H1886" t="s">
        <v>14</v>
      </c>
      <c r="I1886" t="s">
        <v>15</v>
      </c>
      <c r="J1886" t="s">
        <v>429</v>
      </c>
      <c r="K1886">
        <f>Pqp_supermarket_data[[#This Row],[Unit_Price]]*Pqp_supermarket_data[[#This Row],[Quantity]]</f>
        <v>17.600000000000001</v>
      </c>
      <c r="L1886" t="str">
        <f>TEXT(Pqp_supermarket_data[[#This Row],[DateTime]],"ddd")</f>
        <v>Fri</v>
      </c>
      <c r="M1886" t="str">
        <f>TEXT(Pqp_supermarket_data[[#This Row],[DateTime]],"mmm")</f>
        <v>Dec</v>
      </c>
      <c r="N1886" t="str">
        <f>TEXT(Pqp_supermarket_data[[#This Row],[DateTime]],"yyy")</f>
        <v>2023</v>
      </c>
    </row>
    <row r="1887" spans="1:14" x14ac:dyDescent="0.35">
      <c r="A1887" t="s">
        <v>3898</v>
      </c>
      <c r="B1887" s="1">
        <v>45697.127823206021</v>
      </c>
      <c r="C1887" t="s">
        <v>3899</v>
      </c>
      <c r="D1887" t="s">
        <v>171</v>
      </c>
      <c r="E1887" t="s">
        <v>26</v>
      </c>
      <c r="F1887">
        <v>2.5</v>
      </c>
      <c r="G1887">
        <v>5</v>
      </c>
      <c r="H1887" t="s">
        <v>14</v>
      </c>
      <c r="I1887" t="s">
        <v>15</v>
      </c>
      <c r="J1887" t="s">
        <v>538</v>
      </c>
      <c r="K1887">
        <f>Pqp_supermarket_data[[#This Row],[Unit_Price]]*Pqp_supermarket_data[[#This Row],[Quantity]]</f>
        <v>12.5</v>
      </c>
      <c r="L1887" t="str">
        <f>TEXT(Pqp_supermarket_data[[#This Row],[DateTime]],"ddd")</f>
        <v>Sun</v>
      </c>
      <c r="M1887" t="str">
        <f>TEXT(Pqp_supermarket_data[[#This Row],[DateTime]],"mmm")</f>
        <v>Feb</v>
      </c>
      <c r="N1887" t="str">
        <f>TEXT(Pqp_supermarket_data[[#This Row],[DateTime]],"yyy")</f>
        <v>2025</v>
      </c>
    </row>
    <row r="1888" spans="1:14" x14ac:dyDescent="0.35">
      <c r="A1888" t="s">
        <v>3900</v>
      </c>
      <c r="B1888" s="1">
        <v>44971.905600983795</v>
      </c>
      <c r="C1888" t="s">
        <v>3901</v>
      </c>
      <c r="D1888" t="s">
        <v>77</v>
      </c>
      <c r="E1888" t="s">
        <v>65</v>
      </c>
      <c r="F1888">
        <v>3</v>
      </c>
      <c r="G1888">
        <v>2</v>
      </c>
      <c r="H1888" t="s">
        <v>14</v>
      </c>
      <c r="I1888" t="s">
        <v>61</v>
      </c>
      <c r="J1888" t="s">
        <v>112</v>
      </c>
      <c r="K1888">
        <f>Pqp_supermarket_data[[#This Row],[Unit_Price]]*Pqp_supermarket_data[[#This Row],[Quantity]]</f>
        <v>6</v>
      </c>
      <c r="L1888" t="str">
        <f>TEXT(Pqp_supermarket_data[[#This Row],[DateTime]],"ddd")</f>
        <v>Tue</v>
      </c>
      <c r="M1888" t="str">
        <f>TEXT(Pqp_supermarket_data[[#This Row],[DateTime]],"mmm")</f>
        <v>Feb</v>
      </c>
      <c r="N1888" t="str">
        <f>TEXT(Pqp_supermarket_data[[#This Row],[DateTime]],"yyy")</f>
        <v>2023</v>
      </c>
    </row>
    <row r="1889" spans="1:14" x14ac:dyDescent="0.35">
      <c r="A1889" t="s">
        <v>3902</v>
      </c>
      <c r="B1889" s="1">
        <v>45364.903517673614</v>
      </c>
      <c r="C1889" t="s">
        <v>3903</v>
      </c>
      <c r="D1889" t="s">
        <v>12</v>
      </c>
      <c r="E1889" t="s">
        <v>53</v>
      </c>
      <c r="F1889">
        <v>2.8</v>
      </c>
      <c r="G1889">
        <v>4</v>
      </c>
      <c r="H1889" t="s">
        <v>14</v>
      </c>
      <c r="I1889" t="s">
        <v>86</v>
      </c>
      <c r="J1889" t="s">
        <v>541</v>
      </c>
      <c r="K1889">
        <f>Pqp_supermarket_data[[#This Row],[Unit_Price]]*Pqp_supermarket_data[[#This Row],[Quantity]]</f>
        <v>11.2</v>
      </c>
      <c r="L1889" t="str">
        <f>TEXT(Pqp_supermarket_data[[#This Row],[DateTime]],"ddd")</f>
        <v>Wed</v>
      </c>
      <c r="M1889" t="str">
        <f>TEXT(Pqp_supermarket_data[[#This Row],[DateTime]],"mmm")</f>
        <v>Mar</v>
      </c>
      <c r="N1889" t="str">
        <f>TEXT(Pqp_supermarket_data[[#This Row],[DateTime]],"yyy")</f>
        <v>2024</v>
      </c>
    </row>
    <row r="1890" spans="1:14" x14ac:dyDescent="0.35">
      <c r="A1890" t="s">
        <v>3904</v>
      </c>
      <c r="B1890" s="1">
        <v>45167.067406574075</v>
      </c>
      <c r="C1890" t="s">
        <v>3905</v>
      </c>
      <c r="D1890" t="s">
        <v>85</v>
      </c>
      <c r="E1890" t="s">
        <v>57</v>
      </c>
      <c r="F1890">
        <v>4.5</v>
      </c>
      <c r="G1890">
        <v>4</v>
      </c>
      <c r="H1890" t="s">
        <v>14</v>
      </c>
      <c r="I1890" t="s">
        <v>21</v>
      </c>
      <c r="J1890" t="s">
        <v>195</v>
      </c>
      <c r="K1890">
        <f>Pqp_supermarket_data[[#This Row],[Unit_Price]]*Pqp_supermarket_data[[#This Row],[Quantity]]</f>
        <v>18</v>
      </c>
      <c r="L1890" t="str">
        <f>TEXT(Pqp_supermarket_data[[#This Row],[DateTime]],"ddd")</f>
        <v>Tue</v>
      </c>
      <c r="M1890" t="str">
        <f>TEXT(Pqp_supermarket_data[[#This Row],[DateTime]],"mmm")</f>
        <v>Aug</v>
      </c>
      <c r="N1890" t="str">
        <f>TEXT(Pqp_supermarket_data[[#This Row],[DateTime]],"yyy")</f>
        <v>2023</v>
      </c>
    </row>
    <row r="1891" spans="1:14" x14ac:dyDescent="0.35">
      <c r="A1891" t="s">
        <v>3906</v>
      </c>
      <c r="B1891" s="1">
        <v>45132.619489907411</v>
      </c>
      <c r="C1891" t="s">
        <v>3907</v>
      </c>
      <c r="D1891" t="s">
        <v>85</v>
      </c>
      <c r="E1891" t="s">
        <v>148</v>
      </c>
      <c r="F1891">
        <v>5.5</v>
      </c>
      <c r="G1891">
        <v>1</v>
      </c>
      <c r="H1891" t="s">
        <v>14</v>
      </c>
      <c r="I1891" t="s">
        <v>61</v>
      </c>
      <c r="J1891" t="s">
        <v>404</v>
      </c>
      <c r="K1891">
        <f>Pqp_supermarket_data[[#This Row],[Unit_Price]]*Pqp_supermarket_data[[#This Row],[Quantity]]</f>
        <v>5.5</v>
      </c>
      <c r="L1891" t="str">
        <f>TEXT(Pqp_supermarket_data[[#This Row],[DateTime]],"ddd")</f>
        <v>Tue</v>
      </c>
      <c r="M1891" t="str">
        <f>TEXT(Pqp_supermarket_data[[#This Row],[DateTime]],"mmm")</f>
        <v>Jul</v>
      </c>
      <c r="N1891" t="str">
        <f>TEXT(Pqp_supermarket_data[[#This Row],[DateTime]],"yyy")</f>
        <v>2023</v>
      </c>
    </row>
    <row r="1892" spans="1:14" x14ac:dyDescent="0.35">
      <c r="A1892" t="s">
        <v>3908</v>
      </c>
      <c r="B1892" s="1">
        <v>44341.746573252312</v>
      </c>
      <c r="C1892" t="s">
        <v>3909</v>
      </c>
      <c r="D1892" t="s">
        <v>127</v>
      </c>
      <c r="E1892" t="s">
        <v>65</v>
      </c>
      <c r="F1892">
        <v>3</v>
      </c>
      <c r="G1892">
        <v>4</v>
      </c>
      <c r="H1892" t="s">
        <v>14</v>
      </c>
      <c r="I1892" t="s">
        <v>15</v>
      </c>
      <c r="J1892" t="s">
        <v>128</v>
      </c>
      <c r="K1892">
        <f>Pqp_supermarket_data[[#This Row],[Unit_Price]]*Pqp_supermarket_data[[#This Row],[Quantity]]</f>
        <v>12</v>
      </c>
      <c r="L1892" t="str">
        <f>TEXT(Pqp_supermarket_data[[#This Row],[DateTime]],"ddd")</f>
        <v>Tue</v>
      </c>
      <c r="M1892" t="str">
        <f>TEXT(Pqp_supermarket_data[[#This Row],[DateTime]],"mmm")</f>
        <v>May</v>
      </c>
      <c r="N1892" t="str">
        <f>TEXT(Pqp_supermarket_data[[#This Row],[DateTime]],"yyy")</f>
        <v>2021</v>
      </c>
    </row>
    <row r="1893" spans="1:14" x14ac:dyDescent="0.35">
      <c r="A1893" t="s">
        <v>3910</v>
      </c>
      <c r="B1893" s="1">
        <v>45314.152128819442</v>
      </c>
      <c r="C1893" t="s">
        <v>3911</v>
      </c>
      <c r="D1893" t="s">
        <v>85</v>
      </c>
      <c r="E1893" t="s">
        <v>78</v>
      </c>
      <c r="F1893">
        <v>4</v>
      </c>
      <c r="G1893">
        <v>2</v>
      </c>
      <c r="H1893" t="s">
        <v>14</v>
      </c>
      <c r="I1893" t="s">
        <v>61</v>
      </c>
      <c r="J1893" t="s">
        <v>105</v>
      </c>
      <c r="K1893">
        <f>Pqp_supermarket_data[[#This Row],[Unit_Price]]*Pqp_supermarket_data[[#This Row],[Quantity]]</f>
        <v>8</v>
      </c>
      <c r="L1893" t="str">
        <f>TEXT(Pqp_supermarket_data[[#This Row],[DateTime]],"ddd")</f>
        <v>Tue</v>
      </c>
      <c r="M1893" t="str">
        <f>TEXT(Pqp_supermarket_data[[#This Row],[DateTime]],"mmm")</f>
        <v>Jan</v>
      </c>
      <c r="N1893" t="str">
        <f>TEXT(Pqp_supermarket_data[[#This Row],[DateTime]],"yyy")</f>
        <v>2024</v>
      </c>
    </row>
    <row r="1894" spans="1:14" x14ac:dyDescent="0.35">
      <c r="A1894" t="s">
        <v>3912</v>
      </c>
      <c r="B1894" s="1">
        <v>45496.507684374999</v>
      </c>
      <c r="C1894" t="s">
        <v>3913</v>
      </c>
      <c r="D1894" t="s">
        <v>12</v>
      </c>
      <c r="E1894" t="s">
        <v>70</v>
      </c>
      <c r="F1894">
        <v>5</v>
      </c>
      <c r="G1894">
        <v>8</v>
      </c>
      <c r="H1894" t="s">
        <v>14</v>
      </c>
      <c r="I1894" t="s">
        <v>40</v>
      </c>
      <c r="J1894" t="s">
        <v>397</v>
      </c>
      <c r="K1894">
        <f>Pqp_supermarket_data[[#This Row],[Unit_Price]]*Pqp_supermarket_data[[#This Row],[Quantity]]</f>
        <v>40</v>
      </c>
      <c r="L1894" t="str">
        <f>TEXT(Pqp_supermarket_data[[#This Row],[DateTime]],"ddd")</f>
        <v>Tue</v>
      </c>
      <c r="M1894" t="str">
        <f>TEXT(Pqp_supermarket_data[[#This Row],[DateTime]],"mmm")</f>
        <v>Jul</v>
      </c>
      <c r="N1894" t="str">
        <f>TEXT(Pqp_supermarket_data[[#This Row],[DateTime]],"yyy")</f>
        <v>2024</v>
      </c>
    </row>
    <row r="1895" spans="1:14" x14ac:dyDescent="0.35">
      <c r="A1895" t="s">
        <v>3914</v>
      </c>
      <c r="B1895" s="1">
        <v>44765.506295497682</v>
      </c>
      <c r="C1895" t="s">
        <v>3915</v>
      </c>
      <c r="D1895" t="s">
        <v>127</v>
      </c>
      <c r="E1895" t="s">
        <v>119</v>
      </c>
      <c r="F1895">
        <v>4</v>
      </c>
      <c r="G1895">
        <v>7</v>
      </c>
      <c r="H1895" t="s">
        <v>14</v>
      </c>
      <c r="I1895" t="s">
        <v>61</v>
      </c>
      <c r="J1895" t="s">
        <v>369</v>
      </c>
      <c r="K1895">
        <f>Pqp_supermarket_data[[#This Row],[Unit_Price]]*Pqp_supermarket_data[[#This Row],[Quantity]]</f>
        <v>28</v>
      </c>
      <c r="L1895" t="str">
        <f>TEXT(Pqp_supermarket_data[[#This Row],[DateTime]],"ddd")</f>
        <v>Sat</v>
      </c>
      <c r="M1895" t="str">
        <f>TEXT(Pqp_supermarket_data[[#This Row],[DateTime]],"mmm")</f>
        <v>Jul</v>
      </c>
      <c r="N1895" t="str">
        <f>TEXT(Pqp_supermarket_data[[#This Row],[DateTime]],"yyy")</f>
        <v>2022</v>
      </c>
    </row>
    <row r="1896" spans="1:14" x14ac:dyDescent="0.35">
      <c r="A1896" t="s">
        <v>3916</v>
      </c>
      <c r="B1896" s="1">
        <v>45664.188934398146</v>
      </c>
      <c r="C1896" t="s">
        <v>3917</v>
      </c>
      <c r="D1896" t="s">
        <v>171</v>
      </c>
      <c r="E1896" t="s">
        <v>49</v>
      </c>
      <c r="F1896">
        <v>7</v>
      </c>
      <c r="G1896">
        <v>8</v>
      </c>
      <c r="H1896" t="s">
        <v>14</v>
      </c>
      <c r="I1896" t="s">
        <v>40</v>
      </c>
      <c r="J1896" t="s">
        <v>41</v>
      </c>
      <c r="K1896">
        <f>Pqp_supermarket_data[[#This Row],[Unit_Price]]*Pqp_supermarket_data[[#This Row],[Quantity]]</f>
        <v>56</v>
      </c>
      <c r="L1896" t="str">
        <f>TEXT(Pqp_supermarket_data[[#This Row],[DateTime]],"ddd")</f>
        <v>Tue</v>
      </c>
      <c r="M1896" t="str">
        <f>TEXT(Pqp_supermarket_data[[#This Row],[DateTime]],"mmm")</f>
        <v>Jan</v>
      </c>
      <c r="N1896" t="str">
        <f>TEXT(Pqp_supermarket_data[[#This Row],[DateTime]],"yyy")</f>
        <v>2025</v>
      </c>
    </row>
    <row r="1897" spans="1:14" x14ac:dyDescent="0.35">
      <c r="A1897" t="s">
        <v>3918</v>
      </c>
      <c r="B1897" s="1">
        <v>44998.975045509258</v>
      </c>
      <c r="C1897" t="s">
        <v>3919</v>
      </c>
      <c r="D1897" t="s">
        <v>25</v>
      </c>
      <c r="E1897" t="s">
        <v>78</v>
      </c>
      <c r="F1897">
        <v>4</v>
      </c>
      <c r="G1897">
        <v>7</v>
      </c>
      <c r="H1897" t="s">
        <v>14</v>
      </c>
      <c r="I1897" t="s">
        <v>15</v>
      </c>
      <c r="J1897" t="s">
        <v>227</v>
      </c>
      <c r="K1897">
        <f>Pqp_supermarket_data[[#This Row],[Unit_Price]]*Pqp_supermarket_data[[#This Row],[Quantity]]</f>
        <v>28</v>
      </c>
      <c r="L1897" t="str">
        <f>TEXT(Pqp_supermarket_data[[#This Row],[DateTime]],"ddd")</f>
        <v>Mon</v>
      </c>
      <c r="M1897" t="str">
        <f>TEXT(Pqp_supermarket_data[[#This Row],[DateTime]],"mmm")</f>
        <v>Mar</v>
      </c>
      <c r="N1897" t="str">
        <f>TEXT(Pqp_supermarket_data[[#This Row],[DateTime]],"yyy")</f>
        <v>2023</v>
      </c>
    </row>
    <row r="1898" spans="1:14" x14ac:dyDescent="0.35">
      <c r="A1898" t="s">
        <v>3920</v>
      </c>
      <c r="B1898" s="1">
        <v>44903.849351076387</v>
      </c>
      <c r="C1898" t="s">
        <v>3921</v>
      </c>
      <c r="D1898" t="s">
        <v>30</v>
      </c>
      <c r="E1898" t="s">
        <v>57</v>
      </c>
      <c r="F1898">
        <v>4.5</v>
      </c>
      <c r="G1898">
        <v>1</v>
      </c>
      <c r="H1898" t="s">
        <v>14</v>
      </c>
      <c r="I1898" t="s">
        <v>21</v>
      </c>
      <c r="J1898" t="s">
        <v>302</v>
      </c>
      <c r="K1898">
        <f>Pqp_supermarket_data[[#This Row],[Unit_Price]]*Pqp_supermarket_data[[#This Row],[Quantity]]</f>
        <v>4.5</v>
      </c>
      <c r="L1898" t="str">
        <f>TEXT(Pqp_supermarket_data[[#This Row],[DateTime]],"ddd")</f>
        <v>Thu</v>
      </c>
      <c r="M1898" t="str">
        <f>TEXT(Pqp_supermarket_data[[#This Row],[DateTime]],"mmm")</f>
        <v>Dec</v>
      </c>
      <c r="N1898" t="str">
        <f>TEXT(Pqp_supermarket_data[[#This Row],[DateTime]],"yyy")</f>
        <v>2022</v>
      </c>
    </row>
    <row r="1899" spans="1:14" x14ac:dyDescent="0.35">
      <c r="A1899" t="s">
        <v>3922</v>
      </c>
      <c r="B1899" s="1">
        <v>45074.519489965278</v>
      </c>
      <c r="C1899" t="s">
        <v>3923</v>
      </c>
      <c r="D1899" t="s">
        <v>171</v>
      </c>
      <c r="E1899" t="s">
        <v>39</v>
      </c>
      <c r="F1899">
        <v>3.2</v>
      </c>
      <c r="G1899">
        <v>5</v>
      </c>
      <c r="H1899" t="s">
        <v>14</v>
      </c>
      <c r="I1899" t="s">
        <v>21</v>
      </c>
      <c r="J1899" t="s">
        <v>163</v>
      </c>
      <c r="K1899">
        <f>Pqp_supermarket_data[[#This Row],[Unit_Price]]*Pqp_supermarket_data[[#This Row],[Quantity]]</f>
        <v>16</v>
      </c>
      <c r="L1899" t="str">
        <f>TEXT(Pqp_supermarket_data[[#This Row],[DateTime]],"ddd")</f>
        <v>Sun</v>
      </c>
      <c r="M1899" t="str">
        <f>TEXT(Pqp_supermarket_data[[#This Row],[DateTime]],"mmm")</f>
        <v>May</v>
      </c>
      <c r="N1899" t="str">
        <f>TEXT(Pqp_supermarket_data[[#This Row],[DateTime]],"yyy")</f>
        <v>2023</v>
      </c>
    </row>
    <row r="1900" spans="1:14" x14ac:dyDescent="0.35">
      <c r="A1900" t="s">
        <v>3924</v>
      </c>
      <c r="B1900" s="1">
        <v>45730.111156631945</v>
      </c>
      <c r="C1900" t="s">
        <v>3925</v>
      </c>
      <c r="D1900" t="s">
        <v>34</v>
      </c>
      <c r="E1900" t="s">
        <v>45</v>
      </c>
      <c r="F1900">
        <v>1</v>
      </c>
      <c r="G1900">
        <v>7</v>
      </c>
      <c r="H1900" t="s">
        <v>14</v>
      </c>
      <c r="I1900" t="s">
        <v>86</v>
      </c>
      <c r="J1900" t="s">
        <v>46</v>
      </c>
      <c r="K1900">
        <f>Pqp_supermarket_data[[#This Row],[Unit_Price]]*Pqp_supermarket_data[[#This Row],[Quantity]]</f>
        <v>7</v>
      </c>
      <c r="L1900" t="str">
        <f>TEXT(Pqp_supermarket_data[[#This Row],[DateTime]],"ddd")</f>
        <v>Fri</v>
      </c>
      <c r="M1900" t="str">
        <f>TEXT(Pqp_supermarket_data[[#This Row],[DateTime]],"mmm")</f>
        <v>Mar</v>
      </c>
      <c r="N1900" t="str">
        <f>TEXT(Pqp_supermarket_data[[#This Row],[DateTime]],"yyy")</f>
        <v>2025</v>
      </c>
    </row>
    <row r="1901" spans="1:14" x14ac:dyDescent="0.35">
      <c r="A1901" t="s">
        <v>3926</v>
      </c>
      <c r="B1901" s="1">
        <v>45670.410462199077</v>
      </c>
      <c r="C1901" t="s">
        <v>3927</v>
      </c>
      <c r="D1901" t="s">
        <v>82</v>
      </c>
      <c r="E1901" t="s">
        <v>57</v>
      </c>
      <c r="F1901">
        <v>4.5</v>
      </c>
      <c r="G1901">
        <v>9</v>
      </c>
      <c r="H1901" t="s">
        <v>14</v>
      </c>
      <c r="I1901" t="s">
        <v>86</v>
      </c>
      <c r="J1901" t="s">
        <v>22</v>
      </c>
      <c r="K1901">
        <f>Pqp_supermarket_data[[#This Row],[Unit_Price]]*Pqp_supermarket_data[[#This Row],[Quantity]]</f>
        <v>40.5</v>
      </c>
      <c r="L1901" t="str">
        <f>TEXT(Pqp_supermarket_data[[#This Row],[DateTime]],"ddd")</f>
        <v>Mon</v>
      </c>
      <c r="M1901" t="str">
        <f>TEXT(Pqp_supermarket_data[[#This Row],[DateTime]],"mmm")</f>
        <v>Jan</v>
      </c>
      <c r="N1901" t="str">
        <f>TEXT(Pqp_supermarket_data[[#This Row],[DateTime]],"yyy")</f>
        <v>2025</v>
      </c>
    </row>
    <row r="1902" spans="1:14" x14ac:dyDescent="0.35">
      <c r="A1902" t="s">
        <v>3928</v>
      </c>
      <c r="B1902" s="1">
        <v>44613.576434421295</v>
      </c>
      <c r="C1902" t="s">
        <v>3929</v>
      </c>
      <c r="D1902" t="s">
        <v>226</v>
      </c>
      <c r="E1902" t="s">
        <v>90</v>
      </c>
      <c r="F1902">
        <v>1.8</v>
      </c>
      <c r="G1902">
        <v>5</v>
      </c>
      <c r="H1902" t="s">
        <v>14</v>
      </c>
      <c r="I1902" t="s">
        <v>15</v>
      </c>
      <c r="J1902" t="s">
        <v>41</v>
      </c>
      <c r="K1902">
        <f>Pqp_supermarket_data[[#This Row],[Unit_Price]]*Pqp_supermarket_data[[#This Row],[Quantity]]</f>
        <v>9</v>
      </c>
      <c r="L1902" t="str">
        <f>TEXT(Pqp_supermarket_data[[#This Row],[DateTime]],"ddd")</f>
        <v>Mon</v>
      </c>
      <c r="M1902" t="str">
        <f>TEXT(Pqp_supermarket_data[[#This Row],[DateTime]],"mmm")</f>
        <v>Feb</v>
      </c>
      <c r="N1902" t="str">
        <f>TEXT(Pqp_supermarket_data[[#This Row],[DateTime]],"yyy")</f>
        <v>2022</v>
      </c>
    </row>
    <row r="1903" spans="1:14" x14ac:dyDescent="0.35">
      <c r="A1903" t="s">
        <v>3930</v>
      </c>
      <c r="B1903" s="1">
        <v>44828.560462199071</v>
      </c>
      <c r="C1903" t="s">
        <v>3931</v>
      </c>
      <c r="D1903" t="s">
        <v>25</v>
      </c>
      <c r="E1903" t="s">
        <v>111</v>
      </c>
      <c r="F1903">
        <v>2.2000000000000002</v>
      </c>
      <c r="G1903">
        <v>1</v>
      </c>
      <c r="H1903" t="s">
        <v>14</v>
      </c>
      <c r="I1903" t="s">
        <v>61</v>
      </c>
      <c r="J1903" t="s">
        <v>382</v>
      </c>
      <c r="K1903">
        <f>Pqp_supermarket_data[[#This Row],[Unit_Price]]*Pqp_supermarket_data[[#This Row],[Quantity]]</f>
        <v>2.2000000000000002</v>
      </c>
      <c r="L1903" t="str">
        <f>TEXT(Pqp_supermarket_data[[#This Row],[DateTime]],"ddd")</f>
        <v>Sat</v>
      </c>
      <c r="M1903" t="str">
        <f>TEXT(Pqp_supermarket_data[[#This Row],[DateTime]],"mmm")</f>
        <v>Sep</v>
      </c>
      <c r="N1903" t="str">
        <f>TEXT(Pqp_supermarket_data[[#This Row],[DateTime]],"yyy")</f>
        <v>2022</v>
      </c>
    </row>
    <row r="1904" spans="1:14" x14ac:dyDescent="0.35">
      <c r="A1904" t="s">
        <v>3932</v>
      </c>
      <c r="B1904" s="1">
        <v>45225.466017754632</v>
      </c>
      <c r="C1904" t="s">
        <v>3933</v>
      </c>
      <c r="D1904" t="s">
        <v>226</v>
      </c>
      <c r="E1904" t="s">
        <v>20</v>
      </c>
      <c r="F1904">
        <v>1</v>
      </c>
      <c r="G1904">
        <v>5</v>
      </c>
      <c r="H1904" t="s">
        <v>14</v>
      </c>
      <c r="I1904" t="s">
        <v>61</v>
      </c>
      <c r="J1904" t="s">
        <v>317</v>
      </c>
      <c r="K1904">
        <f>Pqp_supermarket_data[[#This Row],[Unit_Price]]*Pqp_supermarket_data[[#This Row],[Quantity]]</f>
        <v>5</v>
      </c>
      <c r="L1904" t="str">
        <f>TEXT(Pqp_supermarket_data[[#This Row],[DateTime]],"ddd")</f>
        <v>Thu</v>
      </c>
      <c r="M1904" t="str">
        <f>TEXT(Pqp_supermarket_data[[#This Row],[DateTime]],"mmm")</f>
        <v>Oct</v>
      </c>
      <c r="N1904" t="str">
        <f>TEXT(Pqp_supermarket_data[[#This Row],[DateTime]],"yyy")</f>
        <v>2023</v>
      </c>
    </row>
    <row r="1905" spans="1:14" x14ac:dyDescent="0.35">
      <c r="A1905" t="s">
        <v>3934</v>
      </c>
      <c r="B1905" s="1">
        <v>44978.491017754626</v>
      </c>
      <c r="C1905" t="s">
        <v>3935</v>
      </c>
      <c r="D1905" t="s">
        <v>127</v>
      </c>
      <c r="E1905" t="s">
        <v>53</v>
      </c>
      <c r="F1905">
        <v>2.8</v>
      </c>
      <c r="G1905">
        <v>5</v>
      </c>
      <c r="H1905" t="s">
        <v>14</v>
      </c>
      <c r="I1905" t="s">
        <v>36</v>
      </c>
      <c r="J1905" t="s">
        <v>364</v>
      </c>
      <c r="K1905">
        <f>Pqp_supermarket_data[[#This Row],[Unit_Price]]*Pqp_supermarket_data[[#This Row],[Quantity]]</f>
        <v>14</v>
      </c>
      <c r="L1905" t="str">
        <f>TEXT(Pqp_supermarket_data[[#This Row],[DateTime]],"ddd")</f>
        <v>Tue</v>
      </c>
      <c r="M1905" t="str">
        <f>TEXT(Pqp_supermarket_data[[#This Row],[DateTime]],"mmm")</f>
        <v>Feb</v>
      </c>
      <c r="N1905" t="str">
        <f>TEXT(Pqp_supermarket_data[[#This Row],[DateTime]],"yyy")</f>
        <v>2023</v>
      </c>
    </row>
    <row r="1906" spans="1:14" x14ac:dyDescent="0.35">
      <c r="A1906" t="s">
        <v>3936</v>
      </c>
      <c r="B1906" s="1">
        <v>44448.768101099537</v>
      </c>
      <c r="C1906" t="s">
        <v>3937</v>
      </c>
      <c r="D1906" t="s">
        <v>77</v>
      </c>
      <c r="E1906" t="s">
        <v>57</v>
      </c>
      <c r="F1906">
        <v>4.5</v>
      </c>
      <c r="G1906">
        <v>10</v>
      </c>
      <c r="H1906" t="s">
        <v>14</v>
      </c>
      <c r="I1906" t="s">
        <v>36</v>
      </c>
      <c r="J1906" t="s">
        <v>394</v>
      </c>
      <c r="K1906">
        <f>Pqp_supermarket_data[[#This Row],[Unit_Price]]*Pqp_supermarket_data[[#This Row],[Quantity]]</f>
        <v>45</v>
      </c>
      <c r="L1906" t="str">
        <f>TEXT(Pqp_supermarket_data[[#This Row],[DateTime]],"ddd")</f>
        <v>Thu</v>
      </c>
      <c r="M1906" t="str">
        <f>TEXT(Pqp_supermarket_data[[#This Row],[DateTime]],"mmm")</f>
        <v>Sep</v>
      </c>
      <c r="N1906" t="str">
        <f>TEXT(Pqp_supermarket_data[[#This Row],[DateTime]],"yyy")</f>
        <v>2021</v>
      </c>
    </row>
    <row r="1907" spans="1:14" x14ac:dyDescent="0.35">
      <c r="A1907" t="s">
        <v>3938</v>
      </c>
      <c r="B1907" s="1">
        <v>45245.331989988423</v>
      </c>
      <c r="C1907" t="s">
        <v>3939</v>
      </c>
      <c r="D1907" t="s">
        <v>98</v>
      </c>
      <c r="E1907" t="s">
        <v>35</v>
      </c>
      <c r="F1907">
        <v>1.2</v>
      </c>
      <c r="G1907">
        <v>8</v>
      </c>
      <c r="H1907" t="s">
        <v>14</v>
      </c>
      <c r="I1907" t="s">
        <v>40</v>
      </c>
      <c r="J1907" t="s">
        <v>311</v>
      </c>
      <c r="K1907">
        <f>Pqp_supermarket_data[[#This Row],[Unit_Price]]*Pqp_supermarket_data[[#This Row],[Quantity]]</f>
        <v>9.6</v>
      </c>
      <c r="L1907" t="str">
        <f>TEXT(Pqp_supermarket_data[[#This Row],[DateTime]],"ddd")</f>
        <v>Wed</v>
      </c>
      <c r="M1907" t="str">
        <f>TEXT(Pqp_supermarket_data[[#This Row],[DateTime]],"mmm")</f>
        <v>Nov</v>
      </c>
      <c r="N1907" t="str">
        <f>TEXT(Pqp_supermarket_data[[#This Row],[DateTime]],"yyy")</f>
        <v>2023</v>
      </c>
    </row>
    <row r="1908" spans="1:14" x14ac:dyDescent="0.35">
      <c r="A1908" t="s">
        <v>3940</v>
      </c>
      <c r="B1908" s="1">
        <v>45711.080601099537</v>
      </c>
      <c r="C1908" t="s">
        <v>1216</v>
      </c>
      <c r="D1908" t="s">
        <v>30</v>
      </c>
      <c r="E1908" t="s">
        <v>20</v>
      </c>
      <c r="F1908">
        <v>1</v>
      </c>
      <c r="G1908">
        <v>4</v>
      </c>
      <c r="H1908" t="s">
        <v>14</v>
      </c>
      <c r="I1908" t="s">
        <v>86</v>
      </c>
      <c r="J1908" t="s">
        <v>387</v>
      </c>
      <c r="K1908">
        <f>Pqp_supermarket_data[[#This Row],[Unit_Price]]*Pqp_supermarket_data[[#This Row],[Quantity]]</f>
        <v>4</v>
      </c>
      <c r="L1908" t="str">
        <f>TEXT(Pqp_supermarket_data[[#This Row],[DateTime]],"ddd")</f>
        <v>Sun</v>
      </c>
      <c r="M1908" t="str">
        <f>TEXT(Pqp_supermarket_data[[#This Row],[DateTime]],"mmm")</f>
        <v>Feb</v>
      </c>
      <c r="N1908" t="str">
        <f>TEXT(Pqp_supermarket_data[[#This Row],[DateTime]],"yyy")</f>
        <v>2025</v>
      </c>
    </row>
    <row r="1909" spans="1:14" x14ac:dyDescent="0.35">
      <c r="A1909" t="s">
        <v>3941</v>
      </c>
      <c r="B1909" s="1">
        <v>44600.464628877315</v>
      </c>
      <c r="C1909" t="s">
        <v>3942</v>
      </c>
      <c r="D1909" t="s">
        <v>19</v>
      </c>
      <c r="E1909" t="s">
        <v>45</v>
      </c>
      <c r="F1909">
        <v>1</v>
      </c>
      <c r="G1909">
        <v>9</v>
      </c>
      <c r="H1909" t="s">
        <v>14</v>
      </c>
      <c r="I1909" t="s">
        <v>61</v>
      </c>
      <c r="J1909" t="s">
        <v>95</v>
      </c>
      <c r="K1909">
        <f>Pqp_supermarket_data[[#This Row],[Unit_Price]]*Pqp_supermarket_data[[#This Row],[Quantity]]</f>
        <v>9</v>
      </c>
      <c r="L1909" t="str">
        <f>TEXT(Pqp_supermarket_data[[#This Row],[DateTime]],"ddd")</f>
        <v>Tue</v>
      </c>
      <c r="M1909" t="str">
        <f>TEXT(Pqp_supermarket_data[[#This Row],[DateTime]],"mmm")</f>
        <v>Feb</v>
      </c>
      <c r="N1909" t="str">
        <f>TEXT(Pqp_supermarket_data[[#This Row],[DateTime]],"yyy")</f>
        <v>2022</v>
      </c>
    </row>
    <row r="1910" spans="1:14" x14ac:dyDescent="0.35">
      <c r="A1910" t="s">
        <v>3943</v>
      </c>
      <c r="B1910" s="1">
        <v>44884.340323344906</v>
      </c>
      <c r="C1910" t="s">
        <v>3944</v>
      </c>
      <c r="D1910" t="s">
        <v>226</v>
      </c>
      <c r="E1910" t="s">
        <v>13</v>
      </c>
      <c r="F1910">
        <v>3.1</v>
      </c>
      <c r="G1910">
        <v>5</v>
      </c>
      <c r="H1910" t="s">
        <v>14</v>
      </c>
      <c r="I1910" t="s">
        <v>86</v>
      </c>
      <c r="J1910" t="s">
        <v>295</v>
      </c>
      <c r="K1910">
        <f>Pqp_supermarket_data[[#This Row],[Unit_Price]]*Pqp_supermarket_data[[#This Row],[Quantity]]</f>
        <v>15.5</v>
      </c>
      <c r="L1910" t="str">
        <f>TEXT(Pqp_supermarket_data[[#This Row],[DateTime]],"ddd")</f>
        <v>Sat</v>
      </c>
      <c r="M1910" t="str">
        <f>TEXT(Pqp_supermarket_data[[#This Row],[DateTime]],"mmm")</f>
        <v>Nov</v>
      </c>
      <c r="N1910" t="str">
        <f>TEXT(Pqp_supermarket_data[[#This Row],[DateTime]],"yyy")</f>
        <v>2022</v>
      </c>
    </row>
    <row r="1911" spans="1:14" x14ac:dyDescent="0.35">
      <c r="A1911" t="s">
        <v>3945</v>
      </c>
      <c r="B1911" s="1">
        <v>45320.718795567132</v>
      </c>
      <c r="C1911" t="s">
        <v>3946</v>
      </c>
      <c r="D1911" t="s">
        <v>69</v>
      </c>
      <c r="E1911" t="s">
        <v>45</v>
      </c>
      <c r="F1911">
        <v>1</v>
      </c>
      <c r="G1911">
        <v>1</v>
      </c>
      <c r="H1911" t="s">
        <v>14</v>
      </c>
      <c r="I1911" t="s">
        <v>15</v>
      </c>
      <c r="J1911" t="s">
        <v>233</v>
      </c>
      <c r="K1911">
        <f>Pqp_supermarket_data[[#This Row],[Unit_Price]]*Pqp_supermarket_data[[#This Row],[Quantity]]</f>
        <v>1</v>
      </c>
      <c r="L1911" t="str">
        <f>TEXT(Pqp_supermarket_data[[#This Row],[DateTime]],"ddd")</f>
        <v>Mon</v>
      </c>
      <c r="M1911" t="str">
        <f>TEXT(Pqp_supermarket_data[[#This Row],[DateTime]],"mmm")</f>
        <v>Jan</v>
      </c>
      <c r="N1911" t="str">
        <f>TEXT(Pqp_supermarket_data[[#This Row],[DateTime]],"yyy")</f>
        <v>2024</v>
      </c>
    </row>
    <row r="1912" spans="1:14" x14ac:dyDescent="0.35">
      <c r="A1912" t="s">
        <v>3947</v>
      </c>
      <c r="B1912" s="1">
        <v>44446.510462245373</v>
      </c>
      <c r="C1912" t="s">
        <v>3948</v>
      </c>
      <c r="D1912" t="s">
        <v>30</v>
      </c>
      <c r="E1912" t="s">
        <v>90</v>
      </c>
      <c r="F1912">
        <v>1.8</v>
      </c>
      <c r="G1912">
        <v>8</v>
      </c>
      <c r="H1912" t="s">
        <v>14</v>
      </c>
      <c r="I1912" t="s">
        <v>21</v>
      </c>
      <c r="J1912" t="s">
        <v>79</v>
      </c>
      <c r="K1912">
        <f>Pqp_supermarket_data[[#This Row],[Unit_Price]]*Pqp_supermarket_data[[#This Row],[Quantity]]</f>
        <v>14.4</v>
      </c>
      <c r="L1912" t="str">
        <f>TEXT(Pqp_supermarket_data[[#This Row],[DateTime]],"ddd")</f>
        <v>Tue</v>
      </c>
      <c r="M1912" t="str">
        <f>TEXT(Pqp_supermarket_data[[#This Row],[DateTime]],"mmm")</f>
        <v>Sep</v>
      </c>
      <c r="N1912" t="str">
        <f>TEXT(Pqp_supermarket_data[[#This Row],[DateTime]],"yyy")</f>
        <v>2021</v>
      </c>
    </row>
    <row r="1913" spans="1:14" x14ac:dyDescent="0.35">
      <c r="A1913" t="s">
        <v>3949</v>
      </c>
      <c r="B1913" s="1">
        <v>45700.820184479169</v>
      </c>
      <c r="C1913" t="s">
        <v>3950</v>
      </c>
      <c r="D1913" t="s">
        <v>25</v>
      </c>
      <c r="E1913" t="s">
        <v>137</v>
      </c>
      <c r="F1913">
        <v>2.5</v>
      </c>
      <c r="G1913">
        <v>5</v>
      </c>
      <c r="H1913" t="s">
        <v>14</v>
      </c>
      <c r="I1913" t="s">
        <v>61</v>
      </c>
      <c r="J1913" t="s">
        <v>397</v>
      </c>
      <c r="K1913">
        <f>Pqp_supermarket_data[[#This Row],[Unit_Price]]*Pqp_supermarket_data[[#This Row],[Quantity]]</f>
        <v>12.5</v>
      </c>
      <c r="L1913" t="str">
        <f>TEXT(Pqp_supermarket_data[[#This Row],[DateTime]],"ddd")</f>
        <v>Wed</v>
      </c>
      <c r="M1913" t="str">
        <f>TEXT(Pqp_supermarket_data[[#This Row],[DateTime]],"mmm")</f>
        <v>Feb</v>
      </c>
      <c r="N1913" t="str">
        <f>TEXT(Pqp_supermarket_data[[#This Row],[DateTime]],"yyy")</f>
        <v>2025</v>
      </c>
    </row>
    <row r="1914" spans="1:14" x14ac:dyDescent="0.35">
      <c r="A1914" t="s">
        <v>3951</v>
      </c>
      <c r="B1914" s="1">
        <v>44397.077823368054</v>
      </c>
      <c r="C1914" t="s">
        <v>3952</v>
      </c>
      <c r="D1914" t="s">
        <v>12</v>
      </c>
      <c r="E1914" t="s">
        <v>137</v>
      </c>
      <c r="F1914">
        <v>2.5</v>
      </c>
      <c r="G1914">
        <v>10</v>
      </c>
      <c r="H1914" t="s">
        <v>14</v>
      </c>
      <c r="I1914" t="s">
        <v>15</v>
      </c>
      <c r="J1914" t="s">
        <v>561</v>
      </c>
      <c r="K1914">
        <f>Pqp_supermarket_data[[#This Row],[Unit_Price]]*Pqp_supermarket_data[[#This Row],[Quantity]]</f>
        <v>25</v>
      </c>
      <c r="L1914" t="str">
        <f>TEXT(Pqp_supermarket_data[[#This Row],[DateTime]],"ddd")</f>
        <v>Tue</v>
      </c>
      <c r="M1914" t="str">
        <f>TEXT(Pqp_supermarket_data[[#This Row],[DateTime]],"mmm")</f>
        <v>Jul</v>
      </c>
      <c r="N1914" t="str">
        <f>TEXT(Pqp_supermarket_data[[#This Row],[DateTime]],"yyy")</f>
        <v>2021</v>
      </c>
    </row>
    <row r="1915" spans="1:14" x14ac:dyDescent="0.35">
      <c r="A1915" t="s">
        <v>3953</v>
      </c>
      <c r="B1915" s="1">
        <v>45563.454212268516</v>
      </c>
      <c r="C1915" t="s">
        <v>3954</v>
      </c>
      <c r="D1915" t="s">
        <v>98</v>
      </c>
      <c r="E1915" t="s">
        <v>148</v>
      </c>
      <c r="F1915">
        <v>5.5</v>
      </c>
      <c r="G1915">
        <v>9</v>
      </c>
      <c r="H1915" t="s">
        <v>14</v>
      </c>
      <c r="I1915" t="s">
        <v>40</v>
      </c>
      <c r="J1915" t="s">
        <v>461</v>
      </c>
      <c r="K1915">
        <f>Pqp_supermarket_data[[#This Row],[Unit_Price]]*Pqp_supermarket_data[[#This Row],[Quantity]]</f>
        <v>49.5</v>
      </c>
      <c r="L1915" t="str">
        <f>TEXT(Pqp_supermarket_data[[#This Row],[DateTime]],"ddd")</f>
        <v>Sat</v>
      </c>
      <c r="M1915" t="str">
        <f>TEXT(Pqp_supermarket_data[[#This Row],[DateTime]],"mmm")</f>
        <v>Sep</v>
      </c>
      <c r="N1915" t="str">
        <f>TEXT(Pqp_supermarket_data[[#This Row],[DateTime]],"yyy")</f>
        <v>2024</v>
      </c>
    </row>
    <row r="1916" spans="1:14" x14ac:dyDescent="0.35">
      <c r="A1916" t="s">
        <v>3955</v>
      </c>
      <c r="B1916" s="1">
        <v>45369.118101168984</v>
      </c>
      <c r="C1916" t="s">
        <v>3956</v>
      </c>
      <c r="D1916" t="s">
        <v>44</v>
      </c>
      <c r="E1916" t="s">
        <v>145</v>
      </c>
      <c r="F1916">
        <v>1.7</v>
      </c>
      <c r="G1916">
        <v>2</v>
      </c>
      <c r="H1916" t="s">
        <v>14</v>
      </c>
      <c r="I1916" t="s">
        <v>36</v>
      </c>
      <c r="J1916" t="s">
        <v>22</v>
      </c>
      <c r="K1916">
        <f>Pqp_supermarket_data[[#This Row],[Unit_Price]]*Pqp_supermarket_data[[#This Row],[Quantity]]</f>
        <v>3.4</v>
      </c>
      <c r="L1916" t="str">
        <f>TEXT(Pqp_supermarket_data[[#This Row],[DateTime]],"ddd")</f>
        <v>Mon</v>
      </c>
      <c r="M1916" t="str">
        <f>TEXT(Pqp_supermarket_data[[#This Row],[DateTime]],"mmm")</f>
        <v>Mar</v>
      </c>
      <c r="N1916" t="str">
        <f>TEXT(Pqp_supermarket_data[[#This Row],[DateTime]],"yyy")</f>
        <v>2024</v>
      </c>
    </row>
    <row r="1917" spans="1:14" x14ac:dyDescent="0.35">
      <c r="A1917" t="s">
        <v>3957</v>
      </c>
      <c r="B1917" s="1">
        <v>45207.392406736108</v>
      </c>
      <c r="C1917" t="s">
        <v>3958</v>
      </c>
      <c r="D1917" t="s">
        <v>44</v>
      </c>
      <c r="E1917" t="s">
        <v>45</v>
      </c>
      <c r="F1917">
        <v>1</v>
      </c>
      <c r="G1917">
        <v>6</v>
      </c>
      <c r="H1917" t="s">
        <v>14</v>
      </c>
      <c r="I1917" t="s">
        <v>61</v>
      </c>
      <c r="J1917" t="s">
        <v>404</v>
      </c>
      <c r="K1917">
        <f>Pqp_supermarket_data[[#This Row],[Unit_Price]]*Pqp_supermarket_data[[#This Row],[Quantity]]</f>
        <v>6</v>
      </c>
      <c r="L1917" t="str">
        <f>TEXT(Pqp_supermarket_data[[#This Row],[DateTime]],"ddd")</f>
        <v>Sun</v>
      </c>
      <c r="M1917" t="str">
        <f>TEXT(Pqp_supermarket_data[[#This Row],[DateTime]],"mmm")</f>
        <v>Oct</v>
      </c>
      <c r="N1917" t="str">
        <f>TEXT(Pqp_supermarket_data[[#This Row],[DateTime]],"yyy")</f>
        <v>2023</v>
      </c>
    </row>
    <row r="1918" spans="1:14" x14ac:dyDescent="0.35">
      <c r="A1918" t="s">
        <v>3959</v>
      </c>
      <c r="B1918" s="1">
        <v>44451.08060119213</v>
      </c>
      <c r="C1918" t="s">
        <v>3960</v>
      </c>
      <c r="D1918" t="s">
        <v>127</v>
      </c>
      <c r="E1918" t="s">
        <v>45</v>
      </c>
      <c r="F1918">
        <v>1</v>
      </c>
      <c r="G1918">
        <v>1</v>
      </c>
      <c r="H1918" t="s">
        <v>14</v>
      </c>
      <c r="I1918" t="s">
        <v>15</v>
      </c>
      <c r="J1918" t="s">
        <v>186</v>
      </c>
      <c r="K1918">
        <f>Pqp_supermarket_data[[#This Row],[Unit_Price]]*Pqp_supermarket_data[[#This Row],[Quantity]]</f>
        <v>1</v>
      </c>
      <c r="L1918" t="str">
        <f>TEXT(Pqp_supermarket_data[[#This Row],[DateTime]],"ddd")</f>
        <v>Sun</v>
      </c>
      <c r="M1918" t="str">
        <f>TEXT(Pqp_supermarket_data[[#This Row],[DateTime]],"mmm")</f>
        <v>Sep</v>
      </c>
      <c r="N1918" t="str">
        <f>TEXT(Pqp_supermarket_data[[#This Row],[DateTime]],"yyy")</f>
        <v>2021</v>
      </c>
    </row>
    <row r="1919" spans="1:14" x14ac:dyDescent="0.35">
      <c r="A1919" t="s">
        <v>3961</v>
      </c>
      <c r="B1919" s="1">
        <v>45695.143795636577</v>
      </c>
      <c r="C1919" t="s">
        <v>3962</v>
      </c>
      <c r="D1919" t="s">
        <v>69</v>
      </c>
      <c r="E1919" t="s">
        <v>119</v>
      </c>
      <c r="F1919">
        <v>4</v>
      </c>
      <c r="G1919">
        <v>1</v>
      </c>
      <c r="H1919" t="s">
        <v>14</v>
      </c>
      <c r="I1919" t="s">
        <v>40</v>
      </c>
      <c r="J1919" t="s">
        <v>538</v>
      </c>
      <c r="K1919">
        <f>Pqp_supermarket_data[[#This Row],[Unit_Price]]*Pqp_supermarket_data[[#This Row],[Quantity]]</f>
        <v>4</v>
      </c>
      <c r="L1919" t="str">
        <f>TEXT(Pqp_supermarket_data[[#This Row],[DateTime]],"ddd")</f>
        <v>Fri</v>
      </c>
      <c r="M1919" t="str">
        <f>TEXT(Pqp_supermarket_data[[#This Row],[DateTime]],"mmm")</f>
        <v>Feb</v>
      </c>
      <c r="N1919" t="str">
        <f>TEXT(Pqp_supermarket_data[[#This Row],[DateTime]],"yyy")</f>
        <v>2025</v>
      </c>
    </row>
    <row r="1920" spans="1:14" x14ac:dyDescent="0.35">
      <c r="A1920" t="s">
        <v>3963</v>
      </c>
      <c r="B1920" s="1">
        <v>45353.120878981485</v>
      </c>
      <c r="C1920" t="s">
        <v>3964</v>
      </c>
      <c r="D1920" t="s">
        <v>12</v>
      </c>
      <c r="E1920" t="s">
        <v>90</v>
      </c>
      <c r="F1920">
        <v>1.8</v>
      </c>
      <c r="G1920">
        <v>10</v>
      </c>
      <c r="H1920" t="s">
        <v>14</v>
      </c>
      <c r="I1920" t="s">
        <v>36</v>
      </c>
      <c r="J1920" t="s">
        <v>561</v>
      </c>
      <c r="K1920">
        <f>Pqp_supermarket_data[[#This Row],[Unit_Price]]*Pqp_supermarket_data[[#This Row],[Quantity]]</f>
        <v>18</v>
      </c>
      <c r="L1920" t="str">
        <f>TEXT(Pqp_supermarket_data[[#This Row],[DateTime]],"ddd")</f>
        <v>Sat</v>
      </c>
      <c r="M1920" t="str">
        <f>TEXT(Pqp_supermarket_data[[#This Row],[DateTime]],"mmm")</f>
        <v>Mar</v>
      </c>
      <c r="N1920" t="str">
        <f>TEXT(Pqp_supermarket_data[[#This Row],[DateTime]],"yyy")</f>
        <v>2024</v>
      </c>
    </row>
    <row r="1921" spans="1:14" x14ac:dyDescent="0.35">
      <c r="A1921" t="s">
        <v>3965</v>
      </c>
      <c r="B1921" s="1">
        <v>45346.022962314812</v>
      </c>
      <c r="C1921" t="s">
        <v>3966</v>
      </c>
      <c r="D1921" t="s">
        <v>171</v>
      </c>
      <c r="E1921" t="s">
        <v>137</v>
      </c>
      <c r="F1921">
        <v>2.5</v>
      </c>
      <c r="G1921">
        <v>3</v>
      </c>
      <c r="H1921" t="s">
        <v>14</v>
      </c>
      <c r="I1921" t="s">
        <v>86</v>
      </c>
      <c r="J1921" t="s">
        <v>302</v>
      </c>
      <c r="K1921">
        <f>Pqp_supermarket_data[[#This Row],[Unit_Price]]*Pqp_supermarket_data[[#This Row],[Quantity]]</f>
        <v>7.5</v>
      </c>
      <c r="L1921" t="str">
        <f>TEXT(Pqp_supermarket_data[[#This Row],[DateTime]],"ddd")</f>
        <v>Sat</v>
      </c>
      <c r="M1921" t="str">
        <f>TEXT(Pqp_supermarket_data[[#This Row],[DateTime]],"mmm")</f>
        <v>Feb</v>
      </c>
      <c r="N1921" t="str">
        <f>TEXT(Pqp_supermarket_data[[#This Row],[DateTime]],"yyy")</f>
        <v>2024</v>
      </c>
    </row>
    <row r="1922" spans="1:14" x14ac:dyDescent="0.35">
      <c r="A1922" t="s">
        <v>3967</v>
      </c>
      <c r="B1922" s="1">
        <v>44457.473656759263</v>
      </c>
      <c r="C1922" t="s">
        <v>3968</v>
      </c>
      <c r="D1922" t="s">
        <v>19</v>
      </c>
      <c r="E1922" t="s">
        <v>26</v>
      </c>
      <c r="F1922">
        <v>2.5</v>
      </c>
      <c r="G1922">
        <v>10</v>
      </c>
      <c r="H1922" t="s">
        <v>14</v>
      </c>
      <c r="I1922" t="s">
        <v>21</v>
      </c>
      <c r="J1922" t="s">
        <v>317</v>
      </c>
      <c r="K1922">
        <f>Pqp_supermarket_data[[#This Row],[Unit_Price]]*Pqp_supermarket_data[[#This Row],[Quantity]]</f>
        <v>25</v>
      </c>
      <c r="L1922" t="str">
        <f>TEXT(Pqp_supermarket_data[[#This Row],[DateTime]],"ddd")</f>
        <v>Sat</v>
      </c>
      <c r="M1922" t="str">
        <f>TEXT(Pqp_supermarket_data[[#This Row],[DateTime]],"mmm")</f>
        <v>Sep</v>
      </c>
      <c r="N1922" t="str">
        <f>TEXT(Pqp_supermarket_data[[#This Row],[DateTime]],"yyy")</f>
        <v>2021</v>
      </c>
    </row>
    <row r="1923" spans="1:14" x14ac:dyDescent="0.35">
      <c r="A1923" t="s">
        <v>3969</v>
      </c>
      <c r="B1923" s="1">
        <v>44495.819490104164</v>
      </c>
      <c r="C1923" t="s">
        <v>3970</v>
      </c>
      <c r="D1923" t="s">
        <v>82</v>
      </c>
      <c r="E1923" t="s">
        <v>20</v>
      </c>
      <c r="F1923">
        <v>1</v>
      </c>
      <c r="G1923">
        <v>2</v>
      </c>
      <c r="H1923" t="s">
        <v>14</v>
      </c>
      <c r="I1923" t="s">
        <v>21</v>
      </c>
      <c r="J1923" t="s">
        <v>166</v>
      </c>
      <c r="K1923">
        <f>Pqp_supermarket_data[[#This Row],[Unit_Price]]*Pqp_supermarket_data[[#This Row],[Quantity]]</f>
        <v>2</v>
      </c>
      <c r="L1923" t="str">
        <f>TEXT(Pqp_supermarket_data[[#This Row],[DateTime]],"ddd")</f>
        <v>Tue</v>
      </c>
      <c r="M1923" t="str">
        <f>TEXT(Pqp_supermarket_data[[#This Row],[DateTime]],"mmm")</f>
        <v>Oct</v>
      </c>
      <c r="N1923" t="str">
        <f>TEXT(Pqp_supermarket_data[[#This Row],[DateTime]],"yyy")</f>
        <v>2021</v>
      </c>
    </row>
    <row r="1924" spans="1:14" x14ac:dyDescent="0.35">
      <c r="A1924" t="s">
        <v>3971</v>
      </c>
      <c r="B1924" s="1">
        <v>44542.90560121528</v>
      </c>
      <c r="C1924" t="s">
        <v>3972</v>
      </c>
      <c r="D1924" t="s">
        <v>85</v>
      </c>
      <c r="E1924" t="s">
        <v>90</v>
      </c>
      <c r="F1924">
        <v>1.8</v>
      </c>
      <c r="G1924">
        <v>8</v>
      </c>
      <c r="H1924" t="s">
        <v>14</v>
      </c>
      <c r="I1924" t="s">
        <v>61</v>
      </c>
      <c r="J1924" t="s">
        <v>195</v>
      </c>
      <c r="K1924">
        <f>Pqp_supermarket_data[[#This Row],[Unit_Price]]*Pqp_supermarket_data[[#This Row],[Quantity]]</f>
        <v>14.4</v>
      </c>
      <c r="L1924" t="str">
        <f>TEXT(Pqp_supermarket_data[[#This Row],[DateTime]],"ddd")</f>
        <v>Sun</v>
      </c>
      <c r="M1924" t="str">
        <f>TEXT(Pqp_supermarket_data[[#This Row],[DateTime]],"mmm")</f>
        <v>Dec</v>
      </c>
      <c r="N1924" t="str">
        <f>TEXT(Pqp_supermarket_data[[#This Row],[DateTime]],"yyy")</f>
        <v>2021</v>
      </c>
    </row>
    <row r="1925" spans="1:14" x14ac:dyDescent="0.35">
      <c r="A1925" t="s">
        <v>3973</v>
      </c>
      <c r="B1925" s="1">
        <v>45386.797267893518</v>
      </c>
      <c r="C1925" t="s">
        <v>3974</v>
      </c>
      <c r="D1925" t="s">
        <v>19</v>
      </c>
      <c r="E1925" t="s">
        <v>26</v>
      </c>
      <c r="F1925">
        <v>2.5</v>
      </c>
      <c r="G1925">
        <v>6</v>
      </c>
      <c r="H1925" t="s">
        <v>14</v>
      </c>
      <c r="I1925" t="s">
        <v>15</v>
      </c>
      <c r="J1925" t="s">
        <v>426</v>
      </c>
      <c r="K1925">
        <f>Pqp_supermarket_data[[#This Row],[Unit_Price]]*Pqp_supermarket_data[[#This Row],[Quantity]]</f>
        <v>15</v>
      </c>
      <c r="L1925" t="str">
        <f>TEXT(Pqp_supermarket_data[[#This Row],[DateTime]],"ddd")</f>
        <v>Thu</v>
      </c>
      <c r="M1925" t="str">
        <f>TEXT(Pqp_supermarket_data[[#This Row],[DateTime]],"mmm")</f>
        <v>Apr</v>
      </c>
      <c r="N1925" t="str">
        <f>TEXT(Pqp_supermarket_data[[#This Row],[DateTime]],"yyy")</f>
        <v>2024</v>
      </c>
    </row>
    <row r="1926" spans="1:14" x14ac:dyDescent="0.35">
      <c r="A1926" t="s">
        <v>3975</v>
      </c>
      <c r="B1926" s="1">
        <v>45045.247962337962</v>
      </c>
      <c r="C1926" t="s">
        <v>3976</v>
      </c>
      <c r="D1926" t="s">
        <v>44</v>
      </c>
      <c r="E1926" t="s">
        <v>148</v>
      </c>
      <c r="F1926">
        <v>5.5</v>
      </c>
      <c r="G1926">
        <v>4</v>
      </c>
      <c r="H1926" t="s">
        <v>14</v>
      </c>
      <c r="I1926" t="s">
        <v>86</v>
      </c>
      <c r="J1926" t="s">
        <v>46</v>
      </c>
      <c r="K1926">
        <f>Pqp_supermarket_data[[#This Row],[Unit_Price]]*Pqp_supermarket_data[[#This Row],[Quantity]]</f>
        <v>22</v>
      </c>
      <c r="L1926" t="str">
        <f>TEXT(Pqp_supermarket_data[[#This Row],[DateTime]],"ddd")</f>
        <v>Sat</v>
      </c>
      <c r="M1926" t="str">
        <f>TEXT(Pqp_supermarket_data[[#This Row],[DateTime]],"mmm")</f>
        <v>Apr</v>
      </c>
      <c r="N1926" t="str">
        <f>TEXT(Pqp_supermarket_data[[#This Row],[DateTime]],"yyy")</f>
        <v>2023</v>
      </c>
    </row>
    <row r="1927" spans="1:14" x14ac:dyDescent="0.35">
      <c r="A1927" t="s">
        <v>3977</v>
      </c>
      <c r="B1927" s="1">
        <v>44947.097962361113</v>
      </c>
      <c r="C1927" t="s">
        <v>3978</v>
      </c>
      <c r="D1927" t="s">
        <v>44</v>
      </c>
      <c r="E1927" t="s">
        <v>20</v>
      </c>
      <c r="F1927">
        <v>1</v>
      </c>
      <c r="G1927">
        <v>9</v>
      </c>
      <c r="H1927" t="s">
        <v>14</v>
      </c>
      <c r="I1927" t="s">
        <v>40</v>
      </c>
      <c r="J1927" t="s">
        <v>116</v>
      </c>
      <c r="K1927">
        <f>Pqp_supermarket_data[[#This Row],[Unit_Price]]*Pqp_supermarket_data[[#This Row],[Quantity]]</f>
        <v>9</v>
      </c>
      <c r="L1927" t="str">
        <f>TEXT(Pqp_supermarket_data[[#This Row],[DateTime]],"ddd")</f>
        <v>Sat</v>
      </c>
      <c r="M1927" t="str">
        <f>TEXT(Pqp_supermarket_data[[#This Row],[DateTime]],"mmm")</f>
        <v>Jan</v>
      </c>
      <c r="N1927" t="str">
        <f>TEXT(Pqp_supermarket_data[[#This Row],[DateTime]],"yyy")</f>
        <v>2023</v>
      </c>
    </row>
    <row r="1928" spans="1:14" x14ac:dyDescent="0.35">
      <c r="A1928" t="s">
        <v>3979</v>
      </c>
      <c r="B1928" s="1">
        <v>44447.90837902778</v>
      </c>
      <c r="C1928" t="s">
        <v>3980</v>
      </c>
      <c r="D1928" t="s">
        <v>25</v>
      </c>
      <c r="E1928" t="s">
        <v>70</v>
      </c>
      <c r="F1928">
        <v>5</v>
      </c>
      <c r="G1928">
        <v>7</v>
      </c>
      <c r="H1928" t="s">
        <v>14</v>
      </c>
      <c r="I1928" t="s">
        <v>15</v>
      </c>
      <c r="J1928" t="s">
        <v>323</v>
      </c>
      <c r="K1928">
        <f>Pqp_supermarket_data[[#This Row],[Unit_Price]]*Pqp_supermarket_data[[#This Row],[Quantity]]</f>
        <v>35</v>
      </c>
      <c r="L1928" t="str">
        <f>TEXT(Pqp_supermarket_data[[#This Row],[DateTime]],"ddd")</f>
        <v>Wed</v>
      </c>
      <c r="M1928" t="str">
        <f>TEXT(Pqp_supermarket_data[[#This Row],[DateTime]],"mmm")</f>
        <v>Sep</v>
      </c>
      <c r="N1928" t="str">
        <f>TEXT(Pqp_supermarket_data[[#This Row],[DateTime]],"yyy")</f>
        <v>2021</v>
      </c>
    </row>
    <row r="1929" spans="1:14" x14ac:dyDescent="0.35">
      <c r="A1929" t="s">
        <v>3981</v>
      </c>
      <c r="B1929" s="1">
        <v>45529.841017916668</v>
      </c>
      <c r="C1929" t="s">
        <v>3982</v>
      </c>
      <c r="D1929" t="s">
        <v>226</v>
      </c>
      <c r="E1929" t="s">
        <v>145</v>
      </c>
      <c r="F1929">
        <v>1.7</v>
      </c>
      <c r="G1929">
        <v>10</v>
      </c>
      <c r="H1929" t="s">
        <v>14</v>
      </c>
      <c r="I1929" t="s">
        <v>36</v>
      </c>
      <c r="J1929" t="s">
        <v>16</v>
      </c>
      <c r="K1929">
        <f>Pqp_supermarket_data[[#This Row],[Unit_Price]]*Pqp_supermarket_data[[#This Row],[Quantity]]</f>
        <v>17</v>
      </c>
      <c r="L1929" t="str">
        <f>TEXT(Pqp_supermarket_data[[#This Row],[DateTime]],"ddd")</f>
        <v>Sun</v>
      </c>
      <c r="M1929" t="str">
        <f>TEXT(Pqp_supermarket_data[[#This Row],[DateTime]],"mmm")</f>
        <v>Aug</v>
      </c>
      <c r="N1929" t="str">
        <f>TEXT(Pqp_supermarket_data[[#This Row],[DateTime]],"yyy")</f>
        <v>2024</v>
      </c>
    </row>
    <row r="1930" spans="1:14" x14ac:dyDescent="0.35">
      <c r="A1930" t="s">
        <v>3983</v>
      </c>
      <c r="B1930" s="1">
        <v>44546.191712372682</v>
      </c>
      <c r="C1930" t="s">
        <v>3984</v>
      </c>
      <c r="D1930" t="s">
        <v>127</v>
      </c>
      <c r="E1930" t="s">
        <v>39</v>
      </c>
      <c r="F1930">
        <v>3.2</v>
      </c>
      <c r="G1930">
        <v>6</v>
      </c>
      <c r="H1930" t="s">
        <v>14</v>
      </c>
      <c r="I1930" t="s">
        <v>40</v>
      </c>
      <c r="J1930" t="s">
        <v>369</v>
      </c>
      <c r="K1930">
        <f>Pqp_supermarket_data[[#This Row],[Unit_Price]]*Pqp_supermarket_data[[#This Row],[Quantity]]</f>
        <v>19.200000000000003</v>
      </c>
      <c r="L1930" t="str">
        <f>TEXT(Pqp_supermarket_data[[#This Row],[DateTime]],"ddd")</f>
        <v>Thu</v>
      </c>
      <c r="M1930" t="str">
        <f>TEXT(Pqp_supermarket_data[[#This Row],[DateTime]],"mmm")</f>
        <v>Dec</v>
      </c>
      <c r="N1930" t="str">
        <f>TEXT(Pqp_supermarket_data[[#This Row],[DateTime]],"yyy")</f>
        <v>2021</v>
      </c>
    </row>
    <row r="1931" spans="1:14" x14ac:dyDescent="0.35">
      <c r="A1931" t="s">
        <v>3985</v>
      </c>
      <c r="B1931" s="1">
        <v>44949.99587903935</v>
      </c>
      <c r="C1931" t="s">
        <v>3986</v>
      </c>
      <c r="D1931" t="s">
        <v>69</v>
      </c>
      <c r="E1931" t="s">
        <v>119</v>
      </c>
      <c r="F1931">
        <v>4</v>
      </c>
      <c r="G1931">
        <v>8</v>
      </c>
      <c r="H1931" t="s">
        <v>14</v>
      </c>
      <c r="I1931" t="s">
        <v>36</v>
      </c>
      <c r="J1931" t="s">
        <v>426</v>
      </c>
      <c r="K1931">
        <f>Pqp_supermarket_data[[#This Row],[Unit_Price]]*Pqp_supermarket_data[[#This Row],[Quantity]]</f>
        <v>32</v>
      </c>
      <c r="L1931" t="str">
        <f>TEXT(Pqp_supermarket_data[[#This Row],[DateTime]],"ddd")</f>
        <v>Mon</v>
      </c>
      <c r="M1931" t="str">
        <f>TEXT(Pqp_supermarket_data[[#This Row],[DateTime]],"mmm")</f>
        <v>Jan</v>
      </c>
      <c r="N1931" t="str">
        <f>TEXT(Pqp_supermarket_data[[#This Row],[DateTime]],"yyy")</f>
        <v>2023</v>
      </c>
    </row>
    <row r="1932" spans="1:14" x14ac:dyDescent="0.35">
      <c r="A1932" t="s">
        <v>3987</v>
      </c>
      <c r="B1932" s="1">
        <v>45381.312545717592</v>
      </c>
      <c r="C1932" t="s">
        <v>3988</v>
      </c>
      <c r="D1932" t="s">
        <v>98</v>
      </c>
      <c r="E1932" t="s">
        <v>35</v>
      </c>
      <c r="F1932">
        <v>1.2</v>
      </c>
      <c r="G1932">
        <v>3</v>
      </c>
      <c r="H1932" t="s">
        <v>14</v>
      </c>
      <c r="I1932" t="s">
        <v>40</v>
      </c>
      <c r="J1932" t="s">
        <v>175</v>
      </c>
      <c r="K1932">
        <f>Pqp_supermarket_data[[#This Row],[Unit_Price]]*Pqp_supermarket_data[[#This Row],[Quantity]]</f>
        <v>3.5999999999999996</v>
      </c>
      <c r="L1932" t="str">
        <f>TEXT(Pqp_supermarket_data[[#This Row],[DateTime]],"ddd")</f>
        <v>Sat</v>
      </c>
      <c r="M1932" t="str">
        <f>TEXT(Pqp_supermarket_data[[#This Row],[DateTime]],"mmm")</f>
        <v>Mar</v>
      </c>
      <c r="N1932" t="str">
        <f>TEXT(Pqp_supermarket_data[[#This Row],[DateTime]],"yyy")</f>
        <v>2024</v>
      </c>
    </row>
    <row r="1933" spans="1:14" x14ac:dyDescent="0.35">
      <c r="A1933" t="s">
        <v>3989</v>
      </c>
      <c r="B1933" s="1">
        <v>45246.820184606484</v>
      </c>
      <c r="C1933" t="s">
        <v>3990</v>
      </c>
      <c r="D1933" t="s">
        <v>19</v>
      </c>
      <c r="E1933" t="s">
        <v>115</v>
      </c>
      <c r="F1933">
        <v>1.5</v>
      </c>
      <c r="G1933">
        <v>2</v>
      </c>
      <c r="H1933" t="s">
        <v>14</v>
      </c>
      <c r="I1933" t="s">
        <v>15</v>
      </c>
      <c r="J1933" t="s">
        <v>74</v>
      </c>
      <c r="K1933">
        <f>Pqp_supermarket_data[[#This Row],[Unit_Price]]*Pqp_supermarket_data[[#This Row],[Quantity]]</f>
        <v>3</v>
      </c>
      <c r="L1933" t="str">
        <f>TEXT(Pqp_supermarket_data[[#This Row],[DateTime]],"ddd")</f>
        <v>Thu</v>
      </c>
      <c r="M1933" t="str">
        <f>TEXT(Pqp_supermarket_data[[#This Row],[DateTime]],"mmm")</f>
        <v>Nov</v>
      </c>
      <c r="N1933" t="str">
        <f>TEXT(Pqp_supermarket_data[[#This Row],[DateTime]],"yyy")</f>
        <v>2023</v>
      </c>
    </row>
    <row r="1934" spans="1:14" x14ac:dyDescent="0.35">
      <c r="A1934" t="s">
        <v>3991</v>
      </c>
      <c r="B1934" s="1">
        <v>44903.529212395835</v>
      </c>
      <c r="C1934" t="s">
        <v>3992</v>
      </c>
      <c r="D1934" t="s">
        <v>69</v>
      </c>
      <c r="E1934" t="s">
        <v>65</v>
      </c>
      <c r="F1934">
        <v>3</v>
      </c>
      <c r="G1934">
        <v>3</v>
      </c>
      <c r="H1934" t="s">
        <v>14</v>
      </c>
      <c r="I1934" t="s">
        <v>21</v>
      </c>
      <c r="J1934" t="s">
        <v>716</v>
      </c>
      <c r="K1934">
        <f>Pqp_supermarket_data[[#This Row],[Unit_Price]]*Pqp_supermarket_data[[#This Row],[Quantity]]</f>
        <v>9</v>
      </c>
      <c r="L1934" t="str">
        <f>TEXT(Pqp_supermarket_data[[#This Row],[DateTime]],"ddd")</f>
        <v>Thu</v>
      </c>
      <c r="M1934" t="str">
        <f>TEXT(Pqp_supermarket_data[[#This Row],[DateTime]],"mmm")</f>
        <v>Dec</v>
      </c>
      <c r="N1934" t="str">
        <f>TEXT(Pqp_supermarket_data[[#This Row],[DateTime]],"yyy")</f>
        <v>2022</v>
      </c>
    </row>
    <row r="1935" spans="1:14" x14ac:dyDescent="0.35">
      <c r="A1935" t="s">
        <v>3993</v>
      </c>
      <c r="B1935" s="1">
        <v>44992.002823506948</v>
      </c>
      <c r="C1935" t="s">
        <v>3994</v>
      </c>
      <c r="D1935" t="s">
        <v>69</v>
      </c>
      <c r="E1935" t="s">
        <v>49</v>
      </c>
      <c r="F1935">
        <v>7</v>
      </c>
      <c r="G1935">
        <v>9</v>
      </c>
      <c r="H1935" t="s">
        <v>14</v>
      </c>
      <c r="I1935" t="s">
        <v>15</v>
      </c>
      <c r="J1935" t="s">
        <v>541</v>
      </c>
      <c r="K1935">
        <f>Pqp_supermarket_data[[#This Row],[Unit_Price]]*Pqp_supermarket_data[[#This Row],[Quantity]]</f>
        <v>63</v>
      </c>
      <c r="L1935" t="str">
        <f>TEXT(Pqp_supermarket_data[[#This Row],[DateTime]],"ddd")</f>
        <v>Tue</v>
      </c>
      <c r="M1935" t="str">
        <f>TEXT(Pqp_supermarket_data[[#This Row],[DateTime]],"mmm")</f>
        <v>Mar</v>
      </c>
      <c r="N1935" t="str">
        <f>TEXT(Pqp_supermarket_data[[#This Row],[DateTime]],"yyy")</f>
        <v>2023</v>
      </c>
    </row>
    <row r="1936" spans="1:14" x14ac:dyDescent="0.35">
      <c r="A1936" t="s">
        <v>3995</v>
      </c>
      <c r="B1936" s="1">
        <v>45186.420184618059</v>
      </c>
      <c r="C1936" t="s">
        <v>3996</v>
      </c>
      <c r="D1936" t="s">
        <v>19</v>
      </c>
      <c r="E1936" t="s">
        <v>39</v>
      </c>
      <c r="F1936">
        <v>3.2</v>
      </c>
      <c r="G1936">
        <v>10</v>
      </c>
      <c r="H1936" t="s">
        <v>14</v>
      </c>
      <c r="I1936" t="s">
        <v>21</v>
      </c>
      <c r="J1936" t="s">
        <v>262</v>
      </c>
      <c r="K1936">
        <f>Pqp_supermarket_data[[#This Row],[Unit_Price]]*Pqp_supermarket_data[[#This Row],[Quantity]]</f>
        <v>32</v>
      </c>
      <c r="L1936" t="str">
        <f>TEXT(Pqp_supermarket_data[[#This Row],[DateTime]],"ddd")</f>
        <v>Sun</v>
      </c>
      <c r="M1936" t="str">
        <f>TEXT(Pqp_supermarket_data[[#This Row],[DateTime]],"mmm")</f>
        <v>Sep</v>
      </c>
      <c r="N1936" t="str">
        <f>TEXT(Pqp_supermarket_data[[#This Row],[DateTime]],"yyy")</f>
        <v>2023</v>
      </c>
    </row>
    <row r="1937" spans="1:14" x14ac:dyDescent="0.35">
      <c r="A1937" t="s">
        <v>3997</v>
      </c>
      <c r="B1937" s="1">
        <v>45565.600045740743</v>
      </c>
      <c r="C1937" t="s">
        <v>3998</v>
      </c>
      <c r="D1937" t="s">
        <v>77</v>
      </c>
      <c r="E1937" t="s">
        <v>53</v>
      </c>
      <c r="F1937">
        <v>2.8</v>
      </c>
      <c r="G1937">
        <v>8</v>
      </c>
      <c r="H1937" t="s">
        <v>14</v>
      </c>
      <c r="I1937" t="s">
        <v>86</v>
      </c>
      <c r="J1937" t="s">
        <v>134</v>
      </c>
      <c r="K1937">
        <f>Pqp_supermarket_data[[#This Row],[Unit_Price]]*Pqp_supermarket_data[[#This Row],[Quantity]]</f>
        <v>22.4</v>
      </c>
      <c r="L1937" t="str">
        <f>TEXT(Pqp_supermarket_data[[#This Row],[DateTime]],"ddd")</f>
        <v>Mon</v>
      </c>
      <c r="M1937" t="str">
        <f>TEXT(Pqp_supermarket_data[[#This Row],[DateTime]],"mmm")</f>
        <v>Sep</v>
      </c>
      <c r="N1937" t="str">
        <f>TEXT(Pqp_supermarket_data[[#This Row],[DateTime]],"yyy")</f>
        <v>2024</v>
      </c>
    </row>
    <row r="1938" spans="1:14" x14ac:dyDescent="0.35">
      <c r="A1938" t="s">
        <v>3999</v>
      </c>
      <c r="B1938" s="1">
        <v>44864.564629074077</v>
      </c>
      <c r="C1938" t="s">
        <v>2606</v>
      </c>
      <c r="D1938" t="s">
        <v>82</v>
      </c>
      <c r="E1938" t="s">
        <v>57</v>
      </c>
      <c r="F1938">
        <v>4.5</v>
      </c>
      <c r="G1938">
        <v>8</v>
      </c>
      <c r="H1938" t="s">
        <v>14</v>
      </c>
      <c r="I1938" t="s">
        <v>36</v>
      </c>
      <c r="J1938" t="s">
        <v>16</v>
      </c>
      <c r="K1938">
        <f>Pqp_supermarket_data[[#This Row],[Unit_Price]]*Pqp_supermarket_data[[#This Row],[Quantity]]</f>
        <v>36</v>
      </c>
      <c r="L1938" t="str">
        <f>TEXT(Pqp_supermarket_data[[#This Row],[DateTime]],"ddd")</f>
        <v>Sun</v>
      </c>
      <c r="M1938" t="str">
        <f>TEXT(Pqp_supermarket_data[[#This Row],[DateTime]],"mmm")</f>
        <v>Oct</v>
      </c>
      <c r="N1938" t="str">
        <f>TEXT(Pqp_supermarket_data[[#This Row],[DateTime]],"yyy")</f>
        <v>2022</v>
      </c>
    </row>
    <row r="1939" spans="1:14" x14ac:dyDescent="0.35">
      <c r="A1939" t="s">
        <v>4000</v>
      </c>
      <c r="B1939" s="1">
        <v>45410.567406863425</v>
      </c>
      <c r="C1939" t="s">
        <v>4001</v>
      </c>
      <c r="D1939" t="s">
        <v>171</v>
      </c>
      <c r="E1939" t="s">
        <v>90</v>
      </c>
      <c r="F1939">
        <v>1.8</v>
      </c>
      <c r="G1939">
        <v>2</v>
      </c>
      <c r="H1939" t="s">
        <v>14</v>
      </c>
      <c r="I1939" t="s">
        <v>15</v>
      </c>
      <c r="J1939" t="s">
        <v>288</v>
      </c>
      <c r="K1939">
        <f>Pqp_supermarket_data[[#This Row],[Unit_Price]]*Pqp_supermarket_data[[#This Row],[Quantity]]</f>
        <v>3.6</v>
      </c>
      <c r="L1939" t="str">
        <f>TEXT(Pqp_supermarket_data[[#This Row],[DateTime]],"ddd")</f>
        <v>Sun</v>
      </c>
      <c r="M1939" t="str">
        <f>TEXT(Pqp_supermarket_data[[#This Row],[DateTime]],"mmm")</f>
        <v>Apr</v>
      </c>
      <c r="N1939" t="str">
        <f>TEXT(Pqp_supermarket_data[[#This Row],[DateTime]],"yyy")</f>
        <v>2024</v>
      </c>
    </row>
    <row r="1940" spans="1:14" x14ac:dyDescent="0.35">
      <c r="A1940" t="s">
        <v>4002</v>
      </c>
      <c r="B1940" s="1">
        <v>44570.793795752317</v>
      </c>
      <c r="C1940" t="s">
        <v>4003</v>
      </c>
      <c r="D1940" t="s">
        <v>30</v>
      </c>
      <c r="E1940" t="s">
        <v>70</v>
      </c>
      <c r="F1940">
        <v>5</v>
      </c>
      <c r="G1940">
        <v>7</v>
      </c>
      <c r="H1940" t="s">
        <v>14</v>
      </c>
      <c r="I1940" t="s">
        <v>61</v>
      </c>
      <c r="J1940" t="s">
        <v>510</v>
      </c>
      <c r="K1940">
        <f>Pqp_supermarket_data[[#This Row],[Unit_Price]]*Pqp_supermarket_data[[#This Row],[Quantity]]</f>
        <v>35</v>
      </c>
      <c r="L1940" t="str">
        <f>TEXT(Pqp_supermarket_data[[#This Row],[DateTime]],"ddd")</f>
        <v>Sun</v>
      </c>
      <c r="M1940" t="str">
        <f>TEXT(Pqp_supermarket_data[[#This Row],[DateTime]],"mmm")</f>
        <v>Jan</v>
      </c>
      <c r="N1940" t="str">
        <f>TEXT(Pqp_supermarket_data[[#This Row],[DateTime]],"yyy")</f>
        <v>2022</v>
      </c>
    </row>
    <row r="1941" spans="1:14" x14ac:dyDescent="0.35">
      <c r="A1941" t="s">
        <v>4004</v>
      </c>
      <c r="B1941" s="1">
        <v>45424.861156874998</v>
      </c>
      <c r="C1941" t="s">
        <v>4005</v>
      </c>
      <c r="D1941" t="s">
        <v>171</v>
      </c>
      <c r="E1941" t="s">
        <v>13</v>
      </c>
      <c r="F1941">
        <v>3.1</v>
      </c>
      <c r="G1941">
        <v>2</v>
      </c>
      <c r="H1941" t="s">
        <v>14</v>
      </c>
      <c r="I1941" t="s">
        <v>15</v>
      </c>
      <c r="J1941" t="s">
        <v>108</v>
      </c>
      <c r="K1941">
        <f>Pqp_supermarket_data[[#This Row],[Unit_Price]]*Pqp_supermarket_data[[#This Row],[Quantity]]</f>
        <v>6.2</v>
      </c>
      <c r="L1941" t="str">
        <f>TEXT(Pqp_supermarket_data[[#This Row],[DateTime]],"ddd")</f>
        <v>Sun</v>
      </c>
      <c r="M1941" t="str">
        <f>TEXT(Pqp_supermarket_data[[#This Row],[DateTime]],"mmm")</f>
        <v>May</v>
      </c>
      <c r="N1941" t="str">
        <f>TEXT(Pqp_supermarket_data[[#This Row],[DateTime]],"yyy")</f>
        <v>2024</v>
      </c>
    </row>
    <row r="1942" spans="1:14" x14ac:dyDescent="0.35">
      <c r="A1942" t="s">
        <v>4006</v>
      </c>
      <c r="B1942" s="1">
        <v>44776.141017986112</v>
      </c>
      <c r="C1942" t="s">
        <v>4007</v>
      </c>
      <c r="D1942" t="s">
        <v>171</v>
      </c>
      <c r="E1942" t="s">
        <v>90</v>
      </c>
      <c r="F1942">
        <v>1.8</v>
      </c>
      <c r="G1942">
        <v>9</v>
      </c>
      <c r="H1942" t="s">
        <v>14</v>
      </c>
      <c r="I1942" t="s">
        <v>21</v>
      </c>
      <c r="J1942" t="s">
        <v>138</v>
      </c>
      <c r="K1942">
        <f>Pqp_supermarket_data[[#This Row],[Unit_Price]]*Pqp_supermarket_data[[#This Row],[Quantity]]</f>
        <v>16.2</v>
      </c>
      <c r="L1942" t="str">
        <f>TEXT(Pqp_supermarket_data[[#This Row],[DateTime]],"ddd")</f>
        <v>Wed</v>
      </c>
      <c r="M1942" t="str">
        <f>TEXT(Pqp_supermarket_data[[#This Row],[DateTime]],"mmm")</f>
        <v>Aug</v>
      </c>
      <c r="N1942" t="str">
        <f>TEXT(Pqp_supermarket_data[[#This Row],[DateTime]],"yyy")</f>
        <v>2022</v>
      </c>
    </row>
    <row r="1943" spans="1:14" x14ac:dyDescent="0.35">
      <c r="A1943" t="s">
        <v>4008</v>
      </c>
      <c r="B1943" s="1">
        <v>44913.170879097219</v>
      </c>
      <c r="C1943" t="s">
        <v>4009</v>
      </c>
      <c r="D1943" t="s">
        <v>82</v>
      </c>
      <c r="E1943" t="s">
        <v>39</v>
      </c>
      <c r="F1943">
        <v>3.2</v>
      </c>
      <c r="G1943">
        <v>3</v>
      </c>
      <c r="H1943" t="s">
        <v>14</v>
      </c>
      <c r="I1943" t="s">
        <v>15</v>
      </c>
      <c r="J1943" t="s">
        <v>436</v>
      </c>
      <c r="K1943">
        <f>Pqp_supermarket_data[[#This Row],[Unit_Price]]*Pqp_supermarket_data[[#This Row],[Quantity]]</f>
        <v>9.6000000000000014</v>
      </c>
      <c r="L1943" t="str">
        <f>TEXT(Pqp_supermarket_data[[#This Row],[DateTime]],"ddd")</f>
        <v>Sun</v>
      </c>
      <c r="M1943" t="str">
        <f>TEXT(Pqp_supermarket_data[[#This Row],[DateTime]],"mmm")</f>
        <v>Dec</v>
      </c>
      <c r="N1943" t="str">
        <f>TEXT(Pqp_supermarket_data[[#This Row],[DateTime]],"yyy")</f>
        <v>2022</v>
      </c>
    </row>
    <row r="1944" spans="1:14" x14ac:dyDescent="0.35">
      <c r="A1944" t="s">
        <v>4010</v>
      </c>
      <c r="B1944" s="1">
        <v>45354.995184664353</v>
      </c>
      <c r="C1944" t="s">
        <v>4011</v>
      </c>
      <c r="D1944" t="s">
        <v>127</v>
      </c>
      <c r="E1944" t="s">
        <v>119</v>
      </c>
      <c r="F1944">
        <v>4</v>
      </c>
      <c r="G1944">
        <v>10</v>
      </c>
      <c r="H1944" t="s">
        <v>14</v>
      </c>
      <c r="I1944" t="s">
        <v>61</v>
      </c>
      <c r="J1944" t="s">
        <v>58</v>
      </c>
      <c r="K1944">
        <f>Pqp_supermarket_data[[#This Row],[Unit_Price]]*Pqp_supermarket_data[[#This Row],[Quantity]]</f>
        <v>40</v>
      </c>
      <c r="L1944" t="str">
        <f>TEXT(Pqp_supermarket_data[[#This Row],[DateTime]],"ddd")</f>
        <v>Sun</v>
      </c>
      <c r="M1944" t="str">
        <f>TEXT(Pqp_supermarket_data[[#This Row],[DateTime]],"mmm")</f>
        <v>Mar</v>
      </c>
      <c r="N1944" t="str">
        <f>TEXT(Pqp_supermarket_data[[#This Row],[DateTime]],"yyy")</f>
        <v>2024</v>
      </c>
    </row>
    <row r="1945" spans="1:14" x14ac:dyDescent="0.35">
      <c r="A1945" t="s">
        <v>4012</v>
      </c>
      <c r="B1945" s="1">
        <v>45075.17782355324</v>
      </c>
      <c r="C1945" t="s">
        <v>4013</v>
      </c>
      <c r="D1945" t="s">
        <v>77</v>
      </c>
      <c r="E1945" t="s">
        <v>57</v>
      </c>
      <c r="F1945">
        <v>4.5</v>
      </c>
      <c r="G1945">
        <v>5</v>
      </c>
      <c r="H1945" t="s">
        <v>14</v>
      </c>
      <c r="I1945" t="s">
        <v>86</v>
      </c>
      <c r="J1945" t="s">
        <v>510</v>
      </c>
      <c r="K1945">
        <f>Pqp_supermarket_data[[#This Row],[Unit_Price]]*Pqp_supermarket_data[[#This Row],[Quantity]]</f>
        <v>22.5</v>
      </c>
      <c r="L1945" t="str">
        <f>TEXT(Pqp_supermarket_data[[#This Row],[DateTime]],"ddd")</f>
        <v>Mon</v>
      </c>
      <c r="M1945" t="str">
        <f>TEXT(Pqp_supermarket_data[[#This Row],[DateTime]],"mmm")</f>
        <v>May</v>
      </c>
      <c r="N1945" t="str">
        <f>TEXT(Pqp_supermarket_data[[#This Row],[DateTime]],"yyy")</f>
        <v>2023</v>
      </c>
    </row>
    <row r="1946" spans="1:14" x14ac:dyDescent="0.35">
      <c r="A1946" t="s">
        <v>4014</v>
      </c>
      <c r="B1946" s="1">
        <v>45328.338934675929</v>
      </c>
      <c r="C1946" t="s">
        <v>4015</v>
      </c>
      <c r="D1946" t="s">
        <v>19</v>
      </c>
      <c r="E1946" t="s">
        <v>13</v>
      </c>
      <c r="F1946">
        <v>3.1</v>
      </c>
      <c r="G1946">
        <v>10</v>
      </c>
      <c r="H1946" t="s">
        <v>14</v>
      </c>
      <c r="I1946" t="s">
        <v>40</v>
      </c>
      <c r="J1946" t="s">
        <v>496</v>
      </c>
      <c r="K1946">
        <f>Pqp_supermarket_data[[#This Row],[Unit_Price]]*Pqp_supermarket_data[[#This Row],[Quantity]]</f>
        <v>31</v>
      </c>
      <c r="L1946" t="str">
        <f>TEXT(Pqp_supermarket_data[[#This Row],[DateTime]],"ddd")</f>
        <v>Tue</v>
      </c>
      <c r="M1946" t="str">
        <f>TEXT(Pqp_supermarket_data[[#This Row],[DateTime]],"mmm")</f>
        <v>Feb</v>
      </c>
      <c r="N1946" t="str">
        <f>TEXT(Pqp_supermarket_data[[#This Row],[DateTime]],"yyy")</f>
        <v>2024</v>
      </c>
    </row>
    <row r="1947" spans="1:14" x14ac:dyDescent="0.35">
      <c r="A1947" t="s">
        <v>4016</v>
      </c>
      <c r="B1947" s="1">
        <v>44422.220184675927</v>
      </c>
      <c r="C1947" t="s">
        <v>4017</v>
      </c>
      <c r="D1947" t="s">
        <v>77</v>
      </c>
      <c r="E1947" t="s">
        <v>78</v>
      </c>
      <c r="F1947">
        <v>4</v>
      </c>
      <c r="G1947">
        <v>9</v>
      </c>
      <c r="H1947" t="s">
        <v>14</v>
      </c>
      <c r="I1947" t="s">
        <v>21</v>
      </c>
      <c r="J1947" t="s">
        <v>91</v>
      </c>
      <c r="K1947">
        <f>Pqp_supermarket_data[[#This Row],[Unit_Price]]*Pqp_supermarket_data[[#This Row],[Quantity]]</f>
        <v>36</v>
      </c>
      <c r="L1947" t="str">
        <f>TEXT(Pqp_supermarket_data[[#This Row],[DateTime]],"ddd")</f>
        <v>Sat</v>
      </c>
      <c r="M1947" t="str">
        <f>TEXT(Pqp_supermarket_data[[#This Row],[DateTime]],"mmm")</f>
        <v>Aug</v>
      </c>
      <c r="N1947" t="str">
        <f>TEXT(Pqp_supermarket_data[[#This Row],[DateTime]],"yyy")</f>
        <v>2021</v>
      </c>
    </row>
    <row r="1948" spans="1:14" x14ac:dyDescent="0.35">
      <c r="A1948" t="s">
        <v>4018</v>
      </c>
      <c r="B1948" s="1">
        <v>45441.533379131943</v>
      </c>
      <c r="C1948" t="s">
        <v>4019</v>
      </c>
      <c r="D1948" t="s">
        <v>19</v>
      </c>
      <c r="E1948" t="s">
        <v>137</v>
      </c>
      <c r="F1948">
        <v>2.5</v>
      </c>
      <c r="G1948">
        <v>9</v>
      </c>
      <c r="H1948" t="s">
        <v>14</v>
      </c>
      <c r="I1948" t="s">
        <v>21</v>
      </c>
      <c r="J1948" t="s">
        <v>248</v>
      </c>
      <c r="K1948">
        <f>Pqp_supermarket_data[[#This Row],[Unit_Price]]*Pqp_supermarket_data[[#This Row],[Quantity]]</f>
        <v>22.5</v>
      </c>
      <c r="L1948" t="str">
        <f>TEXT(Pqp_supermarket_data[[#This Row],[DateTime]],"ddd")</f>
        <v>Wed</v>
      </c>
      <c r="M1948" t="str">
        <f>TEXT(Pqp_supermarket_data[[#This Row],[DateTime]],"mmm")</f>
        <v>May</v>
      </c>
      <c r="N1948" t="str">
        <f>TEXT(Pqp_supermarket_data[[#This Row],[DateTime]],"yyy")</f>
        <v>2024</v>
      </c>
    </row>
    <row r="1949" spans="1:14" x14ac:dyDescent="0.35">
      <c r="A1949" t="s">
        <v>4020</v>
      </c>
      <c r="B1949" s="1">
        <v>45772.897962465278</v>
      </c>
      <c r="C1949" t="s">
        <v>4021</v>
      </c>
      <c r="D1949" t="s">
        <v>34</v>
      </c>
      <c r="E1949" t="s">
        <v>35</v>
      </c>
      <c r="F1949">
        <v>1.2</v>
      </c>
      <c r="G1949">
        <v>6</v>
      </c>
      <c r="H1949" t="s">
        <v>14</v>
      </c>
      <c r="I1949" t="s">
        <v>15</v>
      </c>
      <c r="J1949" t="s">
        <v>429</v>
      </c>
      <c r="K1949">
        <f>Pqp_supermarket_data[[#This Row],[Unit_Price]]*Pqp_supermarket_data[[#This Row],[Quantity]]</f>
        <v>7.1999999999999993</v>
      </c>
      <c r="L1949" t="str">
        <f>TEXT(Pqp_supermarket_data[[#This Row],[DateTime]],"ddd")</f>
        <v>Fri</v>
      </c>
      <c r="M1949" t="str">
        <f>TEXT(Pqp_supermarket_data[[#This Row],[DateTime]],"mmm")</f>
        <v>Apr</v>
      </c>
      <c r="N1949" t="str">
        <f>TEXT(Pqp_supermarket_data[[#This Row],[DateTime]],"yyy")</f>
        <v>2025</v>
      </c>
    </row>
    <row r="1950" spans="1:14" x14ac:dyDescent="0.35">
      <c r="A1950" t="s">
        <v>4022</v>
      </c>
      <c r="B1950" s="1">
        <v>44616.986156909719</v>
      </c>
      <c r="C1950" t="s">
        <v>4023</v>
      </c>
      <c r="D1950" t="s">
        <v>98</v>
      </c>
      <c r="E1950" t="s">
        <v>90</v>
      </c>
      <c r="F1950">
        <v>1.8</v>
      </c>
      <c r="G1950">
        <v>3</v>
      </c>
      <c r="H1950" t="s">
        <v>14</v>
      </c>
      <c r="I1950" t="s">
        <v>86</v>
      </c>
      <c r="J1950" t="s">
        <v>50</v>
      </c>
      <c r="K1950">
        <f>Pqp_supermarket_data[[#This Row],[Unit_Price]]*Pqp_supermarket_data[[#This Row],[Quantity]]</f>
        <v>5.4</v>
      </c>
      <c r="L1950" t="str">
        <f>TEXT(Pqp_supermarket_data[[#This Row],[DateTime]],"ddd")</f>
        <v>Thu</v>
      </c>
      <c r="M1950" t="str">
        <f>TEXT(Pqp_supermarket_data[[#This Row],[DateTime]],"mmm")</f>
        <v>Feb</v>
      </c>
      <c r="N1950" t="str">
        <f>TEXT(Pqp_supermarket_data[[#This Row],[DateTime]],"yyy")</f>
        <v>2022</v>
      </c>
    </row>
    <row r="1951" spans="1:14" x14ac:dyDescent="0.35">
      <c r="A1951" t="s">
        <v>4024</v>
      </c>
      <c r="B1951" s="1">
        <v>45561.611851388887</v>
      </c>
      <c r="C1951" t="s">
        <v>4025</v>
      </c>
      <c r="D1951" t="s">
        <v>19</v>
      </c>
      <c r="E1951" t="s">
        <v>148</v>
      </c>
      <c r="F1951">
        <v>5.5</v>
      </c>
      <c r="G1951">
        <v>8</v>
      </c>
      <c r="H1951" t="s">
        <v>14</v>
      </c>
      <c r="I1951" t="s">
        <v>86</v>
      </c>
      <c r="J1951" t="s">
        <v>336</v>
      </c>
      <c r="K1951">
        <f>Pqp_supermarket_data[[#This Row],[Unit_Price]]*Pqp_supermarket_data[[#This Row],[Quantity]]</f>
        <v>44</v>
      </c>
      <c r="L1951" t="str">
        <f>TEXT(Pqp_supermarket_data[[#This Row],[DateTime]],"ddd")</f>
        <v>Thu</v>
      </c>
      <c r="M1951" t="str">
        <f>TEXT(Pqp_supermarket_data[[#This Row],[DateTime]],"mmm")</f>
        <v>Sep</v>
      </c>
      <c r="N1951" t="str">
        <f>TEXT(Pqp_supermarket_data[[#This Row],[DateTime]],"yyy")</f>
        <v>2024</v>
      </c>
    </row>
    <row r="1952" spans="1:14" x14ac:dyDescent="0.35">
      <c r="A1952" t="s">
        <v>4026</v>
      </c>
      <c r="B1952" s="1">
        <v>45248.438240277777</v>
      </c>
      <c r="C1952" t="s">
        <v>4027</v>
      </c>
      <c r="D1952" t="s">
        <v>69</v>
      </c>
      <c r="E1952" t="s">
        <v>13</v>
      </c>
      <c r="F1952">
        <v>3.1</v>
      </c>
      <c r="G1952">
        <v>2</v>
      </c>
      <c r="H1952" t="s">
        <v>14</v>
      </c>
      <c r="I1952" t="s">
        <v>61</v>
      </c>
      <c r="J1952" t="s">
        <v>369</v>
      </c>
      <c r="K1952">
        <f>Pqp_supermarket_data[[#This Row],[Unit_Price]]*Pqp_supermarket_data[[#This Row],[Quantity]]</f>
        <v>6.2</v>
      </c>
      <c r="L1952" t="str">
        <f>TEXT(Pqp_supermarket_data[[#This Row],[DateTime]],"ddd")</f>
        <v>Sat</v>
      </c>
      <c r="M1952" t="str">
        <f>TEXT(Pqp_supermarket_data[[#This Row],[DateTime]],"mmm")</f>
        <v>Nov</v>
      </c>
      <c r="N1952" t="str">
        <f>TEXT(Pqp_supermarket_data[[#This Row],[DateTime]],"yyy")</f>
        <v>2023</v>
      </c>
    </row>
    <row r="1953" spans="1:14" x14ac:dyDescent="0.35">
      <c r="A1953" t="s">
        <v>4028</v>
      </c>
      <c r="B1953" s="1">
        <v>45330.598656956019</v>
      </c>
      <c r="C1953" t="s">
        <v>4029</v>
      </c>
      <c r="D1953" t="s">
        <v>44</v>
      </c>
      <c r="E1953" t="s">
        <v>94</v>
      </c>
      <c r="F1953">
        <v>0.8</v>
      </c>
      <c r="G1953">
        <v>9</v>
      </c>
      <c r="H1953" t="s">
        <v>14</v>
      </c>
      <c r="I1953" t="s">
        <v>61</v>
      </c>
      <c r="J1953" t="s">
        <v>339</v>
      </c>
      <c r="K1953">
        <f>Pqp_supermarket_data[[#This Row],[Unit_Price]]*Pqp_supermarket_data[[#This Row],[Quantity]]</f>
        <v>7.2</v>
      </c>
      <c r="L1953" t="str">
        <f>TEXT(Pqp_supermarket_data[[#This Row],[DateTime]],"ddd")</f>
        <v>Thu</v>
      </c>
      <c r="M1953" t="str">
        <f>TEXT(Pqp_supermarket_data[[#This Row],[DateTime]],"mmm")</f>
        <v>Feb</v>
      </c>
      <c r="N1953" t="str">
        <f>TEXT(Pqp_supermarket_data[[#This Row],[DateTime]],"yyy")</f>
        <v>2024</v>
      </c>
    </row>
    <row r="1954" spans="1:14" x14ac:dyDescent="0.35">
      <c r="A1954" t="s">
        <v>4030</v>
      </c>
      <c r="B1954" s="1">
        <v>44857.693795844905</v>
      </c>
      <c r="C1954" t="s">
        <v>4031</v>
      </c>
      <c r="D1954" t="s">
        <v>85</v>
      </c>
      <c r="E1954" t="s">
        <v>65</v>
      </c>
      <c r="F1954">
        <v>3</v>
      </c>
      <c r="G1954">
        <v>6</v>
      </c>
      <c r="H1954" t="s">
        <v>14</v>
      </c>
      <c r="I1954" t="s">
        <v>40</v>
      </c>
      <c r="J1954" t="s">
        <v>236</v>
      </c>
      <c r="K1954">
        <f>Pqp_supermarket_data[[#This Row],[Unit_Price]]*Pqp_supermarket_data[[#This Row],[Quantity]]</f>
        <v>18</v>
      </c>
      <c r="L1954" t="str">
        <f>TEXT(Pqp_supermarket_data[[#This Row],[DateTime]],"ddd")</f>
        <v>Sun</v>
      </c>
      <c r="M1954" t="str">
        <f>TEXT(Pqp_supermarket_data[[#This Row],[DateTime]],"mmm")</f>
        <v>Oct</v>
      </c>
      <c r="N1954" t="str">
        <f>TEXT(Pqp_supermarket_data[[#This Row],[DateTime]],"yyy")</f>
        <v>2022</v>
      </c>
    </row>
    <row r="1955" spans="1:14" x14ac:dyDescent="0.35">
      <c r="A1955" t="s">
        <v>4032</v>
      </c>
      <c r="B1955" s="1">
        <v>45580.608379189813</v>
      </c>
      <c r="C1955" t="s">
        <v>4033</v>
      </c>
      <c r="D1955" t="s">
        <v>85</v>
      </c>
      <c r="E1955" t="s">
        <v>39</v>
      </c>
      <c r="F1955">
        <v>3.2</v>
      </c>
      <c r="G1955">
        <v>4</v>
      </c>
      <c r="H1955" t="s">
        <v>14</v>
      </c>
      <c r="I1955" t="s">
        <v>21</v>
      </c>
      <c r="J1955" t="s">
        <v>227</v>
      </c>
      <c r="K1955">
        <f>Pqp_supermarket_data[[#This Row],[Unit_Price]]*Pqp_supermarket_data[[#This Row],[Quantity]]</f>
        <v>12.8</v>
      </c>
      <c r="L1955" t="str">
        <f>TEXT(Pqp_supermarket_data[[#This Row],[DateTime]],"ddd")</f>
        <v>Tue</v>
      </c>
      <c r="M1955" t="str">
        <f>TEXT(Pqp_supermarket_data[[#This Row],[DateTime]],"mmm")</f>
        <v>Oct</v>
      </c>
      <c r="N1955" t="str">
        <f>TEXT(Pqp_supermarket_data[[#This Row],[DateTime]],"yyy")</f>
        <v>2024</v>
      </c>
    </row>
    <row r="1956" spans="1:14" x14ac:dyDescent="0.35">
      <c r="A1956" t="s">
        <v>4034</v>
      </c>
      <c r="B1956" s="1">
        <v>44504.490323634258</v>
      </c>
      <c r="C1956" t="s">
        <v>4035</v>
      </c>
      <c r="D1956" t="s">
        <v>30</v>
      </c>
      <c r="E1956" t="s">
        <v>35</v>
      </c>
      <c r="F1956">
        <v>1.2</v>
      </c>
      <c r="G1956">
        <v>4</v>
      </c>
      <c r="H1956" t="s">
        <v>14</v>
      </c>
      <c r="I1956" t="s">
        <v>15</v>
      </c>
      <c r="J1956" t="s">
        <v>131</v>
      </c>
      <c r="K1956">
        <f>Pqp_supermarket_data[[#This Row],[Unit_Price]]*Pqp_supermarket_data[[#This Row],[Quantity]]</f>
        <v>4.8</v>
      </c>
      <c r="L1956" t="str">
        <f>TEXT(Pqp_supermarket_data[[#This Row],[DateTime]],"ddd")</f>
        <v>Thu</v>
      </c>
      <c r="M1956" t="str">
        <f>TEXT(Pqp_supermarket_data[[#This Row],[DateTime]],"mmm")</f>
        <v>Nov</v>
      </c>
      <c r="N1956" t="str">
        <f>TEXT(Pqp_supermarket_data[[#This Row],[DateTime]],"yyy")</f>
        <v>2021</v>
      </c>
    </row>
    <row r="1957" spans="1:14" x14ac:dyDescent="0.35">
      <c r="A1957" t="s">
        <v>4036</v>
      </c>
      <c r="B1957" s="1">
        <v>45016.238240312501</v>
      </c>
      <c r="C1957" t="s">
        <v>4037</v>
      </c>
      <c r="D1957" t="s">
        <v>25</v>
      </c>
      <c r="E1957" t="s">
        <v>13</v>
      </c>
      <c r="F1957">
        <v>3.1</v>
      </c>
      <c r="G1957">
        <v>8</v>
      </c>
      <c r="H1957" t="s">
        <v>14</v>
      </c>
      <c r="I1957" t="s">
        <v>15</v>
      </c>
      <c r="J1957" t="s">
        <v>723</v>
      </c>
      <c r="K1957">
        <f>Pqp_supermarket_data[[#This Row],[Unit_Price]]*Pqp_supermarket_data[[#This Row],[Quantity]]</f>
        <v>24.8</v>
      </c>
      <c r="L1957" t="str">
        <f>TEXT(Pqp_supermarket_data[[#This Row],[DateTime]],"ddd")</f>
        <v>Fri</v>
      </c>
      <c r="M1957" t="str">
        <f>TEXT(Pqp_supermarket_data[[#This Row],[DateTime]],"mmm")</f>
        <v>Mar</v>
      </c>
      <c r="N1957" t="str">
        <f>TEXT(Pqp_supermarket_data[[#This Row],[DateTime]],"yyy")</f>
        <v>2023</v>
      </c>
    </row>
    <row r="1958" spans="1:14" x14ac:dyDescent="0.35">
      <c r="A1958" t="s">
        <v>4038</v>
      </c>
      <c r="B1958" s="1">
        <v>45402.579906990744</v>
      </c>
      <c r="C1958" t="s">
        <v>4039</v>
      </c>
      <c r="D1958" t="s">
        <v>127</v>
      </c>
      <c r="E1958" t="s">
        <v>111</v>
      </c>
      <c r="F1958">
        <v>2.2000000000000002</v>
      </c>
      <c r="G1958">
        <v>4</v>
      </c>
      <c r="H1958" t="s">
        <v>14</v>
      </c>
      <c r="I1958" t="s">
        <v>36</v>
      </c>
      <c r="J1958" t="s">
        <v>451</v>
      </c>
      <c r="K1958">
        <f>Pqp_supermarket_data[[#This Row],[Unit_Price]]*Pqp_supermarket_data[[#This Row],[Quantity]]</f>
        <v>8.8000000000000007</v>
      </c>
      <c r="L1958" t="str">
        <f>TEXT(Pqp_supermarket_data[[#This Row],[DateTime]],"ddd")</f>
        <v>Sat</v>
      </c>
      <c r="M1958" t="str">
        <f>TEXT(Pqp_supermarket_data[[#This Row],[DateTime]],"mmm")</f>
        <v>Apr</v>
      </c>
      <c r="N1958" t="str">
        <f>TEXT(Pqp_supermarket_data[[#This Row],[DateTime]],"yyy")</f>
        <v>2024</v>
      </c>
    </row>
    <row r="1959" spans="1:14" x14ac:dyDescent="0.35">
      <c r="A1959" t="s">
        <v>4040</v>
      </c>
      <c r="B1959" s="1">
        <v>44728.568795879626</v>
      </c>
      <c r="C1959" t="s">
        <v>4041</v>
      </c>
      <c r="D1959" t="s">
        <v>25</v>
      </c>
      <c r="E1959" t="s">
        <v>35</v>
      </c>
      <c r="F1959">
        <v>1.2</v>
      </c>
      <c r="G1959">
        <v>7</v>
      </c>
      <c r="H1959" t="s">
        <v>14</v>
      </c>
      <c r="I1959" t="s">
        <v>40</v>
      </c>
      <c r="J1959" t="s">
        <v>723</v>
      </c>
      <c r="K1959">
        <f>Pqp_supermarket_data[[#This Row],[Unit_Price]]*Pqp_supermarket_data[[#This Row],[Quantity]]</f>
        <v>8.4</v>
      </c>
      <c r="L1959" t="str">
        <f>TEXT(Pqp_supermarket_data[[#This Row],[DateTime]],"ddd")</f>
        <v>Thu</v>
      </c>
      <c r="M1959" t="str">
        <f>TEXT(Pqp_supermarket_data[[#This Row],[DateTime]],"mmm")</f>
        <v>Jun</v>
      </c>
      <c r="N1959" t="str">
        <f>TEXT(Pqp_supermarket_data[[#This Row],[DateTime]],"yyy")</f>
        <v>2022</v>
      </c>
    </row>
    <row r="1960" spans="1:14" x14ac:dyDescent="0.35">
      <c r="A1960" t="s">
        <v>4042</v>
      </c>
      <c r="B1960" s="1">
        <v>44643.759073657406</v>
      </c>
      <c r="C1960" t="s">
        <v>4043</v>
      </c>
      <c r="D1960" t="s">
        <v>12</v>
      </c>
      <c r="E1960" t="s">
        <v>94</v>
      </c>
      <c r="F1960">
        <v>0.8</v>
      </c>
      <c r="G1960">
        <v>1</v>
      </c>
      <c r="H1960" t="s">
        <v>14</v>
      </c>
      <c r="I1960" t="s">
        <v>86</v>
      </c>
      <c r="J1960" t="s">
        <v>320</v>
      </c>
      <c r="K1960">
        <f>Pqp_supermarket_data[[#This Row],[Unit_Price]]*Pqp_supermarket_data[[#This Row],[Quantity]]</f>
        <v>0.8</v>
      </c>
      <c r="L1960" t="str">
        <f>TEXT(Pqp_supermarket_data[[#This Row],[DateTime]],"ddd")</f>
        <v>Wed</v>
      </c>
      <c r="M1960" t="str">
        <f>TEXT(Pqp_supermarket_data[[#This Row],[DateTime]],"mmm")</f>
        <v>Mar</v>
      </c>
      <c r="N1960" t="str">
        <f>TEXT(Pqp_supermarket_data[[#This Row],[DateTime]],"yyy")</f>
        <v>2022</v>
      </c>
    </row>
    <row r="1961" spans="1:14" x14ac:dyDescent="0.35">
      <c r="A1961" t="s">
        <v>4044</v>
      </c>
      <c r="B1961" s="1">
        <v>45247.75143478009</v>
      </c>
      <c r="C1961" t="s">
        <v>4045</v>
      </c>
      <c r="D1961" t="s">
        <v>30</v>
      </c>
      <c r="E1961" t="s">
        <v>119</v>
      </c>
      <c r="F1961">
        <v>4</v>
      </c>
      <c r="G1961">
        <v>4</v>
      </c>
      <c r="H1961" t="s">
        <v>14</v>
      </c>
      <c r="I1961" t="s">
        <v>36</v>
      </c>
      <c r="J1961" t="s">
        <v>561</v>
      </c>
      <c r="K1961">
        <f>Pqp_supermarket_data[[#This Row],[Unit_Price]]*Pqp_supermarket_data[[#This Row],[Quantity]]</f>
        <v>16</v>
      </c>
      <c r="L1961" t="str">
        <f>TEXT(Pqp_supermarket_data[[#This Row],[DateTime]],"ddd")</f>
        <v>Fri</v>
      </c>
      <c r="M1961" t="str">
        <f>TEXT(Pqp_supermarket_data[[#This Row],[DateTime]],"mmm")</f>
        <v>Nov</v>
      </c>
      <c r="N1961" t="str">
        <f>TEXT(Pqp_supermarket_data[[#This Row],[DateTime]],"yyy")</f>
        <v>2023</v>
      </c>
    </row>
    <row r="1962" spans="1:14" x14ac:dyDescent="0.35">
      <c r="A1962" t="s">
        <v>4046</v>
      </c>
      <c r="B1962" s="1">
        <v>44794.863934780093</v>
      </c>
      <c r="C1962" t="s">
        <v>4047</v>
      </c>
      <c r="D1962" t="s">
        <v>69</v>
      </c>
      <c r="E1962" t="s">
        <v>57</v>
      </c>
      <c r="F1962">
        <v>4.5</v>
      </c>
      <c r="G1962">
        <v>4</v>
      </c>
      <c r="H1962" t="s">
        <v>14</v>
      </c>
      <c r="I1962" t="s">
        <v>61</v>
      </c>
      <c r="J1962" t="s">
        <v>178</v>
      </c>
      <c r="K1962">
        <f>Pqp_supermarket_data[[#This Row],[Unit_Price]]*Pqp_supermarket_data[[#This Row],[Quantity]]</f>
        <v>18</v>
      </c>
      <c r="L1962" t="str">
        <f>TEXT(Pqp_supermarket_data[[#This Row],[DateTime]],"ddd")</f>
        <v>Sun</v>
      </c>
      <c r="M1962" t="str">
        <f>TEXT(Pqp_supermarket_data[[#This Row],[DateTime]],"mmm")</f>
        <v>Aug</v>
      </c>
      <c r="N1962" t="str">
        <f>TEXT(Pqp_supermarket_data[[#This Row],[DateTime]],"yyy")</f>
        <v>2022</v>
      </c>
    </row>
    <row r="1963" spans="1:14" x14ac:dyDescent="0.35">
      <c r="A1963" t="s">
        <v>4048</v>
      </c>
      <c r="B1963" s="1">
        <v>44792.900045891205</v>
      </c>
      <c r="C1963" t="s">
        <v>4049</v>
      </c>
      <c r="D1963" t="s">
        <v>30</v>
      </c>
      <c r="E1963" t="s">
        <v>49</v>
      </c>
      <c r="F1963">
        <v>7</v>
      </c>
      <c r="G1963">
        <v>10</v>
      </c>
      <c r="H1963" t="s">
        <v>14</v>
      </c>
      <c r="I1963" t="s">
        <v>61</v>
      </c>
      <c r="J1963" t="s">
        <v>112</v>
      </c>
      <c r="K1963">
        <f>Pqp_supermarket_data[[#This Row],[Unit_Price]]*Pqp_supermarket_data[[#This Row],[Quantity]]</f>
        <v>70</v>
      </c>
      <c r="L1963" t="str">
        <f>TEXT(Pqp_supermarket_data[[#This Row],[DateTime]],"ddd")</f>
        <v>Fri</v>
      </c>
      <c r="M1963" t="str">
        <f>TEXT(Pqp_supermarket_data[[#This Row],[DateTime]],"mmm")</f>
        <v>Aug</v>
      </c>
      <c r="N1963" t="str">
        <f>TEXT(Pqp_supermarket_data[[#This Row],[DateTime]],"yyy")</f>
        <v>2022</v>
      </c>
    </row>
    <row r="1964" spans="1:14" x14ac:dyDescent="0.35">
      <c r="A1964" t="s">
        <v>4050</v>
      </c>
      <c r="B1964" s="1">
        <v>44801.180601446758</v>
      </c>
      <c r="C1964" t="s">
        <v>4051</v>
      </c>
      <c r="D1964" t="s">
        <v>25</v>
      </c>
      <c r="E1964" t="s">
        <v>148</v>
      </c>
      <c r="F1964">
        <v>5.5</v>
      </c>
      <c r="G1964">
        <v>5</v>
      </c>
      <c r="H1964" t="s">
        <v>14</v>
      </c>
      <c r="I1964" t="s">
        <v>86</v>
      </c>
      <c r="J1964" t="s">
        <v>31</v>
      </c>
      <c r="K1964">
        <f>Pqp_supermarket_data[[#This Row],[Unit_Price]]*Pqp_supermarket_data[[#This Row],[Quantity]]</f>
        <v>27.5</v>
      </c>
      <c r="L1964" t="str">
        <f>TEXT(Pqp_supermarket_data[[#This Row],[DateTime]],"ddd")</f>
        <v>Sun</v>
      </c>
      <c r="M1964" t="str">
        <f>TEXT(Pqp_supermarket_data[[#This Row],[DateTime]],"mmm")</f>
        <v>Aug</v>
      </c>
      <c r="N1964" t="str">
        <f>TEXT(Pqp_supermarket_data[[#This Row],[DateTime]],"yyy")</f>
        <v>2022</v>
      </c>
    </row>
    <row r="1965" spans="1:14" x14ac:dyDescent="0.35">
      <c r="A1965" t="s">
        <v>4052</v>
      </c>
      <c r="B1965" s="1">
        <v>45120.238934791669</v>
      </c>
      <c r="C1965" t="s">
        <v>4053</v>
      </c>
      <c r="D1965" t="s">
        <v>82</v>
      </c>
      <c r="E1965" t="s">
        <v>148</v>
      </c>
      <c r="F1965">
        <v>5.5</v>
      </c>
      <c r="G1965">
        <v>3</v>
      </c>
      <c r="H1965" t="s">
        <v>14</v>
      </c>
      <c r="I1965" t="s">
        <v>86</v>
      </c>
      <c r="J1965" t="s">
        <v>79</v>
      </c>
      <c r="K1965">
        <f>Pqp_supermarket_data[[#This Row],[Unit_Price]]*Pqp_supermarket_data[[#This Row],[Quantity]]</f>
        <v>16.5</v>
      </c>
      <c r="L1965" t="str">
        <f>TEXT(Pqp_supermarket_data[[#This Row],[DateTime]],"ddd")</f>
        <v>Thu</v>
      </c>
      <c r="M1965" t="str">
        <f>TEXT(Pqp_supermarket_data[[#This Row],[DateTime]],"mmm")</f>
        <v>Jul</v>
      </c>
      <c r="N1965" t="str">
        <f>TEXT(Pqp_supermarket_data[[#This Row],[DateTime]],"yyy")</f>
        <v>2023</v>
      </c>
    </row>
    <row r="1966" spans="1:14" x14ac:dyDescent="0.35">
      <c r="A1966" t="s">
        <v>4054</v>
      </c>
      <c r="B1966" s="1">
        <v>44434.419490347223</v>
      </c>
      <c r="C1966" t="s">
        <v>4055</v>
      </c>
      <c r="D1966" t="s">
        <v>12</v>
      </c>
      <c r="E1966" t="s">
        <v>49</v>
      </c>
      <c r="F1966">
        <v>7</v>
      </c>
      <c r="G1966">
        <v>3</v>
      </c>
      <c r="H1966" t="s">
        <v>14</v>
      </c>
      <c r="I1966" t="s">
        <v>86</v>
      </c>
      <c r="J1966" t="s">
        <v>723</v>
      </c>
      <c r="K1966">
        <f>Pqp_supermarket_data[[#This Row],[Unit_Price]]*Pqp_supermarket_data[[#This Row],[Quantity]]</f>
        <v>21</v>
      </c>
      <c r="L1966" t="str">
        <f>TEXT(Pqp_supermarket_data[[#This Row],[DateTime]],"ddd")</f>
        <v>Thu</v>
      </c>
      <c r="M1966" t="str">
        <f>TEXT(Pqp_supermarket_data[[#This Row],[DateTime]],"mmm")</f>
        <v>Aug</v>
      </c>
      <c r="N1966" t="str">
        <f>TEXT(Pqp_supermarket_data[[#This Row],[DateTime]],"yyy")</f>
        <v>2021</v>
      </c>
    </row>
    <row r="1967" spans="1:14" x14ac:dyDescent="0.35">
      <c r="A1967" t="s">
        <v>4056</v>
      </c>
      <c r="B1967" s="1">
        <v>44555.988240347222</v>
      </c>
      <c r="C1967" t="s">
        <v>4057</v>
      </c>
      <c r="D1967" t="s">
        <v>25</v>
      </c>
      <c r="E1967" t="s">
        <v>35</v>
      </c>
      <c r="F1967">
        <v>1.2</v>
      </c>
      <c r="G1967">
        <v>5</v>
      </c>
      <c r="H1967" t="s">
        <v>14</v>
      </c>
      <c r="I1967" t="s">
        <v>61</v>
      </c>
      <c r="J1967" t="s">
        <v>616</v>
      </c>
      <c r="K1967">
        <f>Pqp_supermarket_data[[#This Row],[Unit_Price]]*Pqp_supermarket_data[[#This Row],[Quantity]]</f>
        <v>6</v>
      </c>
      <c r="L1967" t="str">
        <f>TEXT(Pqp_supermarket_data[[#This Row],[DateTime]],"ddd")</f>
        <v>Sat</v>
      </c>
      <c r="M1967" t="str">
        <f>TEXT(Pqp_supermarket_data[[#This Row],[DateTime]],"mmm")</f>
        <v>Dec</v>
      </c>
      <c r="N1967" t="str">
        <f>TEXT(Pqp_supermarket_data[[#This Row],[DateTime]],"yyy")</f>
        <v>2021</v>
      </c>
    </row>
    <row r="1968" spans="1:14" x14ac:dyDescent="0.35">
      <c r="A1968" t="s">
        <v>4058</v>
      </c>
      <c r="B1968" s="1">
        <v>45346.016018125003</v>
      </c>
      <c r="C1968" t="s">
        <v>4059</v>
      </c>
      <c r="D1968" t="s">
        <v>85</v>
      </c>
      <c r="E1968" t="s">
        <v>39</v>
      </c>
      <c r="F1968">
        <v>3.2</v>
      </c>
      <c r="G1968">
        <v>5</v>
      </c>
      <c r="H1968" t="s">
        <v>14</v>
      </c>
      <c r="I1968" t="s">
        <v>36</v>
      </c>
      <c r="J1968" t="s">
        <v>79</v>
      </c>
      <c r="K1968">
        <f>Pqp_supermarket_data[[#This Row],[Unit_Price]]*Pqp_supermarket_data[[#This Row],[Quantity]]</f>
        <v>16</v>
      </c>
      <c r="L1968" t="str">
        <f>TEXT(Pqp_supermarket_data[[#This Row],[DateTime]],"ddd")</f>
        <v>Sat</v>
      </c>
      <c r="M1968" t="str">
        <f>TEXT(Pqp_supermarket_data[[#This Row],[DateTime]],"mmm")</f>
        <v>Feb</v>
      </c>
      <c r="N1968" t="str">
        <f>TEXT(Pqp_supermarket_data[[#This Row],[DateTime]],"yyy")</f>
        <v>2024</v>
      </c>
    </row>
    <row r="1969" spans="1:14" x14ac:dyDescent="0.35">
      <c r="A1969" t="s">
        <v>4060</v>
      </c>
      <c r="B1969" s="1">
        <v>44944.02435146991</v>
      </c>
      <c r="C1969" t="s">
        <v>4061</v>
      </c>
      <c r="D1969" t="s">
        <v>98</v>
      </c>
      <c r="E1969" t="s">
        <v>145</v>
      </c>
      <c r="F1969">
        <v>1.7</v>
      </c>
      <c r="G1969">
        <v>7</v>
      </c>
      <c r="H1969" t="s">
        <v>14</v>
      </c>
      <c r="I1969" t="s">
        <v>61</v>
      </c>
      <c r="J1969" t="s">
        <v>166</v>
      </c>
      <c r="K1969">
        <f>Pqp_supermarket_data[[#This Row],[Unit_Price]]*Pqp_supermarket_data[[#This Row],[Quantity]]</f>
        <v>11.9</v>
      </c>
      <c r="L1969" t="str">
        <f>TEXT(Pqp_supermarket_data[[#This Row],[DateTime]],"ddd")</f>
        <v>Wed</v>
      </c>
      <c r="M1969" t="str">
        <f>TEXT(Pqp_supermarket_data[[#This Row],[DateTime]],"mmm")</f>
        <v>Jan</v>
      </c>
      <c r="N1969" t="str">
        <f>TEXT(Pqp_supermarket_data[[#This Row],[DateTime]],"yyy")</f>
        <v>2023</v>
      </c>
    </row>
    <row r="1970" spans="1:14" x14ac:dyDescent="0.35">
      <c r="A1970" t="s">
        <v>4062</v>
      </c>
      <c r="B1970" s="1">
        <v>45236.902823692129</v>
      </c>
      <c r="C1970" t="s">
        <v>4063</v>
      </c>
      <c r="D1970" t="s">
        <v>25</v>
      </c>
      <c r="E1970" t="s">
        <v>39</v>
      </c>
      <c r="F1970">
        <v>3.2</v>
      </c>
      <c r="G1970">
        <v>1</v>
      </c>
      <c r="H1970" t="s">
        <v>14</v>
      </c>
      <c r="I1970" t="s">
        <v>61</v>
      </c>
      <c r="J1970" t="s">
        <v>31</v>
      </c>
      <c r="K1970">
        <f>Pqp_supermarket_data[[#This Row],[Unit_Price]]*Pqp_supermarket_data[[#This Row],[Quantity]]</f>
        <v>3.2</v>
      </c>
      <c r="L1970" t="str">
        <f>TEXT(Pqp_supermarket_data[[#This Row],[DateTime]],"ddd")</f>
        <v>Mon</v>
      </c>
      <c r="M1970" t="str">
        <f>TEXT(Pqp_supermarket_data[[#This Row],[DateTime]],"mmm")</f>
        <v>Nov</v>
      </c>
      <c r="N1970" t="str">
        <f>TEXT(Pqp_supermarket_data[[#This Row],[DateTime]],"yyy")</f>
        <v>2023</v>
      </c>
    </row>
    <row r="1971" spans="1:14" x14ac:dyDescent="0.35">
      <c r="A1971" t="s">
        <v>4064</v>
      </c>
      <c r="B1971" s="1">
        <v>44947.243101481479</v>
      </c>
      <c r="C1971" t="s">
        <v>4065</v>
      </c>
      <c r="D1971" t="s">
        <v>19</v>
      </c>
      <c r="E1971" t="s">
        <v>94</v>
      </c>
      <c r="F1971">
        <v>0.8</v>
      </c>
      <c r="G1971">
        <v>9</v>
      </c>
      <c r="H1971" t="s">
        <v>14</v>
      </c>
      <c r="I1971" t="s">
        <v>15</v>
      </c>
      <c r="J1971" t="s">
        <v>267</v>
      </c>
      <c r="K1971">
        <f>Pqp_supermarket_data[[#This Row],[Unit_Price]]*Pqp_supermarket_data[[#This Row],[Quantity]]</f>
        <v>7.2</v>
      </c>
      <c r="L1971" t="str">
        <f>TEXT(Pqp_supermarket_data[[#This Row],[DateTime]],"ddd")</f>
        <v>Sat</v>
      </c>
      <c r="M1971" t="str">
        <f>TEXT(Pqp_supermarket_data[[#This Row],[DateTime]],"mmm")</f>
        <v>Jan</v>
      </c>
      <c r="N1971" t="str">
        <f>TEXT(Pqp_supermarket_data[[#This Row],[DateTime]],"yyy")</f>
        <v>2023</v>
      </c>
    </row>
    <row r="1972" spans="1:14" x14ac:dyDescent="0.35">
      <c r="A1972" t="s">
        <v>4066</v>
      </c>
      <c r="B1972" s="1">
        <v>44506.407684826387</v>
      </c>
      <c r="C1972" t="s">
        <v>4067</v>
      </c>
      <c r="D1972" t="s">
        <v>171</v>
      </c>
      <c r="E1972" t="s">
        <v>39</v>
      </c>
      <c r="F1972">
        <v>3.2</v>
      </c>
      <c r="G1972">
        <v>3</v>
      </c>
      <c r="H1972" t="s">
        <v>14</v>
      </c>
      <c r="I1972" t="s">
        <v>21</v>
      </c>
      <c r="J1972" t="s">
        <v>112</v>
      </c>
      <c r="K1972">
        <f>Pqp_supermarket_data[[#This Row],[Unit_Price]]*Pqp_supermarket_data[[#This Row],[Quantity]]</f>
        <v>9.6000000000000014</v>
      </c>
      <c r="L1972" t="str">
        <f>TEXT(Pqp_supermarket_data[[#This Row],[DateTime]],"ddd")</f>
        <v>Sat</v>
      </c>
      <c r="M1972" t="str">
        <f>TEXT(Pqp_supermarket_data[[#This Row],[DateTime]],"mmm")</f>
        <v>Nov</v>
      </c>
      <c r="N1972" t="str">
        <f>TEXT(Pqp_supermarket_data[[#This Row],[DateTime]],"yyy")</f>
        <v>2021</v>
      </c>
    </row>
    <row r="1973" spans="1:14" x14ac:dyDescent="0.35">
      <c r="A1973" t="s">
        <v>4068</v>
      </c>
      <c r="B1973" s="1">
        <v>45745.600740381946</v>
      </c>
      <c r="C1973" t="s">
        <v>4069</v>
      </c>
      <c r="D1973" t="s">
        <v>226</v>
      </c>
      <c r="E1973" t="s">
        <v>49</v>
      </c>
      <c r="F1973">
        <v>7</v>
      </c>
      <c r="G1973">
        <v>2</v>
      </c>
      <c r="H1973" t="s">
        <v>14</v>
      </c>
      <c r="I1973" t="s">
        <v>36</v>
      </c>
      <c r="J1973" t="s">
        <v>517</v>
      </c>
      <c r="K1973">
        <f>Pqp_supermarket_data[[#This Row],[Unit_Price]]*Pqp_supermarket_data[[#This Row],[Quantity]]</f>
        <v>14</v>
      </c>
      <c r="L1973" t="str">
        <f>TEXT(Pqp_supermarket_data[[#This Row],[DateTime]],"ddd")</f>
        <v>Sat</v>
      </c>
      <c r="M1973" t="str">
        <f>TEXT(Pqp_supermarket_data[[#This Row],[DateTime]],"mmm")</f>
        <v>Mar</v>
      </c>
      <c r="N1973" t="str">
        <f>TEXT(Pqp_supermarket_data[[#This Row],[DateTime]],"yyy")</f>
        <v>2025</v>
      </c>
    </row>
    <row r="1974" spans="1:14" x14ac:dyDescent="0.35">
      <c r="A1974" t="s">
        <v>4070</v>
      </c>
      <c r="B1974" s="1">
        <v>45063.848657060182</v>
      </c>
      <c r="C1974" t="s">
        <v>4071</v>
      </c>
      <c r="D1974" t="s">
        <v>30</v>
      </c>
      <c r="E1974" t="s">
        <v>137</v>
      </c>
      <c r="F1974">
        <v>2.5</v>
      </c>
      <c r="G1974">
        <v>9</v>
      </c>
      <c r="H1974" t="s">
        <v>14</v>
      </c>
      <c r="I1974" t="s">
        <v>15</v>
      </c>
      <c r="J1974" t="s">
        <v>116</v>
      </c>
      <c r="K1974">
        <f>Pqp_supermarket_data[[#This Row],[Unit_Price]]*Pqp_supermarket_data[[#This Row],[Quantity]]</f>
        <v>22.5</v>
      </c>
      <c r="L1974" t="str">
        <f>TEXT(Pqp_supermarket_data[[#This Row],[DateTime]],"ddd")</f>
        <v>Wed</v>
      </c>
      <c r="M1974" t="str">
        <f>TEXT(Pqp_supermarket_data[[#This Row],[DateTime]],"mmm")</f>
        <v>May</v>
      </c>
      <c r="N1974" t="str">
        <f>TEXT(Pqp_supermarket_data[[#This Row],[DateTime]],"yyy")</f>
        <v>2023</v>
      </c>
    </row>
    <row r="1975" spans="1:14" x14ac:dyDescent="0.35">
      <c r="A1975" t="s">
        <v>4072</v>
      </c>
      <c r="B1975" s="1">
        <v>44690.302823738428</v>
      </c>
      <c r="C1975" t="s">
        <v>4073</v>
      </c>
      <c r="D1975" t="s">
        <v>34</v>
      </c>
      <c r="E1975" t="s">
        <v>20</v>
      </c>
      <c r="F1975">
        <v>1</v>
      </c>
      <c r="G1975">
        <v>7</v>
      </c>
      <c r="H1975" t="s">
        <v>14</v>
      </c>
      <c r="I1975" t="s">
        <v>36</v>
      </c>
      <c r="J1975" t="s">
        <v>496</v>
      </c>
      <c r="K1975">
        <f>Pqp_supermarket_data[[#This Row],[Unit_Price]]*Pqp_supermarket_data[[#This Row],[Quantity]]</f>
        <v>7</v>
      </c>
      <c r="L1975" t="str">
        <f>TEXT(Pqp_supermarket_data[[#This Row],[DateTime]],"ddd")</f>
        <v>Mon</v>
      </c>
      <c r="M1975" t="str">
        <f>TEXT(Pqp_supermarket_data[[#This Row],[DateTime]],"mmm")</f>
        <v>May</v>
      </c>
      <c r="N1975" t="str">
        <f>TEXT(Pqp_supermarket_data[[#This Row],[DateTime]],"yyy")</f>
        <v>2022</v>
      </c>
    </row>
    <row r="1976" spans="1:14" x14ac:dyDescent="0.35">
      <c r="A1976" t="s">
        <v>4074</v>
      </c>
      <c r="B1976" s="1">
        <v>45192.311157071759</v>
      </c>
      <c r="C1976" t="s">
        <v>4075</v>
      </c>
      <c r="D1976" t="s">
        <v>44</v>
      </c>
      <c r="E1976" t="s">
        <v>39</v>
      </c>
      <c r="F1976">
        <v>3.2</v>
      </c>
      <c r="G1976">
        <v>7</v>
      </c>
      <c r="H1976" t="s">
        <v>14</v>
      </c>
      <c r="I1976" t="s">
        <v>15</v>
      </c>
      <c r="J1976" t="s">
        <v>153</v>
      </c>
      <c r="K1976">
        <f>Pqp_supermarket_data[[#This Row],[Unit_Price]]*Pqp_supermarket_data[[#This Row],[Quantity]]</f>
        <v>22.400000000000002</v>
      </c>
      <c r="L1976" t="str">
        <f>TEXT(Pqp_supermarket_data[[#This Row],[DateTime]],"ddd")</f>
        <v>Sat</v>
      </c>
      <c r="M1976" t="str">
        <f>TEXT(Pqp_supermarket_data[[#This Row],[DateTime]],"mmm")</f>
        <v>Sep</v>
      </c>
      <c r="N1976" t="str">
        <f>TEXT(Pqp_supermarket_data[[#This Row],[DateTime]],"yyy")</f>
        <v>2023</v>
      </c>
    </row>
    <row r="1977" spans="1:14" x14ac:dyDescent="0.35">
      <c r="A1977" t="s">
        <v>4076</v>
      </c>
      <c r="B1977" s="1">
        <v>45277.558379305556</v>
      </c>
      <c r="C1977" t="s">
        <v>4077</v>
      </c>
      <c r="D1977" t="s">
        <v>34</v>
      </c>
      <c r="E1977" t="s">
        <v>35</v>
      </c>
      <c r="F1977">
        <v>1.2</v>
      </c>
      <c r="G1977">
        <v>9</v>
      </c>
      <c r="H1977" t="s">
        <v>14</v>
      </c>
      <c r="I1977" t="s">
        <v>40</v>
      </c>
      <c r="J1977" t="s">
        <v>616</v>
      </c>
      <c r="K1977">
        <f>Pqp_supermarket_data[[#This Row],[Unit_Price]]*Pqp_supermarket_data[[#This Row],[Quantity]]</f>
        <v>10.799999999999999</v>
      </c>
      <c r="L1977" t="str">
        <f>TEXT(Pqp_supermarket_data[[#This Row],[DateTime]],"ddd")</f>
        <v>Sun</v>
      </c>
      <c r="M1977" t="str">
        <f>TEXT(Pqp_supermarket_data[[#This Row],[DateTime]],"mmm")</f>
        <v>Dec</v>
      </c>
      <c r="N1977" t="str">
        <f>TEXT(Pqp_supermarket_data[[#This Row],[DateTime]],"yyy")</f>
        <v>2023</v>
      </c>
    </row>
    <row r="1978" spans="1:14" x14ac:dyDescent="0.35">
      <c r="A1978" t="s">
        <v>4078</v>
      </c>
      <c r="B1978" s="1">
        <v>44971.933379305556</v>
      </c>
      <c r="C1978" t="s">
        <v>4079</v>
      </c>
      <c r="D1978" t="s">
        <v>69</v>
      </c>
      <c r="E1978" t="s">
        <v>57</v>
      </c>
      <c r="F1978">
        <v>4.5</v>
      </c>
      <c r="G1978">
        <v>5</v>
      </c>
      <c r="H1978" t="s">
        <v>14</v>
      </c>
      <c r="I1978" t="s">
        <v>40</v>
      </c>
      <c r="J1978" t="s">
        <v>496</v>
      </c>
      <c r="K1978">
        <f>Pqp_supermarket_data[[#This Row],[Unit_Price]]*Pqp_supermarket_data[[#This Row],[Quantity]]</f>
        <v>22.5</v>
      </c>
      <c r="L1978" t="str">
        <f>TEXT(Pqp_supermarket_data[[#This Row],[DateTime]],"ddd")</f>
        <v>Tue</v>
      </c>
      <c r="M1978" t="str">
        <f>TEXT(Pqp_supermarket_data[[#This Row],[DateTime]],"mmm")</f>
        <v>Feb</v>
      </c>
      <c r="N1978" t="str">
        <f>TEXT(Pqp_supermarket_data[[#This Row],[DateTime]],"yyy")</f>
        <v>2023</v>
      </c>
    </row>
    <row r="1979" spans="1:14" x14ac:dyDescent="0.35">
      <c r="A1979" t="s">
        <v>4080</v>
      </c>
      <c r="B1979" s="1">
        <v>44492.632684884258</v>
      </c>
      <c r="C1979" t="s">
        <v>4081</v>
      </c>
      <c r="D1979" t="s">
        <v>208</v>
      </c>
      <c r="E1979" t="s">
        <v>13</v>
      </c>
      <c r="F1979">
        <v>3.1</v>
      </c>
      <c r="G1979">
        <v>2</v>
      </c>
      <c r="H1979" t="s">
        <v>14</v>
      </c>
      <c r="I1979" t="s">
        <v>86</v>
      </c>
      <c r="J1979" t="s">
        <v>189</v>
      </c>
      <c r="K1979">
        <f>Pqp_supermarket_data[[#This Row],[Unit_Price]]*Pqp_supermarket_data[[#This Row],[Quantity]]</f>
        <v>6.2</v>
      </c>
      <c r="L1979" t="str">
        <f>TEXT(Pqp_supermarket_data[[#This Row],[DateTime]],"ddd")</f>
        <v>Sat</v>
      </c>
      <c r="M1979" t="str">
        <f>TEXT(Pqp_supermarket_data[[#This Row],[DateTime]],"mmm")</f>
        <v>Oct</v>
      </c>
      <c r="N1979" t="str">
        <f>TEXT(Pqp_supermarket_data[[#This Row],[DateTime]],"yyy")</f>
        <v>2021</v>
      </c>
    </row>
    <row r="1980" spans="1:14" x14ac:dyDescent="0.35">
      <c r="A1980" t="s">
        <v>4082</v>
      </c>
      <c r="B1980" s="1">
        <v>44966.356990439817</v>
      </c>
      <c r="C1980" t="s">
        <v>4083</v>
      </c>
      <c r="D1980" t="s">
        <v>12</v>
      </c>
      <c r="E1980" t="s">
        <v>13</v>
      </c>
      <c r="F1980">
        <v>3.1</v>
      </c>
      <c r="G1980">
        <v>2</v>
      </c>
      <c r="H1980" t="s">
        <v>14</v>
      </c>
      <c r="I1980" t="s">
        <v>40</v>
      </c>
      <c r="J1980" t="s">
        <v>205</v>
      </c>
      <c r="K1980">
        <f>Pqp_supermarket_data[[#This Row],[Unit_Price]]*Pqp_supermarket_data[[#This Row],[Quantity]]</f>
        <v>6.2</v>
      </c>
      <c r="L1980" t="str">
        <f>TEXT(Pqp_supermarket_data[[#This Row],[DateTime]],"ddd")</f>
        <v>Thu</v>
      </c>
      <c r="M1980" t="str">
        <f>TEXT(Pqp_supermarket_data[[#This Row],[DateTime]],"mmm")</f>
        <v>Feb</v>
      </c>
      <c r="N1980" t="str">
        <f>TEXT(Pqp_supermarket_data[[#This Row],[DateTime]],"yyy")</f>
        <v>2023</v>
      </c>
    </row>
    <row r="1981" spans="1:14" x14ac:dyDescent="0.35">
      <c r="A1981" t="s">
        <v>4084</v>
      </c>
      <c r="B1981" s="1">
        <v>44752.570184884258</v>
      </c>
      <c r="C1981" t="s">
        <v>4085</v>
      </c>
      <c r="D1981" t="s">
        <v>226</v>
      </c>
      <c r="E1981" t="s">
        <v>145</v>
      </c>
      <c r="F1981">
        <v>1.7</v>
      </c>
      <c r="G1981">
        <v>1</v>
      </c>
      <c r="H1981" t="s">
        <v>14</v>
      </c>
      <c r="I1981" t="s">
        <v>40</v>
      </c>
      <c r="J1981" t="s">
        <v>314</v>
      </c>
      <c r="K1981">
        <f>Pqp_supermarket_data[[#This Row],[Unit_Price]]*Pqp_supermarket_data[[#This Row],[Quantity]]</f>
        <v>1.7</v>
      </c>
      <c r="L1981" t="str">
        <f>TEXT(Pqp_supermarket_data[[#This Row],[DateTime]],"ddd")</f>
        <v>Sun</v>
      </c>
      <c r="M1981" t="str">
        <f>TEXT(Pqp_supermarket_data[[#This Row],[DateTime]],"mmm")</f>
        <v>Jul</v>
      </c>
      <c r="N1981" t="str">
        <f>TEXT(Pqp_supermarket_data[[#This Row],[DateTime]],"yyy")</f>
        <v>2022</v>
      </c>
    </row>
    <row r="1982" spans="1:14" x14ac:dyDescent="0.35">
      <c r="A1982" t="s">
        <v>4086</v>
      </c>
      <c r="B1982" s="1">
        <v>44676.727823773152</v>
      </c>
      <c r="C1982" t="s">
        <v>4087</v>
      </c>
      <c r="D1982" t="s">
        <v>69</v>
      </c>
      <c r="E1982" t="s">
        <v>148</v>
      </c>
      <c r="F1982">
        <v>5.5</v>
      </c>
      <c r="G1982">
        <v>10</v>
      </c>
      <c r="H1982" t="s">
        <v>14</v>
      </c>
      <c r="I1982" t="s">
        <v>86</v>
      </c>
      <c r="J1982" t="s">
        <v>248</v>
      </c>
      <c r="K1982">
        <f>Pqp_supermarket_data[[#This Row],[Unit_Price]]*Pqp_supermarket_data[[#This Row],[Quantity]]</f>
        <v>55</v>
      </c>
      <c r="L1982" t="str">
        <f>TEXT(Pqp_supermarket_data[[#This Row],[DateTime]],"ddd")</f>
        <v>Mon</v>
      </c>
      <c r="M1982" t="str">
        <f>TEXT(Pqp_supermarket_data[[#This Row],[DateTime]],"mmm")</f>
        <v>Apr</v>
      </c>
      <c r="N1982" t="str">
        <f>TEXT(Pqp_supermarket_data[[#This Row],[DateTime]],"yyy")</f>
        <v>2022</v>
      </c>
    </row>
    <row r="1983" spans="1:14" x14ac:dyDescent="0.35">
      <c r="A1983" t="s">
        <v>4088</v>
      </c>
      <c r="B1983" s="1">
        <v>44546.150046006944</v>
      </c>
      <c r="C1983" t="s">
        <v>4089</v>
      </c>
      <c r="D1983" t="s">
        <v>44</v>
      </c>
      <c r="E1983" t="s">
        <v>145</v>
      </c>
      <c r="F1983">
        <v>1.7</v>
      </c>
      <c r="G1983">
        <v>9</v>
      </c>
      <c r="H1983" t="s">
        <v>14</v>
      </c>
      <c r="I1983" t="s">
        <v>36</v>
      </c>
      <c r="J1983" t="s">
        <v>397</v>
      </c>
      <c r="K1983">
        <f>Pqp_supermarket_data[[#This Row],[Unit_Price]]*Pqp_supermarket_data[[#This Row],[Quantity]]</f>
        <v>15.299999999999999</v>
      </c>
      <c r="L1983" t="str">
        <f>TEXT(Pqp_supermarket_data[[#This Row],[DateTime]],"ddd")</f>
        <v>Thu</v>
      </c>
      <c r="M1983" t="str">
        <f>TEXT(Pqp_supermarket_data[[#This Row],[DateTime]],"mmm")</f>
        <v>Dec</v>
      </c>
      <c r="N1983" t="str">
        <f>TEXT(Pqp_supermarket_data[[#This Row],[DateTime]],"yyy")</f>
        <v>2021</v>
      </c>
    </row>
    <row r="1984" spans="1:14" x14ac:dyDescent="0.35">
      <c r="A1984" t="s">
        <v>4090</v>
      </c>
      <c r="B1984" s="1">
        <v>45168.206296006945</v>
      </c>
      <c r="C1984" t="s">
        <v>4091</v>
      </c>
      <c r="D1984" t="s">
        <v>25</v>
      </c>
      <c r="E1984" t="s">
        <v>148</v>
      </c>
      <c r="F1984">
        <v>5.5</v>
      </c>
      <c r="G1984">
        <v>5</v>
      </c>
      <c r="H1984" t="s">
        <v>14</v>
      </c>
      <c r="I1984" t="s">
        <v>36</v>
      </c>
      <c r="J1984" t="s">
        <v>317</v>
      </c>
      <c r="K1984">
        <f>Pqp_supermarket_data[[#This Row],[Unit_Price]]*Pqp_supermarket_data[[#This Row],[Quantity]]</f>
        <v>27.5</v>
      </c>
      <c r="L1984" t="str">
        <f>TEXT(Pqp_supermarket_data[[#This Row],[DateTime]],"ddd")</f>
        <v>Wed</v>
      </c>
      <c r="M1984" t="str">
        <f>TEXT(Pqp_supermarket_data[[#This Row],[DateTime]],"mmm")</f>
        <v>Aug</v>
      </c>
      <c r="N1984" t="str">
        <f>TEXT(Pqp_supermarket_data[[#This Row],[DateTime]],"yyy")</f>
        <v>2023</v>
      </c>
    </row>
    <row r="1985" spans="1:14" x14ac:dyDescent="0.35">
      <c r="A1985" t="s">
        <v>4092</v>
      </c>
      <c r="B1985" s="1">
        <v>44821.047268240742</v>
      </c>
      <c r="C1985" t="s">
        <v>4093</v>
      </c>
      <c r="D1985" t="s">
        <v>82</v>
      </c>
      <c r="E1985" t="s">
        <v>65</v>
      </c>
      <c r="F1985">
        <v>3</v>
      </c>
      <c r="G1985">
        <v>4</v>
      </c>
      <c r="H1985" t="s">
        <v>14</v>
      </c>
      <c r="I1985" t="s">
        <v>86</v>
      </c>
      <c r="J1985" t="s">
        <v>270</v>
      </c>
      <c r="K1985">
        <f>Pqp_supermarket_data[[#This Row],[Unit_Price]]*Pqp_supermarket_data[[#This Row],[Quantity]]</f>
        <v>12</v>
      </c>
      <c r="L1985" t="str">
        <f>TEXT(Pqp_supermarket_data[[#This Row],[DateTime]],"ddd")</f>
        <v>Sat</v>
      </c>
      <c r="M1985" t="str">
        <f>TEXT(Pqp_supermarket_data[[#This Row],[DateTime]],"mmm")</f>
        <v>Sep</v>
      </c>
      <c r="N1985" t="str">
        <f>TEXT(Pqp_supermarket_data[[#This Row],[DateTime]],"yyy")</f>
        <v>2022</v>
      </c>
    </row>
    <row r="1986" spans="1:14" x14ac:dyDescent="0.35">
      <c r="A1986" t="s">
        <v>4094</v>
      </c>
      <c r="B1986" s="1">
        <v>45215.922268240742</v>
      </c>
      <c r="C1986" t="s">
        <v>4095</v>
      </c>
      <c r="D1986" t="s">
        <v>19</v>
      </c>
      <c r="E1986" t="s">
        <v>20</v>
      </c>
      <c r="F1986">
        <v>1</v>
      </c>
      <c r="G1986">
        <v>9</v>
      </c>
      <c r="H1986" t="s">
        <v>14</v>
      </c>
      <c r="I1986" t="s">
        <v>15</v>
      </c>
      <c r="J1986" t="s">
        <v>41</v>
      </c>
      <c r="K1986">
        <f>Pqp_supermarket_data[[#This Row],[Unit_Price]]*Pqp_supermarket_data[[#This Row],[Quantity]]</f>
        <v>9</v>
      </c>
      <c r="L1986" t="str">
        <f>TEXT(Pqp_supermarket_data[[#This Row],[DateTime]],"ddd")</f>
        <v>Mon</v>
      </c>
      <c r="M1986" t="str">
        <f>TEXT(Pqp_supermarket_data[[#This Row],[DateTime]],"mmm")</f>
        <v>Oct</v>
      </c>
      <c r="N1986" t="str">
        <f>TEXT(Pqp_supermarket_data[[#This Row],[DateTime]],"yyy")</f>
        <v>2023</v>
      </c>
    </row>
    <row r="1987" spans="1:14" x14ac:dyDescent="0.35">
      <c r="A1987" t="s">
        <v>4096</v>
      </c>
      <c r="B1987" s="1">
        <v>45750.902823807868</v>
      </c>
      <c r="C1987" t="s">
        <v>4097</v>
      </c>
      <c r="D1987" t="s">
        <v>82</v>
      </c>
      <c r="E1987" t="s">
        <v>53</v>
      </c>
      <c r="F1987">
        <v>2.8</v>
      </c>
      <c r="G1987">
        <v>9</v>
      </c>
      <c r="H1987" t="s">
        <v>14</v>
      </c>
      <c r="I1987" t="s">
        <v>36</v>
      </c>
      <c r="J1987" t="s">
        <v>192</v>
      </c>
      <c r="K1987">
        <f>Pqp_supermarket_data[[#This Row],[Unit_Price]]*Pqp_supermarket_data[[#This Row],[Quantity]]</f>
        <v>25.2</v>
      </c>
      <c r="L1987" t="str">
        <f>TEXT(Pqp_supermarket_data[[#This Row],[DateTime]],"ddd")</f>
        <v>Thu</v>
      </c>
      <c r="M1987" t="str">
        <f>TEXT(Pqp_supermarket_data[[#This Row],[DateTime]],"mmm")</f>
        <v>Apr</v>
      </c>
      <c r="N1987" t="str">
        <f>TEXT(Pqp_supermarket_data[[#This Row],[DateTime]],"yyy")</f>
        <v>2025</v>
      </c>
    </row>
    <row r="1988" spans="1:14" x14ac:dyDescent="0.35">
      <c r="A1988" t="s">
        <v>4098</v>
      </c>
      <c r="B1988" s="1">
        <v>44860.243101585649</v>
      </c>
      <c r="C1988" t="s">
        <v>4099</v>
      </c>
      <c r="D1988" t="s">
        <v>208</v>
      </c>
      <c r="E1988" t="s">
        <v>49</v>
      </c>
      <c r="F1988">
        <v>7</v>
      </c>
      <c r="G1988">
        <v>4</v>
      </c>
      <c r="H1988" t="s">
        <v>14</v>
      </c>
      <c r="I1988" t="s">
        <v>86</v>
      </c>
      <c r="J1988" t="s">
        <v>186</v>
      </c>
      <c r="K1988">
        <f>Pqp_supermarket_data[[#This Row],[Unit_Price]]*Pqp_supermarket_data[[#This Row],[Quantity]]</f>
        <v>28</v>
      </c>
      <c r="L1988" t="str">
        <f>TEXT(Pqp_supermarket_data[[#This Row],[DateTime]],"ddd")</f>
        <v>Wed</v>
      </c>
      <c r="M1988" t="str">
        <f>TEXT(Pqp_supermarket_data[[#This Row],[DateTime]],"mmm")</f>
        <v>Oct</v>
      </c>
      <c r="N1988" t="str">
        <f>TEXT(Pqp_supermarket_data[[#This Row],[DateTime]],"yyy")</f>
        <v>2022</v>
      </c>
    </row>
    <row r="1989" spans="1:14" x14ac:dyDescent="0.35">
      <c r="A1989" t="s">
        <v>4100</v>
      </c>
      <c r="B1989" s="1">
        <v>44809.805601597225</v>
      </c>
      <c r="C1989" t="s">
        <v>4101</v>
      </c>
      <c r="D1989" t="s">
        <v>30</v>
      </c>
      <c r="E1989" t="s">
        <v>57</v>
      </c>
      <c r="F1989">
        <v>4.5</v>
      </c>
      <c r="G1989">
        <v>6</v>
      </c>
      <c r="H1989" t="s">
        <v>14</v>
      </c>
      <c r="I1989" t="s">
        <v>15</v>
      </c>
      <c r="J1989" t="s">
        <v>134</v>
      </c>
      <c r="K1989">
        <f>Pqp_supermarket_data[[#This Row],[Unit_Price]]*Pqp_supermarket_data[[#This Row],[Quantity]]</f>
        <v>27</v>
      </c>
      <c r="L1989" t="str">
        <f>TEXT(Pqp_supermarket_data[[#This Row],[DateTime]],"ddd")</f>
        <v>Mon</v>
      </c>
      <c r="M1989" t="str">
        <f>TEXT(Pqp_supermarket_data[[#This Row],[DateTime]],"mmm")</f>
        <v>Sep</v>
      </c>
      <c r="N1989" t="str">
        <f>TEXT(Pqp_supermarket_data[[#This Row],[DateTime]],"yyy")</f>
        <v>2022</v>
      </c>
    </row>
    <row r="1990" spans="1:14" x14ac:dyDescent="0.35">
      <c r="A1990" t="s">
        <v>4102</v>
      </c>
      <c r="B1990" s="1">
        <v>45615.410462708336</v>
      </c>
      <c r="C1990" t="s">
        <v>4103</v>
      </c>
      <c r="D1990" t="s">
        <v>69</v>
      </c>
      <c r="E1990" t="s">
        <v>78</v>
      </c>
      <c r="F1990">
        <v>4</v>
      </c>
      <c r="G1990">
        <v>8</v>
      </c>
      <c r="H1990" t="s">
        <v>14</v>
      </c>
      <c r="I1990" t="s">
        <v>21</v>
      </c>
      <c r="J1990" t="s">
        <v>623</v>
      </c>
      <c r="K1990">
        <f>Pqp_supermarket_data[[#This Row],[Unit_Price]]*Pqp_supermarket_data[[#This Row],[Quantity]]</f>
        <v>32</v>
      </c>
      <c r="L1990" t="str">
        <f>TEXT(Pqp_supermarket_data[[#This Row],[DateTime]],"ddd")</f>
        <v>Tue</v>
      </c>
      <c r="M1990" t="str">
        <f>TEXT(Pqp_supermarket_data[[#This Row],[DateTime]],"mmm")</f>
        <v>Nov</v>
      </c>
      <c r="N1990" t="str">
        <f>TEXT(Pqp_supermarket_data[[#This Row],[DateTime]],"yyy")</f>
        <v>2024</v>
      </c>
    </row>
    <row r="1991" spans="1:14" x14ac:dyDescent="0.35">
      <c r="A1991" t="s">
        <v>4104</v>
      </c>
      <c r="B1991" s="1">
        <v>45615.37574048611</v>
      </c>
      <c r="C1991" t="s">
        <v>1661</v>
      </c>
      <c r="D1991" t="s">
        <v>171</v>
      </c>
      <c r="E1991" t="s">
        <v>115</v>
      </c>
      <c r="F1991">
        <v>1.5</v>
      </c>
      <c r="G1991">
        <v>9</v>
      </c>
      <c r="H1991" t="s">
        <v>14</v>
      </c>
      <c r="I1991" t="s">
        <v>36</v>
      </c>
      <c r="J1991" t="s">
        <v>323</v>
      </c>
      <c r="K1991">
        <f>Pqp_supermarket_data[[#This Row],[Unit_Price]]*Pqp_supermarket_data[[#This Row],[Quantity]]</f>
        <v>13.5</v>
      </c>
      <c r="L1991" t="str">
        <f>TEXT(Pqp_supermarket_data[[#This Row],[DateTime]],"ddd")</f>
        <v>Tue</v>
      </c>
      <c r="M1991" t="str">
        <f>TEXT(Pqp_supermarket_data[[#This Row],[DateTime]],"mmm")</f>
        <v>Nov</v>
      </c>
      <c r="N1991" t="str">
        <f>TEXT(Pqp_supermarket_data[[#This Row],[DateTime]],"yyy")</f>
        <v>2024</v>
      </c>
    </row>
    <row r="1992" spans="1:14" x14ac:dyDescent="0.35">
      <c r="A1992" t="s">
        <v>4105</v>
      </c>
      <c r="B1992" s="1">
        <v>45310.484073831016</v>
      </c>
      <c r="C1992" t="s">
        <v>4106</v>
      </c>
      <c r="D1992" t="s">
        <v>98</v>
      </c>
      <c r="E1992" t="s">
        <v>13</v>
      </c>
      <c r="F1992">
        <v>3.1</v>
      </c>
      <c r="G1992">
        <v>7</v>
      </c>
      <c r="H1992" t="s">
        <v>14</v>
      </c>
      <c r="I1992" t="s">
        <v>61</v>
      </c>
      <c r="J1992" t="s">
        <v>202</v>
      </c>
      <c r="K1992">
        <f>Pqp_supermarket_data[[#This Row],[Unit_Price]]*Pqp_supermarket_data[[#This Row],[Quantity]]</f>
        <v>21.7</v>
      </c>
      <c r="L1992" t="str">
        <f>TEXT(Pqp_supermarket_data[[#This Row],[DateTime]],"ddd")</f>
        <v>Fri</v>
      </c>
      <c r="M1992" t="str">
        <f>TEXT(Pqp_supermarket_data[[#This Row],[DateTime]],"mmm")</f>
        <v>Jan</v>
      </c>
      <c r="N1992" t="str">
        <f>TEXT(Pqp_supermarket_data[[#This Row],[DateTime]],"yyy")</f>
        <v>2024</v>
      </c>
    </row>
    <row r="1993" spans="1:14" x14ac:dyDescent="0.35">
      <c r="A1993" t="s">
        <v>4107</v>
      </c>
      <c r="B1993" s="1">
        <v>45095.391712719909</v>
      </c>
      <c r="C1993" t="s">
        <v>4108</v>
      </c>
      <c r="D1993" t="s">
        <v>44</v>
      </c>
      <c r="E1993" t="s">
        <v>119</v>
      </c>
      <c r="F1993">
        <v>4</v>
      </c>
      <c r="G1993">
        <v>10</v>
      </c>
      <c r="H1993" t="s">
        <v>14</v>
      </c>
      <c r="I1993" t="s">
        <v>86</v>
      </c>
      <c r="J1993" t="s">
        <v>288</v>
      </c>
      <c r="K1993">
        <f>Pqp_supermarket_data[[#This Row],[Unit_Price]]*Pqp_supermarket_data[[#This Row],[Quantity]]</f>
        <v>40</v>
      </c>
      <c r="L1993" t="str">
        <f>TEXT(Pqp_supermarket_data[[#This Row],[DateTime]],"ddd")</f>
        <v>Sun</v>
      </c>
      <c r="M1993" t="str">
        <f>TEXT(Pqp_supermarket_data[[#This Row],[DateTime]],"mmm")</f>
        <v>Jun</v>
      </c>
      <c r="N1993" t="str">
        <f>TEXT(Pqp_supermarket_data[[#This Row],[DateTime]],"yyy")</f>
        <v>2023</v>
      </c>
    </row>
    <row r="1994" spans="1:14" x14ac:dyDescent="0.35">
      <c r="A1994" t="s">
        <v>4109</v>
      </c>
      <c r="B1994" s="1">
        <v>45236.634073842593</v>
      </c>
      <c r="C1994" t="s">
        <v>4110</v>
      </c>
      <c r="D1994" t="s">
        <v>226</v>
      </c>
      <c r="E1994" t="s">
        <v>20</v>
      </c>
      <c r="F1994">
        <v>1</v>
      </c>
      <c r="G1994">
        <v>8</v>
      </c>
      <c r="H1994" t="s">
        <v>14</v>
      </c>
      <c r="I1994" t="s">
        <v>21</v>
      </c>
      <c r="J1994" t="s">
        <v>336</v>
      </c>
      <c r="K1994">
        <f>Pqp_supermarket_data[[#This Row],[Unit_Price]]*Pqp_supermarket_data[[#This Row],[Quantity]]</f>
        <v>8</v>
      </c>
      <c r="L1994" t="str">
        <f>TEXT(Pqp_supermarket_data[[#This Row],[DateTime]],"ddd")</f>
        <v>Mon</v>
      </c>
      <c r="M1994" t="str">
        <f>TEXT(Pqp_supermarket_data[[#This Row],[DateTime]],"mmm")</f>
        <v>Nov</v>
      </c>
      <c r="N1994" t="str">
        <f>TEXT(Pqp_supermarket_data[[#This Row],[DateTime]],"yyy")</f>
        <v>2023</v>
      </c>
    </row>
    <row r="1995" spans="1:14" x14ac:dyDescent="0.35">
      <c r="A1995" t="s">
        <v>4111</v>
      </c>
      <c r="B1995" s="1">
        <v>45144.716018287036</v>
      </c>
      <c r="C1995" t="s">
        <v>4112</v>
      </c>
      <c r="D1995" t="s">
        <v>44</v>
      </c>
      <c r="E1995" t="s">
        <v>70</v>
      </c>
      <c r="F1995">
        <v>5</v>
      </c>
      <c r="G1995">
        <v>8</v>
      </c>
      <c r="H1995" t="s">
        <v>14</v>
      </c>
      <c r="I1995" t="s">
        <v>21</v>
      </c>
      <c r="J1995" t="s">
        <v>270</v>
      </c>
      <c r="K1995">
        <f>Pqp_supermarket_data[[#This Row],[Unit_Price]]*Pqp_supermarket_data[[#This Row],[Quantity]]</f>
        <v>40</v>
      </c>
      <c r="L1995" t="str">
        <f>TEXT(Pqp_supermarket_data[[#This Row],[DateTime]],"ddd")</f>
        <v>Sun</v>
      </c>
      <c r="M1995" t="str">
        <f>TEXT(Pqp_supermarket_data[[#This Row],[DateTime]],"mmm")</f>
        <v>Aug</v>
      </c>
      <c r="N1995" t="str">
        <f>TEXT(Pqp_supermarket_data[[#This Row],[DateTime]],"yyy")</f>
        <v>2023</v>
      </c>
    </row>
    <row r="1996" spans="1:14" x14ac:dyDescent="0.35">
      <c r="A1996" t="s">
        <v>4113</v>
      </c>
      <c r="B1996" s="1">
        <v>45620.41601828704</v>
      </c>
      <c r="C1996" t="s">
        <v>4114</v>
      </c>
      <c r="D1996" t="s">
        <v>12</v>
      </c>
      <c r="E1996" t="s">
        <v>65</v>
      </c>
      <c r="F1996">
        <v>3</v>
      </c>
      <c r="G1996">
        <v>7</v>
      </c>
      <c r="H1996" t="s">
        <v>14</v>
      </c>
      <c r="I1996" t="s">
        <v>15</v>
      </c>
      <c r="J1996" t="s">
        <v>91</v>
      </c>
      <c r="K1996">
        <f>Pqp_supermarket_data[[#This Row],[Unit_Price]]*Pqp_supermarket_data[[#This Row],[Quantity]]</f>
        <v>21</v>
      </c>
      <c r="L1996" t="str">
        <f>TEXT(Pqp_supermarket_data[[#This Row],[DateTime]],"ddd")</f>
        <v>Sun</v>
      </c>
      <c r="M1996" t="str">
        <f>TEXT(Pqp_supermarket_data[[#This Row],[DateTime]],"mmm")</f>
        <v>Nov</v>
      </c>
      <c r="N1996" t="str">
        <f>TEXT(Pqp_supermarket_data[[#This Row],[DateTime]],"yyy")</f>
        <v>2024</v>
      </c>
    </row>
    <row r="1997" spans="1:14" x14ac:dyDescent="0.35">
      <c r="A1997" t="s">
        <v>4115</v>
      </c>
      <c r="B1997" s="1">
        <v>45759.328518298615</v>
      </c>
      <c r="C1997" t="s">
        <v>4116</v>
      </c>
      <c r="D1997" t="s">
        <v>12</v>
      </c>
      <c r="E1997" t="s">
        <v>148</v>
      </c>
      <c r="F1997">
        <v>5.5</v>
      </c>
      <c r="G1997">
        <v>3</v>
      </c>
      <c r="H1997" t="s">
        <v>14</v>
      </c>
      <c r="I1997" t="s">
        <v>15</v>
      </c>
      <c r="J1997" t="s">
        <v>510</v>
      </c>
      <c r="K1997">
        <f>Pqp_supermarket_data[[#This Row],[Unit_Price]]*Pqp_supermarket_data[[#This Row],[Quantity]]</f>
        <v>16.5</v>
      </c>
      <c r="L1997" t="str">
        <f>TEXT(Pqp_supermarket_data[[#This Row],[DateTime]],"ddd")</f>
        <v>Sat</v>
      </c>
      <c r="M1997" t="str">
        <f>TEXT(Pqp_supermarket_data[[#This Row],[DateTime]],"mmm")</f>
        <v>Apr</v>
      </c>
      <c r="N1997" t="str">
        <f>TEXT(Pqp_supermarket_data[[#This Row],[DateTime]],"yyy")</f>
        <v>2025</v>
      </c>
    </row>
    <row r="1998" spans="1:14" x14ac:dyDescent="0.35">
      <c r="A1998" t="s">
        <v>4117</v>
      </c>
      <c r="B1998" s="1">
        <v>45554.479212743056</v>
      </c>
      <c r="C1998" t="s">
        <v>4118</v>
      </c>
      <c r="D1998" t="s">
        <v>82</v>
      </c>
      <c r="E1998" t="s">
        <v>115</v>
      </c>
      <c r="F1998">
        <v>1.5</v>
      </c>
      <c r="G1998">
        <v>3</v>
      </c>
      <c r="H1998" t="s">
        <v>14</v>
      </c>
      <c r="I1998" t="s">
        <v>36</v>
      </c>
      <c r="J1998" t="s">
        <v>716</v>
      </c>
      <c r="K1998">
        <f>Pqp_supermarket_data[[#This Row],[Unit_Price]]*Pqp_supermarket_data[[#This Row],[Quantity]]</f>
        <v>4.5</v>
      </c>
      <c r="L1998" t="str">
        <f>TEXT(Pqp_supermarket_data[[#This Row],[DateTime]],"ddd")</f>
        <v>Thu</v>
      </c>
      <c r="M1998" t="str">
        <f>TEXT(Pqp_supermarket_data[[#This Row],[DateTime]],"mmm")</f>
        <v>Sep</v>
      </c>
      <c r="N1998" t="str">
        <f>TEXT(Pqp_supermarket_data[[#This Row],[DateTime]],"yyy")</f>
        <v>2024</v>
      </c>
    </row>
    <row r="1999" spans="1:14" x14ac:dyDescent="0.35">
      <c r="A1999" t="s">
        <v>4119</v>
      </c>
      <c r="B1999" s="1">
        <v>44789.360462743054</v>
      </c>
      <c r="C1999" t="s">
        <v>2236</v>
      </c>
      <c r="D1999" t="s">
        <v>34</v>
      </c>
      <c r="E1999" t="s">
        <v>20</v>
      </c>
      <c r="F1999">
        <v>1</v>
      </c>
      <c r="G1999">
        <v>7</v>
      </c>
      <c r="H1999" t="s">
        <v>14</v>
      </c>
      <c r="I1999" t="s">
        <v>86</v>
      </c>
      <c r="J1999" t="s">
        <v>99</v>
      </c>
      <c r="K1999">
        <f>Pqp_supermarket_data[[#This Row],[Unit_Price]]*Pqp_supermarket_data[[#This Row],[Quantity]]</f>
        <v>7</v>
      </c>
      <c r="L1999" t="str">
        <f>TEXT(Pqp_supermarket_data[[#This Row],[DateTime]],"ddd")</f>
        <v>Tue</v>
      </c>
      <c r="M1999" t="str">
        <f>TEXT(Pqp_supermarket_data[[#This Row],[DateTime]],"mmm")</f>
        <v>Aug</v>
      </c>
      <c r="N1999" t="str">
        <f>TEXT(Pqp_supermarket_data[[#This Row],[DateTime]],"yyy")</f>
        <v>2022</v>
      </c>
    </row>
    <row r="2000" spans="1:14" x14ac:dyDescent="0.35">
      <c r="A2000" t="s">
        <v>4120</v>
      </c>
      <c r="B2000" s="1">
        <v>45179.416018321761</v>
      </c>
      <c r="C2000" t="s">
        <v>4121</v>
      </c>
      <c r="D2000" t="s">
        <v>127</v>
      </c>
      <c r="E2000" t="s">
        <v>13</v>
      </c>
      <c r="F2000">
        <v>3.1</v>
      </c>
      <c r="G2000">
        <v>9</v>
      </c>
      <c r="H2000" t="s">
        <v>14</v>
      </c>
      <c r="I2000" t="s">
        <v>61</v>
      </c>
      <c r="J2000" t="s">
        <v>262</v>
      </c>
      <c r="K2000">
        <f>Pqp_supermarket_data[[#This Row],[Unit_Price]]*Pqp_supermarket_data[[#This Row],[Quantity]]</f>
        <v>27.900000000000002</v>
      </c>
      <c r="L2000" t="str">
        <f>TEXT(Pqp_supermarket_data[[#This Row],[DateTime]],"ddd")</f>
        <v>Sun</v>
      </c>
      <c r="M2000" t="str">
        <f>TEXT(Pqp_supermarket_data[[#This Row],[DateTime]],"mmm")</f>
        <v>Sep</v>
      </c>
      <c r="N2000" t="str">
        <f>TEXT(Pqp_supermarket_data[[#This Row],[DateTime]],"yyy")</f>
        <v>2023</v>
      </c>
    </row>
    <row r="2001" spans="1:14" x14ac:dyDescent="0.35">
      <c r="A2001" t="s">
        <v>4122</v>
      </c>
      <c r="B2001" s="1">
        <v>45024.781296099536</v>
      </c>
      <c r="C2001" t="s">
        <v>4123</v>
      </c>
      <c r="D2001" t="s">
        <v>69</v>
      </c>
      <c r="E2001" t="s">
        <v>111</v>
      </c>
      <c r="F2001">
        <v>2.2000000000000002</v>
      </c>
      <c r="G2001">
        <v>5</v>
      </c>
      <c r="H2001" t="s">
        <v>14</v>
      </c>
      <c r="I2001" t="s">
        <v>21</v>
      </c>
      <c r="J2001" t="s">
        <v>382</v>
      </c>
      <c r="K2001">
        <f>Pqp_supermarket_data[[#This Row],[Unit_Price]]*Pqp_supermarket_data[[#This Row],[Quantity]]</f>
        <v>11</v>
      </c>
      <c r="L2001" t="str">
        <f>TEXT(Pqp_supermarket_data[[#This Row],[DateTime]],"ddd")</f>
        <v>Sat</v>
      </c>
      <c r="M2001" t="str">
        <f>TEXT(Pqp_supermarket_data[[#This Row],[DateTime]],"mmm")</f>
        <v>Apr</v>
      </c>
      <c r="N2001" t="str">
        <f>TEXT(Pqp_supermarket_data[[#This Row],[DateTime]],"yyy")</f>
        <v>2023</v>
      </c>
    </row>
    <row r="2002" spans="1:14" x14ac:dyDescent="0.35">
      <c r="A2002" t="s">
        <v>4124</v>
      </c>
      <c r="B2002" s="1">
        <v>45367.736851666668</v>
      </c>
      <c r="C2002" t="s">
        <v>4125</v>
      </c>
      <c r="D2002" t="s">
        <v>44</v>
      </c>
      <c r="E2002" t="s">
        <v>90</v>
      </c>
      <c r="F2002">
        <v>1.8</v>
      </c>
      <c r="G2002">
        <v>10</v>
      </c>
      <c r="H2002" t="s">
        <v>14</v>
      </c>
      <c r="I2002" t="s">
        <v>61</v>
      </c>
      <c r="J2002" t="s">
        <v>122</v>
      </c>
      <c r="K2002">
        <f>Pqp_supermarket_data[[#This Row],[Unit_Price]]*Pqp_supermarket_data[[#This Row],[Quantity]]</f>
        <v>18</v>
      </c>
      <c r="L2002" t="str">
        <f>TEXT(Pqp_supermarket_data[[#This Row],[DateTime]],"ddd")</f>
        <v>Sat</v>
      </c>
      <c r="M2002" t="str">
        <f>TEXT(Pqp_supermarket_data[[#This Row],[DateTime]],"mmm")</f>
        <v>Mar</v>
      </c>
      <c r="N2002" t="str">
        <f>TEXT(Pqp_supermarket_data[[#This Row],[DateTime]],"yyy")</f>
        <v>2024</v>
      </c>
    </row>
    <row r="2003" spans="1:14" x14ac:dyDescent="0.35">
      <c r="A2003" t="s">
        <v>4126</v>
      </c>
      <c r="B2003" s="1">
        <v>44839.268796111108</v>
      </c>
      <c r="C2003" t="s">
        <v>4127</v>
      </c>
      <c r="D2003" t="s">
        <v>44</v>
      </c>
      <c r="E2003" t="s">
        <v>111</v>
      </c>
      <c r="F2003">
        <v>2.2000000000000002</v>
      </c>
      <c r="G2003">
        <v>3</v>
      </c>
      <c r="H2003" t="s">
        <v>14</v>
      </c>
      <c r="I2003" t="s">
        <v>21</v>
      </c>
      <c r="J2003" t="s">
        <v>541</v>
      </c>
      <c r="K2003">
        <f>Pqp_supermarket_data[[#This Row],[Unit_Price]]*Pqp_supermarket_data[[#This Row],[Quantity]]</f>
        <v>6.6000000000000005</v>
      </c>
      <c r="L2003" t="str">
        <f>TEXT(Pqp_supermarket_data[[#This Row],[DateTime]],"ddd")</f>
        <v>Wed</v>
      </c>
      <c r="M2003" t="str">
        <f>TEXT(Pqp_supermarket_data[[#This Row],[DateTime]],"mmm")</f>
        <v>Oct</v>
      </c>
      <c r="N2003" t="str">
        <f>TEXT(Pqp_supermarket_data[[#This Row],[DateTime]],"yyy")</f>
        <v>2022</v>
      </c>
    </row>
    <row r="2004" spans="1:14" x14ac:dyDescent="0.35">
      <c r="A2004" t="s">
        <v>4128</v>
      </c>
      <c r="B2004" s="1">
        <v>44816.545879444442</v>
      </c>
      <c r="C2004" t="s">
        <v>4129</v>
      </c>
      <c r="D2004" t="s">
        <v>82</v>
      </c>
      <c r="E2004" t="s">
        <v>94</v>
      </c>
      <c r="F2004">
        <v>0.8</v>
      </c>
      <c r="G2004">
        <v>3</v>
      </c>
      <c r="H2004" t="s">
        <v>14</v>
      </c>
      <c r="I2004" t="s">
        <v>86</v>
      </c>
      <c r="J2004" t="s">
        <v>95</v>
      </c>
      <c r="K2004">
        <f>Pqp_supermarket_data[[#This Row],[Unit_Price]]*Pqp_supermarket_data[[#This Row],[Quantity]]</f>
        <v>2.4000000000000004</v>
      </c>
      <c r="L2004" t="str">
        <f>TEXT(Pqp_supermarket_data[[#This Row],[DateTime]],"ddd")</f>
        <v>Mon</v>
      </c>
      <c r="M2004" t="str">
        <f>TEXT(Pqp_supermarket_data[[#This Row],[DateTime]],"mmm")</f>
        <v>Sep</v>
      </c>
      <c r="N2004" t="str">
        <f>TEXT(Pqp_supermarket_data[[#This Row],[DateTime]],"yyy")</f>
        <v>2022</v>
      </c>
    </row>
    <row r="2005" spans="1:14" x14ac:dyDescent="0.35">
      <c r="A2005" t="s">
        <v>4130</v>
      </c>
      <c r="B2005" s="1">
        <v>45775.154212789355</v>
      </c>
      <c r="C2005" t="s">
        <v>4131</v>
      </c>
      <c r="D2005" t="s">
        <v>25</v>
      </c>
      <c r="E2005" t="s">
        <v>78</v>
      </c>
      <c r="F2005">
        <v>4</v>
      </c>
      <c r="G2005">
        <v>2</v>
      </c>
      <c r="H2005" t="s">
        <v>14</v>
      </c>
      <c r="I2005" t="s">
        <v>21</v>
      </c>
      <c r="J2005" t="s">
        <v>223</v>
      </c>
      <c r="K2005">
        <f>Pqp_supermarket_data[[#This Row],[Unit_Price]]*Pqp_supermarket_data[[#This Row],[Quantity]]</f>
        <v>8</v>
      </c>
      <c r="L2005" t="str">
        <f>TEXT(Pqp_supermarket_data[[#This Row],[DateTime]],"ddd")</f>
        <v>Mon</v>
      </c>
      <c r="M2005" t="str">
        <f>TEXT(Pqp_supermarket_data[[#This Row],[DateTime]],"mmm")</f>
        <v>Apr</v>
      </c>
      <c r="N2005" t="str">
        <f>TEXT(Pqp_supermarket_data[[#This Row],[DateTime]],"yyy")</f>
        <v>2025</v>
      </c>
    </row>
    <row r="2006" spans="1:14" x14ac:dyDescent="0.35">
      <c r="A2006" t="s">
        <v>4132</v>
      </c>
      <c r="B2006" s="1">
        <v>45109.432685011576</v>
      </c>
      <c r="C2006" t="s">
        <v>4133</v>
      </c>
      <c r="D2006" t="s">
        <v>171</v>
      </c>
      <c r="E2006" t="s">
        <v>70</v>
      </c>
      <c r="F2006">
        <v>5</v>
      </c>
      <c r="G2006">
        <v>10</v>
      </c>
      <c r="H2006" t="s">
        <v>14</v>
      </c>
      <c r="I2006" t="s">
        <v>15</v>
      </c>
      <c r="J2006" t="s">
        <v>95</v>
      </c>
      <c r="K2006">
        <f>Pqp_supermarket_data[[#This Row],[Unit_Price]]*Pqp_supermarket_data[[#This Row],[Quantity]]</f>
        <v>50</v>
      </c>
      <c r="L2006" t="str">
        <f>TEXT(Pqp_supermarket_data[[#This Row],[DateTime]],"ddd")</f>
        <v>Sun</v>
      </c>
      <c r="M2006" t="str">
        <f>TEXT(Pqp_supermarket_data[[#This Row],[DateTime]],"mmm")</f>
        <v>Jul</v>
      </c>
      <c r="N2006" t="str">
        <f>TEXT(Pqp_supermarket_data[[#This Row],[DateTime]],"yyy")</f>
        <v>2023</v>
      </c>
    </row>
    <row r="2007" spans="1:14" x14ac:dyDescent="0.35">
      <c r="A2007" t="s">
        <v>4134</v>
      </c>
      <c r="B2007" s="1">
        <v>45068.702129467594</v>
      </c>
      <c r="C2007" t="s">
        <v>4135</v>
      </c>
      <c r="D2007" t="s">
        <v>19</v>
      </c>
      <c r="E2007" t="s">
        <v>26</v>
      </c>
      <c r="F2007">
        <v>2.5</v>
      </c>
      <c r="G2007">
        <v>6</v>
      </c>
      <c r="H2007" t="s">
        <v>14</v>
      </c>
      <c r="I2007" t="s">
        <v>36</v>
      </c>
      <c r="J2007" t="s">
        <v>99</v>
      </c>
      <c r="K2007">
        <f>Pqp_supermarket_data[[#This Row],[Unit_Price]]*Pqp_supermarket_data[[#This Row],[Quantity]]</f>
        <v>15</v>
      </c>
      <c r="L2007" t="str">
        <f>TEXT(Pqp_supermarket_data[[#This Row],[DateTime]],"ddd")</f>
        <v>Mon</v>
      </c>
      <c r="M2007" t="str">
        <f>TEXT(Pqp_supermarket_data[[#This Row],[DateTime]],"mmm")</f>
        <v>May</v>
      </c>
      <c r="N2007" t="str">
        <f>TEXT(Pqp_supermarket_data[[#This Row],[DateTime]],"yyy")</f>
        <v>2023</v>
      </c>
    </row>
    <row r="2008" spans="1:14" x14ac:dyDescent="0.35">
      <c r="A2008" t="s">
        <v>4136</v>
      </c>
      <c r="B2008" s="1">
        <v>45392.213935023145</v>
      </c>
      <c r="C2008" t="s">
        <v>4137</v>
      </c>
      <c r="D2008" t="s">
        <v>34</v>
      </c>
      <c r="E2008" t="s">
        <v>145</v>
      </c>
      <c r="F2008">
        <v>1.7</v>
      </c>
      <c r="G2008">
        <v>10</v>
      </c>
      <c r="H2008" t="s">
        <v>14</v>
      </c>
      <c r="I2008" t="s">
        <v>36</v>
      </c>
      <c r="J2008" t="s">
        <v>245</v>
      </c>
      <c r="K2008">
        <f>Pqp_supermarket_data[[#This Row],[Unit_Price]]*Pqp_supermarket_data[[#This Row],[Quantity]]</f>
        <v>17</v>
      </c>
      <c r="L2008" t="str">
        <f>TEXT(Pqp_supermarket_data[[#This Row],[DateTime]],"ddd")</f>
        <v>Wed</v>
      </c>
      <c r="M2008" t="str">
        <f>TEXT(Pqp_supermarket_data[[#This Row],[DateTime]],"mmm")</f>
        <v>Apr</v>
      </c>
      <c r="N2008" t="str">
        <f>TEXT(Pqp_supermarket_data[[#This Row],[DateTime]],"yyy")</f>
        <v>2024</v>
      </c>
    </row>
    <row r="2009" spans="1:14" x14ac:dyDescent="0.35">
      <c r="A2009" t="s">
        <v>4138</v>
      </c>
      <c r="B2009" s="1">
        <v>45033.734073912034</v>
      </c>
      <c r="C2009" t="s">
        <v>4139</v>
      </c>
      <c r="D2009" t="s">
        <v>82</v>
      </c>
      <c r="E2009" t="s">
        <v>13</v>
      </c>
      <c r="F2009">
        <v>3.1</v>
      </c>
      <c r="G2009">
        <v>9</v>
      </c>
      <c r="H2009" t="s">
        <v>14</v>
      </c>
      <c r="I2009" t="s">
        <v>21</v>
      </c>
      <c r="J2009" t="s">
        <v>230</v>
      </c>
      <c r="K2009">
        <f>Pqp_supermarket_data[[#This Row],[Unit_Price]]*Pqp_supermarket_data[[#This Row],[Quantity]]</f>
        <v>27.900000000000002</v>
      </c>
      <c r="L2009" t="str">
        <f>TEXT(Pqp_supermarket_data[[#This Row],[DateTime]],"ddd")</f>
        <v>Mon</v>
      </c>
      <c r="M2009" t="str">
        <f>TEXT(Pqp_supermarket_data[[#This Row],[DateTime]],"mmm")</f>
        <v>Apr</v>
      </c>
      <c r="N2009" t="str">
        <f>TEXT(Pqp_supermarket_data[[#This Row],[DateTime]],"yyy")</f>
        <v>2023</v>
      </c>
    </row>
    <row r="2010" spans="1:14" x14ac:dyDescent="0.35">
      <c r="A2010" t="s">
        <v>4140</v>
      </c>
      <c r="B2010" s="1">
        <v>44436.306990590281</v>
      </c>
      <c r="C2010" t="s">
        <v>4141</v>
      </c>
      <c r="D2010" t="s">
        <v>171</v>
      </c>
      <c r="E2010" t="s">
        <v>111</v>
      </c>
      <c r="F2010">
        <v>2.2000000000000002</v>
      </c>
      <c r="G2010">
        <v>2</v>
      </c>
      <c r="H2010" t="s">
        <v>14</v>
      </c>
      <c r="I2010" t="s">
        <v>36</v>
      </c>
      <c r="J2010" t="s">
        <v>163</v>
      </c>
      <c r="K2010">
        <f>Pqp_supermarket_data[[#This Row],[Unit_Price]]*Pqp_supermarket_data[[#This Row],[Quantity]]</f>
        <v>4.4000000000000004</v>
      </c>
      <c r="L2010" t="str">
        <f>TEXT(Pqp_supermarket_data[[#This Row],[DateTime]],"ddd")</f>
        <v>Sat</v>
      </c>
      <c r="M2010" t="str">
        <f>TEXT(Pqp_supermarket_data[[#This Row],[DateTime]],"mmm")</f>
        <v>Aug</v>
      </c>
      <c r="N2010" t="str">
        <f>TEXT(Pqp_supermarket_data[[#This Row],[DateTime]],"yyy")</f>
        <v>2021</v>
      </c>
    </row>
    <row r="2011" spans="1:14" x14ac:dyDescent="0.35">
      <c r="A2011" t="s">
        <v>4142</v>
      </c>
      <c r="B2011" s="1">
        <v>45213.340323935183</v>
      </c>
      <c r="C2011" t="s">
        <v>4143</v>
      </c>
      <c r="D2011" t="s">
        <v>171</v>
      </c>
      <c r="E2011" t="s">
        <v>148</v>
      </c>
      <c r="F2011">
        <v>5.5</v>
      </c>
      <c r="G2011">
        <v>3</v>
      </c>
      <c r="H2011" t="s">
        <v>14</v>
      </c>
      <c r="I2011" t="s">
        <v>21</v>
      </c>
      <c r="J2011" t="s">
        <v>131</v>
      </c>
      <c r="K2011">
        <f>Pqp_supermarket_data[[#This Row],[Unit_Price]]*Pqp_supermarket_data[[#This Row],[Quantity]]</f>
        <v>16.5</v>
      </c>
      <c r="L2011" t="str">
        <f>TEXT(Pqp_supermarket_data[[#This Row],[DateTime]],"ddd")</f>
        <v>Sat</v>
      </c>
      <c r="M2011" t="str">
        <f>TEXT(Pqp_supermarket_data[[#This Row],[DateTime]],"mmm")</f>
        <v>Oct</v>
      </c>
      <c r="N2011" t="str">
        <f>TEXT(Pqp_supermarket_data[[#This Row],[DateTime]],"yyy")</f>
        <v>2023</v>
      </c>
    </row>
    <row r="2012" spans="1:14" x14ac:dyDescent="0.35">
      <c r="A2012" t="s">
        <v>4144</v>
      </c>
      <c r="B2012" s="1">
        <v>44466.0451850463</v>
      </c>
      <c r="C2012" t="s">
        <v>4145</v>
      </c>
      <c r="D2012" t="s">
        <v>171</v>
      </c>
      <c r="E2012" t="s">
        <v>119</v>
      </c>
      <c r="F2012">
        <v>4</v>
      </c>
      <c r="G2012">
        <v>10</v>
      </c>
      <c r="H2012" t="s">
        <v>14</v>
      </c>
      <c r="I2012" t="s">
        <v>61</v>
      </c>
      <c r="J2012" t="s">
        <v>202</v>
      </c>
      <c r="K2012">
        <f>Pqp_supermarket_data[[#This Row],[Unit_Price]]*Pqp_supermarket_data[[#This Row],[Quantity]]</f>
        <v>40</v>
      </c>
      <c r="L2012" t="str">
        <f>TEXT(Pqp_supermarket_data[[#This Row],[DateTime]],"ddd")</f>
        <v>Mon</v>
      </c>
      <c r="M2012" t="str">
        <f>TEXT(Pqp_supermarket_data[[#This Row],[DateTime]],"mmm")</f>
        <v>Sep</v>
      </c>
      <c r="N2012" t="str">
        <f>TEXT(Pqp_supermarket_data[[#This Row],[DateTime]],"yyy")</f>
        <v>2021</v>
      </c>
    </row>
    <row r="2013" spans="1:14" x14ac:dyDescent="0.35">
      <c r="A2013" t="s">
        <v>4146</v>
      </c>
      <c r="B2013" s="1">
        <v>44524.644490601851</v>
      </c>
      <c r="C2013" t="s">
        <v>4147</v>
      </c>
      <c r="D2013" t="s">
        <v>98</v>
      </c>
      <c r="E2013" t="s">
        <v>78</v>
      </c>
      <c r="F2013">
        <v>4</v>
      </c>
      <c r="G2013">
        <v>3</v>
      </c>
      <c r="H2013" t="s">
        <v>14</v>
      </c>
      <c r="I2013" t="s">
        <v>40</v>
      </c>
      <c r="J2013" t="s">
        <v>496</v>
      </c>
      <c r="K2013">
        <f>Pqp_supermarket_data[[#This Row],[Unit_Price]]*Pqp_supermarket_data[[#This Row],[Quantity]]</f>
        <v>12</v>
      </c>
      <c r="L2013" t="str">
        <f>TEXT(Pqp_supermarket_data[[#This Row],[DateTime]],"ddd")</f>
        <v>Wed</v>
      </c>
      <c r="M2013" t="str">
        <f>TEXT(Pqp_supermarket_data[[#This Row],[DateTime]],"mmm")</f>
        <v>Nov</v>
      </c>
      <c r="N2013" t="str">
        <f>TEXT(Pqp_supermarket_data[[#This Row],[DateTime]],"yyy")</f>
        <v>2021</v>
      </c>
    </row>
    <row r="2014" spans="1:14" x14ac:dyDescent="0.35">
      <c r="A2014" t="s">
        <v>4148</v>
      </c>
      <c r="B2014" s="1">
        <v>45343.435462835645</v>
      </c>
      <c r="C2014" t="s">
        <v>4149</v>
      </c>
      <c r="D2014" t="s">
        <v>226</v>
      </c>
      <c r="E2014" t="s">
        <v>45</v>
      </c>
      <c r="F2014">
        <v>1</v>
      </c>
      <c r="G2014">
        <v>3</v>
      </c>
      <c r="H2014" t="s">
        <v>14</v>
      </c>
      <c r="I2014" t="s">
        <v>15</v>
      </c>
      <c r="J2014" t="s">
        <v>66</v>
      </c>
      <c r="K2014">
        <f>Pqp_supermarket_data[[#This Row],[Unit_Price]]*Pqp_supermarket_data[[#This Row],[Quantity]]</f>
        <v>3</v>
      </c>
      <c r="L2014" t="str">
        <f>TEXT(Pqp_supermarket_data[[#This Row],[DateTime]],"ddd")</f>
        <v>Wed</v>
      </c>
      <c r="M2014" t="str">
        <f>TEXT(Pqp_supermarket_data[[#This Row],[DateTime]],"mmm")</f>
        <v>Feb</v>
      </c>
      <c r="N2014" t="str">
        <f>TEXT(Pqp_supermarket_data[[#This Row],[DateTime]],"yyy")</f>
        <v>2024</v>
      </c>
    </row>
    <row r="2015" spans="1:14" x14ac:dyDescent="0.35">
      <c r="A2015" t="s">
        <v>4150</v>
      </c>
      <c r="B2015" s="1">
        <v>44813.545879502315</v>
      </c>
      <c r="C2015" t="s">
        <v>4151</v>
      </c>
      <c r="D2015" t="s">
        <v>77</v>
      </c>
      <c r="E2015" t="s">
        <v>137</v>
      </c>
      <c r="F2015">
        <v>2.5</v>
      </c>
      <c r="G2015">
        <v>3</v>
      </c>
      <c r="H2015" t="s">
        <v>14</v>
      </c>
      <c r="I2015" t="s">
        <v>21</v>
      </c>
      <c r="J2015" t="s">
        <v>510</v>
      </c>
      <c r="K2015">
        <f>Pqp_supermarket_data[[#This Row],[Unit_Price]]*Pqp_supermarket_data[[#This Row],[Quantity]]</f>
        <v>7.5</v>
      </c>
      <c r="L2015" t="str">
        <f>TEXT(Pqp_supermarket_data[[#This Row],[DateTime]],"ddd")</f>
        <v>Fri</v>
      </c>
      <c r="M2015" t="str">
        <f>TEXT(Pqp_supermarket_data[[#This Row],[DateTime]],"mmm")</f>
        <v>Sep</v>
      </c>
      <c r="N2015" t="str">
        <f>TEXT(Pqp_supermarket_data[[#This Row],[DateTime]],"yyy")</f>
        <v>2022</v>
      </c>
    </row>
    <row r="2016" spans="1:14" x14ac:dyDescent="0.35">
      <c r="A2016" t="s">
        <v>4152</v>
      </c>
      <c r="B2016" s="1">
        <v>44914.663935069446</v>
      </c>
      <c r="C2016" t="s">
        <v>4153</v>
      </c>
      <c r="D2016" t="s">
        <v>44</v>
      </c>
      <c r="E2016" t="s">
        <v>57</v>
      </c>
      <c r="F2016">
        <v>4.5</v>
      </c>
      <c r="G2016">
        <v>9</v>
      </c>
      <c r="H2016" t="s">
        <v>14</v>
      </c>
      <c r="I2016" t="s">
        <v>40</v>
      </c>
      <c r="J2016" t="s">
        <v>461</v>
      </c>
      <c r="K2016">
        <f>Pqp_supermarket_data[[#This Row],[Unit_Price]]*Pqp_supermarket_data[[#This Row],[Quantity]]</f>
        <v>40.5</v>
      </c>
      <c r="L2016" t="str">
        <f>TEXT(Pqp_supermarket_data[[#This Row],[DateTime]],"ddd")</f>
        <v>Mon</v>
      </c>
      <c r="M2016" t="str">
        <f>TEXT(Pqp_supermarket_data[[#This Row],[DateTime]],"mmm")</f>
        <v>Dec</v>
      </c>
      <c r="N2016" t="str">
        <f>TEXT(Pqp_supermarket_data[[#This Row],[DateTime]],"yyy")</f>
        <v>2022</v>
      </c>
    </row>
    <row r="2017" spans="1:14" x14ac:dyDescent="0.35">
      <c r="A2017" t="s">
        <v>4154</v>
      </c>
      <c r="B2017" s="1">
        <v>44639.043101747688</v>
      </c>
      <c r="C2017" t="s">
        <v>4155</v>
      </c>
      <c r="D2017" t="s">
        <v>226</v>
      </c>
      <c r="E2017" t="s">
        <v>49</v>
      </c>
      <c r="F2017">
        <v>7</v>
      </c>
      <c r="G2017">
        <v>8</v>
      </c>
      <c r="H2017" t="s">
        <v>14</v>
      </c>
      <c r="I2017" t="s">
        <v>61</v>
      </c>
      <c r="J2017" t="s">
        <v>245</v>
      </c>
      <c r="K2017">
        <f>Pqp_supermarket_data[[#This Row],[Unit_Price]]*Pqp_supermarket_data[[#This Row],[Quantity]]</f>
        <v>56</v>
      </c>
      <c r="L2017" t="str">
        <f>TEXT(Pqp_supermarket_data[[#This Row],[DateTime]],"ddd")</f>
        <v>Sat</v>
      </c>
      <c r="M2017" t="str">
        <f>TEXT(Pqp_supermarket_data[[#This Row],[DateTime]],"mmm")</f>
        <v>Mar</v>
      </c>
      <c r="N2017" t="str">
        <f>TEXT(Pqp_supermarket_data[[#This Row],[DateTime]],"yyy")</f>
        <v>2022</v>
      </c>
    </row>
    <row r="2018" spans="1:14" x14ac:dyDescent="0.35">
      <c r="A2018" t="s">
        <v>4156</v>
      </c>
      <c r="B2018" s="1">
        <v>44717.120185081018</v>
      </c>
      <c r="C2018" t="s">
        <v>4157</v>
      </c>
      <c r="D2018" t="s">
        <v>77</v>
      </c>
      <c r="E2018" t="s">
        <v>45</v>
      </c>
      <c r="F2018">
        <v>1</v>
      </c>
      <c r="G2018">
        <v>4</v>
      </c>
      <c r="H2018" t="s">
        <v>14</v>
      </c>
      <c r="I2018" t="s">
        <v>15</v>
      </c>
      <c r="J2018" t="s">
        <v>71</v>
      </c>
      <c r="K2018">
        <f>Pqp_supermarket_data[[#This Row],[Unit_Price]]*Pqp_supermarket_data[[#This Row],[Quantity]]</f>
        <v>4</v>
      </c>
      <c r="L2018" t="str">
        <f>TEXT(Pqp_supermarket_data[[#This Row],[DateTime]],"ddd")</f>
        <v>Sun</v>
      </c>
      <c r="M2018" t="str">
        <f>TEXT(Pqp_supermarket_data[[#This Row],[DateTime]],"mmm")</f>
        <v>Jun</v>
      </c>
      <c r="N2018" t="str">
        <f>TEXT(Pqp_supermarket_data[[#This Row],[DateTime]],"yyy")</f>
        <v>2022</v>
      </c>
    </row>
    <row r="2019" spans="1:14" x14ac:dyDescent="0.35">
      <c r="A2019" t="s">
        <v>4158</v>
      </c>
      <c r="B2019" s="1">
        <v>45217.636851759256</v>
      </c>
      <c r="C2019" t="s">
        <v>4159</v>
      </c>
      <c r="D2019" t="s">
        <v>34</v>
      </c>
      <c r="E2019" t="s">
        <v>145</v>
      </c>
      <c r="F2019">
        <v>1.7</v>
      </c>
      <c r="G2019">
        <v>9</v>
      </c>
      <c r="H2019" t="s">
        <v>14</v>
      </c>
      <c r="I2019" t="s">
        <v>86</v>
      </c>
      <c r="J2019" t="s">
        <v>723</v>
      </c>
      <c r="K2019">
        <f>Pqp_supermarket_data[[#This Row],[Unit_Price]]*Pqp_supermarket_data[[#This Row],[Quantity]]</f>
        <v>15.299999999999999</v>
      </c>
      <c r="L2019" t="str">
        <f>TEXT(Pqp_supermarket_data[[#This Row],[DateTime]],"ddd")</f>
        <v>Wed</v>
      </c>
      <c r="M2019" t="str">
        <f>TEXT(Pqp_supermarket_data[[#This Row],[DateTime]],"mmm")</f>
        <v>Oct</v>
      </c>
      <c r="N2019" t="str">
        <f>TEXT(Pqp_supermarket_data[[#This Row],[DateTime]],"yyy")</f>
        <v>2023</v>
      </c>
    </row>
    <row r="2020" spans="1:14" x14ac:dyDescent="0.35">
      <c r="A2020" t="s">
        <v>4160</v>
      </c>
      <c r="B2020" s="1">
        <v>44363.196574004629</v>
      </c>
      <c r="C2020" t="s">
        <v>4161</v>
      </c>
      <c r="D2020" t="s">
        <v>77</v>
      </c>
      <c r="E2020" t="s">
        <v>20</v>
      </c>
      <c r="F2020">
        <v>1</v>
      </c>
      <c r="G2020">
        <v>7</v>
      </c>
      <c r="H2020" t="s">
        <v>14</v>
      </c>
      <c r="I2020" t="s">
        <v>36</v>
      </c>
      <c r="J2020" t="s">
        <v>561</v>
      </c>
      <c r="K2020">
        <f>Pqp_supermarket_data[[#This Row],[Unit_Price]]*Pqp_supermarket_data[[#This Row],[Quantity]]</f>
        <v>7</v>
      </c>
      <c r="L2020" t="str">
        <f>TEXT(Pqp_supermarket_data[[#This Row],[DateTime]],"ddd")</f>
        <v>Wed</v>
      </c>
      <c r="M2020" t="str">
        <f>TEXT(Pqp_supermarket_data[[#This Row],[DateTime]],"mmm")</f>
        <v>Jun</v>
      </c>
      <c r="N2020" t="str">
        <f>TEXT(Pqp_supermarket_data[[#This Row],[DateTime]],"yyy")</f>
        <v>2021</v>
      </c>
    </row>
    <row r="2021" spans="1:14" x14ac:dyDescent="0.35">
      <c r="A2021" t="s">
        <v>4162</v>
      </c>
      <c r="B2021" s="1">
        <v>45422.521574004626</v>
      </c>
      <c r="C2021" t="s">
        <v>4163</v>
      </c>
      <c r="D2021" t="s">
        <v>44</v>
      </c>
      <c r="E2021" t="s">
        <v>70</v>
      </c>
      <c r="F2021">
        <v>5</v>
      </c>
      <c r="G2021">
        <v>6</v>
      </c>
      <c r="H2021" t="s">
        <v>14</v>
      </c>
      <c r="I2021" t="s">
        <v>36</v>
      </c>
      <c r="J2021" t="s">
        <v>22</v>
      </c>
      <c r="K2021">
        <f>Pqp_supermarket_data[[#This Row],[Unit_Price]]*Pqp_supermarket_data[[#This Row],[Quantity]]</f>
        <v>30</v>
      </c>
      <c r="L2021" t="str">
        <f>TEXT(Pqp_supermarket_data[[#This Row],[DateTime]],"ddd")</f>
        <v>Fri</v>
      </c>
      <c r="M2021" t="str">
        <f>TEXT(Pqp_supermarket_data[[#This Row],[DateTime]],"mmm")</f>
        <v>May</v>
      </c>
      <c r="N2021" t="str">
        <f>TEXT(Pqp_supermarket_data[[#This Row],[DateTime]],"yyy")</f>
        <v>2024</v>
      </c>
    </row>
    <row r="2022" spans="1:14" x14ac:dyDescent="0.35">
      <c r="A2022" t="s">
        <v>4164</v>
      </c>
      <c r="B2022" s="1">
        <v>45348.743796238428</v>
      </c>
      <c r="C2022" t="s">
        <v>4165</v>
      </c>
      <c r="D2022" t="s">
        <v>19</v>
      </c>
      <c r="E2022" t="s">
        <v>78</v>
      </c>
      <c r="F2022">
        <v>4</v>
      </c>
      <c r="G2022">
        <v>7</v>
      </c>
      <c r="H2022" t="s">
        <v>14</v>
      </c>
      <c r="I2022" t="s">
        <v>61</v>
      </c>
      <c r="J2022" t="s">
        <v>218</v>
      </c>
      <c r="K2022">
        <f>Pqp_supermarket_data[[#This Row],[Unit_Price]]*Pqp_supermarket_data[[#This Row],[Quantity]]</f>
        <v>28</v>
      </c>
      <c r="L2022" t="str">
        <f>TEXT(Pqp_supermarket_data[[#This Row],[DateTime]],"ddd")</f>
        <v>Mon</v>
      </c>
      <c r="M2022" t="str">
        <f>TEXT(Pqp_supermarket_data[[#This Row],[DateTime]],"mmm")</f>
        <v>Feb</v>
      </c>
      <c r="N2022" t="str">
        <f>TEXT(Pqp_supermarket_data[[#This Row],[DateTime]],"yyy")</f>
        <v>2024</v>
      </c>
    </row>
    <row r="2023" spans="1:14" x14ac:dyDescent="0.35">
      <c r="A2023" t="s">
        <v>4166</v>
      </c>
      <c r="B2023" s="1">
        <v>45765.290324016205</v>
      </c>
      <c r="C2023" t="s">
        <v>4167</v>
      </c>
      <c r="D2023" t="s">
        <v>44</v>
      </c>
      <c r="E2023" t="s">
        <v>90</v>
      </c>
      <c r="F2023">
        <v>1.8</v>
      </c>
      <c r="G2023">
        <v>4</v>
      </c>
      <c r="H2023" t="s">
        <v>14</v>
      </c>
      <c r="I2023" t="s">
        <v>40</v>
      </c>
      <c r="J2023" t="s">
        <v>131</v>
      </c>
      <c r="K2023">
        <f>Pqp_supermarket_data[[#This Row],[Unit_Price]]*Pqp_supermarket_data[[#This Row],[Quantity]]</f>
        <v>7.2</v>
      </c>
      <c r="L2023" t="str">
        <f>TEXT(Pqp_supermarket_data[[#This Row],[DateTime]],"ddd")</f>
        <v>Fri</v>
      </c>
      <c r="M2023" t="str">
        <f>TEXT(Pqp_supermarket_data[[#This Row],[DateTime]],"mmm")</f>
        <v>Apr</v>
      </c>
      <c r="N2023" t="str">
        <f>TEXT(Pqp_supermarket_data[[#This Row],[DateTime]],"yyy")</f>
        <v>2025</v>
      </c>
    </row>
    <row r="2024" spans="1:14" x14ac:dyDescent="0.35">
      <c r="A2024" t="s">
        <v>4168</v>
      </c>
      <c r="B2024" s="1">
        <v>45151.138935138886</v>
      </c>
      <c r="C2024" t="s">
        <v>4169</v>
      </c>
      <c r="D2024" t="s">
        <v>19</v>
      </c>
      <c r="E2024" t="s">
        <v>53</v>
      </c>
      <c r="F2024">
        <v>2.8</v>
      </c>
      <c r="G2024">
        <v>5</v>
      </c>
      <c r="H2024" t="s">
        <v>14</v>
      </c>
      <c r="I2024" t="s">
        <v>21</v>
      </c>
      <c r="J2024" t="s">
        <v>99</v>
      </c>
      <c r="K2024">
        <f>Pqp_supermarket_data[[#This Row],[Unit_Price]]*Pqp_supermarket_data[[#This Row],[Quantity]]</f>
        <v>14</v>
      </c>
      <c r="L2024" t="str">
        <f>TEXT(Pqp_supermarket_data[[#This Row],[DateTime]],"ddd")</f>
        <v>Sun</v>
      </c>
      <c r="M2024" t="str">
        <f>TEXT(Pqp_supermarket_data[[#This Row],[DateTime]],"mmm")</f>
        <v>Aug</v>
      </c>
      <c r="N2024" t="str">
        <f>TEXT(Pqp_supermarket_data[[#This Row],[DateTime]],"yyy")</f>
        <v>2023</v>
      </c>
    </row>
    <row r="2025" spans="1:14" x14ac:dyDescent="0.35">
      <c r="A2025" t="s">
        <v>4170</v>
      </c>
      <c r="B2025" s="1">
        <v>44544.225046261578</v>
      </c>
      <c r="C2025" t="s">
        <v>4171</v>
      </c>
      <c r="D2025" t="s">
        <v>30</v>
      </c>
      <c r="E2025" t="s">
        <v>13</v>
      </c>
      <c r="F2025">
        <v>3.1</v>
      </c>
      <c r="G2025">
        <v>8</v>
      </c>
      <c r="H2025" t="s">
        <v>14</v>
      </c>
      <c r="I2025" t="s">
        <v>86</v>
      </c>
      <c r="J2025" t="s">
        <v>436</v>
      </c>
      <c r="K2025">
        <f>Pqp_supermarket_data[[#This Row],[Unit_Price]]*Pqp_supermarket_data[[#This Row],[Quantity]]</f>
        <v>24.8</v>
      </c>
      <c r="L2025" t="str">
        <f>TEXT(Pqp_supermarket_data[[#This Row],[DateTime]],"ddd")</f>
        <v>Tue</v>
      </c>
      <c r="M2025" t="str">
        <f>TEXT(Pqp_supermarket_data[[#This Row],[DateTime]],"mmm")</f>
        <v>Dec</v>
      </c>
      <c r="N2025" t="str">
        <f>TEXT(Pqp_supermarket_data[[#This Row],[DateTime]],"yyy")</f>
        <v>2021</v>
      </c>
    </row>
    <row r="2026" spans="1:14" x14ac:dyDescent="0.35">
      <c r="A2026" t="s">
        <v>4172</v>
      </c>
      <c r="B2026" s="1">
        <v>44361.631990717593</v>
      </c>
      <c r="C2026" t="s">
        <v>4173</v>
      </c>
      <c r="D2026" t="s">
        <v>127</v>
      </c>
      <c r="E2026" t="s">
        <v>137</v>
      </c>
      <c r="F2026">
        <v>2.5</v>
      </c>
      <c r="G2026">
        <v>10</v>
      </c>
      <c r="H2026" t="s">
        <v>14</v>
      </c>
      <c r="I2026" t="s">
        <v>40</v>
      </c>
      <c r="J2026" t="s">
        <v>541</v>
      </c>
      <c r="K2026">
        <f>Pqp_supermarket_data[[#This Row],[Unit_Price]]*Pqp_supermarket_data[[#This Row],[Quantity]]</f>
        <v>25</v>
      </c>
      <c r="L2026" t="str">
        <f>TEXT(Pqp_supermarket_data[[#This Row],[DateTime]],"ddd")</f>
        <v>Mon</v>
      </c>
      <c r="M2026" t="str">
        <f>TEXT(Pqp_supermarket_data[[#This Row],[DateTime]],"mmm")</f>
        <v>Jun</v>
      </c>
      <c r="N2026" t="str">
        <f>TEXT(Pqp_supermarket_data[[#This Row],[DateTime]],"yyy")</f>
        <v>2021</v>
      </c>
    </row>
    <row r="2027" spans="1:14" x14ac:dyDescent="0.35">
      <c r="A2027" t="s">
        <v>4174</v>
      </c>
      <c r="B2027" s="1">
        <v>44821.740324050923</v>
      </c>
      <c r="C2027" t="s">
        <v>4175</v>
      </c>
      <c r="D2027" t="s">
        <v>98</v>
      </c>
      <c r="E2027" t="s">
        <v>115</v>
      </c>
      <c r="F2027">
        <v>1.5</v>
      </c>
      <c r="G2027">
        <v>3</v>
      </c>
      <c r="H2027" t="s">
        <v>14</v>
      </c>
      <c r="I2027" t="s">
        <v>86</v>
      </c>
      <c r="J2027" t="s">
        <v>314</v>
      </c>
      <c r="K2027">
        <f>Pqp_supermarket_data[[#This Row],[Unit_Price]]*Pqp_supermarket_data[[#This Row],[Quantity]]</f>
        <v>4.5</v>
      </c>
      <c r="L2027" t="str">
        <f>TEXT(Pqp_supermarket_data[[#This Row],[DateTime]],"ddd")</f>
        <v>Sat</v>
      </c>
      <c r="M2027" t="str">
        <f>TEXT(Pqp_supermarket_data[[#This Row],[DateTime]],"mmm")</f>
        <v>Sep</v>
      </c>
      <c r="N2027" t="str">
        <f>TEXT(Pqp_supermarket_data[[#This Row],[DateTime]],"yyy")</f>
        <v>2022</v>
      </c>
    </row>
    <row r="2028" spans="1:14" x14ac:dyDescent="0.35">
      <c r="A2028" t="s">
        <v>4176</v>
      </c>
      <c r="B2028" s="1">
        <v>44459.816018506943</v>
      </c>
      <c r="C2028" t="s">
        <v>4177</v>
      </c>
      <c r="D2028" t="s">
        <v>77</v>
      </c>
      <c r="E2028" t="s">
        <v>137</v>
      </c>
      <c r="F2028">
        <v>2.5</v>
      </c>
      <c r="G2028">
        <v>6</v>
      </c>
      <c r="H2028" t="s">
        <v>14</v>
      </c>
      <c r="I2028" t="s">
        <v>40</v>
      </c>
      <c r="J2028" t="s">
        <v>262</v>
      </c>
      <c r="K2028">
        <f>Pqp_supermarket_data[[#This Row],[Unit_Price]]*Pqp_supermarket_data[[#This Row],[Quantity]]</f>
        <v>15</v>
      </c>
      <c r="L2028" t="str">
        <f>TEXT(Pqp_supermarket_data[[#This Row],[DateTime]],"ddd")</f>
        <v>Mon</v>
      </c>
      <c r="M2028" t="str">
        <f>TEXT(Pqp_supermarket_data[[#This Row],[DateTime]],"mmm")</f>
        <v>Sep</v>
      </c>
      <c r="N2028" t="str">
        <f>TEXT(Pqp_supermarket_data[[#This Row],[DateTime]],"yyy")</f>
        <v>2021</v>
      </c>
    </row>
    <row r="2029" spans="1:14" x14ac:dyDescent="0.35">
      <c r="A2029" t="s">
        <v>4178</v>
      </c>
      <c r="B2029" s="1">
        <v>44326.361851851849</v>
      </c>
      <c r="C2029" t="s">
        <v>4179</v>
      </c>
      <c r="D2029" t="s">
        <v>12</v>
      </c>
      <c r="E2029" t="s">
        <v>94</v>
      </c>
      <c r="F2029">
        <v>0.8</v>
      </c>
      <c r="G2029">
        <v>3</v>
      </c>
      <c r="H2029" t="s">
        <v>14</v>
      </c>
      <c r="I2029" t="s">
        <v>40</v>
      </c>
      <c r="J2029" t="s">
        <v>175</v>
      </c>
      <c r="K2029">
        <f>Pqp_supermarket_data[[#This Row],[Unit_Price]]*Pqp_supermarket_data[[#This Row],[Quantity]]</f>
        <v>2.4000000000000004</v>
      </c>
      <c r="L2029" t="str">
        <f>TEXT(Pqp_supermarket_data[[#This Row],[DateTime]],"ddd")</f>
        <v>Mon</v>
      </c>
      <c r="M2029" t="str">
        <f>TEXT(Pqp_supermarket_data[[#This Row],[DateTime]],"mmm")</f>
        <v>May</v>
      </c>
      <c r="N2029" t="str">
        <f>TEXT(Pqp_supermarket_data[[#This Row],[DateTime]],"yyy")</f>
        <v>2021</v>
      </c>
    </row>
    <row r="2030" spans="1:14" x14ac:dyDescent="0.35">
      <c r="A2030" t="s">
        <v>4180</v>
      </c>
      <c r="B2030" s="1">
        <v>45542.498657407406</v>
      </c>
      <c r="C2030" t="s">
        <v>4181</v>
      </c>
      <c r="D2030" t="s">
        <v>30</v>
      </c>
      <c r="E2030" t="s">
        <v>137</v>
      </c>
      <c r="F2030">
        <v>2.5</v>
      </c>
      <c r="G2030">
        <v>6</v>
      </c>
      <c r="H2030" t="s">
        <v>14</v>
      </c>
      <c r="I2030" t="s">
        <v>40</v>
      </c>
      <c r="J2030" t="s">
        <v>112</v>
      </c>
      <c r="K2030">
        <f>Pqp_supermarket_data[[#This Row],[Unit_Price]]*Pqp_supermarket_data[[#This Row],[Quantity]]</f>
        <v>15</v>
      </c>
      <c r="L2030" t="str">
        <f>TEXT(Pqp_supermarket_data[[#This Row],[DateTime]],"ddd")</f>
        <v>Sat</v>
      </c>
      <c r="M2030" t="str">
        <f>TEXT(Pqp_supermarket_data[[#This Row],[DateTime]],"mmm")</f>
        <v>Sep</v>
      </c>
      <c r="N2030" t="str">
        <f>TEXT(Pqp_supermarket_data[[#This Row],[DateTime]],"yyy")</f>
        <v>2024</v>
      </c>
    </row>
    <row r="2031" spans="1:14" x14ac:dyDescent="0.35">
      <c r="A2031" t="s">
        <v>4182</v>
      </c>
      <c r="B2031" s="1">
        <v>45218.281296307869</v>
      </c>
      <c r="C2031" t="s">
        <v>4183</v>
      </c>
      <c r="D2031" t="s">
        <v>171</v>
      </c>
      <c r="E2031" t="s">
        <v>35</v>
      </c>
      <c r="F2031">
        <v>1.2</v>
      </c>
      <c r="G2031">
        <v>6</v>
      </c>
      <c r="H2031" t="s">
        <v>14</v>
      </c>
      <c r="I2031" t="s">
        <v>36</v>
      </c>
      <c r="J2031" t="s">
        <v>79</v>
      </c>
      <c r="K2031">
        <f>Pqp_supermarket_data[[#This Row],[Unit_Price]]*Pqp_supermarket_data[[#This Row],[Quantity]]</f>
        <v>7.1999999999999993</v>
      </c>
      <c r="L2031" t="str">
        <f>TEXT(Pqp_supermarket_data[[#This Row],[DateTime]],"ddd")</f>
        <v>Thu</v>
      </c>
      <c r="M2031" t="str">
        <f>TEXT(Pqp_supermarket_data[[#This Row],[DateTime]],"mmm")</f>
        <v>Oct</v>
      </c>
      <c r="N2031" t="str">
        <f>TEXT(Pqp_supermarket_data[[#This Row],[DateTime]],"yyy")</f>
        <v>2023</v>
      </c>
    </row>
    <row r="2032" spans="1:14" x14ac:dyDescent="0.35">
      <c r="A2032" t="s">
        <v>4184</v>
      </c>
      <c r="B2032" s="1">
        <v>44334.311851863429</v>
      </c>
      <c r="C2032" t="s">
        <v>4185</v>
      </c>
      <c r="D2032" t="s">
        <v>171</v>
      </c>
      <c r="E2032" t="s">
        <v>53</v>
      </c>
      <c r="F2032">
        <v>2.8</v>
      </c>
      <c r="G2032">
        <v>9</v>
      </c>
      <c r="H2032" t="s">
        <v>14</v>
      </c>
      <c r="I2032" t="s">
        <v>40</v>
      </c>
      <c r="J2032" t="s">
        <v>178</v>
      </c>
      <c r="K2032">
        <f>Pqp_supermarket_data[[#This Row],[Unit_Price]]*Pqp_supermarket_data[[#This Row],[Quantity]]</f>
        <v>25.2</v>
      </c>
      <c r="L2032" t="str">
        <f>TEXT(Pqp_supermarket_data[[#This Row],[DateTime]],"ddd")</f>
        <v>Tue</v>
      </c>
      <c r="M2032" t="str">
        <f>TEXT(Pqp_supermarket_data[[#This Row],[DateTime]],"mmm")</f>
        <v>May</v>
      </c>
      <c r="N2032" t="str">
        <f>TEXT(Pqp_supermarket_data[[#This Row],[DateTime]],"yyy")</f>
        <v>2021</v>
      </c>
    </row>
    <row r="2033" spans="1:14" x14ac:dyDescent="0.35">
      <c r="A2033" t="s">
        <v>4186</v>
      </c>
      <c r="B2033" s="1">
        <v>44960.981296319442</v>
      </c>
      <c r="C2033" t="s">
        <v>4187</v>
      </c>
      <c r="D2033" t="s">
        <v>30</v>
      </c>
      <c r="E2033" t="s">
        <v>137</v>
      </c>
      <c r="F2033">
        <v>2.5</v>
      </c>
      <c r="G2033">
        <v>2</v>
      </c>
      <c r="H2033" t="s">
        <v>14</v>
      </c>
      <c r="I2033" t="s">
        <v>15</v>
      </c>
      <c r="J2033" t="s">
        <v>302</v>
      </c>
      <c r="K2033">
        <f>Pqp_supermarket_data[[#This Row],[Unit_Price]]*Pqp_supermarket_data[[#This Row],[Quantity]]</f>
        <v>5</v>
      </c>
      <c r="L2033" t="str">
        <f>TEXT(Pqp_supermarket_data[[#This Row],[DateTime]],"ddd")</f>
        <v>Fri</v>
      </c>
      <c r="M2033" t="str">
        <f>TEXT(Pqp_supermarket_data[[#This Row],[DateTime]],"mmm")</f>
        <v>Feb</v>
      </c>
      <c r="N2033" t="str">
        <f>TEXT(Pqp_supermarket_data[[#This Row],[DateTime]],"yyy")</f>
        <v>2023</v>
      </c>
    </row>
    <row r="2034" spans="1:14" x14ac:dyDescent="0.35">
      <c r="A2034" t="s">
        <v>4188</v>
      </c>
      <c r="B2034" s="1">
        <v>44759.361157430554</v>
      </c>
      <c r="C2034" t="s">
        <v>4189</v>
      </c>
      <c r="D2034" t="s">
        <v>127</v>
      </c>
      <c r="E2034" t="s">
        <v>65</v>
      </c>
      <c r="F2034">
        <v>3</v>
      </c>
      <c r="G2034">
        <v>3</v>
      </c>
      <c r="H2034" t="s">
        <v>14</v>
      </c>
      <c r="I2034" t="s">
        <v>86</v>
      </c>
      <c r="J2034" t="s">
        <v>436</v>
      </c>
      <c r="K2034">
        <f>Pqp_supermarket_data[[#This Row],[Unit_Price]]*Pqp_supermarket_data[[#This Row],[Quantity]]</f>
        <v>9</v>
      </c>
      <c r="L2034" t="str">
        <f>TEXT(Pqp_supermarket_data[[#This Row],[DateTime]],"ddd")</f>
        <v>Sun</v>
      </c>
      <c r="M2034" t="str">
        <f>TEXT(Pqp_supermarket_data[[#This Row],[DateTime]],"mmm")</f>
        <v>Jul</v>
      </c>
      <c r="N2034" t="str">
        <f>TEXT(Pqp_supermarket_data[[#This Row],[DateTime]],"yyy")</f>
        <v>2022</v>
      </c>
    </row>
    <row r="2035" spans="1:14" x14ac:dyDescent="0.35">
      <c r="A2035" t="s">
        <v>4190</v>
      </c>
      <c r="B2035" s="1">
        <v>45221.759768553238</v>
      </c>
      <c r="C2035" t="s">
        <v>4191</v>
      </c>
      <c r="D2035" t="s">
        <v>12</v>
      </c>
      <c r="E2035" t="s">
        <v>90</v>
      </c>
      <c r="F2035">
        <v>1.8</v>
      </c>
      <c r="G2035">
        <v>7</v>
      </c>
      <c r="H2035" t="s">
        <v>14</v>
      </c>
      <c r="I2035" t="s">
        <v>15</v>
      </c>
      <c r="J2035" t="s">
        <v>71</v>
      </c>
      <c r="K2035">
        <f>Pqp_supermarket_data[[#This Row],[Unit_Price]]*Pqp_supermarket_data[[#This Row],[Quantity]]</f>
        <v>12.6</v>
      </c>
      <c r="L2035" t="str">
        <f>TEXT(Pqp_supermarket_data[[#This Row],[DateTime]],"ddd")</f>
        <v>Sun</v>
      </c>
      <c r="M2035" t="str">
        <f>TEXT(Pqp_supermarket_data[[#This Row],[DateTime]],"mmm")</f>
        <v>Oct</v>
      </c>
      <c r="N2035" t="str">
        <f>TEXT(Pqp_supermarket_data[[#This Row],[DateTime]],"yyy")</f>
        <v>2023</v>
      </c>
    </row>
    <row r="2036" spans="1:14" x14ac:dyDescent="0.35">
      <c r="A2036" t="s">
        <v>4192</v>
      </c>
      <c r="B2036" s="1">
        <v>45780.172962997683</v>
      </c>
      <c r="C2036" t="s">
        <v>4193</v>
      </c>
      <c r="D2036" t="s">
        <v>85</v>
      </c>
      <c r="E2036" t="s">
        <v>53</v>
      </c>
      <c r="F2036">
        <v>2.8</v>
      </c>
      <c r="G2036">
        <v>2</v>
      </c>
      <c r="H2036" t="s">
        <v>14</v>
      </c>
      <c r="I2036" t="s">
        <v>61</v>
      </c>
      <c r="J2036" t="s">
        <v>311</v>
      </c>
      <c r="K2036">
        <f>Pqp_supermarket_data[[#This Row],[Unit_Price]]*Pqp_supermarket_data[[#This Row],[Quantity]]</f>
        <v>5.6</v>
      </c>
      <c r="L2036" t="str">
        <f>TEXT(Pqp_supermarket_data[[#This Row],[DateTime]],"ddd")</f>
        <v>Sat</v>
      </c>
      <c r="M2036" t="str">
        <f>TEXT(Pqp_supermarket_data[[#This Row],[DateTime]],"mmm")</f>
        <v>May</v>
      </c>
      <c r="N2036" t="str">
        <f>TEXT(Pqp_supermarket_data[[#This Row],[DateTime]],"yyy")</f>
        <v>2025</v>
      </c>
    </row>
    <row r="2037" spans="1:14" x14ac:dyDescent="0.35">
      <c r="A2037" t="s">
        <v>4194</v>
      </c>
      <c r="B2037" s="1">
        <v>44622.639629675927</v>
      </c>
      <c r="C2037" t="s">
        <v>4195</v>
      </c>
      <c r="D2037" t="s">
        <v>171</v>
      </c>
      <c r="E2037" t="s">
        <v>70</v>
      </c>
      <c r="F2037">
        <v>5</v>
      </c>
      <c r="G2037">
        <v>2</v>
      </c>
      <c r="H2037" t="s">
        <v>14</v>
      </c>
      <c r="I2037" t="s">
        <v>40</v>
      </c>
      <c r="J2037" t="s">
        <v>451</v>
      </c>
      <c r="K2037">
        <f>Pqp_supermarket_data[[#This Row],[Unit_Price]]*Pqp_supermarket_data[[#This Row],[Quantity]]</f>
        <v>10</v>
      </c>
      <c r="L2037" t="str">
        <f>TEXT(Pqp_supermarket_data[[#This Row],[DateTime]],"ddd")</f>
        <v>Wed</v>
      </c>
      <c r="M2037" t="str">
        <f>TEXT(Pqp_supermarket_data[[#This Row],[DateTime]],"mmm")</f>
        <v>Mar</v>
      </c>
      <c r="N2037" t="str">
        <f>TEXT(Pqp_supermarket_data[[#This Row],[DateTime]],"yyy")</f>
        <v>2022</v>
      </c>
    </row>
    <row r="2038" spans="1:14" x14ac:dyDescent="0.35">
      <c r="A2038" t="s">
        <v>4196</v>
      </c>
      <c r="B2038" s="1">
        <v>45412.597963009262</v>
      </c>
      <c r="C2038" t="s">
        <v>4197</v>
      </c>
      <c r="D2038" t="s">
        <v>69</v>
      </c>
      <c r="E2038" t="s">
        <v>39</v>
      </c>
      <c r="F2038">
        <v>3.2</v>
      </c>
      <c r="G2038">
        <v>10</v>
      </c>
      <c r="H2038" t="s">
        <v>14</v>
      </c>
      <c r="I2038" t="s">
        <v>36</v>
      </c>
      <c r="J2038" t="s">
        <v>397</v>
      </c>
      <c r="K2038">
        <f>Pqp_supermarket_data[[#This Row],[Unit_Price]]*Pqp_supermarket_data[[#This Row],[Quantity]]</f>
        <v>32</v>
      </c>
      <c r="L2038" t="str">
        <f>TEXT(Pqp_supermarket_data[[#This Row],[DateTime]],"ddd")</f>
        <v>Tue</v>
      </c>
      <c r="M2038" t="str">
        <f>TEXT(Pqp_supermarket_data[[#This Row],[DateTime]],"mmm")</f>
        <v>Apr</v>
      </c>
      <c r="N2038" t="str">
        <f>TEXT(Pqp_supermarket_data[[#This Row],[DateTime]],"yyy")</f>
        <v>2024</v>
      </c>
    </row>
    <row r="2039" spans="1:14" x14ac:dyDescent="0.35">
      <c r="A2039" t="s">
        <v>4198</v>
      </c>
      <c r="B2039" s="1">
        <v>45440.550740798608</v>
      </c>
      <c r="C2039" t="s">
        <v>1643</v>
      </c>
      <c r="D2039" t="s">
        <v>30</v>
      </c>
      <c r="E2039" t="s">
        <v>53</v>
      </c>
      <c r="F2039">
        <v>2.8</v>
      </c>
      <c r="G2039">
        <v>8</v>
      </c>
      <c r="H2039" t="s">
        <v>14</v>
      </c>
      <c r="I2039" t="s">
        <v>40</v>
      </c>
      <c r="J2039" t="s">
        <v>105</v>
      </c>
      <c r="K2039">
        <f>Pqp_supermarket_data[[#This Row],[Unit_Price]]*Pqp_supermarket_data[[#This Row],[Quantity]]</f>
        <v>22.4</v>
      </c>
      <c r="L2039" t="str">
        <f>TEXT(Pqp_supermarket_data[[#This Row],[DateTime]],"ddd")</f>
        <v>Tue</v>
      </c>
      <c r="M2039" t="str">
        <f>TEXT(Pqp_supermarket_data[[#This Row],[DateTime]],"mmm")</f>
        <v>May</v>
      </c>
      <c r="N2039" t="str">
        <f>TEXT(Pqp_supermarket_data[[#This Row],[DateTime]],"yyy")</f>
        <v>2024</v>
      </c>
    </row>
    <row r="2040" spans="1:14" x14ac:dyDescent="0.35">
      <c r="A2040" t="s">
        <v>4199</v>
      </c>
      <c r="B2040" s="1">
        <v>45281.147963020834</v>
      </c>
      <c r="C2040" t="s">
        <v>4200</v>
      </c>
      <c r="D2040" t="s">
        <v>30</v>
      </c>
      <c r="E2040" t="s">
        <v>78</v>
      </c>
      <c r="F2040">
        <v>4</v>
      </c>
      <c r="G2040">
        <v>3</v>
      </c>
      <c r="H2040" t="s">
        <v>14</v>
      </c>
      <c r="I2040" t="s">
        <v>61</v>
      </c>
      <c r="J2040" t="s">
        <v>166</v>
      </c>
      <c r="K2040">
        <f>Pqp_supermarket_data[[#This Row],[Unit_Price]]*Pqp_supermarket_data[[#This Row],[Quantity]]</f>
        <v>12</v>
      </c>
      <c r="L2040" t="str">
        <f>TEXT(Pqp_supermarket_data[[#This Row],[DateTime]],"ddd")</f>
        <v>Thu</v>
      </c>
      <c r="M2040" t="str">
        <f>TEXT(Pqp_supermarket_data[[#This Row],[DateTime]],"mmm")</f>
        <v>Dec</v>
      </c>
      <c r="N2040" t="str">
        <f>TEXT(Pqp_supermarket_data[[#This Row],[DateTime]],"yyy")</f>
        <v>2023</v>
      </c>
    </row>
    <row r="2041" spans="1:14" x14ac:dyDescent="0.35">
      <c r="A2041" t="s">
        <v>4201</v>
      </c>
      <c r="B2041" s="1">
        <v>45009.630601932869</v>
      </c>
      <c r="C2041" t="s">
        <v>4202</v>
      </c>
      <c r="D2041" t="s">
        <v>69</v>
      </c>
      <c r="E2041" t="s">
        <v>13</v>
      </c>
      <c r="F2041">
        <v>3.1</v>
      </c>
      <c r="G2041">
        <v>3</v>
      </c>
      <c r="H2041" t="s">
        <v>14</v>
      </c>
      <c r="I2041" t="s">
        <v>21</v>
      </c>
      <c r="J2041" t="s">
        <v>79</v>
      </c>
      <c r="K2041">
        <f>Pqp_supermarket_data[[#This Row],[Unit_Price]]*Pqp_supermarket_data[[#This Row],[Quantity]]</f>
        <v>9.3000000000000007</v>
      </c>
      <c r="L2041" t="str">
        <f>TEXT(Pqp_supermarket_data[[#This Row],[DateTime]],"ddd")</f>
        <v>Fri</v>
      </c>
      <c r="M2041" t="str">
        <f>TEXT(Pqp_supermarket_data[[#This Row],[DateTime]],"mmm")</f>
        <v>Mar</v>
      </c>
      <c r="N2041" t="str">
        <f>TEXT(Pqp_supermarket_data[[#This Row],[DateTime]],"yyy")</f>
        <v>2023</v>
      </c>
    </row>
    <row r="2042" spans="1:14" x14ac:dyDescent="0.35">
      <c r="A2042" t="s">
        <v>4203</v>
      </c>
      <c r="B2042" s="1">
        <v>44939.231296388891</v>
      </c>
      <c r="C2042" t="s">
        <v>4204</v>
      </c>
      <c r="D2042" t="s">
        <v>25</v>
      </c>
      <c r="E2042" t="s">
        <v>13</v>
      </c>
      <c r="F2042">
        <v>3.1</v>
      </c>
      <c r="G2042">
        <v>4</v>
      </c>
      <c r="H2042" t="s">
        <v>14</v>
      </c>
      <c r="I2042" t="s">
        <v>15</v>
      </c>
      <c r="J2042" t="s">
        <v>50</v>
      </c>
      <c r="K2042">
        <f>Pqp_supermarket_data[[#This Row],[Unit_Price]]*Pqp_supermarket_data[[#This Row],[Quantity]]</f>
        <v>12.4</v>
      </c>
      <c r="L2042" t="str">
        <f>TEXT(Pqp_supermarket_data[[#This Row],[DateTime]],"ddd")</f>
        <v>Fri</v>
      </c>
      <c r="M2042" t="str">
        <f>TEXT(Pqp_supermarket_data[[#This Row],[DateTime]],"mmm")</f>
        <v>Jan</v>
      </c>
      <c r="N2042" t="str">
        <f>TEXT(Pqp_supermarket_data[[#This Row],[DateTime]],"yyy")</f>
        <v>2023</v>
      </c>
    </row>
    <row r="2043" spans="1:14" x14ac:dyDescent="0.35">
      <c r="A2043" t="s">
        <v>4205</v>
      </c>
      <c r="B2043" s="1">
        <v>45254.6236575</v>
      </c>
      <c r="C2043" t="s">
        <v>4206</v>
      </c>
      <c r="D2043" t="s">
        <v>127</v>
      </c>
      <c r="E2043" t="s">
        <v>65</v>
      </c>
      <c r="F2043">
        <v>3</v>
      </c>
      <c r="G2043">
        <v>8</v>
      </c>
      <c r="H2043" t="s">
        <v>14</v>
      </c>
      <c r="I2043" t="s">
        <v>61</v>
      </c>
      <c r="J2043" t="s">
        <v>87</v>
      </c>
      <c r="K2043">
        <f>Pqp_supermarket_data[[#This Row],[Unit_Price]]*Pqp_supermarket_data[[#This Row],[Quantity]]</f>
        <v>24</v>
      </c>
      <c r="L2043" t="str">
        <f>TEXT(Pqp_supermarket_data[[#This Row],[DateTime]],"ddd")</f>
        <v>Fri</v>
      </c>
      <c r="M2043" t="str">
        <f>TEXT(Pqp_supermarket_data[[#This Row],[DateTime]],"mmm")</f>
        <v>Nov</v>
      </c>
      <c r="N2043" t="str">
        <f>TEXT(Pqp_supermarket_data[[#This Row],[DateTime]],"yyy")</f>
        <v>2023</v>
      </c>
    </row>
    <row r="2044" spans="1:14" x14ac:dyDescent="0.35">
      <c r="A2044" t="s">
        <v>4207</v>
      </c>
      <c r="B2044" s="1">
        <v>45042.067407511575</v>
      </c>
      <c r="C2044" t="s">
        <v>4208</v>
      </c>
      <c r="D2044" t="s">
        <v>30</v>
      </c>
      <c r="E2044" t="s">
        <v>90</v>
      </c>
      <c r="F2044">
        <v>1.8</v>
      </c>
      <c r="G2044">
        <v>8</v>
      </c>
      <c r="H2044" t="s">
        <v>14</v>
      </c>
      <c r="I2044" t="s">
        <v>36</v>
      </c>
      <c r="J2044" t="s">
        <v>382</v>
      </c>
      <c r="K2044">
        <f>Pqp_supermarket_data[[#This Row],[Unit_Price]]*Pqp_supermarket_data[[#This Row],[Quantity]]</f>
        <v>14.4</v>
      </c>
      <c r="L2044" t="str">
        <f>TEXT(Pqp_supermarket_data[[#This Row],[DateTime]],"ddd")</f>
        <v>Wed</v>
      </c>
      <c r="M2044" t="str">
        <f>TEXT(Pqp_supermarket_data[[#This Row],[DateTime]],"mmm")</f>
        <v>Apr</v>
      </c>
      <c r="N2044" t="str">
        <f>TEXT(Pqp_supermarket_data[[#This Row],[DateTime]],"yyy")</f>
        <v>2023</v>
      </c>
    </row>
    <row r="2045" spans="1:14" x14ac:dyDescent="0.35">
      <c r="A2045" t="s">
        <v>4209</v>
      </c>
      <c r="B2045" s="1">
        <v>45437.48129640046</v>
      </c>
      <c r="C2045" t="s">
        <v>2068</v>
      </c>
      <c r="D2045" t="s">
        <v>171</v>
      </c>
      <c r="E2045" t="s">
        <v>49</v>
      </c>
      <c r="F2045">
        <v>7</v>
      </c>
      <c r="G2045">
        <v>3</v>
      </c>
      <c r="H2045" t="s">
        <v>14</v>
      </c>
      <c r="I2045" t="s">
        <v>21</v>
      </c>
      <c r="J2045" t="s">
        <v>323</v>
      </c>
      <c r="K2045">
        <f>Pqp_supermarket_data[[#This Row],[Unit_Price]]*Pqp_supermarket_data[[#This Row],[Quantity]]</f>
        <v>21</v>
      </c>
      <c r="L2045" t="str">
        <f>TEXT(Pqp_supermarket_data[[#This Row],[DateTime]],"ddd")</f>
        <v>Sat</v>
      </c>
      <c r="M2045" t="str">
        <f>TEXT(Pqp_supermarket_data[[#This Row],[DateTime]],"mmm")</f>
        <v>May</v>
      </c>
      <c r="N2045" t="str">
        <f>TEXT(Pqp_supermarket_data[[#This Row],[DateTime]],"yyy")</f>
        <v>2024</v>
      </c>
    </row>
    <row r="2046" spans="1:14" x14ac:dyDescent="0.35">
      <c r="A2046" t="s">
        <v>4210</v>
      </c>
      <c r="B2046" s="1">
        <v>45354.624351967592</v>
      </c>
      <c r="C2046" t="s">
        <v>4211</v>
      </c>
      <c r="D2046" t="s">
        <v>44</v>
      </c>
      <c r="E2046" t="s">
        <v>57</v>
      </c>
      <c r="F2046">
        <v>4.5</v>
      </c>
      <c r="G2046">
        <v>4</v>
      </c>
      <c r="H2046" t="s">
        <v>14</v>
      </c>
      <c r="I2046" t="s">
        <v>61</v>
      </c>
      <c r="J2046" t="s">
        <v>160</v>
      </c>
      <c r="K2046">
        <f>Pqp_supermarket_data[[#This Row],[Unit_Price]]*Pqp_supermarket_data[[#This Row],[Quantity]]</f>
        <v>18</v>
      </c>
      <c r="L2046" t="str">
        <f>TEXT(Pqp_supermarket_data[[#This Row],[DateTime]],"ddd")</f>
        <v>Sun</v>
      </c>
      <c r="M2046" t="str">
        <f>TEXT(Pqp_supermarket_data[[#This Row],[DateTime]],"mmm")</f>
        <v>Mar</v>
      </c>
      <c r="N2046" t="str">
        <f>TEXT(Pqp_supermarket_data[[#This Row],[DateTime]],"yyy")</f>
        <v>2024</v>
      </c>
    </row>
    <row r="2047" spans="1:14" x14ac:dyDescent="0.35">
      <c r="A2047" t="s">
        <v>4212</v>
      </c>
      <c r="B2047" s="1">
        <v>44754.814629745371</v>
      </c>
      <c r="C2047" t="s">
        <v>4213</v>
      </c>
      <c r="D2047" t="s">
        <v>12</v>
      </c>
      <c r="E2047" t="s">
        <v>13</v>
      </c>
      <c r="F2047">
        <v>3.1</v>
      </c>
      <c r="G2047">
        <v>2</v>
      </c>
      <c r="H2047" t="s">
        <v>14</v>
      </c>
      <c r="I2047" t="s">
        <v>21</v>
      </c>
      <c r="J2047" t="s">
        <v>426</v>
      </c>
      <c r="K2047">
        <f>Pqp_supermarket_data[[#This Row],[Unit_Price]]*Pqp_supermarket_data[[#This Row],[Quantity]]</f>
        <v>6.2</v>
      </c>
      <c r="L2047" t="str">
        <f>TEXT(Pqp_supermarket_data[[#This Row],[DateTime]],"ddd")</f>
        <v>Tue</v>
      </c>
      <c r="M2047" t="str">
        <f>TEXT(Pqp_supermarket_data[[#This Row],[DateTime]],"mmm")</f>
        <v>Jul</v>
      </c>
      <c r="N2047" t="str">
        <f>TEXT(Pqp_supermarket_data[[#This Row],[DateTime]],"yyy")</f>
        <v>2022</v>
      </c>
    </row>
    <row r="2048" spans="1:14" x14ac:dyDescent="0.35">
      <c r="A2048" t="s">
        <v>4214</v>
      </c>
      <c r="B2048" s="1">
        <v>45355.217407534721</v>
      </c>
      <c r="C2048" t="s">
        <v>4215</v>
      </c>
      <c r="D2048" t="s">
        <v>98</v>
      </c>
      <c r="E2048" t="s">
        <v>13</v>
      </c>
      <c r="F2048">
        <v>3.1</v>
      </c>
      <c r="G2048">
        <v>1</v>
      </c>
      <c r="H2048" t="s">
        <v>14</v>
      </c>
      <c r="I2048" t="s">
        <v>40</v>
      </c>
      <c r="J2048" t="s">
        <v>128</v>
      </c>
      <c r="K2048">
        <f>Pqp_supermarket_data[[#This Row],[Unit_Price]]*Pqp_supermarket_data[[#This Row],[Quantity]]</f>
        <v>3.1</v>
      </c>
      <c r="L2048" t="str">
        <f>TEXT(Pqp_supermarket_data[[#This Row],[DateTime]],"ddd")</f>
        <v>Mon</v>
      </c>
      <c r="M2048" t="str">
        <f>TEXT(Pqp_supermarket_data[[#This Row],[DateTime]],"mmm")</f>
        <v>Mar</v>
      </c>
      <c r="N2048" t="str">
        <f>TEXT(Pqp_supermarket_data[[#This Row],[DateTime]],"yyy")</f>
        <v>2024</v>
      </c>
    </row>
    <row r="2049" spans="1:14" x14ac:dyDescent="0.35">
      <c r="A2049" t="s">
        <v>4216</v>
      </c>
      <c r="B2049" s="1">
        <v>44437.718796423615</v>
      </c>
      <c r="C2049" t="s">
        <v>4217</v>
      </c>
      <c r="D2049" t="s">
        <v>98</v>
      </c>
      <c r="E2049" t="s">
        <v>111</v>
      </c>
      <c r="F2049">
        <v>2.2000000000000002</v>
      </c>
      <c r="G2049">
        <v>8</v>
      </c>
      <c r="H2049" t="s">
        <v>14</v>
      </c>
      <c r="I2049" t="s">
        <v>21</v>
      </c>
      <c r="J2049" t="s">
        <v>394</v>
      </c>
      <c r="K2049">
        <f>Pqp_supermarket_data[[#This Row],[Unit_Price]]*Pqp_supermarket_data[[#This Row],[Quantity]]</f>
        <v>17.600000000000001</v>
      </c>
      <c r="L2049" t="str">
        <f>TEXT(Pqp_supermarket_data[[#This Row],[DateTime]],"ddd")</f>
        <v>Sun</v>
      </c>
      <c r="M2049" t="str">
        <f>TEXT(Pqp_supermarket_data[[#This Row],[DateTime]],"mmm")</f>
        <v>Aug</v>
      </c>
      <c r="N2049" t="str">
        <f>TEXT(Pqp_supermarket_data[[#This Row],[DateTime]],"yyy")</f>
        <v>2021</v>
      </c>
    </row>
    <row r="2050" spans="1:14" x14ac:dyDescent="0.35">
      <c r="A2050" t="s">
        <v>4218</v>
      </c>
      <c r="B2050" s="1">
        <v>45023.793101979165</v>
      </c>
      <c r="C2050" t="s">
        <v>4219</v>
      </c>
      <c r="D2050" t="s">
        <v>30</v>
      </c>
      <c r="E2050" t="s">
        <v>119</v>
      </c>
      <c r="F2050">
        <v>4</v>
      </c>
      <c r="G2050">
        <v>1</v>
      </c>
      <c r="H2050" t="s">
        <v>14</v>
      </c>
      <c r="I2050" t="s">
        <v>61</v>
      </c>
      <c r="J2050" t="s">
        <v>160</v>
      </c>
      <c r="K2050">
        <f>Pqp_supermarket_data[[#This Row],[Unit_Price]]*Pqp_supermarket_data[[#This Row],[Quantity]]</f>
        <v>4</v>
      </c>
      <c r="L2050" t="str">
        <f>TEXT(Pqp_supermarket_data[[#This Row],[DateTime]],"ddd")</f>
        <v>Fri</v>
      </c>
      <c r="M2050" t="str">
        <f>TEXT(Pqp_supermarket_data[[#This Row],[DateTime]],"mmm")</f>
        <v>Apr</v>
      </c>
      <c r="N2050" t="str">
        <f>TEXT(Pqp_supermarket_data[[#This Row],[DateTime]],"yyy")</f>
        <v>2023</v>
      </c>
    </row>
    <row r="2051" spans="1:14" x14ac:dyDescent="0.35">
      <c r="A2051" t="s">
        <v>4220</v>
      </c>
      <c r="B2051" s="1">
        <v>45571.711157546299</v>
      </c>
      <c r="C2051" t="s">
        <v>4221</v>
      </c>
      <c r="D2051" t="s">
        <v>34</v>
      </c>
      <c r="E2051" t="s">
        <v>35</v>
      </c>
      <c r="F2051">
        <v>1.2</v>
      </c>
      <c r="G2051">
        <v>3</v>
      </c>
      <c r="H2051" t="s">
        <v>14</v>
      </c>
      <c r="I2051" t="s">
        <v>86</v>
      </c>
      <c r="J2051" t="s">
        <v>122</v>
      </c>
      <c r="K2051">
        <f>Pqp_supermarket_data[[#This Row],[Unit_Price]]*Pqp_supermarket_data[[#This Row],[Quantity]]</f>
        <v>3.5999999999999996</v>
      </c>
      <c r="L2051" t="str">
        <f>TEXT(Pqp_supermarket_data[[#This Row],[DateTime]],"ddd")</f>
        <v>Sun</v>
      </c>
      <c r="M2051" t="str">
        <f>TEXT(Pqp_supermarket_data[[#This Row],[DateTime]],"mmm")</f>
        <v>Oct</v>
      </c>
      <c r="N2051" t="str">
        <f>TEXT(Pqp_supermarket_data[[#This Row],[DateTime]],"yyy")</f>
        <v>2024</v>
      </c>
    </row>
    <row r="2052" spans="1:14" x14ac:dyDescent="0.35">
      <c r="A2052" t="s">
        <v>4222</v>
      </c>
      <c r="B2052" s="1">
        <v>45101.114629768519</v>
      </c>
      <c r="C2052" t="s">
        <v>4223</v>
      </c>
      <c r="D2052" t="s">
        <v>19</v>
      </c>
      <c r="E2052" t="s">
        <v>148</v>
      </c>
      <c r="F2052">
        <v>5.5</v>
      </c>
      <c r="G2052">
        <v>3</v>
      </c>
      <c r="H2052" t="s">
        <v>14</v>
      </c>
      <c r="I2052" t="s">
        <v>61</v>
      </c>
      <c r="J2052" t="s">
        <v>245</v>
      </c>
      <c r="K2052">
        <f>Pqp_supermarket_data[[#This Row],[Unit_Price]]*Pqp_supermarket_data[[#This Row],[Quantity]]</f>
        <v>16.5</v>
      </c>
      <c r="L2052" t="str">
        <f>TEXT(Pqp_supermarket_data[[#This Row],[DateTime]],"ddd")</f>
        <v>Sat</v>
      </c>
      <c r="M2052" t="str">
        <f>TEXT(Pqp_supermarket_data[[#This Row],[DateTime]],"mmm")</f>
        <v>Jun</v>
      </c>
      <c r="N2052" t="str">
        <f>TEXT(Pqp_supermarket_data[[#This Row],[DateTime]],"yyy")</f>
        <v>2023</v>
      </c>
    </row>
    <row r="2053" spans="1:14" x14ac:dyDescent="0.35">
      <c r="A2053" t="s">
        <v>4224</v>
      </c>
      <c r="B2053" s="1">
        <v>45452.952824224536</v>
      </c>
      <c r="C2053" t="s">
        <v>4225</v>
      </c>
      <c r="D2053" t="s">
        <v>69</v>
      </c>
      <c r="E2053" t="s">
        <v>35</v>
      </c>
      <c r="F2053">
        <v>1.2</v>
      </c>
      <c r="G2053">
        <v>8</v>
      </c>
      <c r="H2053" t="s">
        <v>14</v>
      </c>
      <c r="I2053" t="s">
        <v>21</v>
      </c>
      <c r="J2053" t="s">
        <v>223</v>
      </c>
      <c r="K2053">
        <f>Pqp_supermarket_data[[#This Row],[Unit_Price]]*Pqp_supermarket_data[[#This Row],[Quantity]]</f>
        <v>9.6</v>
      </c>
      <c r="L2053" t="str">
        <f>TEXT(Pqp_supermarket_data[[#This Row],[DateTime]],"ddd")</f>
        <v>Sun</v>
      </c>
      <c r="M2053" t="str">
        <f>TEXT(Pqp_supermarket_data[[#This Row],[DateTime]],"mmm")</f>
        <v>Jun</v>
      </c>
      <c r="N2053" t="str">
        <f>TEXT(Pqp_supermarket_data[[#This Row],[DateTime]],"yyy")</f>
        <v>2024</v>
      </c>
    </row>
    <row r="2054" spans="1:14" x14ac:dyDescent="0.35">
      <c r="A2054" t="s">
        <v>4226</v>
      </c>
      <c r="B2054" s="1">
        <v>44570.779213113427</v>
      </c>
      <c r="C2054" t="s">
        <v>4227</v>
      </c>
      <c r="D2054" t="s">
        <v>82</v>
      </c>
      <c r="E2054" t="s">
        <v>49</v>
      </c>
      <c r="F2054">
        <v>7</v>
      </c>
      <c r="G2054">
        <v>8</v>
      </c>
      <c r="H2054" t="s">
        <v>14</v>
      </c>
      <c r="I2054" t="s">
        <v>15</v>
      </c>
      <c r="J2054" t="s">
        <v>364</v>
      </c>
      <c r="K2054">
        <f>Pqp_supermarket_data[[#This Row],[Unit_Price]]*Pqp_supermarket_data[[#This Row],[Quantity]]</f>
        <v>56</v>
      </c>
      <c r="L2054" t="str">
        <f>TEXT(Pqp_supermarket_data[[#This Row],[DateTime]],"ddd")</f>
        <v>Sun</v>
      </c>
      <c r="M2054" t="str">
        <f>TEXT(Pqp_supermarket_data[[#This Row],[DateTime]],"mmm")</f>
        <v>Jan</v>
      </c>
      <c r="N2054" t="str">
        <f>TEXT(Pqp_supermarket_data[[#This Row],[DateTime]],"yyy")</f>
        <v>2022</v>
      </c>
    </row>
    <row r="2055" spans="1:14" x14ac:dyDescent="0.35">
      <c r="A2055" t="s">
        <v>4228</v>
      </c>
      <c r="B2055" s="1">
        <v>45021.753518680554</v>
      </c>
      <c r="C2055" t="s">
        <v>4229</v>
      </c>
      <c r="D2055" t="s">
        <v>98</v>
      </c>
      <c r="E2055" t="s">
        <v>49</v>
      </c>
      <c r="F2055">
        <v>7</v>
      </c>
      <c r="G2055">
        <v>5</v>
      </c>
      <c r="H2055" t="s">
        <v>14</v>
      </c>
      <c r="I2055" t="s">
        <v>40</v>
      </c>
      <c r="J2055" t="s">
        <v>496</v>
      </c>
      <c r="K2055">
        <f>Pqp_supermarket_data[[#This Row],[Unit_Price]]*Pqp_supermarket_data[[#This Row],[Quantity]]</f>
        <v>35</v>
      </c>
      <c r="L2055" t="str">
        <f>TEXT(Pqp_supermarket_data[[#This Row],[DateTime]],"ddd")</f>
        <v>Wed</v>
      </c>
      <c r="M2055" t="str">
        <f>TEXT(Pqp_supermarket_data[[#This Row],[DateTime]],"mmm")</f>
        <v>Apr</v>
      </c>
      <c r="N2055" t="str">
        <f>TEXT(Pqp_supermarket_data[[#This Row],[DateTime]],"yyy")</f>
        <v>2023</v>
      </c>
    </row>
    <row r="2056" spans="1:14" x14ac:dyDescent="0.35">
      <c r="A2056" t="s">
        <v>4230</v>
      </c>
      <c r="B2056" s="1">
        <v>44748.416713125</v>
      </c>
      <c r="C2056" t="s">
        <v>4231</v>
      </c>
      <c r="D2056" t="s">
        <v>82</v>
      </c>
      <c r="E2056" t="s">
        <v>13</v>
      </c>
      <c r="F2056">
        <v>3.1</v>
      </c>
      <c r="G2056">
        <v>10</v>
      </c>
      <c r="H2056" t="s">
        <v>14</v>
      </c>
      <c r="I2056" t="s">
        <v>86</v>
      </c>
      <c r="J2056" t="s">
        <v>131</v>
      </c>
      <c r="K2056">
        <f>Pqp_supermarket_data[[#This Row],[Unit_Price]]*Pqp_supermarket_data[[#This Row],[Quantity]]</f>
        <v>31</v>
      </c>
      <c r="L2056" t="str">
        <f>TEXT(Pqp_supermarket_data[[#This Row],[DateTime]],"ddd")</f>
        <v>Wed</v>
      </c>
      <c r="M2056" t="str">
        <f>TEXT(Pqp_supermarket_data[[#This Row],[DateTime]],"mmm")</f>
        <v>Jul</v>
      </c>
      <c r="N2056" t="str">
        <f>TEXT(Pqp_supermarket_data[[#This Row],[DateTime]],"yyy")</f>
        <v>2022</v>
      </c>
    </row>
    <row r="2057" spans="1:14" x14ac:dyDescent="0.35">
      <c r="A2057" t="s">
        <v>4232</v>
      </c>
      <c r="B2057" s="1">
        <v>45728.329213136574</v>
      </c>
      <c r="C2057" t="s">
        <v>4233</v>
      </c>
      <c r="D2057" t="s">
        <v>69</v>
      </c>
      <c r="E2057" t="s">
        <v>57</v>
      </c>
      <c r="F2057">
        <v>4.5</v>
      </c>
      <c r="G2057">
        <v>10</v>
      </c>
      <c r="H2057" t="s">
        <v>14</v>
      </c>
      <c r="I2057" t="s">
        <v>36</v>
      </c>
      <c r="J2057" t="s">
        <v>716</v>
      </c>
      <c r="K2057">
        <f>Pqp_supermarket_data[[#This Row],[Unit_Price]]*Pqp_supermarket_data[[#This Row],[Quantity]]</f>
        <v>45</v>
      </c>
      <c r="L2057" t="str">
        <f>TEXT(Pqp_supermarket_data[[#This Row],[DateTime]],"ddd")</f>
        <v>Wed</v>
      </c>
      <c r="M2057" t="str">
        <f>TEXT(Pqp_supermarket_data[[#This Row],[DateTime]],"mmm")</f>
        <v>Mar</v>
      </c>
      <c r="N2057" t="str">
        <f>TEXT(Pqp_supermarket_data[[#This Row],[DateTime]],"yyy")</f>
        <v>2025</v>
      </c>
    </row>
    <row r="2058" spans="1:14" x14ac:dyDescent="0.35">
      <c r="A2058" t="s">
        <v>4234</v>
      </c>
      <c r="B2058" s="1">
        <v>45379.776435358799</v>
      </c>
      <c r="C2058" t="s">
        <v>4235</v>
      </c>
      <c r="D2058" t="s">
        <v>69</v>
      </c>
      <c r="E2058" t="s">
        <v>111</v>
      </c>
      <c r="F2058">
        <v>2.2000000000000002</v>
      </c>
      <c r="G2058">
        <v>6</v>
      </c>
      <c r="H2058" t="s">
        <v>14</v>
      </c>
      <c r="I2058" t="s">
        <v>40</v>
      </c>
      <c r="J2058" t="s">
        <v>451</v>
      </c>
      <c r="K2058">
        <f>Pqp_supermarket_data[[#This Row],[Unit_Price]]*Pqp_supermarket_data[[#This Row],[Quantity]]</f>
        <v>13.200000000000001</v>
      </c>
      <c r="L2058" t="str">
        <f>TEXT(Pqp_supermarket_data[[#This Row],[DateTime]],"ddd")</f>
        <v>Thu</v>
      </c>
      <c r="M2058" t="str">
        <f>TEXT(Pqp_supermarket_data[[#This Row],[DateTime]],"mmm")</f>
        <v>Mar</v>
      </c>
      <c r="N2058" t="str">
        <f>TEXT(Pqp_supermarket_data[[#This Row],[DateTime]],"yyy")</f>
        <v>2024</v>
      </c>
    </row>
    <row r="2059" spans="1:14" x14ac:dyDescent="0.35">
      <c r="A2059" t="s">
        <v>4236</v>
      </c>
      <c r="B2059" s="1">
        <v>45153.357685370371</v>
      </c>
      <c r="C2059" t="s">
        <v>4237</v>
      </c>
      <c r="D2059" t="s">
        <v>44</v>
      </c>
      <c r="E2059" t="s">
        <v>70</v>
      </c>
      <c r="F2059">
        <v>5</v>
      </c>
      <c r="G2059">
        <v>7</v>
      </c>
      <c r="H2059" t="s">
        <v>14</v>
      </c>
      <c r="I2059" t="s">
        <v>15</v>
      </c>
      <c r="J2059" t="s">
        <v>223</v>
      </c>
      <c r="K2059">
        <f>Pqp_supermarket_data[[#This Row],[Unit_Price]]*Pqp_supermarket_data[[#This Row],[Quantity]]</f>
        <v>35</v>
      </c>
      <c r="L2059" t="str">
        <f>TEXT(Pqp_supermarket_data[[#This Row],[DateTime]],"ddd")</f>
        <v>Tue</v>
      </c>
      <c r="M2059" t="str">
        <f>TEXT(Pqp_supermarket_data[[#This Row],[DateTime]],"mmm")</f>
        <v>Aug</v>
      </c>
      <c r="N2059" t="str">
        <f>TEXT(Pqp_supermarket_data[[#This Row],[DateTime]],"yyy")</f>
        <v>2023</v>
      </c>
    </row>
    <row r="2060" spans="1:14" x14ac:dyDescent="0.35">
      <c r="A2060" t="s">
        <v>4238</v>
      </c>
      <c r="B2060" s="1">
        <v>45784.678518715278</v>
      </c>
      <c r="C2060" t="s">
        <v>4239</v>
      </c>
      <c r="D2060" t="s">
        <v>25</v>
      </c>
      <c r="E2060" t="s">
        <v>94</v>
      </c>
      <c r="F2060">
        <v>0.8</v>
      </c>
      <c r="G2060">
        <v>5</v>
      </c>
      <c r="H2060" t="s">
        <v>14</v>
      </c>
      <c r="I2060" t="s">
        <v>61</v>
      </c>
      <c r="J2060" t="s">
        <v>369</v>
      </c>
      <c r="K2060">
        <f>Pqp_supermarket_data[[#This Row],[Unit_Price]]*Pqp_supermarket_data[[#This Row],[Quantity]]</f>
        <v>4</v>
      </c>
      <c r="L2060" t="str">
        <f>TEXT(Pqp_supermarket_data[[#This Row],[DateTime]],"ddd")</f>
        <v>Wed</v>
      </c>
      <c r="M2060" t="str">
        <f>TEXT(Pqp_supermarket_data[[#This Row],[DateTime]],"mmm")</f>
        <v>May</v>
      </c>
      <c r="N2060" t="str">
        <f>TEXT(Pqp_supermarket_data[[#This Row],[DateTime]],"yyy")</f>
        <v>2025</v>
      </c>
    </row>
    <row r="2061" spans="1:14" x14ac:dyDescent="0.35">
      <c r="A2061" t="s">
        <v>4240</v>
      </c>
      <c r="B2061" s="1">
        <v>45408.230602060183</v>
      </c>
      <c r="C2061" t="s">
        <v>4241</v>
      </c>
      <c r="D2061" t="s">
        <v>25</v>
      </c>
      <c r="E2061" t="s">
        <v>145</v>
      </c>
      <c r="F2061">
        <v>1.7</v>
      </c>
      <c r="G2061">
        <v>2</v>
      </c>
      <c r="H2061" t="s">
        <v>14</v>
      </c>
      <c r="I2061" t="s">
        <v>36</v>
      </c>
      <c r="J2061" t="s">
        <v>623</v>
      </c>
      <c r="K2061">
        <f>Pqp_supermarket_data[[#This Row],[Unit_Price]]*Pqp_supermarket_data[[#This Row],[Quantity]]</f>
        <v>3.4</v>
      </c>
      <c r="L2061" t="str">
        <f>TEXT(Pqp_supermarket_data[[#This Row],[DateTime]],"ddd")</f>
        <v>Fri</v>
      </c>
      <c r="M2061" t="str">
        <f>TEXT(Pqp_supermarket_data[[#This Row],[DateTime]],"mmm")</f>
        <v>Apr</v>
      </c>
      <c r="N2061" t="str">
        <f>TEXT(Pqp_supermarket_data[[#This Row],[DateTime]],"yyy")</f>
        <v>2024</v>
      </c>
    </row>
    <row r="2062" spans="1:14" x14ac:dyDescent="0.35">
      <c r="A2062" t="s">
        <v>4242</v>
      </c>
      <c r="B2062" s="1">
        <v>45470.660463171298</v>
      </c>
      <c r="C2062" t="s">
        <v>4243</v>
      </c>
      <c r="D2062" t="s">
        <v>34</v>
      </c>
      <c r="E2062" t="s">
        <v>53</v>
      </c>
      <c r="F2062">
        <v>2.8</v>
      </c>
      <c r="G2062">
        <v>1</v>
      </c>
      <c r="H2062" t="s">
        <v>14</v>
      </c>
      <c r="I2062" t="s">
        <v>86</v>
      </c>
      <c r="J2062" t="s">
        <v>769</v>
      </c>
      <c r="K2062">
        <f>Pqp_supermarket_data[[#This Row],[Unit_Price]]*Pqp_supermarket_data[[#This Row],[Quantity]]</f>
        <v>2.8</v>
      </c>
      <c r="L2062" t="str">
        <f>TEXT(Pqp_supermarket_data[[#This Row],[DateTime]],"ddd")</f>
        <v>Thu</v>
      </c>
      <c r="M2062" t="str">
        <f>TEXT(Pqp_supermarket_data[[#This Row],[DateTime]],"mmm")</f>
        <v>Jun</v>
      </c>
      <c r="N2062" t="str">
        <f>TEXT(Pqp_supermarket_data[[#This Row],[DateTime]],"yyy")</f>
        <v>2024</v>
      </c>
    </row>
    <row r="2063" spans="1:14" x14ac:dyDescent="0.35">
      <c r="A2063" t="s">
        <v>4244</v>
      </c>
      <c r="B2063" s="1">
        <v>45081.413935405093</v>
      </c>
      <c r="C2063" t="s">
        <v>4245</v>
      </c>
      <c r="D2063" t="s">
        <v>85</v>
      </c>
      <c r="E2063" t="s">
        <v>49</v>
      </c>
      <c r="F2063">
        <v>7</v>
      </c>
      <c r="G2063">
        <v>4</v>
      </c>
      <c r="H2063" t="s">
        <v>14</v>
      </c>
      <c r="I2063" t="s">
        <v>86</v>
      </c>
      <c r="J2063" t="s">
        <v>178</v>
      </c>
      <c r="K2063">
        <f>Pqp_supermarket_data[[#This Row],[Unit_Price]]*Pqp_supermarket_data[[#This Row],[Quantity]]</f>
        <v>28</v>
      </c>
      <c r="L2063" t="str">
        <f>TEXT(Pqp_supermarket_data[[#This Row],[DateTime]],"ddd")</f>
        <v>Sun</v>
      </c>
      <c r="M2063" t="str">
        <f>TEXT(Pqp_supermarket_data[[#This Row],[DateTime]],"mmm")</f>
        <v>Jun</v>
      </c>
      <c r="N2063" t="str">
        <f>TEXT(Pqp_supermarket_data[[#This Row],[DateTime]],"yyy")</f>
        <v>2023</v>
      </c>
    </row>
    <row r="2064" spans="1:14" x14ac:dyDescent="0.35">
      <c r="A2064" t="s">
        <v>4246</v>
      </c>
      <c r="B2064" s="1">
        <v>45015.945185405093</v>
      </c>
      <c r="C2064" t="s">
        <v>4247</v>
      </c>
      <c r="D2064" t="s">
        <v>25</v>
      </c>
      <c r="E2064" t="s">
        <v>148</v>
      </c>
      <c r="F2064">
        <v>5.5</v>
      </c>
      <c r="G2064">
        <v>7</v>
      </c>
      <c r="H2064" t="s">
        <v>14</v>
      </c>
      <c r="I2064" t="s">
        <v>15</v>
      </c>
      <c r="J2064" t="s">
        <v>79</v>
      </c>
      <c r="K2064">
        <f>Pqp_supermarket_data[[#This Row],[Unit_Price]]*Pqp_supermarket_data[[#This Row],[Quantity]]</f>
        <v>38.5</v>
      </c>
      <c r="L2064" t="str">
        <f>TEXT(Pqp_supermarket_data[[#This Row],[DateTime]],"ddd")</f>
        <v>Thu</v>
      </c>
      <c r="M2064" t="str">
        <f>TEXT(Pqp_supermarket_data[[#This Row],[DateTime]],"mmm")</f>
        <v>Mar</v>
      </c>
      <c r="N2064" t="str">
        <f>TEXT(Pqp_supermarket_data[[#This Row],[DateTime]],"yyy")</f>
        <v>2023</v>
      </c>
    </row>
    <row r="2065" spans="1:14" x14ac:dyDescent="0.35">
      <c r="A2065" t="s">
        <v>4248</v>
      </c>
      <c r="B2065" s="1">
        <v>45513.025740972225</v>
      </c>
      <c r="C2065" t="s">
        <v>4249</v>
      </c>
      <c r="D2065" t="s">
        <v>44</v>
      </c>
      <c r="E2065" t="s">
        <v>57</v>
      </c>
      <c r="F2065">
        <v>4.5</v>
      </c>
      <c r="G2065">
        <v>7</v>
      </c>
      <c r="H2065" t="s">
        <v>14</v>
      </c>
      <c r="I2065" t="s">
        <v>21</v>
      </c>
      <c r="J2065" t="s">
        <v>662</v>
      </c>
      <c r="K2065">
        <f>Pqp_supermarket_data[[#This Row],[Unit_Price]]*Pqp_supermarket_data[[#This Row],[Quantity]]</f>
        <v>31.5</v>
      </c>
      <c r="L2065" t="str">
        <f>TEXT(Pqp_supermarket_data[[#This Row],[DateTime]],"ddd")</f>
        <v>Fri</v>
      </c>
      <c r="M2065" t="str">
        <f>TEXT(Pqp_supermarket_data[[#This Row],[DateTime]],"mmm")</f>
        <v>Aug</v>
      </c>
      <c r="N2065" t="str">
        <f>TEXT(Pqp_supermarket_data[[#This Row],[DateTime]],"yyy")</f>
        <v>2024</v>
      </c>
    </row>
    <row r="2066" spans="1:14" x14ac:dyDescent="0.35">
      <c r="A2066" t="s">
        <v>4250</v>
      </c>
      <c r="B2066" s="1">
        <v>44693.461157638892</v>
      </c>
      <c r="C2066" t="s">
        <v>4251</v>
      </c>
      <c r="D2066" t="s">
        <v>98</v>
      </c>
      <c r="E2066" t="s">
        <v>119</v>
      </c>
      <c r="F2066">
        <v>4</v>
      </c>
      <c r="G2066">
        <v>1</v>
      </c>
      <c r="H2066" t="s">
        <v>14</v>
      </c>
      <c r="I2066" t="s">
        <v>15</v>
      </c>
      <c r="J2066" t="s">
        <v>538</v>
      </c>
      <c r="K2066">
        <f>Pqp_supermarket_data[[#This Row],[Unit_Price]]*Pqp_supermarket_data[[#This Row],[Quantity]]</f>
        <v>4</v>
      </c>
      <c r="L2066" t="str">
        <f>TEXT(Pqp_supermarket_data[[#This Row],[DateTime]],"ddd")</f>
        <v>Thu</v>
      </c>
      <c r="M2066" t="str">
        <f>TEXT(Pqp_supermarket_data[[#This Row],[DateTime]],"mmm")</f>
        <v>May</v>
      </c>
      <c r="N2066" t="str">
        <f>TEXT(Pqp_supermarket_data[[#This Row],[DateTime]],"yyy")</f>
        <v>2022</v>
      </c>
    </row>
    <row r="2067" spans="1:14" x14ac:dyDescent="0.35">
      <c r="A2067" t="s">
        <v>4252</v>
      </c>
      <c r="B2067" s="1">
        <v>45422.252129872686</v>
      </c>
      <c r="C2067" t="s">
        <v>4253</v>
      </c>
      <c r="D2067" t="s">
        <v>44</v>
      </c>
      <c r="E2067" t="s">
        <v>39</v>
      </c>
      <c r="F2067">
        <v>3.2</v>
      </c>
      <c r="G2067">
        <v>9</v>
      </c>
      <c r="H2067" t="s">
        <v>14</v>
      </c>
      <c r="I2067" t="s">
        <v>40</v>
      </c>
      <c r="J2067" t="s">
        <v>262</v>
      </c>
      <c r="K2067">
        <f>Pqp_supermarket_data[[#This Row],[Unit_Price]]*Pqp_supermarket_data[[#This Row],[Quantity]]</f>
        <v>28.8</v>
      </c>
      <c r="L2067" t="str">
        <f>TEXT(Pqp_supermarket_data[[#This Row],[DateTime]],"ddd")</f>
        <v>Fri</v>
      </c>
      <c r="M2067" t="str">
        <f>TEXT(Pqp_supermarket_data[[#This Row],[DateTime]],"mmm")</f>
        <v>May</v>
      </c>
      <c r="N2067" t="str">
        <f>TEXT(Pqp_supermarket_data[[#This Row],[DateTime]],"yyy")</f>
        <v>2024</v>
      </c>
    </row>
    <row r="2068" spans="1:14" x14ac:dyDescent="0.35">
      <c r="A2068" t="s">
        <v>4254</v>
      </c>
      <c r="B2068" s="1">
        <v>44559.019490983796</v>
      </c>
      <c r="C2068" t="s">
        <v>4255</v>
      </c>
      <c r="D2068" t="s">
        <v>77</v>
      </c>
      <c r="E2068" t="s">
        <v>26</v>
      </c>
      <c r="F2068">
        <v>2.5</v>
      </c>
      <c r="G2068">
        <v>3</v>
      </c>
      <c r="H2068" t="s">
        <v>14</v>
      </c>
      <c r="I2068" t="s">
        <v>86</v>
      </c>
      <c r="J2068" t="s">
        <v>248</v>
      </c>
      <c r="K2068">
        <f>Pqp_supermarket_data[[#This Row],[Unit_Price]]*Pqp_supermarket_data[[#This Row],[Quantity]]</f>
        <v>7.5</v>
      </c>
      <c r="L2068" t="str">
        <f>TEXT(Pqp_supermarket_data[[#This Row],[DateTime]],"ddd")</f>
        <v>Wed</v>
      </c>
      <c r="M2068" t="str">
        <f>TEXT(Pqp_supermarket_data[[#This Row],[DateTime]],"mmm")</f>
        <v>Dec</v>
      </c>
      <c r="N2068" t="str">
        <f>TEXT(Pqp_supermarket_data[[#This Row],[DateTime]],"yyy")</f>
        <v>2021</v>
      </c>
    </row>
    <row r="2069" spans="1:14" x14ac:dyDescent="0.35">
      <c r="A2069" t="s">
        <v>4256</v>
      </c>
      <c r="B2069" s="1">
        <v>45696.29657431713</v>
      </c>
      <c r="C2069" t="s">
        <v>4257</v>
      </c>
      <c r="D2069" t="s">
        <v>82</v>
      </c>
      <c r="E2069" t="s">
        <v>65</v>
      </c>
      <c r="F2069">
        <v>3</v>
      </c>
      <c r="G2069">
        <v>6</v>
      </c>
      <c r="H2069" t="s">
        <v>14</v>
      </c>
      <c r="I2069" t="s">
        <v>86</v>
      </c>
      <c r="J2069" t="s">
        <v>189</v>
      </c>
      <c r="K2069">
        <f>Pqp_supermarket_data[[#This Row],[Unit_Price]]*Pqp_supermarket_data[[#This Row],[Quantity]]</f>
        <v>18</v>
      </c>
      <c r="L2069" t="str">
        <f>TEXT(Pqp_supermarket_data[[#This Row],[DateTime]],"ddd")</f>
        <v>Sat</v>
      </c>
      <c r="M2069" t="str">
        <f>TEXT(Pqp_supermarket_data[[#This Row],[DateTime]],"mmm")</f>
        <v>Feb</v>
      </c>
      <c r="N2069" t="str">
        <f>TEXT(Pqp_supermarket_data[[#This Row],[DateTime]],"yyy")</f>
        <v>2025</v>
      </c>
    </row>
    <row r="2070" spans="1:14" x14ac:dyDescent="0.35">
      <c r="A2070" t="s">
        <v>4258</v>
      </c>
      <c r="B2070" s="1">
        <v>45418.01185210648</v>
      </c>
      <c r="C2070" t="s">
        <v>4259</v>
      </c>
      <c r="D2070" t="s">
        <v>127</v>
      </c>
      <c r="E2070" t="s">
        <v>57</v>
      </c>
      <c r="F2070">
        <v>4.5</v>
      </c>
      <c r="G2070">
        <v>7</v>
      </c>
      <c r="H2070" t="s">
        <v>14</v>
      </c>
      <c r="I2070" t="s">
        <v>36</v>
      </c>
      <c r="J2070" t="s">
        <v>470</v>
      </c>
      <c r="K2070">
        <f>Pqp_supermarket_data[[#This Row],[Unit_Price]]*Pqp_supermarket_data[[#This Row],[Quantity]]</f>
        <v>31.5</v>
      </c>
      <c r="L2070" t="str">
        <f>TEXT(Pqp_supermarket_data[[#This Row],[DateTime]],"ddd")</f>
        <v>Mon</v>
      </c>
      <c r="M2070" t="str">
        <f>TEXT(Pqp_supermarket_data[[#This Row],[DateTime]],"mmm")</f>
        <v>May</v>
      </c>
      <c r="N2070" t="str">
        <f>TEXT(Pqp_supermarket_data[[#This Row],[DateTime]],"yyy")</f>
        <v>2024</v>
      </c>
    </row>
    <row r="2071" spans="1:14" x14ac:dyDescent="0.35">
      <c r="A2071" t="s">
        <v>4260</v>
      </c>
      <c r="B2071" s="1">
        <v>45715.208379884258</v>
      </c>
      <c r="C2071" t="s">
        <v>4261</v>
      </c>
      <c r="D2071" t="s">
        <v>69</v>
      </c>
      <c r="E2071" t="s">
        <v>94</v>
      </c>
      <c r="F2071">
        <v>0.8</v>
      </c>
      <c r="G2071">
        <v>7</v>
      </c>
      <c r="H2071" t="s">
        <v>14</v>
      </c>
      <c r="I2071" t="s">
        <v>36</v>
      </c>
      <c r="J2071" t="s">
        <v>128</v>
      </c>
      <c r="K2071">
        <f>Pqp_supermarket_data[[#This Row],[Unit_Price]]*Pqp_supermarket_data[[#This Row],[Quantity]]</f>
        <v>5.6000000000000005</v>
      </c>
      <c r="L2071" t="str">
        <f>TEXT(Pqp_supermarket_data[[#This Row],[DateTime]],"ddd")</f>
        <v>Thu</v>
      </c>
      <c r="M2071" t="str">
        <f>TEXT(Pqp_supermarket_data[[#This Row],[DateTime]],"mmm")</f>
        <v>Feb</v>
      </c>
      <c r="N2071" t="str">
        <f>TEXT(Pqp_supermarket_data[[#This Row],[DateTime]],"yyy")</f>
        <v>2025</v>
      </c>
    </row>
    <row r="2072" spans="1:14" x14ac:dyDescent="0.35">
      <c r="A2072" t="s">
        <v>4262</v>
      </c>
      <c r="B2072" s="1">
        <v>45568.941018784724</v>
      </c>
      <c r="C2072" t="s">
        <v>4263</v>
      </c>
      <c r="D2072" t="s">
        <v>77</v>
      </c>
      <c r="E2072" t="s">
        <v>53</v>
      </c>
      <c r="F2072">
        <v>2.8</v>
      </c>
      <c r="G2072">
        <v>2</v>
      </c>
      <c r="H2072" t="s">
        <v>14</v>
      </c>
      <c r="I2072" t="s">
        <v>36</v>
      </c>
      <c r="J2072" t="s">
        <v>548</v>
      </c>
      <c r="K2072">
        <f>Pqp_supermarket_data[[#This Row],[Unit_Price]]*Pqp_supermarket_data[[#This Row],[Quantity]]</f>
        <v>5.6</v>
      </c>
      <c r="L2072" t="str">
        <f>TEXT(Pqp_supermarket_data[[#This Row],[DateTime]],"ddd")</f>
        <v>Thu</v>
      </c>
      <c r="M2072" t="str">
        <f>TEXT(Pqp_supermarket_data[[#This Row],[DateTime]],"mmm")</f>
        <v>Oct</v>
      </c>
      <c r="N2072" t="str">
        <f>TEXT(Pqp_supermarket_data[[#This Row],[DateTime]],"yyy")</f>
        <v>2024</v>
      </c>
    </row>
    <row r="2073" spans="1:14" x14ac:dyDescent="0.35">
      <c r="A2073" t="s">
        <v>4264</v>
      </c>
      <c r="B2073" s="1">
        <v>45761.337546562499</v>
      </c>
      <c r="C2073" t="s">
        <v>4265</v>
      </c>
      <c r="D2073" t="s">
        <v>69</v>
      </c>
      <c r="E2073" t="s">
        <v>119</v>
      </c>
      <c r="F2073">
        <v>4</v>
      </c>
      <c r="G2073">
        <v>9</v>
      </c>
      <c r="H2073" t="s">
        <v>14</v>
      </c>
      <c r="I2073" t="s">
        <v>86</v>
      </c>
      <c r="J2073" t="s">
        <v>382</v>
      </c>
      <c r="K2073">
        <f>Pqp_supermarket_data[[#This Row],[Unit_Price]]*Pqp_supermarket_data[[#This Row],[Quantity]]</f>
        <v>36</v>
      </c>
      <c r="L2073" t="str">
        <f>TEXT(Pqp_supermarket_data[[#This Row],[DateTime]],"ddd")</f>
        <v>Mon</v>
      </c>
      <c r="M2073" t="str">
        <f>TEXT(Pqp_supermarket_data[[#This Row],[DateTime]],"mmm")</f>
        <v>Apr</v>
      </c>
      <c r="N2073" t="str">
        <f>TEXT(Pqp_supermarket_data[[#This Row],[DateTime]],"yyy")</f>
        <v>2025</v>
      </c>
    </row>
    <row r="2074" spans="1:14" x14ac:dyDescent="0.35">
      <c r="A2074" t="s">
        <v>4266</v>
      </c>
      <c r="B2074" s="1">
        <v>44855.538241018519</v>
      </c>
      <c r="C2074" t="s">
        <v>4267</v>
      </c>
      <c r="D2074" t="s">
        <v>30</v>
      </c>
      <c r="E2074" t="s">
        <v>49</v>
      </c>
      <c r="F2074">
        <v>7</v>
      </c>
      <c r="G2074">
        <v>7</v>
      </c>
      <c r="H2074" t="s">
        <v>14</v>
      </c>
      <c r="I2074" t="s">
        <v>40</v>
      </c>
      <c r="J2074" t="s">
        <v>108</v>
      </c>
      <c r="K2074">
        <f>Pqp_supermarket_data[[#This Row],[Unit_Price]]*Pqp_supermarket_data[[#This Row],[Quantity]]</f>
        <v>49</v>
      </c>
      <c r="L2074" t="str">
        <f>TEXT(Pqp_supermarket_data[[#This Row],[DateTime]],"ddd")</f>
        <v>Fri</v>
      </c>
      <c r="M2074" t="str">
        <f>TEXT(Pqp_supermarket_data[[#This Row],[DateTime]],"mmm")</f>
        <v>Oct</v>
      </c>
      <c r="N2074" t="str">
        <f>TEXT(Pqp_supermarket_data[[#This Row],[DateTime]],"yyy")</f>
        <v>2022</v>
      </c>
    </row>
    <row r="2075" spans="1:14" x14ac:dyDescent="0.35">
      <c r="A2075" t="s">
        <v>4268</v>
      </c>
      <c r="B2075" s="1">
        <v>44916.193796574073</v>
      </c>
      <c r="C2075" t="s">
        <v>3562</v>
      </c>
      <c r="D2075" t="s">
        <v>30</v>
      </c>
      <c r="E2075" t="s">
        <v>148</v>
      </c>
      <c r="F2075">
        <v>5.5</v>
      </c>
      <c r="G2075">
        <v>10</v>
      </c>
      <c r="H2075" t="s">
        <v>14</v>
      </c>
      <c r="I2075" t="s">
        <v>86</v>
      </c>
      <c r="J2075" t="s">
        <v>616</v>
      </c>
      <c r="K2075">
        <f>Pqp_supermarket_data[[#This Row],[Unit_Price]]*Pqp_supermarket_data[[#This Row],[Quantity]]</f>
        <v>55</v>
      </c>
      <c r="L2075" t="str">
        <f>TEXT(Pqp_supermarket_data[[#This Row],[DateTime]],"ddd")</f>
        <v>Wed</v>
      </c>
      <c r="M2075" t="str">
        <f>TEXT(Pqp_supermarket_data[[#This Row],[DateTime]],"mmm")</f>
        <v>Dec</v>
      </c>
      <c r="N2075" t="str">
        <f>TEXT(Pqp_supermarket_data[[#This Row],[DateTime]],"yyy")</f>
        <v>2022</v>
      </c>
    </row>
    <row r="2076" spans="1:14" x14ac:dyDescent="0.35">
      <c r="A2076" t="s">
        <v>4269</v>
      </c>
      <c r="B2076" s="1">
        <v>45022.903518807871</v>
      </c>
      <c r="C2076" t="s">
        <v>4270</v>
      </c>
      <c r="D2076" t="s">
        <v>44</v>
      </c>
      <c r="E2076" t="s">
        <v>20</v>
      </c>
      <c r="F2076">
        <v>1</v>
      </c>
      <c r="G2076">
        <v>6</v>
      </c>
      <c r="H2076" t="s">
        <v>14</v>
      </c>
      <c r="I2076" t="s">
        <v>40</v>
      </c>
      <c r="J2076" t="s">
        <v>218</v>
      </c>
      <c r="K2076">
        <f>Pqp_supermarket_data[[#This Row],[Unit_Price]]*Pqp_supermarket_data[[#This Row],[Quantity]]</f>
        <v>6</v>
      </c>
      <c r="L2076" t="str">
        <f>TEXT(Pqp_supermarket_data[[#This Row],[DateTime]],"ddd")</f>
        <v>Thu</v>
      </c>
      <c r="M2076" t="str">
        <f>TEXT(Pqp_supermarket_data[[#This Row],[DateTime]],"mmm")</f>
        <v>Apr</v>
      </c>
      <c r="N2076" t="str">
        <f>TEXT(Pqp_supermarket_data[[#This Row],[DateTime]],"yyy")</f>
        <v>2023</v>
      </c>
    </row>
    <row r="2077" spans="1:14" x14ac:dyDescent="0.35">
      <c r="A2077" t="s">
        <v>4271</v>
      </c>
      <c r="B2077" s="1">
        <v>44917.818102152778</v>
      </c>
      <c r="C2077" t="s">
        <v>4272</v>
      </c>
      <c r="D2077" t="s">
        <v>82</v>
      </c>
      <c r="E2077" t="s">
        <v>65</v>
      </c>
      <c r="F2077">
        <v>3</v>
      </c>
      <c r="G2077">
        <v>3</v>
      </c>
      <c r="H2077" t="s">
        <v>14</v>
      </c>
      <c r="I2077" t="s">
        <v>40</v>
      </c>
      <c r="J2077" t="s">
        <v>102</v>
      </c>
      <c r="K2077">
        <f>Pqp_supermarket_data[[#This Row],[Unit_Price]]*Pqp_supermarket_data[[#This Row],[Quantity]]</f>
        <v>9</v>
      </c>
      <c r="L2077" t="str">
        <f>TEXT(Pqp_supermarket_data[[#This Row],[DateTime]],"ddd")</f>
        <v>Thu</v>
      </c>
      <c r="M2077" t="str">
        <f>TEXT(Pqp_supermarket_data[[#This Row],[DateTime]],"mmm")</f>
        <v>Dec</v>
      </c>
      <c r="N2077" t="str">
        <f>TEXT(Pqp_supermarket_data[[#This Row],[DateTime]],"yyy")</f>
        <v>2022</v>
      </c>
    </row>
    <row r="2078" spans="1:14" x14ac:dyDescent="0.35">
      <c r="A2078" t="s">
        <v>4273</v>
      </c>
      <c r="B2078" s="1">
        <v>44336.798657719904</v>
      </c>
      <c r="C2078" t="s">
        <v>4274</v>
      </c>
      <c r="D2078" t="s">
        <v>25</v>
      </c>
      <c r="E2078" t="s">
        <v>90</v>
      </c>
      <c r="F2078">
        <v>1.8</v>
      </c>
      <c r="G2078">
        <v>10</v>
      </c>
      <c r="H2078" t="s">
        <v>14</v>
      </c>
      <c r="I2078" t="s">
        <v>36</v>
      </c>
      <c r="J2078" t="s">
        <v>223</v>
      </c>
      <c r="K2078">
        <f>Pqp_supermarket_data[[#This Row],[Unit_Price]]*Pqp_supermarket_data[[#This Row],[Quantity]]</f>
        <v>18</v>
      </c>
      <c r="L2078" t="str">
        <f>TEXT(Pqp_supermarket_data[[#This Row],[DateTime]],"ddd")</f>
        <v>Thu</v>
      </c>
      <c r="M2078" t="str">
        <f>TEXT(Pqp_supermarket_data[[#This Row],[DateTime]],"mmm")</f>
        <v>May</v>
      </c>
      <c r="N2078" t="str">
        <f>TEXT(Pqp_supermarket_data[[#This Row],[DateTime]],"yyy")</f>
        <v>2021</v>
      </c>
    </row>
    <row r="2079" spans="1:14" x14ac:dyDescent="0.35">
      <c r="A2079" t="s">
        <v>4275</v>
      </c>
      <c r="B2079" s="1">
        <v>44896.497963275462</v>
      </c>
      <c r="C2079" t="s">
        <v>4276</v>
      </c>
      <c r="D2079" t="s">
        <v>127</v>
      </c>
      <c r="E2079" t="s">
        <v>137</v>
      </c>
      <c r="F2079">
        <v>2.5</v>
      </c>
      <c r="G2079">
        <v>2</v>
      </c>
      <c r="H2079" t="s">
        <v>14</v>
      </c>
      <c r="I2079" t="s">
        <v>86</v>
      </c>
      <c r="J2079" t="s">
        <v>223</v>
      </c>
      <c r="K2079">
        <f>Pqp_supermarket_data[[#This Row],[Unit_Price]]*Pqp_supermarket_data[[#This Row],[Quantity]]</f>
        <v>5</v>
      </c>
      <c r="L2079" t="str">
        <f>TEXT(Pqp_supermarket_data[[#This Row],[DateTime]],"ddd")</f>
        <v>Thu</v>
      </c>
      <c r="M2079" t="str">
        <f>TEXT(Pqp_supermarket_data[[#This Row],[DateTime]],"mmm")</f>
        <v>Dec</v>
      </c>
      <c r="N2079" t="str">
        <f>TEXT(Pqp_supermarket_data[[#This Row],[DateTime]],"yyy")</f>
        <v>2022</v>
      </c>
    </row>
    <row r="2080" spans="1:14" x14ac:dyDescent="0.35">
      <c r="A2080" t="s">
        <v>4277</v>
      </c>
      <c r="B2080" s="1">
        <v>45035.479213275466</v>
      </c>
      <c r="C2080" t="s">
        <v>563</v>
      </c>
      <c r="D2080" t="s">
        <v>171</v>
      </c>
      <c r="E2080" t="s">
        <v>53</v>
      </c>
      <c r="F2080">
        <v>2.8</v>
      </c>
      <c r="G2080">
        <v>5</v>
      </c>
      <c r="H2080" t="s">
        <v>14</v>
      </c>
      <c r="I2080" t="s">
        <v>86</v>
      </c>
      <c r="J2080" t="s">
        <v>102</v>
      </c>
      <c r="K2080">
        <f>Pqp_supermarket_data[[#This Row],[Unit_Price]]*Pqp_supermarket_data[[#This Row],[Quantity]]</f>
        <v>14</v>
      </c>
      <c r="L2080" t="str">
        <f>TEXT(Pqp_supermarket_data[[#This Row],[DateTime]],"ddd")</f>
        <v>Wed</v>
      </c>
      <c r="M2080" t="str">
        <f>TEXT(Pqp_supermarket_data[[#This Row],[DateTime]],"mmm")</f>
        <v>Apr</v>
      </c>
      <c r="N2080" t="str">
        <f>TEXT(Pqp_supermarket_data[[#This Row],[DateTime]],"yyy")</f>
        <v>2023</v>
      </c>
    </row>
    <row r="2081" spans="1:14" x14ac:dyDescent="0.35">
      <c r="A2081" t="s">
        <v>4278</v>
      </c>
      <c r="B2081" s="1">
        <v>44404.150741064812</v>
      </c>
      <c r="C2081" t="s">
        <v>4279</v>
      </c>
      <c r="D2081" t="s">
        <v>34</v>
      </c>
      <c r="E2081" t="s">
        <v>35</v>
      </c>
      <c r="F2081">
        <v>1.2</v>
      </c>
      <c r="G2081">
        <v>9</v>
      </c>
      <c r="H2081" t="s">
        <v>14</v>
      </c>
      <c r="I2081" t="s">
        <v>61</v>
      </c>
      <c r="J2081" t="s">
        <v>218</v>
      </c>
      <c r="K2081">
        <f>Pqp_supermarket_data[[#This Row],[Unit_Price]]*Pqp_supermarket_data[[#This Row],[Quantity]]</f>
        <v>10.799999999999999</v>
      </c>
      <c r="L2081" t="str">
        <f>TEXT(Pqp_supermarket_data[[#This Row],[DateTime]],"ddd")</f>
        <v>Tue</v>
      </c>
      <c r="M2081" t="str">
        <f>TEXT(Pqp_supermarket_data[[#This Row],[DateTime]],"mmm")</f>
        <v>Jul</v>
      </c>
      <c r="N2081" t="str">
        <f>TEXT(Pqp_supermarket_data[[#This Row],[DateTime]],"yyy")</f>
        <v>2021</v>
      </c>
    </row>
    <row r="2082" spans="1:14" x14ac:dyDescent="0.35">
      <c r="A2082" t="s">
        <v>4280</v>
      </c>
      <c r="B2082" s="1">
        <v>45186.083379953707</v>
      </c>
      <c r="C2082" t="s">
        <v>4281</v>
      </c>
      <c r="D2082" t="s">
        <v>208</v>
      </c>
      <c r="E2082" t="s">
        <v>70</v>
      </c>
      <c r="F2082">
        <v>5</v>
      </c>
      <c r="G2082">
        <v>6</v>
      </c>
      <c r="H2082" t="s">
        <v>14</v>
      </c>
      <c r="I2082" t="s">
        <v>61</v>
      </c>
      <c r="J2082" t="s">
        <v>71</v>
      </c>
      <c r="K2082">
        <f>Pqp_supermarket_data[[#This Row],[Unit_Price]]*Pqp_supermarket_data[[#This Row],[Quantity]]</f>
        <v>30</v>
      </c>
      <c r="L2082" t="str">
        <f>TEXT(Pqp_supermarket_data[[#This Row],[DateTime]],"ddd")</f>
        <v>Sun</v>
      </c>
      <c r="M2082" t="str">
        <f>TEXT(Pqp_supermarket_data[[#This Row],[DateTime]],"mmm")</f>
        <v>Sep</v>
      </c>
      <c r="N2082" t="str">
        <f>TEXT(Pqp_supermarket_data[[#This Row],[DateTime]],"yyy")</f>
        <v>2023</v>
      </c>
    </row>
    <row r="2083" spans="1:14" x14ac:dyDescent="0.35">
      <c r="A2083" t="s">
        <v>4282</v>
      </c>
      <c r="B2083" s="1">
        <v>45713.763241111112</v>
      </c>
      <c r="C2083" t="s">
        <v>4283</v>
      </c>
      <c r="D2083" t="s">
        <v>44</v>
      </c>
      <c r="E2083" t="s">
        <v>137</v>
      </c>
      <c r="F2083">
        <v>2.5</v>
      </c>
      <c r="G2083">
        <v>9</v>
      </c>
      <c r="H2083" t="s">
        <v>14</v>
      </c>
      <c r="I2083" t="s">
        <v>36</v>
      </c>
      <c r="J2083" t="s">
        <v>662</v>
      </c>
      <c r="K2083">
        <f>Pqp_supermarket_data[[#This Row],[Unit_Price]]*Pqp_supermarket_data[[#This Row],[Quantity]]</f>
        <v>22.5</v>
      </c>
      <c r="L2083" t="str">
        <f>TEXT(Pqp_supermarket_data[[#This Row],[DateTime]],"ddd")</f>
        <v>Tue</v>
      </c>
      <c r="M2083" t="str">
        <f>TEXT(Pqp_supermarket_data[[#This Row],[DateTime]],"mmm")</f>
        <v>Feb</v>
      </c>
      <c r="N2083" t="str">
        <f>TEXT(Pqp_supermarket_data[[#This Row],[DateTime]],"yyy")</f>
        <v>2025</v>
      </c>
    </row>
    <row r="2084" spans="1:14" x14ac:dyDescent="0.35">
      <c r="A2084" t="s">
        <v>4284</v>
      </c>
      <c r="B2084" s="1">
        <v>45277.347963333334</v>
      </c>
      <c r="C2084" t="s">
        <v>4285</v>
      </c>
      <c r="D2084" t="s">
        <v>85</v>
      </c>
      <c r="E2084" t="s">
        <v>148</v>
      </c>
      <c r="F2084">
        <v>5.5</v>
      </c>
      <c r="G2084">
        <v>3</v>
      </c>
      <c r="H2084" t="s">
        <v>14</v>
      </c>
      <c r="I2084" t="s">
        <v>36</v>
      </c>
      <c r="J2084" t="s">
        <v>209</v>
      </c>
      <c r="K2084">
        <f>Pqp_supermarket_data[[#This Row],[Unit_Price]]*Pqp_supermarket_data[[#This Row],[Quantity]]</f>
        <v>16.5</v>
      </c>
      <c r="L2084" t="str">
        <f>TEXT(Pqp_supermarket_data[[#This Row],[DateTime]],"ddd")</f>
        <v>Sun</v>
      </c>
      <c r="M2084" t="str">
        <f>TEXT(Pqp_supermarket_data[[#This Row],[DateTime]],"mmm")</f>
        <v>Dec</v>
      </c>
      <c r="N2084" t="str">
        <f>TEXT(Pqp_supermarket_data[[#This Row],[DateTime]],"yyy")</f>
        <v>2023</v>
      </c>
    </row>
    <row r="2085" spans="1:14" x14ac:dyDescent="0.35">
      <c r="A2085" t="s">
        <v>4286</v>
      </c>
      <c r="B2085" s="1">
        <v>44489.916018900461</v>
      </c>
      <c r="C2085" t="s">
        <v>4287</v>
      </c>
      <c r="D2085" t="s">
        <v>19</v>
      </c>
      <c r="E2085" t="s">
        <v>13</v>
      </c>
      <c r="F2085">
        <v>3.1</v>
      </c>
      <c r="G2085">
        <v>6</v>
      </c>
      <c r="H2085" t="s">
        <v>14</v>
      </c>
      <c r="I2085" t="s">
        <v>86</v>
      </c>
      <c r="J2085" t="s">
        <v>320</v>
      </c>
      <c r="K2085">
        <f>Pqp_supermarket_data[[#This Row],[Unit_Price]]*Pqp_supermarket_data[[#This Row],[Quantity]]</f>
        <v>18.600000000000001</v>
      </c>
      <c r="L2085" t="str">
        <f>TEXT(Pqp_supermarket_data[[#This Row],[DateTime]],"ddd")</f>
        <v>Wed</v>
      </c>
      <c r="M2085" t="str">
        <f>TEXT(Pqp_supermarket_data[[#This Row],[DateTime]],"mmm")</f>
        <v>Oct</v>
      </c>
      <c r="N2085" t="str">
        <f>TEXT(Pqp_supermarket_data[[#This Row],[DateTime]],"yyy")</f>
        <v>2021</v>
      </c>
    </row>
    <row r="2086" spans="1:14" x14ac:dyDescent="0.35">
      <c r="A2086" t="s">
        <v>4288</v>
      </c>
      <c r="B2086" s="1">
        <v>44522.227824456022</v>
      </c>
      <c r="C2086" t="s">
        <v>4289</v>
      </c>
      <c r="D2086" t="s">
        <v>34</v>
      </c>
      <c r="E2086" t="s">
        <v>90</v>
      </c>
      <c r="F2086">
        <v>1.8</v>
      </c>
      <c r="G2086">
        <v>10</v>
      </c>
      <c r="H2086" t="s">
        <v>14</v>
      </c>
      <c r="I2086" t="s">
        <v>86</v>
      </c>
      <c r="J2086" t="s">
        <v>436</v>
      </c>
      <c r="K2086">
        <f>Pqp_supermarket_data[[#This Row],[Unit_Price]]*Pqp_supermarket_data[[#This Row],[Quantity]]</f>
        <v>18</v>
      </c>
      <c r="L2086" t="str">
        <f>TEXT(Pqp_supermarket_data[[#This Row],[DateTime]],"ddd")</f>
        <v>Mon</v>
      </c>
      <c r="M2086" t="str">
        <f>TEXT(Pqp_supermarket_data[[#This Row],[DateTime]],"mmm")</f>
        <v>Nov</v>
      </c>
      <c r="N2086" t="str">
        <f>TEXT(Pqp_supermarket_data[[#This Row],[DateTime]],"yyy")</f>
        <v>2021</v>
      </c>
    </row>
    <row r="2087" spans="1:14" x14ac:dyDescent="0.35">
      <c r="A2087" t="s">
        <v>4290</v>
      </c>
      <c r="B2087" s="1">
        <v>45630.127130023146</v>
      </c>
      <c r="C2087" t="s">
        <v>4291</v>
      </c>
      <c r="D2087" t="s">
        <v>208</v>
      </c>
      <c r="E2087" t="s">
        <v>111</v>
      </c>
      <c r="F2087">
        <v>2.2000000000000002</v>
      </c>
      <c r="G2087">
        <v>10</v>
      </c>
      <c r="H2087" t="s">
        <v>14</v>
      </c>
      <c r="I2087" t="s">
        <v>36</v>
      </c>
      <c r="J2087" t="s">
        <v>71</v>
      </c>
      <c r="K2087">
        <f>Pqp_supermarket_data[[#This Row],[Unit_Price]]*Pqp_supermarket_data[[#This Row],[Quantity]]</f>
        <v>22</v>
      </c>
      <c r="L2087" t="str">
        <f>TEXT(Pqp_supermarket_data[[#This Row],[DateTime]],"ddd")</f>
        <v>Wed</v>
      </c>
      <c r="M2087" t="str">
        <f>TEXT(Pqp_supermarket_data[[#This Row],[DateTime]],"mmm")</f>
        <v>Dec</v>
      </c>
      <c r="N2087" t="str">
        <f>TEXT(Pqp_supermarket_data[[#This Row],[DateTime]],"yyy")</f>
        <v>2024</v>
      </c>
    </row>
    <row r="2088" spans="1:14" x14ac:dyDescent="0.35">
      <c r="A2088" t="s">
        <v>4292</v>
      </c>
      <c r="B2088" s="1">
        <v>45579.037546689811</v>
      </c>
      <c r="C2088" t="s">
        <v>4293</v>
      </c>
      <c r="D2088" t="s">
        <v>12</v>
      </c>
      <c r="E2088" t="s">
        <v>65</v>
      </c>
      <c r="F2088">
        <v>3</v>
      </c>
      <c r="G2088">
        <v>6</v>
      </c>
      <c r="H2088" t="s">
        <v>14</v>
      </c>
      <c r="I2088" t="s">
        <v>36</v>
      </c>
      <c r="J2088" t="s">
        <v>314</v>
      </c>
      <c r="K2088">
        <f>Pqp_supermarket_data[[#This Row],[Unit_Price]]*Pqp_supermarket_data[[#This Row],[Quantity]]</f>
        <v>18</v>
      </c>
      <c r="L2088" t="str">
        <f>TEXT(Pqp_supermarket_data[[#This Row],[DateTime]],"ddd")</f>
        <v>Mon</v>
      </c>
      <c r="M2088" t="str">
        <f>TEXT(Pqp_supermarket_data[[#This Row],[DateTime]],"mmm")</f>
        <v>Oct</v>
      </c>
      <c r="N2088" t="str">
        <f>TEXT(Pqp_supermarket_data[[#This Row],[DateTime]],"yyy")</f>
        <v>2024</v>
      </c>
    </row>
    <row r="2089" spans="1:14" x14ac:dyDescent="0.35">
      <c r="A2089" t="s">
        <v>4294</v>
      </c>
      <c r="B2089" s="1">
        <v>45168.000741145835</v>
      </c>
      <c r="C2089" t="s">
        <v>4295</v>
      </c>
      <c r="D2089" t="s">
        <v>208</v>
      </c>
      <c r="E2089" t="s">
        <v>94</v>
      </c>
      <c r="F2089">
        <v>0.8</v>
      </c>
      <c r="G2089">
        <v>5</v>
      </c>
      <c r="H2089" t="s">
        <v>14</v>
      </c>
      <c r="I2089" t="s">
        <v>36</v>
      </c>
      <c r="J2089" t="s">
        <v>189</v>
      </c>
      <c r="K2089">
        <f>Pqp_supermarket_data[[#This Row],[Unit_Price]]*Pqp_supermarket_data[[#This Row],[Quantity]]</f>
        <v>4</v>
      </c>
      <c r="L2089" t="str">
        <f>TEXT(Pqp_supermarket_data[[#This Row],[DateTime]],"ddd")</f>
        <v>Wed</v>
      </c>
      <c r="M2089" t="str">
        <f>TEXT(Pqp_supermarket_data[[#This Row],[DateTime]],"mmm")</f>
        <v>Aug</v>
      </c>
      <c r="N2089" t="str">
        <f>TEXT(Pqp_supermarket_data[[#This Row],[DateTime]],"yyy")</f>
        <v>2023</v>
      </c>
    </row>
    <row r="2090" spans="1:14" x14ac:dyDescent="0.35">
      <c r="A2090" t="s">
        <v>4296</v>
      </c>
      <c r="B2090" s="1">
        <v>45624.013241145833</v>
      </c>
      <c r="C2090" t="s">
        <v>4297</v>
      </c>
      <c r="D2090" t="s">
        <v>226</v>
      </c>
      <c r="E2090" t="s">
        <v>78</v>
      </c>
      <c r="F2090">
        <v>4</v>
      </c>
      <c r="G2090">
        <v>10</v>
      </c>
      <c r="H2090" t="s">
        <v>14</v>
      </c>
      <c r="I2090" t="s">
        <v>61</v>
      </c>
      <c r="J2090" t="s">
        <v>108</v>
      </c>
      <c r="K2090">
        <f>Pqp_supermarket_data[[#This Row],[Unit_Price]]*Pqp_supermarket_data[[#This Row],[Quantity]]</f>
        <v>40</v>
      </c>
      <c r="L2090" t="str">
        <f>TEXT(Pqp_supermarket_data[[#This Row],[DateTime]],"ddd")</f>
        <v>Thu</v>
      </c>
      <c r="M2090" t="str">
        <f>TEXT(Pqp_supermarket_data[[#This Row],[DateTime]],"mmm")</f>
        <v>Nov</v>
      </c>
      <c r="N2090" t="str">
        <f>TEXT(Pqp_supermarket_data[[#This Row],[DateTime]],"yyy")</f>
        <v>2024</v>
      </c>
    </row>
    <row r="2091" spans="1:14" x14ac:dyDescent="0.35">
      <c r="A2091" t="s">
        <v>4298</v>
      </c>
      <c r="B2091" s="1">
        <v>44525.869491157406</v>
      </c>
      <c r="C2091" t="s">
        <v>4299</v>
      </c>
      <c r="D2091" t="s">
        <v>34</v>
      </c>
      <c r="E2091" t="s">
        <v>26</v>
      </c>
      <c r="F2091">
        <v>2.5</v>
      </c>
      <c r="G2091">
        <v>1</v>
      </c>
      <c r="H2091" t="s">
        <v>14</v>
      </c>
      <c r="I2091" t="s">
        <v>61</v>
      </c>
      <c r="J2091" t="s">
        <v>317</v>
      </c>
      <c r="K2091">
        <f>Pqp_supermarket_data[[#This Row],[Unit_Price]]*Pqp_supermarket_data[[#This Row],[Quantity]]</f>
        <v>2.5</v>
      </c>
      <c r="L2091" t="str">
        <f>TEXT(Pqp_supermarket_data[[#This Row],[DateTime]],"ddd")</f>
        <v>Thu</v>
      </c>
      <c r="M2091" t="str">
        <f>TEXT(Pqp_supermarket_data[[#This Row],[DateTime]],"mmm")</f>
        <v>Nov</v>
      </c>
      <c r="N2091" t="str">
        <f>TEXT(Pqp_supermarket_data[[#This Row],[DateTime]],"yyy")</f>
        <v>2021</v>
      </c>
    </row>
    <row r="2092" spans="1:14" x14ac:dyDescent="0.35">
      <c r="A2092" t="s">
        <v>4300</v>
      </c>
      <c r="B2092" s="1">
        <v>44818.276435613428</v>
      </c>
      <c r="C2092" t="s">
        <v>4301</v>
      </c>
      <c r="D2092" t="s">
        <v>19</v>
      </c>
      <c r="E2092" t="s">
        <v>145</v>
      </c>
      <c r="F2092">
        <v>1.7</v>
      </c>
      <c r="G2092">
        <v>5</v>
      </c>
      <c r="H2092" t="s">
        <v>14</v>
      </c>
      <c r="I2092" t="s">
        <v>36</v>
      </c>
      <c r="J2092" t="s">
        <v>320</v>
      </c>
      <c r="K2092">
        <f>Pqp_supermarket_data[[#This Row],[Unit_Price]]*Pqp_supermarket_data[[#This Row],[Quantity]]</f>
        <v>8.5</v>
      </c>
      <c r="L2092" t="str">
        <f>TEXT(Pqp_supermarket_data[[#This Row],[DateTime]],"ddd")</f>
        <v>Wed</v>
      </c>
      <c r="M2092" t="str">
        <f>TEXT(Pqp_supermarket_data[[#This Row],[DateTime]],"mmm")</f>
        <v>Sep</v>
      </c>
      <c r="N2092" t="str">
        <f>TEXT(Pqp_supermarket_data[[#This Row],[DateTime]],"yyy")</f>
        <v>2022</v>
      </c>
    </row>
    <row r="2093" spans="1:14" x14ac:dyDescent="0.35">
      <c r="A2093" t="s">
        <v>4302</v>
      </c>
      <c r="B2093" s="1">
        <v>45406.204213391204</v>
      </c>
      <c r="C2093" t="s">
        <v>4303</v>
      </c>
      <c r="D2093" t="s">
        <v>30</v>
      </c>
      <c r="E2093" t="s">
        <v>137</v>
      </c>
      <c r="F2093">
        <v>2.5</v>
      </c>
      <c r="G2093">
        <v>10</v>
      </c>
      <c r="H2093" t="s">
        <v>14</v>
      </c>
      <c r="I2093" t="s">
        <v>86</v>
      </c>
      <c r="J2093" t="s">
        <v>458</v>
      </c>
      <c r="K2093">
        <f>Pqp_supermarket_data[[#This Row],[Unit_Price]]*Pqp_supermarket_data[[#This Row],[Quantity]]</f>
        <v>25</v>
      </c>
      <c r="L2093" t="str">
        <f>TEXT(Pqp_supermarket_data[[#This Row],[DateTime]],"ddd")</f>
        <v>Wed</v>
      </c>
      <c r="M2093" t="str">
        <f>TEXT(Pqp_supermarket_data[[#This Row],[DateTime]],"mmm")</f>
        <v>Apr</v>
      </c>
      <c r="N2093" t="str">
        <f>TEXT(Pqp_supermarket_data[[#This Row],[DateTime]],"yyy")</f>
        <v>2024</v>
      </c>
    </row>
    <row r="2094" spans="1:14" x14ac:dyDescent="0.35">
      <c r="A2094" t="s">
        <v>4304</v>
      </c>
      <c r="B2094" s="1">
        <v>44398.17296340278</v>
      </c>
      <c r="C2094" t="s">
        <v>4305</v>
      </c>
      <c r="D2094" t="s">
        <v>208</v>
      </c>
      <c r="E2094" t="s">
        <v>145</v>
      </c>
      <c r="F2094">
        <v>1.7</v>
      </c>
      <c r="G2094">
        <v>4</v>
      </c>
      <c r="H2094" t="s">
        <v>14</v>
      </c>
      <c r="I2094" t="s">
        <v>40</v>
      </c>
      <c r="J2094" t="s">
        <v>175</v>
      </c>
      <c r="K2094">
        <f>Pqp_supermarket_data[[#This Row],[Unit_Price]]*Pqp_supermarket_data[[#This Row],[Quantity]]</f>
        <v>6.8</v>
      </c>
      <c r="L2094" t="str">
        <f>TEXT(Pqp_supermarket_data[[#This Row],[DateTime]],"ddd")</f>
        <v>Wed</v>
      </c>
      <c r="M2094" t="str">
        <f>TEXT(Pqp_supermarket_data[[#This Row],[DateTime]],"mmm")</f>
        <v>Jul</v>
      </c>
      <c r="N2094" t="str">
        <f>TEXT(Pqp_supermarket_data[[#This Row],[DateTime]],"yyy")</f>
        <v>2021</v>
      </c>
    </row>
    <row r="2095" spans="1:14" x14ac:dyDescent="0.35">
      <c r="A2095" t="s">
        <v>4306</v>
      </c>
      <c r="B2095" s="1">
        <v>44441.381296747684</v>
      </c>
      <c r="C2095" t="s">
        <v>4307</v>
      </c>
      <c r="D2095" t="s">
        <v>127</v>
      </c>
      <c r="E2095" t="s">
        <v>70</v>
      </c>
      <c r="F2095">
        <v>5</v>
      </c>
      <c r="G2095">
        <v>10</v>
      </c>
      <c r="H2095" t="s">
        <v>14</v>
      </c>
      <c r="I2095" t="s">
        <v>36</v>
      </c>
      <c r="J2095" t="s">
        <v>79</v>
      </c>
      <c r="K2095">
        <f>Pqp_supermarket_data[[#This Row],[Unit_Price]]*Pqp_supermarket_data[[#This Row],[Quantity]]</f>
        <v>50</v>
      </c>
      <c r="L2095" t="str">
        <f>TEXT(Pqp_supermarket_data[[#This Row],[DateTime]],"ddd")</f>
        <v>Thu</v>
      </c>
      <c r="M2095" t="str">
        <f>TEXT(Pqp_supermarket_data[[#This Row],[DateTime]],"mmm")</f>
        <v>Sep</v>
      </c>
      <c r="N2095" t="str">
        <f>TEXT(Pqp_supermarket_data[[#This Row],[DateTime]],"yyy")</f>
        <v>2021</v>
      </c>
    </row>
    <row r="2096" spans="1:14" x14ac:dyDescent="0.35">
      <c r="A2096" t="s">
        <v>4308</v>
      </c>
      <c r="B2096" s="1">
        <v>45588.258380081017</v>
      </c>
      <c r="C2096" t="s">
        <v>4309</v>
      </c>
      <c r="D2096" t="s">
        <v>208</v>
      </c>
      <c r="E2096" t="s">
        <v>39</v>
      </c>
      <c r="F2096">
        <v>3.2</v>
      </c>
      <c r="G2096">
        <v>4</v>
      </c>
      <c r="H2096" t="s">
        <v>14</v>
      </c>
      <c r="I2096" t="s">
        <v>40</v>
      </c>
      <c r="J2096" t="s">
        <v>262</v>
      </c>
      <c r="K2096">
        <f>Pqp_supermarket_data[[#This Row],[Unit_Price]]*Pqp_supermarket_data[[#This Row],[Quantity]]</f>
        <v>12.8</v>
      </c>
      <c r="L2096" t="str">
        <f>TEXT(Pqp_supermarket_data[[#This Row],[DateTime]],"ddd")</f>
        <v>Wed</v>
      </c>
      <c r="M2096" t="str">
        <f>TEXT(Pqp_supermarket_data[[#This Row],[DateTime]],"mmm")</f>
        <v>Oct</v>
      </c>
      <c r="N2096" t="str">
        <f>TEXT(Pqp_supermarket_data[[#This Row],[DateTime]],"yyy")</f>
        <v>2024</v>
      </c>
    </row>
    <row r="2097" spans="1:14" x14ac:dyDescent="0.35">
      <c r="A2097" t="s">
        <v>4310</v>
      </c>
      <c r="B2097" s="1">
        <v>45196.570185648146</v>
      </c>
      <c r="C2097" t="s">
        <v>4311</v>
      </c>
      <c r="D2097" t="s">
        <v>171</v>
      </c>
      <c r="E2097" t="s">
        <v>70</v>
      </c>
      <c r="F2097">
        <v>5</v>
      </c>
      <c r="G2097">
        <v>10</v>
      </c>
      <c r="H2097" t="s">
        <v>14</v>
      </c>
      <c r="I2097" t="s">
        <v>86</v>
      </c>
      <c r="J2097" t="s">
        <v>71</v>
      </c>
      <c r="K2097">
        <f>Pqp_supermarket_data[[#This Row],[Unit_Price]]*Pqp_supermarket_data[[#This Row],[Quantity]]</f>
        <v>50</v>
      </c>
      <c r="L2097" t="str">
        <f>TEXT(Pqp_supermarket_data[[#This Row],[DateTime]],"ddd")</f>
        <v>Wed</v>
      </c>
      <c r="M2097" t="str">
        <f>TEXT(Pqp_supermarket_data[[#This Row],[DateTime]],"mmm")</f>
        <v>Sep</v>
      </c>
      <c r="N2097" t="str">
        <f>TEXT(Pqp_supermarket_data[[#This Row],[DateTime]],"yyy")</f>
        <v>2023</v>
      </c>
    </row>
    <row r="2098" spans="1:14" x14ac:dyDescent="0.35">
      <c r="A2098" t="s">
        <v>4312</v>
      </c>
      <c r="B2098" s="1">
        <v>44567.119491203703</v>
      </c>
      <c r="C2098" t="s">
        <v>4313</v>
      </c>
      <c r="D2098" t="s">
        <v>82</v>
      </c>
      <c r="E2098" t="s">
        <v>115</v>
      </c>
      <c r="F2098">
        <v>1.5</v>
      </c>
      <c r="G2098">
        <v>9</v>
      </c>
      <c r="H2098" t="s">
        <v>14</v>
      </c>
      <c r="I2098" t="s">
        <v>40</v>
      </c>
      <c r="J2098" t="s">
        <v>102</v>
      </c>
      <c r="K2098">
        <f>Pqp_supermarket_data[[#This Row],[Unit_Price]]*Pqp_supermarket_data[[#This Row],[Quantity]]</f>
        <v>13.5</v>
      </c>
      <c r="L2098" t="str">
        <f>TEXT(Pqp_supermarket_data[[#This Row],[DateTime]],"ddd")</f>
        <v>Thu</v>
      </c>
      <c r="M2098" t="str">
        <f>TEXT(Pqp_supermarket_data[[#This Row],[DateTime]],"mmm")</f>
        <v>Jan</v>
      </c>
      <c r="N2098" t="str">
        <f>TEXT(Pqp_supermarket_data[[#This Row],[DateTime]],"yyy")</f>
        <v>2022</v>
      </c>
    </row>
    <row r="2099" spans="1:14" x14ac:dyDescent="0.35">
      <c r="A2099" t="s">
        <v>4314</v>
      </c>
      <c r="B2099" s="1">
        <v>45089.12782454861</v>
      </c>
      <c r="C2099" t="s">
        <v>4315</v>
      </c>
      <c r="D2099" t="s">
        <v>34</v>
      </c>
      <c r="E2099" t="s">
        <v>70</v>
      </c>
      <c r="F2099">
        <v>5</v>
      </c>
      <c r="G2099">
        <v>3</v>
      </c>
      <c r="H2099" t="s">
        <v>14</v>
      </c>
      <c r="I2099" t="s">
        <v>86</v>
      </c>
      <c r="J2099" t="s">
        <v>314</v>
      </c>
      <c r="K2099">
        <f>Pqp_supermarket_data[[#This Row],[Unit_Price]]*Pqp_supermarket_data[[#This Row],[Quantity]]</f>
        <v>15</v>
      </c>
      <c r="L2099" t="str">
        <f>TEXT(Pqp_supermarket_data[[#This Row],[DateTime]],"ddd")</f>
        <v>Mon</v>
      </c>
      <c r="M2099" t="str">
        <f>TEXT(Pqp_supermarket_data[[#This Row],[DateTime]],"mmm")</f>
        <v>Jun</v>
      </c>
      <c r="N2099" t="str">
        <f>TEXT(Pqp_supermarket_data[[#This Row],[DateTime]],"yyy")</f>
        <v>2023</v>
      </c>
    </row>
    <row r="2100" spans="1:14" x14ac:dyDescent="0.35">
      <c r="A2100" t="s">
        <v>4316</v>
      </c>
      <c r="B2100" s="1">
        <v>44765.286157881943</v>
      </c>
      <c r="C2100" t="s">
        <v>4317</v>
      </c>
      <c r="D2100" t="s">
        <v>12</v>
      </c>
      <c r="E2100" t="s">
        <v>94</v>
      </c>
      <c r="F2100">
        <v>0.8</v>
      </c>
      <c r="G2100">
        <v>7</v>
      </c>
      <c r="H2100" t="s">
        <v>14</v>
      </c>
      <c r="I2100" t="s">
        <v>61</v>
      </c>
      <c r="J2100" t="s">
        <v>548</v>
      </c>
      <c r="K2100">
        <f>Pqp_supermarket_data[[#This Row],[Unit_Price]]*Pqp_supermarket_data[[#This Row],[Quantity]]</f>
        <v>5.6000000000000005</v>
      </c>
      <c r="L2100" t="str">
        <f>TEXT(Pqp_supermarket_data[[#This Row],[DateTime]],"ddd")</f>
        <v>Sat</v>
      </c>
      <c r="M2100" t="str">
        <f>TEXT(Pqp_supermarket_data[[#This Row],[DateTime]],"mmm")</f>
        <v>Jul</v>
      </c>
      <c r="N2100" t="str">
        <f>TEXT(Pqp_supermarket_data[[#This Row],[DateTime]],"yyy")</f>
        <v>2022</v>
      </c>
    </row>
    <row r="2101" spans="1:14" x14ac:dyDescent="0.35">
      <c r="A2101" t="s">
        <v>4318</v>
      </c>
      <c r="B2101" s="1">
        <v>45719.647269027781</v>
      </c>
      <c r="C2101" t="s">
        <v>4319</v>
      </c>
      <c r="D2101" t="s">
        <v>171</v>
      </c>
      <c r="E2101" t="s">
        <v>65</v>
      </c>
      <c r="F2101">
        <v>3</v>
      </c>
      <c r="G2101">
        <v>8</v>
      </c>
      <c r="H2101" t="s">
        <v>14</v>
      </c>
      <c r="I2101" t="s">
        <v>21</v>
      </c>
      <c r="J2101" t="s">
        <v>561</v>
      </c>
      <c r="K2101">
        <f>Pqp_supermarket_data[[#This Row],[Unit_Price]]*Pqp_supermarket_data[[#This Row],[Quantity]]</f>
        <v>24</v>
      </c>
      <c r="L2101" t="str">
        <f>TEXT(Pqp_supermarket_data[[#This Row],[DateTime]],"ddd")</f>
        <v>Mon</v>
      </c>
      <c r="M2101" t="str">
        <f>TEXT(Pqp_supermarket_data[[#This Row],[DateTime]],"mmm")</f>
        <v>Mar</v>
      </c>
      <c r="N2101" t="str">
        <f>TEXT(Pqp_supermarket_data[[#This Row],[DateTime]],"yyy")</f>
        <v>2025</v>
      </c>
    </row>
    <row r="2102" spans="1:14" x14ac:dyDescent="0.35">
      <c r="A2102" t="s">
        <v>4320</v>
      </c>
      <c r="B2102" s="1">
        <v>45616.277130138886</v>
      </c>
      <c r="C2102" t="s">
        <v>4321</v>
      </c>
      <c r="D2102" t="s">
        <v>85</v>
      </c>
      <c r="E2102" t="s">
        <v>53</v>
      </c>
      <c r="F2102">
        <v>2.8</v>
      </c>
      <c r="G2102">
        <v>5</v>
      </c>
      <c r="H2102" t="s">
        <v>14</v>
      </c>
      <c r="I2102" t="s">
        <v>61</v>
      </c>
      <c r="J2102" t="s">
        <v>91</v>
      </c>
      <c r="K2102">
        <f>Pqp_supermarket_data[[#This Row],[Unit_Price]]*Pqp_supermarket_data[[#This Row],[Quantity]]</f>
        <v>14</v>
      </c>
      <c r="L2102" t="str">
        <f>TEXT(Pqp_supermarket_data[[#This Row],[DateTime]],"ddd")</f>
        <v>Wed</v>
      </c>
      <c r="M2102" t="str">
        <f>TEXT(Pqp_supermarket_data[[#This Row],[DateTime]],"mmm")</f>
        <v>Nov</v>
      </c>
      <c r="N2102" t="str">
        <f>TEXT(Pqp_supermarket_data[[#This Row],[DateTime]],"yyy")</f>
        <v>2024</v>
      </c>
    </row>
    <row r="2103" spans="1:14" x14ac:dyDescent="0.35">
      <c r="A2103" t="s">
        <v>4322</v>
      </c>
      <c r="B2103" s="1">
        <v>45140.946574594906</v>
      </c>
      <c r="C2103" t="s">
        <v>4323</v>
      </c>
      <c r="D2103" t="s">
        <v>98</v>
      </c>
      <c r="E2103" t="s">
        <v>35</v>
      </c>
      <c r="F2103">
        <v>1.2</v>
      </c>
      <c r="G2103">
        <v>3</v>
      </c>
      <c r="H2103" t="s">
        <v>14</v>
      </c>
      <c r="I2103" t="s">
        <v>21</v>
      </c>
      <c r="J2103" t="s">
        <v>87</v>
      </c>
      <c r="K2103">
        <f>Pqp_supermarket_data[[#This Row],[Unit_Price]]*Pqp_supermarket_data[[#This Row],[Quantity]]</f>
        <v>3.5999999999999996</v>
      </c>
      <c r="L2103" t="str">
        <f>TEXT(Pqp_supermarket_data[[#This Row],[DateTime]],"ddd")</f>
        <v>Wed</v>
      </c>
      <c r="M2103" t="str">
        <f>TEXT(Pqp_supermarket_data[[#This Row],[DateTime]],"mmm")</f>
        <v>Aug</v>
      </c>
      <c r="N2103" t="str">
        <f>TEXT(Pqp_supermarket_data[[#This Row],[DateTime]],"yyy")</f>
        <v>2023</v>
      </c>
    </row>
    <row r="2104" spans="1:14" x14ac:dyDescent="0.35">
      <c r="A2104" t="s">
        <v>4324</v>
      </c>
      <c r="B2104" s="1">
        <v>45444.752824594907</v>
      </c>
      <c r="C2104" t="s">
        <v>4325</v>
      </c>
      <c r="D2104" t="s">
        <v>171</v>
      </c>
      <c r="E2104" t="s">
        <v>145</v>
      </c>
      <c r="F2104">
        <v>1.7</v>
      </c>
      <c r="G2104">
        <v>7</v>
      </c>
      <c r="H2104" t="s">
        <v>14</v>
      </c>
      <c r="I2104" t="s">
        <v>40</v>
      </c>
      <c r="J2104" t="s">
        <v>91</v>
      </c>
      <c r="K2104">
        <f>Pqp_supermarket_data[[#This Row],[Unit_Price]]*Pqp_supermarket_data[[#This Row],[Quantity]]</f>
        <v>11.9</v>
      </c>
      <c r="L2104" t="str">
        <f>TEXT(Pqp_supermarket_data[[#This Row],[DateTime]],"ddd")</f>
        <v>Sat</v>
      </c>
      <c r="M2104" t="str">
        <f>TEXT(Pqp_supermarket_data[[#This Row],[DateTime]],"mmm")</f>
        <v>Jun</v>
      </c>
      <c r="N2104" t="str">
        <f>TEXT(Pqp_supermarket_data[[#This Row],[DateTime]],"yyy")</f>
        <v>2024</v>
      </c>
    </row>
    <row r="2105" spans="1:14" x14ac:dyDescent="0.35">
      <c r="A2105" t="s">
        <v>4326</v>
      </c>
      <c r="B2105" s="1">
        <v>45204.818796828702</v>
      </c>
      <c r="C2105" t="s">
        <v>4327</v>
      </c>
      <c r="D2105" t="s">
        <v>98</v>
      </c>
      <c r="E2105" t="s">
        <v>26</v>
      </c>
      <c r="F2105">
        <v>2.5</v>
      </c>
      <c r="G2105">
        <v>7</v>
      </c>
      <c r="H2105" t="s">
        <v>14</v>
      </c>
      <c r="I2105" t="s">
        <v>21</v>
      </c>
      <c r="J2105" t="s">
        <v>295</v>
      </c>
      <c r="K2105">
        <f>Pqp_supermarket_data[[#This Row],[Unit_Price]]*Pqp_supermarket_data[[#This Row],[Quantity]]</f>
        <v>17.5</v>
      </c>
      <c r="L2105" t="str">
        <f>TEXT(Pqp_supermarket_data[[#This Row],[DateTime]],"ddd")</f>
        <v>Thu</v>
      </c>
      <c r="M2105" t="str">
        <f>TEXT(Pqp_supermarket_data[[#This Row],[DateTime]],"mmm")</f>
        <v>Oct</v>
      </c>
      <c r="N2105" t="str">
        <f>TEXT(Pqp_supermarket_data[[#This Row],[DateTime]],"yyy")</f>
        <v>2023</v>
      </c>
    </row>
    <row r="2106" spans="1:14" x14ac:dyDescent="0.35">
      <c r="A2106" t="s">
        <v>4328</v>
      </c>
      <c r="B2106" s="1">
        <v>45010.730602384261</v>
      </c>
      <c r="C2106" t="s">
        <v>4329</v>
      </c>
      <c r="D2106" t="s">
        <v>77</v>
      </c>
      <c r="E2106" t="s">
        <v>148</v>
      </c>
      <c r="F2106">
        <v>5.5</v>
      </c>
      <c r="G2106">
        <v>7</v>
      </c>
      <c r="H2106" t="s">
        <v>14</v>
      </c>
      <c r="I2106" t="s">
        <v>15</v>
      </c>
      <c r="J2106" t="s">
        <v>163</v>
      </c>
      <c r="K2106">
        <f>Pqp_supermarket_data[[#This Row],[Unit_Price]]*Pqp_supermarket_data[[#This Row],[Quantity]]</f>
        <v>38.5</v>
      </c>
      <c r="L2106" t="str">
        <f>TEXT(Pqp_supermarket_data[[#This Row],[DateTime]],"ddd")</f>
        <v>Sat</v>
      </c>
      <c r="M2106" t="str">
        <f>TEXT(Pqp_supermarket_data[[#This Row],[DateTime]],"mmm")</f>
        <v>Mar</v>
      </c>
      <c r="N2106" t="str">
        <f>TEXT(Pqp_supermarket_data[[#This Row],[DateTime]],"yyy")</f>
        <v>2023</v>
      </c>
    </row>
    <row r="2107" spans="1:14" x14ac:dyDescent="0.35">
      <c r="A2107" t="s">
        <v>4330</v>
      </c>
      <c r="B2107" s="1">
        <v>45559.797269062503</v>
      </c>
      <c r="C2107" t="s">
        <v>4331</v>
      </c>
      <c r="D2107" t="s">
        <v>69</v>
      </c>
      <c r="E2107" t="s">
        <v>94</v>
      </c>
      <c r="F2107">
        <v>0.8</v>
      </c>
      <c r="G2107">
        <v>7</v>
      </c>
      <c r="H2107" t="s">
        <v>14</v>
      </c>
      <c r="I2107" t="s">
        <v>21</v>
      </c>
      <c r="J2107" t="s">
        <v>404</v>
      </c>
      <c r="K2107">
        <f>Pqp_supermarket_data[[#This Row],[Unit_Price]]*Pqp_supermarket_data[[#This Row],[Quantity]]</f>
        <v>5.6000000000000005</v>
      </c>
      <c r="L2107" t="str">
        <f>TEXT(Pqp_supermarket_data[[#This Row],[DateTime]],"ddd")</f>
        <v>Tue</v>
      </c>
      <c r="M2107" t="str">
        <f>TEXT(Pqp_supermarket_data[[#This Row],[DateTime]],"mmm")</f>
        <v>Sep</v>
      </c>
      <c r="N2107" t="str">
        <f>TEXT(Pqp_supermarket_data[[#This Row],[DateTime]],"yyy")</f>
        <v>2024</v>
      </c>
    </row>
    <row r="2108" spans="1:14" x14ac:dyDescent="0.35">
      <c r="A2108" t="s">
        <v>4332</v>
      </c>
      <c r="B2108" s="1">
        <v>45066.291713506944</v>
      </c>
      <c r="C2108" t="s">
        <v>4333</v>
      </c>
      <c r="D2108" t="s">
        <v>19</v>
      </c>
      <c r="E2108" t="s">
        <v>45</v>
      </c>
      <c r="F2108">
        <v>1</v>
      </c>
      <c r="G2108">
        <v>5</v>
      </c>
      <c r="H2108" t="s">
        <v>14</v>
      </c>
      <c r="I2108" t="s">
        <v>61</v>
      </c>
      <c r="J2108" t="s">
        <v>426</v>
      </c>
      <c r="K2108">
        <f>Pqp_supermarket_data[[#This Row],[Unit_Price]]*Pqp_supermarket_data[[#This Row],[Quantity]]</f>
        <v>5</v>
      </c>
      <c r="L2108" t="str">
        <f>TEXT(Pqp_supermarket_data[[#This Row],[DateTime]],"ddd")</f>
        <v>Sat</v>
      </c>
      <c r="M2108" t="str">
        <f>TEXT(Pqp_supermarket_data[[#This Row],[DateTime]],"mmm")</f>
        <v>May</v>
      </c>
      <c r="N2108" t="str">
        <f>TEXT(Pqp_supermarket_data[[#This Row],[DateTime]],"yyy")</f>
        <v>2023</v>
      </c>
    </row>
    <row r="2109" spans="1:14" x14ac:dyDescent="0.35">
      <c r="A2109" t="s">
        <v>4334</v>
      </c>
      <c r="B2109" s="1">
        <v>45042.722269062499</v>
      </c>
      <c r="C2109" t="s">
        <v>4335</v>
      </c>
      <c r="D2109" t="s">
        <v>30</v>
      </c>
      <c r="E2109" t="s">
        <v>39</v>
      </c>
      <c r="F2109">
        <v>3.2</v>
      </c>
      <c r="G2109">
        <v>9</v>
      </c>
      <c r="H2109" t="s">
        <v>14</v>
      </c>
      <c r="I2109" t="s">
        <v>21</v>
      </c>
      <c r="J2109" t="s">
        <v>183</v>
      </c>
      <c r="K2109">
        <f>Pqp_supermarket_data[[#This Row],[Unit_Price]]*Pqp_supermarket_data[[#This Row],[Quantity]]</f>
        <v>28.8</v>
      </c>
      <c r="L2109" t="str">
        <f>TEXT(Pqp_supermarket_data[[#This Row],[DateTime]],"ddd")</f>
        <v>Wed</v>
      </c>
      <c r="M2109" t="str">
        <f>TEXT(Pqp_supermarket_data[[#This Row],[DateTime]],"mmm")</f>
        <v>Apr</v>
      </c>
      <c r="N2109" t="str">
        <f>TEXT(Pqp_supermarket_data[[#This Row],[DateTime]],"yyy")</f>
        <v>2023</v>
      </c>
    </row>
    <row r="2110" spans="1:14" x14ac:dyDescent="0.35">
      <c r="A2110" t="s">
        <v>4336</v>
      </c>
      <c r="B2110" s="1">
        <v>44983.230602418982</v>
      </c>
      <c r="C2110" t="s">
        <v>4337</v>
      </c>
      <c r="D2110" t="s">
        <v>82</v>
      </c>
      <c r="E2110" t="s">
        <v>115</v>
      </c>
      <c r="F2110">
        <v>1.5</v>
      </c>
      <c r="G2110">
        <v>8</v>
      </c>
      <c r="H2110" t="s">
        <v>14</v>
      </c>
      <c r="I2110" t="s">
        <v>61</v>
      </c>
      <c r="J2110" t="s">
        <v>31</v>
      </c>
      <c r="K2110">
        <f>Pqp_supermarket_data[[#This Row],[Unit_Price]]*Pqp_supermarket_data[[#This Row],[Quantity]]</f>
        <v>12</v>
      </c>
      <c r="L2110" t="str">
        <f>TEXT(Pqp_supermarket_data[[#This Row],[DateTime]],"ddd")</f>
        <v>Sun</v>
      </c>
      <c r="M2110" t="str">
        <f>TEXT(Pqp_supermarket_data[[#This Row],[DateTime]],"mmm")</f>
        <v>Feb</v>
      </c>
      <c r="N2110" t="str">
        <f>TEXT(Pqp_supermarket_data[[#This Row],[DateTime]],"yyy")</f>
        <v>2023</v>
      </c>
    </row>
    <row r="2111" spans="1:14" x14ac:dyDescent="0.35">
      <c r="A2111" t="s">
        <v>4338</v>
      </c>
      <c r="B2111" s="1">
        <v>45465.334074641207</v>
      </c>
      <c r="C2111" t="s">
        <v>4339</v>
      </c>
      <c r="D2111" t="s">
        <v>127</v>
      </c>
      <c r="E2111" t="s">
        <v>35</v>
      </c>
      <c r="F2111">
        <v>1.2</v>
      </c>
      <c r="G2111">
        <v>9</v>
      </c>
      <c r="H2111" t="s">
        <v>14</v>
      </c>
      <c r="I2111" t="s">
        <v>61</v>
      </c>
      <c r="J2111" t="s">
        <v>302</v>
      </c>
      <c r="K2111">
        <f>Pqp_supermarket_data[[#This Row],[Unit_Price]]*Pqp_supermarket_data[[#This Row],[Quantity]]</f>
        <v>10.799999999999999</v>
      </c>
      <c r="L2111" t="str">
        <f>TEXT(Pqp_supermarket_data[[#This Row],[DateTime]],"ddd")</f>
        <v>Sat</v>
      </c>
      <c r="M2111" t="str">
        <f>TEXT(Pqp_supermarket_data[[#This Row],[DateTime]],"mmm")</f>
        <v>Jun</v>
      </c>
      <c r="N2111" t="str">
        <f>TEXT(Pqp_supermarket_data[[#This Row],[DateTime]],"yyy")</f>
        <v>2024</v>
      </c>
    </row>
    <row r="2112" spans="1:14" x14ac:dyDescent="0.35">
      <c r="A2112" t="s">
        <v>4340</v>
      </c>
      <c r="B2112" s="1">
        <v>44835.718796875</v>
      </c>
      <c r="C2112" t="s">
        <v>4341</v>
      </c>
      <c r="D2112" t="s">
        <v>30</v>
      </c>
      <c r="E2112" t="s">
        <v>148</v>
      </c>
      <c r="F2112">
        <v>5.5</v>
      </c>
      <c r="G2112">
        <v>7</v>
      </c>
      <c r="H2112" t="s">
        <v>14</v>
      </c>
      <c r="I2112" t="s">
        <v>21</v>
      </c>
      <c r="J2112" t="s">
        <v>189</v>
      </c>
      <c r="K2112">
        <f>Pqp_supermarket_data[[#This Row],[Unit_Price]]*Pqp_supermarket_data[[#This Row],[Quantity]]</f>
        <v>38.5</v>
      </c>
      <c r="L2112" t="str">
        <f>TEXT(Pqp_supermarket_data[[#This Row],[DateTime]],"ddd")</f>
        <v>Sat</v>
      </c>
      <c r="M2112" t="str">
        <f>TEXT(Pqp_supermarket_data[[#This Row],[DateTime]],"mmm")</f>
        <v>Oct</v>
      </c>
      <c r="N2112" t="str">
        <f>TEXT(Pqp_supermarket_data[[#This Row],[DateTime]],"yyy")</f>
        <v>2022</v>
      </c>
    </row>
    <row r="2113" spans="1:14" x14ac:dyDescent="0.35">
      <c r="A2113" t="s">
        <v>4342</v>
      </c>
      <c r="B2113" s="1">
        <v>44930.000046886576</v>
      </c>
      <c r="C2113" t="s">
        <v>4343</v>
      </c>
      <c r="D2113" t="s">
        <v>25</v>
      </c>
      <c r="E2113" t="s">
        <v>35</v>
      </c>
      <c r="F2113">
        <v>1.2</v>
      </c>
      <c r="G2113">
        <v>10</v>
      </c>
      <c r="H2113" t="s">
        <v>14</v>
      </c>
      <c r="I2113" t="s">
        <v>15</v>
      </c>
      <c r="J2113" t="s">
        <v>16</v>
      </c>
      <c r="K2113">
        <f>Pqp_supermarket_data[[#This Row],[Unit_Price]]*Pqp_supermarket_data[[#This Row],[Quantity]]</f>
        <v>12</v>
      </c>
      <c r="L2113" t="str">
        <f>TEXT(Pqp_supermarket_data[[#This Row],[DateTime]],"ddd")</f>
        <v>Wed</v>
      </c>
      <c r="M2113" t="str">
        <f>TEXT(Pqp_supermarket_data[[#This Row],[DateTime]],"mmm")</f>
        <v>Jan</v>
      </c>
      <c r="N2113" t="str">
        <f>TEXT(Pqp_supermarket_data[[#This Row],[DateTime]],"yyy")</f>
        <v>2023</v>
      </c>
    </row>
    <row r="2114" spans="1:14" x14ac:dyDescent="0.35">
      <c r="A2114" t="s">
        <v>4344</v>
      </c>
      <c r="B2114" s="1">
        <v>44537.745880219911</v>
      </c>
      <c r="C2114" t="s">
        <v>4345</v>
      </c>
      <c r="D2114" t="s">
        <v>77</v>
      </c>
      <c r="E2114" t="s">
        <v>45</v>
      </c>
      <c r="F2114">
        <v>1</v>
      </c>
      <c r="G2114">
        <v>10</v>
      </c>
      <c r="H2114" t="s">
        <v>14</v>
      </c>
      <c r="I2114" t="s">
        <v>36</v>
      </c>
      <c r="J2114" t="s">
        <v>404</v>
      </c>
      <c r="K2114">
        <f>Pqp_supermarket_data[[#This Row],[Unit_Price]]*Pqp_supermarket_data[[#This Row],[Quantity]]</f>
        <v>10</v>
      </c>
      <c r="L2114" t="str">
        <f>TEXT(Pqp_supermarket_data[[#This Row],[DateTime]],"ddd")</f>
        <v>Tue</v>
      </c>
      <c r="M2114" t="str">
        <f>TEXT(Pqp_supermarket_data[[#This Row],[DateTime]],"mmm")</f>
        <v>Dec</v>
      </c>
      <c r="N2114" t="str">
        <f>TEXT(Pqp_supermarket_data[[#This Row],[DateTime]],"yyy")</f>
        <v>2021</v>
      </c>
    </row>
    <row r="2115" spans="1:14" x14ac:dyDescent="0.35">
      <c r="A2115" t="s">
        <v>4346</v>
      </c>
      <c r="B2115" s="1">
        <v>45740.116019120367</v>
      </c>
      <c r="C2115" t="s">
        <v>4347</v>
      </c>
      <c r="D2115" t="s">
        <v>25</v>
      </c>
      <c r="E2115" t="s">
        <v>94</v>
      </c>
      <c r="F2115">
        <v>0.8</v>
      </c>
      <c r="G2115">
        <v>10</v>
      </c>
      <c r="H2115" t="s">
        <v>14</v>
      </c>
      <c r="I2115" t="s">
        <v>36</v>
      </c>
      <c r="J2115" t="s">
        <v>122</v>
      </c>
      <c r="K2115">
        <f>Pqp_supermarket_data[[#This Row],[Unit_Price]]*Pqp_supermarket_data[[#This Row],[Quantity]]</f>
        <v>8</v>
      </c>
      <c r="L2115" t="str">
        <f>TEXT(Pqp_supermarket_data[[#This Row],[DateTime]],"ddd")</f>
        <v>Mon</v>
      </c>
      <c r="M2115" t="str">
        <f>TEXT(Pqp_supermarket_data[[#This Row],[DateTime]],"mmm")</f>
        <v>Mar</v>
      </c>
      <c r="N2115" t="str">
        <f>TEXT(Pqp_supermarket_data[[#This Row],[DateTime]],"yyy")</f>
        <v>2025</v>
      </c>
    </row>
    <row r="2116" spans="1:14" x14ac:dyDescent="0.35">
      <c r="A2116" t="s">
        <v>4348</v>
      </c>
      <c r="B2116" s="1">
        <v>44385.460463564814</v>
      </c>
      <c r="C2116" t="s">
        <v>4349</v>
      </c>
      <c r="D2116" t="s">
        <v>208</v>
      </c>
      <c r="E2116" t="s">
        <v>45</v>
      </c>
      <c r="F2116">
        <v>1</v>
      </c>
      <c r="G2116">
        <v>7</v>
      </c>
      <c r="H2116" t="s">
        <v>14</v>
      </c>
      <c r="I2116" t="s">
        <v>21</v>
      </c>
      <c r="J2116" t="s">
        <v>138</v>
      </c>
      <c r="K2116">
        <f>Pqp_supermarket_data[[#This Row],[Unit_Price]]*Pqp_supermarket_data[[#This Row],[Quantity]]</f>
        <v>7</v>
      </c>
      <c r="L2116" t="str">
        <f>TEXT(Pqp_supermarket_data[[#This Row],[DateTime]],"ddd")</f>
        <v>Thu</v>
      </c>
      <c r="M2116" t="str">
        <f>TEXT(Pqp_supermarket_data[[#This Row],[DateTime]],"mmm")</f>
        <v>Jul</v>
      </c>
      <c r="N2116" t="str">
        <f>TEXT(Pqp_supermarket_data[[#This Row],[DateTime]],"yyy")</f>
        <v>2021</v>
      </c>
    </row>
    <row r="2117" spans="1:14" x14ac:dyDescent="0.35">
      <c r="A2117" t="s">
        <v>4350</v>
      </c>
      <c r="B2117" s="1">
        <v>45391.331296909724</v>
      </c>
      <c r="C2117" t="s">
        <v>4351</v>
      </c>
      <c r="D2117" t="s">
        <v>44</v>
      </c>
      <c r="E2117" t="s">
        <v>26</v>
      </c>
      <c r="F2117">
        <v>2.5</v>
      </c>
      <c r="G2117">
        <v>3</v>
      </c>
      <c r="H2117" t="s">
        <v>14</v>
      </c>
      <c r="I2117" t="s">
        <v>86</v>
      </c>
      <c r="J2117" t="s">
        <v>541</v>
      </c>
      <c r="K2117">
        <f>Pqp_supermarket_data[[#This Row],[Unit_Price]]*Pqp_supermarket_data[[#This Row],[Quantity]]</f>
        <v>7.5</v>
      </c>
      <c r="L2117" t="str">
        <f>TEXT(Pqp_supermarket_data[[#This Row],[DateTime]],"ddd")</f>
        <v>Tue</v>
      </c>
      <c r="M2117" t="str">
        <f>TEXT(Pqp_supermarket_data[[#This Row],[DateTime]],"mmm")</f>
        <v>Apr</v>
      </c>
      <c r="N2117" t="str">
        <f>TEXT(Pqp_supermarket_data[[#This Row],[DateTime]],"yyy")</f>
        <v>2024</v>
      </c>
    </row>
    <row r="2118" spans="1:14" x14ac:dyDescent="0.35">
      <c r="A2118" t="s">
        <v>4352</v>
      </c>
      <c r="B2118" s="1">
        <v>45377.137546909726</v>
      </c>
      <c r="C2118" t="s">
        <v>4353</v>
      </c>
      <c r="D2118" t="s">
        <v>127</v>
      </c>
      <c r="E2118" t="s">
        <v>65</v>
      </c>
      <c r="F2118">
        <v>3</v>
      </c>
      <c r="G2118">
        <v>1</v>
      </c>
      <c r="H2118" t="s">
        <v>14</v>
      </c>
      <c r="I2118" t="s">
        <v>15</v>
      </c>
      <c r="J2118" t="s">
        <v>317</v>
      </c>
      <c r="K2118">
        <f>Pqp_supermarket_data[[#This Row],[Unit_Price]]*Pqp_supermarket_data[[#This Row],[Quantity]]</f>
        <v>3</v>
      </c>
      <c r="L2118" t="str">
        <f>TEXT(Pqp_supermarket_data[[#This Row],[DateTime]],"ddd")</f>
        <v>Tue</v>
      </c>
      <c r="M2118" t="str">
        <f>TEXT(Pqp_supermarket_data[[#This Row],[DateTime]],"mmm")</f>
        <v>Mar</v>
      </c>
      <c r="N2118" t="str">
        <f>TEXT(Pqp_supermarket_data[[#This Row],[DateTime]],"yyy")</f>
        <v>2024</v>
      </c>
    </row>
    <row r="2119" spans="1:14" x14ac:dyDescent="0.35">
      <c r="A2119" t="s">
        <v>4354</v>
      </c>
      <c r="B2119" s="1">
        <v>44841.966019143518</v>
      </c>
      <c r="C2119" t="s">
        <v>4355</v>
      </c>
      <c r="D2119" t="s">
        <v>30</v>
      </c>
      <c r="E2119" t="s">
        <v>45</v>
      </c>
      <c r="F2119">
        <v>1</v>
      </c>
      <c r="G2119">
        <v>8</v>
      </c>
      <c r="H2119" t="s">
        <v>14</v>
      </c>
      <c r="I2119" t="s">
        <v>15</v>
      </c>
      <c r="J2119" t="s">
        <v>218</v>
      </c>
      <c r="K2119">
        <f>Pqp_supermarket_data[[#This Row],[Unit_Price]]*Pqp_supermarket_data[[#This Row],[Quantity]]</f>
        <v>8</v>
      </c>
      <c r="L2119" t="str">
        <f>TEXT(Pqp_supermarket_data[[#This Row],[DateTime]],"ddd")</f>
        <v>Fri</v>
      </c>
      <c r="M2119" t="str">
        <f>TEXT(Pqp_supermarket_data[[#This Row],[DateTime]],"mmm")</f>
        <v>Oct</v>
      </c>
      <c r="N2119" t="str">
        <f>TEXT(Pqp_supermarket_data[[#This Row],[DateTime]],"yyy")</f>
        <v>2022</v>
      </c>
    </row>
    <row r="2120" spans="1:14" x14ac:dyDescent="0.35">
      <c r="A2120" t="s">
        <v>4356</v>
      </c>
      <c r="B2120" s="1">
        <v>44841.864630266202</v>
      </c>
      <c r="C2120" t="s">
        <v>4357</v>
      </c>
      <c r="D2120" t="s">
        <v>77</v>
      </c>
      <c r="E2120" t="s">
        <v>45</v>
      </c>
      <c r="F2120">
        <v>1</v>
      </c>
      <c r="G2120">
        <v>6</v>
      </c>
      <c r="H2120" t="s">
        <v>14</v>
      </c>
      <c r="I2120" t="s">
        <v>15</v>
      </c>
      <c r="J2120" t="s">
        <v>623</v>
      </c>
      <c r="K2120">
        <f>Pqp_supermarket_data[[#This Row],[Unit_Price]]*Pqp_supermarket_data[[#This Row],[Quantity]]</f>
        <v>6</v>
      </c>
      <c r="L2120" t="str">
        <f>TEXT(Pqp_supermarket_data[[#This Row],[DateTime]],"ddd")</f>
        <v>Fri</v>
      </c>
      <c r="M2120" t="str">
        <f>TEXT(Pqp_supermarket_data[[#This Row],[DateTime]],"mmm")</f>
        <v>Oct</v>
      </c>
      <c r="N2120" t="str">
        <f>TEXT(Pqp_supermarket_data[[#This Row],[DateTime]],"yyy")</f>
        <v>2022</v>
      </c>
    </row>
    <row r="2121" spans="1:14" x14ac:dyDescent="0.35">
      <c r="A2121" t="s">
        <v>4358</v>
      </c>
      <c r="B2121" s="1">
        <v>44839.598658043979</v>
      </c>
      <c r="C2121" t="s">
        <v>4359</v>
      </c>
      <c r="D2121" t="s">
        <v>208</v>
      </c>
      <c r="E2121" t="s">
        <v>137</v>
      </c>
      <c r="F2121">
        <v>2.5</v>
      </c>
      <c r="G2121">
        <v>7</v>
      </c>
      <c r="H2121" t="s">
        <v>14</v>
      </c>
      <c r="I2121" t="s">
        <v>21</v>
      </c>
      <c r="J2121" t="s">
        <v>122</v>
      </c>
      <c r="K2121">
        <f>Pqp_supermarket_data[[#This Row],[Unit_Price]]*Pqp_supermarket_data[[#This Row],[Quantity]]</f>
        <v>17.5</v>
      </c>
      <c r="L2121" t="str">
        <f>TEXT(Pqp_supermarket_data[[#This Row],[DateTime]],"ddd")</f>
        <v>Wed</v>
      </c>
      <c r="M2121" t="str">
        <f>TEXT(Pqp_supermarket_data[[#This Row],[DateTime]],"mmm")</f>
        <v>Oct</v>
      </c>
      <c r="N2121" t="str">
        <f>TEXT(Pqp_supermarket_data[[#This Row],[DateTime]],"yyy")</f>
        <v>2022</v>
      </c>
    </row>
    <row r="2122" spans="1:14" x14ac:dyDescent="0.35">
      <c r="A2122" t="s">
        <v>4360</v>
      </c>
      <c r="B2122" s="1">
        <v>44997.441713611108</v>
      </c>
      <c r="C2122" t="s">
        <v>4361</v>
      </c>
      <c r="D2122" t="s">
        <v>82</v>
      </c>
      <c r="E2122" t="s">
        <v>13</v>
      </c>
      <c r="F2122">
        <v>3.1</v>
      </c>
      <c r="G2122">
        <v>9</v>
      </c>
      <c r="H2122" t="s">
        <v>14</v>
      </c>
      <c r="I2122" t="s">
        <v>40</v>
      </c>
      <c r="J2122" t="s">
        <v>541</v>
      </c>
      <c r="K2122">
        <f>Pqp_supermarket_data[[#This Row],[Unit_Price]]*Pqp_supermarket_data[[#This Row],[Quantity]]</f>
        <v>27.900000000000002</v>
      </c>
      <c r="L2122" t="str">
        <f>TEXT(Pqp_supermarket_data[[#This Row],[DateTime]],"ddd")</f>
        <v>Sun</v>
      </c>
      <c r="M2122" t="str">
        <f>TEXT(Pqp_supermarket_data[[#This Row],[DateTime]],"mmm")</f>
        <v>Mar</v>
      </c>
      <c r="N2122" t="str">
        <f>TEXT(Pqp_supermarket_data[[#This Row],[DateTime]],"yyy")</f>
        <v>2023</v>
      </c>
    </row>
    <row r="2123" spans="1:14" x14ac:dyDescent="0.35">
      <c r="A2123" t="s">
        <v>4362</v>
      </c>
      <c r="B2123" s="1">
        <v>44542.702824733795</v>
      </c>
      <c r="C2123" t="s">
        <v>4363</v>
      </c>
      <c r="D2123" t="s">
        <v>12</v>
      </c>
      <c r="E2123" t="s">
        <v>35</v>
      </c>
      <c r="F2123">
        <v>1.2</v>
      </c>
      <c r="G2123">
        <v>8</v>
      </c>
      <c r="H2123" t="s">
        <v>14</v>
      </c>
      <c r="I2123" t="s">
        <v>86</v>
      </c>
      <c r="J2123" t="s">
        <v>105</v>
      </c>
      <c r="K2123">
        <f>Pqp_supermarket_data[[#This Row],[Unit_Price]]*Pqp_supermarket_data[[#This Row],[Quantity]]</f>
        <v>9.6</v>
      </c>
      <c r="L2123" t="str">
        <f>TEXT(Pqp_supermarket_data[[#This Row],[DateTime]],"ddd")</f>
        <v>Sun</v>
      </c>
      <c r="M2123" t="str">
        <f>TEXT(Pqp_supermarket_data[[#This Row],[DateTime]],"mmm")</f>
        <v>Dec</v>
      </c>
      <c r="N2123" t="str">
        <f>TEXT(Pqp_supermarket_data[[#This Row],[DateTime]],"yyy")</f>
        <v>2021</v>
      </c>
    </row>
    <row r="2124" spans="1:14" x14ac:dyDescent="0.35">
      <c r="A2124" t="s">
        <v>4364</v>
      </c>
      <c r="B2124" s="1">
        <v>45664.149352511573</v>
      </c>
      <c r="C2124" t="s">
        <v>4365</v>
      </c>
      <c r="D2124" t="s">
        <v>82</v>
      </c>
      <c r="E2124" t="s">
        <v>137</v>
      </c>
      <c r="F2124">
        <v>2.5</v>
      </c>
      <c r="G2124">
        <v>6</v>
      </c>
      <c r="H2124" t="s">
        <v>14</v>
      </c>
      <c r="I2124" t="s">
        <v>86</v>
      </c>
      <c r="J2124" t="s">
        <v>541</v>
      </c>
      <c r="K2124">
        <f>Pqp_supermarket_data[[#This Row],[Unit_Price]]*Pqp_supermarket_data[[#This Row],[Quantity]]</f>
        <v>15</v>
      </c>
      <c r="L2124" t="str">
        <f>TEXT(Pqp_supermarket_data[[#This Row],[DateTime]],"ddd")</f>
        <v>Tue</v>
      </c>
      <c r="M2124" t="str">
        <f>TEXT(Pqp_supermarket_data[[#This Row],[DateTime]],"mmm")</f>
        <v>Jan</v>
      </c>
      <c r="N2124" t="str">
        <f>TEXT(Pqp_supermarket_data[[#This Row],[DateTime]],"yyy")</f>
        <v>2025</v>
      </c>
    </row>
    <row r="2125" spans="1:14" x14ac:dyDescent="0.35">
      <c r="A2125" t="s">
        <v>4366</v>
      </c>
      <c r="B2125" s="1">
        <v>44738.697963634258</v>
      </c>
      <c r="C2125" t="s">
        <v>4367</v>
      </c>
      <c r="D2125" t="s">
        <v>98</v>
      </c>
      <c r="E2125" t="s">
        <v>145</v>
      </c>
      <c r="F2125">
        <v>1.7</v>
      </c>
      <c r="G2125">
        <v>2</v>
      </c>
      <c r="H2125" t="s">
        <v>14</v>
      </c>
      <c r="I2125" t="s">
        <v>40</v>
      </c>
      <c r="J2125" t="s">
        <v>209</v>
      </c>
      <c r="K2125">
        <f>Pqp_supermarket_data[[#This Row],[Unit_Price]]*Pqp_supermarket_data[[#This Row],[Quantity]]</f>
        <v>3.4</v>
      </c>
      <c r="L2125" t="str">
        <f>TEXT(Pqp_supermarket_data[[#This Row],[DateTime]],"ddd")</f>
        <v>Sun</v>
      </c>
      <c r="M2125" t="str">
        <f>TEXT(Pqp_supermarket_data[[#This Row],[DateTime]],"mmm")</f>
        <v>Jun</v>
      </c>
      <c r="N2125" t="str">
        <f>TEXT(Pqp_supermarket_data[[#This Row],[DateTime]],"yyy")</f>
        <v>2022</v>
      </c>
    </row>
    <row r="2126" spans="1:14" x14ac:dyDescent="0.35">
      <c r="A2126" t="s">
        <v>4368</v>
      </c>
      <c r="B2126" s="1">
        <v>45248.776435856482</v>
      </c>
      <c r="C2126" t="s">
        <v>4369</v>
      </c>
      <c r="D2126" t="s">
        <v>226</v>
      </c>
      <c r="E2126" t="s">
        <v>148</v>
      </c>
      <c r="F2126">
        <v>5.5</v>
      </c>
      <c r="G2126">
        <v>3</v>
      </c>
      <c r="H2126" t="s">
        <v>14</v>
      </c>
      <c r="I2126" t="s">
        <v>61</v>
      </c>
      <c r="J2126" t="s">
        <v>404</v>
      </c>
      <c r="K2126">
        <f>Pqp_supermarket_data[[#This Row],[Unit_Price]]*Pqp_supermarket_data[[#This Row],[Quantity]]</f>
        <v>16.5</v>
      </c>
      <c r="L2126" t="str">
        <f>TEXT(Pqp_supermarket_data[[#This Row],[DateTime]],"ddd")</f>
        <v>Sat</v>
      </c>
      <c r="M2126" t="str">
        <f>TEXT(Pqp_supermarket_data[[#This Row],[DateTime]],"mmm")</f>
        <v>Nov</v>
      </c>
      <c r="N2126" t="str">
        <f>TEXT(Pqp_supermarket_data[[#This Row],[DateTime]],"yyy")</f>
        <v>2023</v>
      </c>
    </row>
    <row r="2127" spans="1:14" x14ac:dyDescent="0.35">
      <c r="A2127" t="s">
        <v>4370</v>
      </c>
      <c r="B2127" s="1">
        <v>44442.136852534721</v>
      </c>
      <c r="C2127" t="s">
        <v>4371</v>
      </c>
      <c r="D2127" t="s">
        <v>19</v>
      </c>
      <c r="E2127" t="s">
        <v>26</v>
      </c>
      <c r="F2127">
        <v>2.5</v>
      </c>
      <c r="G2127">
        <v>8</v>
      </c>
      <c r="H2127" t="s">
        <v>14</v>
      </c>
      <c r="I2127" t="s">
        <v>15</v>
      </c>
      <c r="J2127" t="s">
        <v>924</v>
      </c>
      <c r="K2127">
        <f>Pqp_supermarket_data[[#This Row],[Unit_Price]]*Pqp_supermarket_data[[#This Row],[Quantity]]</f>
        <v>20</v>
      </c>
      <c r="L2127" t="str">
        <f>TEXT(Pqp_supermarket_data[[#This Row],[DateTime]],"ddd")</f>
        <v>Fri</v>
      </c>
      <c r="M2127" t="str">
        <f>TEXT(Pqp_supermarket_data[[#This Row],[DateTime]],"mmm")</f>
        <v>Sep</v>
      </c>
      <c r="N2127" t="str">
        <f>TEXT(Pqp_supermarket_data[[#This Row],[DateTime]],"yyy")</f>
        <v>2021</v>
      </c>
    </row>
    <row r="2128" spans="1:14" x14ac:dyDescent="0.35">
      <c r="A2128" t="s">
        <v>4372</v>
      </c>
      <c r="B2128" s="1">
        <v>45588.114630312499</v>
      </c>
      <c r="C2128" t="s">
        <v>4373</v>
      </c>
      <c r="D2128" t="s">
        <v>12</v>
      </c>
      <c r="E2128" t="s">
        <v>65</v>
      </c>
      <c r="F2128">
        <v>3</v>
      </c>
      <c r="G2128">
        <v>8</v>
      </c>
      <c r="H2128" t="s">
        <v>14</v>
      </c>
      <c r="I2128" t="s">
        <v>36</v>
      </c>
      <c r="J2128" t="s">
        <v>723</v>
      </c>
      <c r="K2128">
        <f>Pqp_supermarket_data[[#This Row],[Unit_Price]]*Pqp_supermarket_data[[#This Row],[Quantity]]</f>
        <v>24</v>
      </c>
      <c r="L2128" t="str">
        <f>TEXT(Pqp_supermarket_data[[#This Row],[DateTime]],"ddd")</f>
        <v>Wed</v>
      </c>
      <c r="M2128" t="str">
        <f>TEXT(Pqp_supermarket_data[[#This Row],[DateTime]],"mmm")</f>
        <v>Oct</v>
      </c>
      <c r="N2128" t="str">
        <f>TEXT(Pqp_supermarket_data[[#This Row],[DateTime]],"yyy")</f>
        <v>2024</v>
      </c>
    </row>
    <row r="2129" spans="1:14" x14ac:dyDescent="0.35">
      <c r="A2129" t="s">
        <v>4374</v>
      </c>
      <c r="B2129" s="1">
        <v>45285.211852546294</v>
      </c>
      <c r="C2129" t="s">
        <v>4375</v>
      </c>
      <c r="D2129" t="s">
        <v>127</v>
      </c>
      <c r="E2129" t="s">
        <v>70</v>
      </c>
      <c r="F2129">
        <v>5</v>
      </c>
      <c r="G2129">
        <v>6</v>
      </c>
      <c r="H2129" t="s">
        <v>14</v>
      </c>
      <c r="I2129" t="s">
        <v>86</v>
      </c>
      <c r="J2129" t="s">
        <v>160</v>
      </c>
      <c r="K2129">
        <f>Pqp_supermarket_data[[#This Row],[Unit_Price]]*Pqp_supermarket_data[[#This Row],[Quantity]]</f>
        <v>30</v>
      </c>
      <c r="L2129" t="str">
        <f>TEXT(Pqp_supermarket_data[[#This Row],[DateTime]],"ddd")</f>
        <v>Mon</v>
      </c>
      <c r="M2129" t="str">
        <f>TEXT(Pqp_supermarket_data[[#This Row],[DateTime]],"mmm")</f>
        <v>Dec</v>
      </c>
      <c r="N2129" t="str">
        <f>TEXT(Pqp_supermarket_data[[#This Row],[DateTime]],"yyy")</f>
        <v>2023</v>
      </c>
    </row>
    <row r="2130" spans="1:14" x14ac:dyDescent="0.35">
      <c r="A2130" t="s">
        <v>4376</v>
      </c>
      <c r="B2130" s="1">
        <v>45257.797963668978</v>
      </c>
      <c r="C2130" t="s">
        <v>4377</v>
      </c>
      <c r="D2130" t="s">
        <v>171</v>
      </c>
      <c r="E2130" t="s">
        <v>137</v>
      </c>
      <c r="F2130">
        <v>2.5</v>
      </c>
      <c r="G2130">
        <v>3</v>
      </c>
      <c r="H2130" t="s">
        <v>14</v>
      </c>
      <c r="I2130" t="s">
        <v>15</v>
      </c>
      <c r="J2130" t="s">
        <v>128</v>
      </c>
      <c r="K2130">
        <f>Pqp_supermarket_data[[#This Row],[Unit_Price]]*Pqp_supermarket_data[[#This Row],[Quantity]]</f>
        <v>7.5</v>
      </c>
      <c r="L2130" t="str">
        <f>TEXT(Pqp_supermarket_data[[#This Row],[DateTime]],"ddd")</f>
        <v>Mon</v>
      </c>
      <c r="M2130" t="str">
        <f>TEXT(Pqp_supermarket_data[[#This Row],[DateTime]],"mmm")</f>
        <v>Nov</v>
      </c>
      <c r="N2130" t="str">
        <f>TEXT(Pqp_supermarket_data[[#This Row],[DateTime]],"yyy")</f>
        <v>2023</v>
      </c>
    </row>
    <row r="2131" spans="1:14" x14ac:dyDescent="0.35">
      <c r="A2131" t="s">
        <v>4378</v>
      </c>
      <c r="B2131" s="1">
        <v>45196.550047002318</v>
      </c>
      <c r="C2131" t="s">
        <v>4379</v>
      </c>
      <c r="D2131" t="s">
        <v>19</v>
      </c>
      <c r="E2131" t="s">
        <v>53</v>
      </c>
      <c r="F2131">
        <v>2.8</v>
      </c>
      <c r="G2131">
        <v>10</v>
      </c>
      <c r="H2131" t="s">
        <v>14</v>
      </c>
      <c r="I2131" t="s">
        <v>61</v>
      </c>
      <c r="J2131" t="s">
        <v>541</v>
      </c>
      <c r="K2131">
        <f>Pqp_supermarket_data[[#This Row],[Unit_Price]]*Pqp_supermarket_data[[#This Row],[Quantity]]</f>
        <v>28</v>
      </c>
      <c r="L2131" t="str">
        <f>TEXT(Pqp_supermarket_data[[#This Row],[DateTime]],"ddd")</f>
        <v>Wed</v>
      </c>
      <c r="M2131" t="str">
        <f>TEXT(Pqp_supermarket_data[[#This Row],[DateTime]],"mmm")</f>
        <v>Sep</v>
      </c>
      <c r="N2131" t="str">
        <f>TEXT(Pqp_supermarket_data[[#This Row],[DateTime]],"yyy")</f>
        <v>2023</v>
      </c>
    </row>
    <row r="2132" spans="1:14" x14ac:dyDescent="0.35">
      <c r="A2132" t="s">
        <v>4380</v>
      </c>
      <c r="B2132" s="1">
        <v>45190.153519236112</v>
      </c>
      <c r="C2132" t="s">
        <v>4381</v>
      </c>
      <c r="D2132" t="s">
        <v>69</v>
      </c>
      <c r="E2132" t="s">
        <v>119</v>
      </c>
      <c r="F2132">
        <v>4</v>
      </c>
      <c r="G2132">
        <v>5</v>
      </c>
      <c r="H2132" t="s">
        <v>14</v>
      </c>
      <c r="I2132" t="s">
        <v>86</v>
      </c>
      <c r="J2132" t="s">
        <v>541</v>
      </c>
      <c r="K2132">
        <f>Pqp_supermarket_data[[#This Row],[Unit_Price]]*Pqp_supermarket_data[[#This Row],[Quantity]]</f>
        <v>20</v>
      </c>
      <c r="L2132" t="str">
        <f>TEXT(Pqp_supermarket_data[[#This Row],[DateTime]],"ddd")</f>
        <v>Thu</v>
      </c>
      <c r="M2132" t="str">
        <f>TEXT(Pqp_supermarket_data[[#This Row],[DateTime]],"mmm")</f>
        <v>Sep</v>
      </c>
      <c r="N2132" t="str">
        <f>TEXT(Pqp_supermarket_data[[#This Row],[DateTime]],"yyy")</f>
        <v>2023</v>
      </c>
    </row>
    <row r="2133" spans="1:14" x14ac:dyDescent="0.35">
      <c r="A2133" t="s">
        <v>4382</v>
      </c>
      <c r="B2133" s="1">
        <v>44885.672269236115</v>
      </c>
      <c r="C2133" t="s">
        <v>620</v>
      </c>
      <c r="D2133" t="s">
        <v>69</v>
      </c>
      <c r="E2133" t="s">
        <v>111</v>
      </c>
      <c r="F2133">
        <v>2.2000000000000002</v>
      </c>
      <c r="G2133">
        <v>3</v>
      </c>
      <c r="H2133" t="s">
        <v>14</v>
      </c>
      <c r="I2133" t="s">
        <v>21</v>
      </c>
      <c r="J2133" t="s">
        <v>50</v>
      </c>
      <c r="K2133">
        <f>Pqp_supermarket_data[[#This Row],[Unit_Price]]*Pqp_supermarket_data[[#This Row],[Quantity]]</f>
        <v>6.6000000000000005</v>
      </c>
      <c r="L2133" t="str">
        <f>TEXT(Pqp_supermarket_data[[#This Row],[DateTime]],"ddd")</f>
        <v>Sun</v>
      </c>
      <c r="M2133" t="str">
        <f>TEXT(Pqp_supermarket_data[[#This Row],[DateTime]],"mmm")</f>
        <v>Nov</v>
      </c>
      <c r="N2133" t="str">
        <f>TEXT(Pqp_supermarket_data[[#This Row],[DateTime]],"yyy")</f>
        <v>2022</v>
      </c>
    </row>
    <row r="2134" spans="1:14" x14ac:dyDescent="0.35">
      <c r="A2134" t="s">
        <v>4383</v>
      </c>
      <c r="B2134" s="1">
        <v>45000.198658136571</v>
      </c>
      <c r="C2134" t="s">
        <v>4384</v>
      </c>
      <c r="D2134" t="s">
        <v>25</v>
      </c>
      <c r="E2134" t="s">
        <v>35</v>
      </c>
      <c r="F2134">
        <v>1.2</v>
      </c>
      <c r="G2134">
        <v>4</v>
      </c>
      <c r="H2134" t="s">
        <v>14</v>
      </c>
      <c r="I2134" t="s">
        <v>21</v>
      </c>
      <c r="J2134" t="s">
        <v>108</v>
      </c>
      <c r="K2134">
        <f>Pqp_supermarket_data[[#This Row],[Unit_Price]]*Pqp_supermarket_data[[#This Row],[Quantity]]</f>
        <v>4.8</v>
      </c>
      <c r="L2134" t="str">
        <f>TEXT(Pqp_supermarket_data[[#This Row],[DateTime]],"ddd")</f>
        <v>Wed</v>
      </c>
      <c r="M2134" t="str">
        <f>TEXT(Pqp_supermarket_data[[#This Row],[DateTime]],"mmm")</f>
        <v>Mar</v>
      </c>
      <c r="N2134" t="str">
        <f>TEXT(Pqp_supermarket_data[[#This Row],[DateTime]],"yyy")</f>
        <v>2023</v>
      </c>
    </row>
    <row r="2135" spans="1:14" x14ac:dyDescent="0.35">
      <c r="A2135" t="s">
        <v>4385</v>
      </c>
      <c r="B2135" s="1">
        <v>45482.809769259256</v>
      </c>
      <c r="C2135" t="s">
        <v>4386</v>
      </c>
      <c r="D2135" t="s">
        <v>127</v>
      </c>
      <c r="E2135" t="s">
        <v>53</v>
      </c>
      <c r="F2135">
        <v>2.8</v>
      </c>
      <c r="G2135">
        <v>9</v>
      </c>
      <c r="H2135" t="s">
        <v>14</v>
      </c>
      <c r="I2135" t="s">
        <v>36</v>
      </c>
      <c r="J2135" t="s">
        <v>128</v>
      </c>
      <c r="K2135">
        <f>Pqp_supermarket_data[[#This Row],[Unit_Price]]*Pqp_supermarket_data[[#This Row],[Quantity]]</f>
        <v>25.2</v>
      </c>
      <c r="L2135" t="str">
        <f>TEXT(Pqp_supermarket_data[[#This Row],[DateTime]],"ddd")</f>
        <v>Tue</v>
      </c>
      <c r="M2135" t="str">
        <f>TEXT(Pqp_supermarket_data[[#This Row],[DateTime]],"mmm")</f>
        <v>Jul</v>
      </c>
      <c r="N2135" t="str">
        <f>TEXT(Pqp_supermarket_data[[#This Row],[DateTime]],"yyy")</f>
        <v>2024</v>
      </c>
    </row>
    <row r="2136" spans="1:14" x14ac:dyDescent="0.35">
      <c r="A2136" t="s">
        <v>4387</v>
      </c>
      <c r="B2136" s="1">
        <v>44954.907685925929</v>
      </c>
      <c r="C2136" t="s">
        <v>4388</v>
      </c>
      <c r="D2136" t="s">
        <v>19</v>
      </c>
      <c r="E2136" t="s">
        <v>94</v>
      </c>
      <c r="F2136">
        <v>0.8</v>
      </c>
      <c r="G2136">
        <v>6</v>
      </c>
      <c r="H2136" t="s">
        <v>14</v>
      </c>
      <c r="I2136" t="s">
        <v>36</v>
      </c>
      <c r="J2136" t="s">
        <v>744</v>
      </c>
      <c r="K2136">
        <f>Pqp_supermarket_data[[#This Row],[Unit_Price]]*Pqp_supermarket_data[[#This Row],[Quantity]]</f>
        <v>4.8000000000000007</v>
      </c>
      <c r="L2136" t="str">
        <f>TEXT(Pqp_supermarket_data[[#This Row],[DateTime]],"ddd")</f>
        <v>Sat</v>
      </c>
      <c r="M2136" t="str">
        <f>TEXT(Pqp_supermarket_data[[#This Row],[DateTime]],"mmm")</f>
        <v>Jan</v>
      </c>
      <c r="N2136" t="str">
        <f>TEXT(Pqp_supermarket_data[[#This Row],[DateTime]],"yyy")</f>
        <v>2023</v>
      </c>
    </row>
    <row r="2137" spans="1:14" x14ac:dyDescent="0.35">
      <c r="A2137" t="s">
        <v>4389</v>
      </c>
      <c r="B2137" s="1">
        <v>44583.879213715278</v>
      </c>
      <c r="C2137" t="s">
        <v>4390</v>
      </c>
      <c r="D2137" t="s">
        <v>85</v>
      </c>
      <c r="E2137" t="s">
        <v>53</v>
      </c>
      <c r="F2137">
        <v>2.8</v>
      </c>
      <c r="G2137">
        <v>7</v>
      </c>
      <c r="H2137" t="s">
        <v>14</v>
      </c>
      <c r="I2137" t="s">
        <v>86</v>
      </c>
      <c r="J2137" t="s">
        <v>230</v>
      </c>
      <c r="K2137">
        <f>Pqp_supermarket_data[[#This Row],[Unit_Price]]*Pqp_supermarket_data[[#This Row],[Quantity]]</f>
        <v>19.599999999999998</v>
      </c>
      <c r="L2137" t="str">
        <f>TEXT(Pqp_supermarket_data[[#This Row],[DateTime]],"ddd")</f>
        <v>Sat</v>
      </c>
      <c r="M2137" t="str">
        <f>TEXT(Pqp_supermarket_data[[#This Row],[DateTime]],"mmm")</f>
        <v>Jan</v>
      </c>
      <c r="N2137" t="str">
        <f>TEXT(Pqp_supermarket_data[[#This Row],[DateTime]],"yyy")</f>
        <v>2022</v>
      </c>
    </row>
    <row r="2138" spans="1:14" x14ac:dyDescent="0.35">
      <c r="A2138" t="s">
        <v>4391</v>
      </c>
      <c r="B2138" s="1">
        <v>45439.872269282409</v>
      </c>
      <c r="C2138" t="s">
        <v>4392</v>
      </c>
      <c r="D2138" t="s">
        <v>69</v>
      </c>
      <c r="E2138" t="s">
        <v>115</v>
      </c>
      <c r="F2138">
        <v>1.5</v>
      </c>
      <c r="G2138">
        <v>7</v>
      </c>
      <c r="H2138" t="s">
        <v>14</v>
      </c>
      <c r="I2138" t="s">
        <v>40</v>
      </c>
      <c r="J2138" t="s">
        <v>178</v>
      </c>
      <c r="K2138">
        <f>Pqp_supermarket_data[[#This Row],[Unit_Price]]*Pqp_supermarket_data[[#This Row],[Quantity]]</f>
        <v>10.5</v>
      </c>
      <c r="L2138" t="str">
        <f>TEXT(Pqp_supermarket_data[[#This Row],[DateTime]],"ddd")</f>
        <v>Mon</v>
      </c>
      <c r="M2138" t="str">
        <f>TEXT(Pqp_supermarket_data[[#This Row],[DateTime]],"mmm")</f>
        <v>May</v>
      </c>
      <c r="N2138" t="str">
        <f>TEXT(Pqp_supermarket_data[[#This Row],[DateTime]],"yyy")</f>
        <v>2024</v>
      </c>
    </row>
    <row r="2139" spans="1:14" x14ac:dyDescent="0.35">
      <c r="A2139" t="s">
        <v>4393</v>
      </c>
      <c r="B2139" s="1">
        <v>45654.133380405096</v>
      </c>
      <c r="C2139" t="s">
        <v>4394</v>
      </c>
      <c r="D2139" t="s">
        <v>127</v>
      </c>
      <c r="E2139" t="s">
        <v>78</v>
      </c>
      <c r="F2139">
        <v>4</v>
      </c>
      <c r="G2139">
        <v>4</v>
      </c>
      <c r="H2139" t="s">
        <v>14</v>
      </c>
      <c r="I2139" t="s">
        <v>15</v>
      </c>
      <c r="J2139" t="s">
        <v>339</v>
      </c>
      <c r="K2139">
        <f>Pqp_supermarket_data[[#This Row],[Unit_Price]]*Pqp_supermarket_data[[#This Row],[Quantity]]</f>
        <v>16</v>
      </c>
      <c r="L2139" t="str">
        <f>TEXT(Pqp_supermarket_data[[#This Row],[DateTime]],"ddd")</f>
        <v>Sat</v>
      </c>
      <c r="M2139" t="str">
        <f>TEXT(Pqp_supermarket_data[[#This Row],[DateTime]],"mmm")</f>
        <v>Dec</v>
      </c>
      <c r="N2139" t="str">
        <f>TEXT(Pqp_supermarket_data[[#This Row],[DateTime]],"yyy")</f>
        <v>2024</v>
      </c>
    </row>
    <row r="2140" spans="1:14" x14ac:dyDescent="0.35">
      <c r="A2140" t="s">
        <v>4395</v>
      </c>
      <c r="B2140" s="1">
        <v>44539.566713738423</v>
      </c>
      <c r="C2140" t="s">
        <v>4396</v>
      </c>
      <c r="D2140" t="s">
        <v>77</v>
      </c>
      <c r="E2140" t="s">
        <v>78</v>
      </c>
      <c r="F2140">
        <v>4</v>
      </c>
      <c r="G2140">
        <v>6</v>
      </c>
      <c r="H2140" t="s">
        <v>14</v>
      </c>
      <c r="I2140" t="s">
        <v>86</v>
      </c>
      <c r="J2140" t="s">
        <v>223</v>
      </c>
      <c r="K2140">
        <f>Pqp_supermarket_data[[#This Row],[Unit_Price]]*Pqp_supermarket_data[[#This Row],[Quantity]]</f>
        <v>24</v>
      </c>
      <c r="L2140" t="str">
        <f>TEXT(Pqp_supermarket_data[[#This Row],[DateTime]],"ddd")</f>
        <v>Thu</v>
      </c>
      <c r="M2140" t="str">
        <f>TEXT(Pqp_supermarket_data[[#This Row],[DateTime]],"mmm")</f>
        <v>Dec</v>
      </c>
      <c r="N2140" t="str">
        <f>TEXT(Pqp_supermarket_data[[#This Row],[DateTime]],"yyy")</f>
        <v>2021</v>
      </c>
    </row>
    <row r="2141" spans="1:14" x14ac:dyDescent="0.35">
      <c r="A2141" t="s">
        <v>4397</v>
      </c>
      <c r="B2141" s="1">
        <v>44619.686158194447</v>
      </c>
      <c r="C2141" t="s">
        <v>4398</v>
      </c>
      <c r="D2141" t="s">
        <v>208</v>
      </c>
      <c r="E2141" t="s">
        <v>90</v>
      </c>
      <c r="F2141">
        <v>1.8</v>
      </c>
      <c r="G2141">
        <v>4</v>
      </c>
      <c r="H2141" t="s">
        <v>14</v>
      </c>
      <c r="I2141" t="s">
        <v>36</v>
      </c>
      <c r="J2141" t="s">
        <v>485</v>
      </c>
      <c r="K2141">
        <f>Pqp_supermarket_data[[#This Row],[Unit_Price]]*Pqp_supermarket_data[[#This Row],[Quantity]]</f>
        <v>7.2</v>
      </c>
      <c r="L2141" t="str">
        <f>TEXT(Pqp_supermarket_data[[#This Row],[DateTime]],"ddd")</f>
        <v>Sun</v>
      </c>
      <c r="M2141" t="str">
        <f>TEXT(Pqp_supermarket_data[[#This Row],[DateTime]],"mmm")</f>
        <v>Feb</v>
      </c>
      <c r="N2141" t="str">
        <f>TEXT(Pqp_supermarket_data[[#This Row],[DateTime]],"yyy")</f>
        <v>2022</v>
      </c>
    </row>
    <row r="2142" spans="1:14" x14ac:dyDescent="0.35">
      <c r="A2142" t="s">
        <v>4399</v>
      </c>
      <c r="B2142" s="1">
        <v>45041.683380428243</v>
      </c>
      <c r="C2142" t="s">
        <v>4400</v>
      </c>
      <c r="D2142" t="s">
        <v>82</v>
      </c>
      <c r="E2142" t="s">
        <v>148</v>
      </c>
      <c r="F2142">
        <v>5.5</v>
      </c>
      <c r="G2142">
        <v>6</v>
      </c>
      <c r="H2142" t="s">
        <v>14</v>
      </c>
      <c r="I2142" t="s">
        <v>21</v>
      </c>
      <c r="J2142" t="s">
        <v>95</v>
      </c>
      <c r="K2142">
        <f>Pqp_supermarket_data[[#This Row],[Unit_Price]]*Pqp_supermarket_data[[#This Row],[Quantity]]</f>
        <v>33</v>
      </c>
      <c r="L2142" t="str">
        <f>TEXT(Pqp_supermarket_data[[#This Row],[DateTime]],"ddd")</f>
        <v>Tue</v>
      </c>
      <c r="M2142" t="str">
        <f>TEXT(Pqp_supermarket_data[[#This Row],[DateTime]],"mmm")</f>
        <v>Apr</v>
      </c>
      <c r="N2142" t="str">
        <f>TEXT(Pqp_supermarket_data[[#This Row],[DateTime]],"yyy")</f>
        <v>2023</v>
      </c>
    </row>
    <row r="2143" spans="1:14" x14ac:dyDescent="0.35">
      <c r="A2143" t="s">
        <v>4401</v>
      </c>
      <c r="B2143" s="1">
        <v>45230.827824884262</v>
      </c>
      <c r="C2143" t="s">
        <v>4402</v>
      </c>
      <c r="D2143" t="s">
        <v>34</v>
      </c>
      <c r="E2143" t="s">
        <v>20</v>
      </c>
      <c r="F2143">
        <v>1</v>
      </c>
      <c r="G2143">
        <v>2</v>
      </c>
      <c r="H2143" t="s">
        <v>14</v>
      </c>
      <c r="I2143" t="s">
        <v>40</v>
      </c>
      <c r="J2143" t="s">
        <v>31</v>
      </c>
      <c r="K2143">
        <f>Pqp_supermarket_data[[#This Row],[Unit_Price]]*Pqp_supermarket_data[[#This Row],[Quantity]]</f>
        <v>2</v>
      </c>
      <c r="L2143" t="str">
        <f>TEXT(Pqp_supermarket_data[[#This Row],[DateTime]],"ddd")</f>
        <v>Tue</v>
      </c>
      <c r="M2143" t="str">
        <f>TEXT(Pqp_supermarket_data[[#This Row],[DateTime]],"mmm")</f>
        <v>Oct</v>
      </c>
      <c r="N2143" t="str">
        <f>TEXT(Pqp_supermarket_data[[#This Row],[DateTime]],"yyy")</f>
        <v>2023</v>
      </c>
    </row>
    <row r="2144" spans="1:14" x14ac:dyDescent="0.35">
      <c r="A2144" t="s">
        <v>4403</v>
      </c>
      <c r="B2144" s="1">
        <v>44625.88268599537</v>
      </c>
      <c r="C2144" t="s">
        <v>4404</v>
      </c>
      <c r="D2144" t="s">
        <v>25</v>
      </c>
      <c r="E2144" t="s">
        <v>13</v>
      </c>
      <c r="F2144">
        <v>3.1</v>
      </c>
      <c r="G2144">
        <v>3</v>
      </c>
      <c r="H2144" t="s">
        <v>14</v>
      </c>
      <c r="I2144" t="s">
        <v>36</v>
      </c>
      <c r="J2144" t="s">
        <v>189</v>
      </c>
      <c r="K2144">
        <f>Pqp_supermarket_data[[#This Row],[Unit_Price]]*Pqp_supermarket_data[[#This Row],[Quantity]]</f>
        <v>9.3000000000000007</v>
      </c>
      <c r="L2144" t="str">
        <f>TEXT(Pqp_supermarket_data[[#This Row],[DateTime]],"ddd")</f>
        <v>Sat</v>
      </c>
      <c r="M2144" t="str">
        <f>TEXT(Pqp_supermarket_data[[#This Row],[DateTime]],"mmm")</f>
        <v>Mar</v>
      </c>
      <c r="N2144" t="str">
        <f>TEXT(Pqp_supermarket_data[[#This Row],[DateTime]],"yyy")</f>
        <v>2022</v>
      </c>
    </row>
    <row r="2145" spans="1:14" x14ac:dyDescent="0.35">
      <c r="A2145" t="s">
        <v>4405</v>
      </c>
      <c r="B2145" s="1">
        <v>45285.237547118057</v>
      </c>
      <c r="C2145" t="s">
        <v>4406</v>
      </c>
      <c r="D2145" t="s">
        <v>12</v>
      </c>
      <c r="E2145" t="s">
        <v>70</v>
      </c>
      <c r="F2145">
        <v>5</v>
      </c>
      <c r="G2145">
        <v>3</v>
      </c>
      <c r="H2145" t="s">
        <v>14</v>
      </c>
      <c r="I2145" t="s">
        <v>40</v>
      </c>
      <c r="J2145" t="s">
        <v>538</v>
      </c>
      <c r="K2145">
        <f>Pqp_supermarket_data[[#This Row],[Unit_Price]]*Pqp_supermarket_data[[#This Row],[Quantity]]</f>
        <v>15</v>
      </c>
      <c r="L2145" t="str">
        <f>TEXT(Pqp_supermarket_data[[#This Row],[DateTime]],"ddd")</f>
        <v>Mon</v>
      </c>
      <c r="M2145" t="str">
        <f>TEXT(Pqp_supermarket_data[[#This Row],[DateTime]],"mmm")</f>
        <v>Dec</v>
      </c>
      <c r="N2145" t="str">
        <f>TEXT(Pqp_supermarket_data[[#This Row],[DateTime]],"yyy")</f>
        <v>2023</v>
      </c>
    </row>
    <row r="2146" spans="1:14" x14ac:dyDescent="0.35">
      <c r="A2146" t="s">
        <v>4407</v>
      </c>
      <c r="B2146" s="1">
        <v>45241.839630462964</v>
      </c>
      <c r="C2146" t="s">
        <v>4408</v>
      </c>
      <c r="D2146" t="s">
        <v>77</v>
      </c>
      <c r="E2146" t="s">
        <v>78</v>
      </c>
      <c r="F2146">
        <v>4</v>
      </c>
      <c r="G2146">
        <v>2</v>
      </c>
      <c r="H2146" t="s">
        <v>14</v>
      </c>
      <c r="I2146" t="s">
        <v>15</v>
      </c>
      <c r="J2146" t="s">
        <v>128</v>
      </c>
      <c r="K2146">
        <f>Pqp_supermarket_data[[#This Row],[Unit_Price]]*Pqp_supermarket_data[[#This Row],[Quantity]]</f>
        <v>8</v>
      </c>
      <c r="L2146" t="str">
        <f>TEXT(Pqp_supermarket_data[[#This Row],[DateTime]],"ddd")</f>
        <v>Sat</v>
      </c>
      <c r="M2146" t="str">
        <f>TEXT(Pqp_supermarket_data[[#This Row],[DateTime]],"mmm")</f>
        <v>Nov</v>
      </c>
      <c r="N2146" t="str">
        <f>TEXT(Pqp_supermarket_data[[#This Row],[DateTime]],"yyy")</f>
        <v>2023</v>
      </c>
    </row>
    <row r="2147" spans="1:14" x14ac:dyDescent="0.35">
      <c r="A2147" t="s">
        <v>4409</v>
      </c>
      <c r="B2147" s="1">
        <v>45166.509074907408</v>
      </c>
      <c r="C2147" t="s">
        <v>4410</v>
      </c>
      <c r="D2147" t="s">
        <v>25</v>
      </c>
      <c r="E2147" t="s">
        <v>26</v>
      </c>
      <c r="F2147">
        <v>2.5</v>
      </c>
      <c r="G2147">
        <v>10</v>
      </c>
      <c r="H2147" t="s">
        <v>14</v>
      </c>
      <c r="I2147" t="s">
        <v>21</v>
      </c>
      <c r="J2147" t="s">
        <v>470</v>
      </c>
      <c r="K2147">
        <f>Pqp_supermarket_data[[#This Row],[Unit_Price]]*Pqp_supermarket_data[[#This Row],[Quantity]]</f>
        <v>25</v>
      </c>
      <c r="L2147" t="str">
        <f>TEXT(Pqp_supermarket_data[[#This Row],[DateTime]],"ddd")</f>
        <v>Mon</v>
      </c>
      <c r="M2147" t="str">
        <f>TEXT(Pqp_supermarket_data[[#This Row],[DateTime]],"mmm")</f>
        <v>Aug</v>
      </c>
      <c r="N2147" t="str">
        <f>TEXT(Pqp_supermarket_data[[#This Row],[DateTime]],"yyy")</f>
        <v>2023</v>
      </c>
    </row>
    <row r="2148" spans="1:14" x14ac:dyDescent="0.35">
      <c r="A2148" t="s">
        <v>4411</v>
      </c>
      <c r="B2148" s="1">
        <v>44836.411158252318</v>
      </c>
      <c r="C2148" t="s">
        <v>4412</v>
      </c>
      <c r="D2148" t="s">
        <v>19</v>
      </c>
      <c r="E2148" t="s">
        <v>137</v>
      </c>
      <c r="F2148">
        <v>2.5</v>
      </c>
      <c r="G2148">
        <v>6</v>
      </c>
      <c r="H2148" t="s">
        <v>14</v>
      </c>
      <c r="I2148" t="s">
        <v>36</v>
      </c>
      <c r="J2148" t="s">
        <v>205</v>
      </c>
      <c r="K2148">
        <f>Pqp_supermarket_data[[#This Row],[Unit_Price]]*Pqp_supermarket_data[[#This Row],[Quantity]]</f>
        <v>15</v>
      </c>
      <c r="L2148" t="str">
        <f>TEXT(Pqp_supermarket_data[[#This Row],[DateTime]],"ddd")</f>
        <v>Sun</v>
      </c>
      <c r="M2148" t="str">
        <f>TEXT(Pqp_supermarket_data[[#This Row],[DateTime]],"mmm")</f>
        <v>Oct</v>
      </c>
      <c r="N2148" t="str">
        <f>TEXT(Pqp_supermarket_data[[#This Row],[DateTime]],"yyy")</f>
        <v>2022</v>
      </c>
    </row>
    <row r="2149" spans="1:14" x14ac:dyDescent="0.35">
      <c r="A2149" t="s">
        <v>4413</v>
      </c>
      <c r="B2149" s="1">
        <v>45383.929908252314</v>
      </c>
      <c r="C2149" t="s">
        <v>4414</v>
      </c>
      <c r="D2149" t="s">
        <v>98</v>
      </c>
      <c r="E2149" t="s">
        <v>65</v>
      </c>
      <c r="F2149">
        <v>3</v>
      </c>
      <c r="G2149">
        <v>8</v>
      </c>
      <c r="H2149" t="s">
        <v>14</v>
      </c>
      <c r="I2149" t="s">
        <v>15</v>
      </c>
      <c r="J2149" t="s">
        <v>58</v>
      </c>
      <c r="K2149">
        <f>Pqp_supermarket_data[[#This Row],[Unit_Price]]*Pqp_supermarket_data[[#This Row],[Quantity]]</f>
        <v>24</v>
      </c>
      <c r="L2149" t="str">
        <f>TEXT(Pqp_supermarket_data[[#This Row],[DateTime]],"ddd")</f>
        <v>Mon</v>
      </c>
      <c r="M2149" t="str">
        <f>TEXT(Pqp_supermarket_data[[#This Row],[DateTime]],"mmm")</f>
        <v>Apr</v>
      </c>
      <c r="N2149" t="str">
        <f>TEXT(Pqp_supermarket_data[[#This Row],[DateTime]],"yyy")</f>
        <v>2024</v>
      </c>
    </row>
    <row r="2150" spans="1:14" x14ac:dyDescent="0.35">
      <c r="A2150" t="s">
        <v>4415</v>
      </c>
      <c r="B2150" s="1">
        <v>44675.800741597224</v>
      </c>
      <c r="C2150" t="s">
        <v>4416</v>
      </c>
      <c r="D2150" t="s">
        <v>171</v>
      </c>
      <c r="E2150" t="s">
        <v>115</v>
      </c>
      <c r="F2150">
        <v>1.5</v>
      </c>
      <c r="G2150">
        <v>5</v>
      </c>
      <c r="H2150" t="s">
        <v>14</v>
      </c>
      <c r="I2150" t="s">
        <v>21</v>
      </c>
      <c r="J2150" t="s">
        <v>99</v>
      </c>
      <c r="K2150">
        <f>Pqp_supermarket_data[[#This Row],[Unit_Price]]*Pqp_supermarket_data[[#This Row],[Quantity]]</f>
        <v>7.5</v>
      </c>
      <c r="L2150" t="str">
        <f>TEXT(Pqp_supermarket_data[[#This Row],[DateTime]],"ddd")</f>
        <v>Sun</v>
      </c>
      <c r="M2150" t="str">
        <f>TEXT(Pqp_supermarket_data[[#This Row],[DateTime]],"mmm")</f>
        <v>Apr</v>
      </c>
      <c r="N2150" t="str">
        <f>TEXT(Pqp_supermarket_data[[#This Row],[DateTime]],"yyy")</f>
        <v>2022</v>
      </c>
    </row>
    <row r="2151" spans="1:14" x14ac:dyDescent="0.35">
      <c r="A2151" t="s">
        <v>4417</v>
      </c>
      <c r="B2151" s="1">
        <v>44594.979908263886</v>
      </c>
      <c r="C2151" t="s">
        <v>4418</v>
      </c>
      <c r="D2151" t="s">
        <v>19</v>
      </c>
      <c r="E2151" t="s">
        <v>148</v>
      </c>
      <c r="F2151">
        <v>5.5</v>
      </c>
      <c r="G2151">
        <v>8</v>
      </c>
      <c r="H2151" t="s">
        <v>14</v>
      </c>
      <c r="I2151" t="s">
        <v>36</v>
      </c>
      <c r="J2151" t="s">
        <v>248</v>
      </c>
      <c r="K2151">
        <f>Pqp_supermarket_data[[#This Row],[Unit_Price]]*Pqp_supermarket_data[[#This Row],[Quantity]]</f>
        <v>44</v>
      </c>
      <c r="L2151" t="str">
        <f>TEXT(Pqp_supermarket_data[[#This Row],[DateTime]],"ddd")</f>
        <v>Wed</v>
      </c>
      <c r="M2151" t="str">
        <f>TEXT(Pqp_supermarket_data[[#This Row],[DateTime]],"mmm")</f>
        <v>Feb</v>
      </c>
      <c r="N2151" t="str">
        <f>TEXT(Pqp_supermarket_data[[#This Row],[DateTime]],"yyy")</f>
        <v>2022</v>
      </c>
    </row>
    <row r="2152" spans="1:14" x14ac:dyDescent="0.35">
      <c r="A2152" t="s">
        <v>4419</v>
      </c>
      <c r="B2152" s="1">
        <v>44579.699352731484</v>
      </c>
      <c r="C2152" t="s">
        <v>4420</v>
      </c>
      <c r="D2152" t="s">
        <v>226</v>
      </c>
      <c r="E2152" t="s">
        <v>70</v>
      </c>
      <c r="F2152">
        <v>5</v>
      </c>
      <c r="G2152">
        <v>1</v>
      </c>
      <c r="H2152" t="s">
        <v>14</v>
      </c>
      <c r="I2152" t="s">
        <v>61</v>
      </c>
      <c r="J2152" t="s">
        <v>91</v>
      </c>
      <c r="K2152">
        <f>Pqp_supermarket_data[[#This Row],[Unit_Price]]*Pqp_supermarket_data[[#This Row],[Quantity]]</f>
        <v>5</v>
      </c>
      <c r="L2152" t="str">
        <f>TEXT(Pqp_supermarket_data[[#This Row],[DateTime]],"ddd")</f>
        <v>Tue</v>
      </c>
      <c r="M2152" t="str">
        <f>TEXT(Pqp_supermarket_data[[#This Row],[DateTime]],"mmm")</f>
        <v>Jan</v>
      </c>
      <c r="N2152" t="str">
        <f>TEXT(Pqp_supermarket_data[[#This Row],[DateTime]],"yyy")</f>
        <v>2022</v>
      </c>
    </row>
    <row r="2153" spans="1:14" x14ac:dyDescent="0.35">
      <c r="A2153" t="s">
        <v>4421</v>
      </c>
      <c r="B2153" s="1">
        <v>44952.756297175925</v>
      </c>
      <c r="C2153" t="s">
        <v>4422</v>
      </c>
      <c r="D2153" t="s">
        <v>98</v>
      </c>
      <c r="E2153" t="s">
        <v>94</v>
      </c>
      <c r="F2153">
        <v>0.8</v>
      </c>
      <c r="G2153">
        <v>6</v>
      </c>
      <c r="H2153" t="s">
        <v>14</v>
      </c>
      <c r="I2153" t="s">
        <v>21</v>
      </c>
      <c r="J2153" t="s">
        <v>470</v>
      </c>
      <c r="K2153">
        <f>Pqp_supermarket_data[[#This Row],[Unit_Price]]*Pqp_supermarket_data[[#This Row],[Quantity]]</f>
        <v>4.8000000000000007</v>
      </c>
      <c r="L2153" t="str">
        <f>TEXT(Pqp_supermarket_data[[#This Row],[DateTime]],"ddd")</f>
        <v>Thu</v>
      </c>
      <c r="M2153" t="str">
        <f>TEXT(Pqp_supermarket_data[[#This Row],[DateTime]],"mmm")</f>
        <v>Jan</v>
      </c>
      <c r="N2153" t="str">
        <f>TEXT(Pqp_supermarket_data[[#This Row],[DateTime]],"yyy")</f>
        <v>2023</v>
      </c>
    </row>
    <row r="2154" spans="1:14" x14ac:dyDescent="0.35">
      <c r="A2154" t="s">
        <v>4423</v>
      </c>
      <c r="B2154" s="1">
        <v>44733.156297187503</v>
      </c>
      <c r="C2154" t="s">
        <v>4424</v>
      </c>
      <c r="D2154" t="s">
        <v>127</v>
      </c>
      <c r="E2154" t="s">
        <v>13</v>
      </c>
      <c r="F2154">
        <v>3.1</v>
      </c>
      <c r="G2154">
        <v>9</v>
      </c>
      <c r="H2154" t="s">
        <v>14</v>
      </c>
      <c r="I2154" t="s">
        <v>15</v>
      </c>
      <c r="J2154" t="s">
        <v>102</v>
      </c>
      <c r="K2154">
        <f>Pqp_supermarket_data[[#This Row],[Unit_Price]]*Pqp_supermarket_data[[#This Row],[Quantity]]</f>
        <v>27.900000000000002</v>
      </c>
      <c r="L2154" t="str">
        <f>TEXT(Pqp_supermarket_data[[#This Row],[DateTime]],"ddd")</f>
        <v>Tue</v>
      </c>
      <c r="M2154" t="str">
        <f>TEXT(Pqp_supermarket_data[[#This Row],[DateTime]],"mmm")</f>
        <v>Jun</v>
      </c>
      <c r="N2154" t="str">
        <f>TEXT(Pqp_supermarket_data[[#This Row],[DateTime]],"yyy")</f>
        <v>2022</v>
      </c>
    </row>
    <row r="2155" spans="1:14" x14ac:dyDescent="0.35">
      <c r="A2155" t="s">
        <v>4425</v>
      </c>
      <c r="B2155" s="1">
        <v>45222.660463865737</v>
      </c>
      <c r="C2155" t="s">
        <v>4426</v>
      </c>
      <c r="D2155" t="s">
        <v>85</v>
      </c>
      <c r="E2155" t="s">
        <v>57</v>
      </c>
      <c r="F2155">
        <v>4.5</v>
      </c>
      <c r="G2155">
        <v>8</v>
      </c>
      <c r="H2155" t="s">
        <v>14</v>
      </c>
      <c r="I2155" t="s">
        <v>40</v>
      </c>
      <c r="J2155" t="s">
        <v>91</v>
      </c>
      <c r="K2155">
        <f>Pqp_supermarket_data[[#This Row],[Unit_Price]]*Pqp_supermarket_data[[#This Row],[Quantity]]</f>
        <v>36</v>
      </c>
      <c r="L2155" t="str">
        <f>TEXT(Pqp_supermarket_data[[#This Row],[DateTime]],"ddd")</f>
        <v>Mon</v>
      </c>
      <c r="M2155" t="str">
        <f>TEXT(Pqp_supermarket_data[[#This Row],[DateTime]],"mmm")</f>
        <v>Oct</v>
      </c>
      <c r="N2155" t="str">
        <f>TEXT(Pqp_supermarket_data[[#This Row],[DateTime]],"yyy")</f>
        <v>2023</v>
      </c>
    </row>
    <row r="2156" spans="1:14" x14ac:dyDescent="0.35">
      <c r="A2156" t="s">
        <v>4427</v>
      </c>
      <c r="B2156" s="1">
        <v>45412.934769421299</v>
      </c>
      <c r="C2156" t="s">
        <v>4428</v>
      </c>
      <c r="D2156" t="s">
        <v>44</v>
      </c>
      <c r="E2156" t="s">
        <v>90</v>
      </c>
      <c r="F2156">
        <v>1.8</v>
      </c>
      <c r="G2156">
        <v>8</v>
      </c>
      <c r="H2156" t="s">
        <v>14</v>
      </c>
      <c r="I2156" t="s">
        <v>86</v>
      </c>
      <c r="J2156" t="s">
        <v>769</v>
      </c>
      <c r="K2156">
        <f>Pqp_supermarket_data[[#This Row],[Unit_Price]]*Pqp_supermarket_data[[#This Row],[Quantity]]</f>
        <v>14.4</v>
      </c>
      <c r="L2156" t="str">
        <f>TEXT(Pqp_supermarket_data[[#This Row],[DateTime]],"ddd")</f>
        <v>Tue</v>
      </c>
      <c r="M2156" t="str">
        <f>TEXT(Pqp_supermarket_data[[#This Row],[DateTime]],"mmm")</f>
        <v>Apr</v>
      </c>
      <c r="N2156" t="str">
        <f>TEXT(Pqp_supermarket_data[[#This Row],[DateTime]],"yyy")</f>
        <v>2024</v>
      </c>
    </row>
    <row r="2157" spans="1:14" x14ac:dyDescent="0.35">
      <c r="A2157" t="s">
        <v>4429</v>
      </c>
      <c r="B2157" s="1">
        <v>45420.443102766207</v>
      </c>
      <c r="C2157" t="s">
        <v>4430</v>
      </c>
      <c r="D2157" t="s">
        <v>82</v>
      </c>
      <c r="E2157" t="s">
        <v>57</v>
      </c>
      <c r="F2157">
        <v>4.5</v>
      </c>
      <c r="G2157">
        <v>2</v>
      </c>
      <c r="H2157" t="s">
        <v>14</v>
      </c>
      <c r="I2157" t="s">
        <v>86</v>
      </c>
      <c r="J2157" t="s">
        <v>102</v>
      </c>
      <c r="K2157">
        <f>Pqp_supermarket_data[[#This Row],[Unit_Price]]*Pqp_supermarket_data[[#This Row],[Quantity]]</f>
        <v>9</v>
      </c>
      <c r="L2157" t="str">
        <f>TEXT(Pqp_supermarket_data[[#This Row],[DateTime]],"ddd")</f>
        <v>Wed</v>
      </c>
      <c r="M2157" t="str">
        <f>TEXT(Pqp_supermarket_data[[#This Row],[DateTime]],"mmm")</f>
        <v>May</v>
      </c>
      <c r="N2157" t="str">
        <f>TEXT(Pqp_supermarket_data[[#This Row],[DateTime]],"yyy")</f>
        <v>2024</v>
      </c>
    </row>
    <row r="2158" spans="1:14" x14ac:dyDescent="0.35">
      <c r="A2158" t="s">
        <v>4431</v>
      </c>
      <c r="B2158" s="1">
        <v>44479.661158333336</v>
      </c>
      <c r="C2158" t="s">
        <v>2779</v>
      </c>
      <c r="D2158" t="s">
        <v>34</v>
      </c>
      <c r="E2158" t="s">
        <v>94</v>
      </c>
      <c r="F2158">
        <v>0.8</v>
      </c>
      <c r="G2158">
        <v>4</v>
      </c>
      <c r="H2158" t="s">
        <v>14</v>
      </c>
      <c r="I2158" t="s">
        <v>40</v>
      </c>
      <c r="J2158" t="s">
        <v>302</v>
      </c>
      <c r="K2158">
        <f>Pqp_supermarket_data[[#This Row],[Unit_Price]]*Pqp_supermarket_data[[#This Row],[Quantity]]</f>
        <v>3.2</v>
      </c>
      <c r="L2158" t="str">
        <f>TEXT(Pqp_supermarket_data[[#This Row],[DateTime]],"ddd")</f>
        <v>Sun</v>
      </c>
      <c r="M2158" t="str">
        <f>TEXT(Pqp_supermarket_data[[#This Row],[DateTime]],"mmm")</f>
        <v>Oct</v>
      </c>
      <c r="N2158" t="str">
        <f>TEXT(Pqp_supermarket_data[[#This Row],[DateTime]],"yyy")</f>
        <v>2021</v>
      </c>
    </row>
    <row r="2159" spans="1:14" x14ac:dyDescent="0.35">
      <c r="A2159" t="s">
        <v>4432</v>
      </c>
      <c r="B2159" s="1">
        <v>45312.296575</v>
      </c>
      <c r="C2159" t="s">
        <v>4433</v>
      </c>
      <c r="D2159" t="s">
        <v>85</v>
      </c>
      <c r="E2159" t="s">
        <v>57</v>
      </c>
      <c r="F2159">
        <v>4.5</v>
      </c>
      <c r="G2159">
        <v>6</v>
      </c>
      <c r="H2159" t="s">
        <v>14</v>
      </c>
      <c r="I2159" t="s">
        <v>21</v>
      </c>
      <c r="J2159" t="s">
        <v>122</v>
      </c>
      <c r="K2159">
        <f>Pqp_supermarket_data[[#This Row],[Unit_Price]]*Pqp_supermarket_data[[#This Row],[Quantity]]</f>
        <v>27</v>
      </c>
      <c r="L2159" t="str">
        <f>TEXT(Pqp_supermarket_data[[#This Row],[DateTime]],"ddd")</f>
        <v>Sun</v>
      </c>
      <c r="M2159" t="str">
        <f>TEXT(Pqp_supermarket_data[[#This Row],[DateTime]],"mmm")</f>
        <v>Jan</v>
      </c>
      <c r="N2159" t="str">
        <f>TEXT(Pqp_supermarket_data[[#This Row],[DateTime]],"yyy")</f>
        <v>2024</v>
      </c>
    </row>
    <row r="2160" spans="1:14" x14ac:dyDescent="0.35">
      <c r="A2160" t="s">
        <v>4434</v>
      </c>
      <c r="B2160" s="1">
        <v>45575.671575011576</v>
      </c>
      <c r="C2160" t="s">
        <v>4435</v>
      </c>
      <c r="D2160" t="s">
        <v>19</v>
      </c>
      <c r="E2160" t="s">
        <v>45</v>
      </c>
      <c r="F2160">
        <v>1</v>
      </c>
      <c r="G2160">
        <v>4</v>
      </c>
      <c r="H2160" t="s">
        <v>14</v>
      </c>
      <c r="I2160" t="s">
        <v>21</v>
      </c>
      <c r="J2160" t="s">
        <v>255</v>
      </c>
      <c r="K2160">
        <f>Pqp_supermarket_data[[#This Row],[Unit_Price]]*Pqp_supermarket_data[[#This Row],[Quantity]]</f>
        <v>4</v>
      </c>
      <c r="L2160" t="str">
        <f>TEXT(Pqp_supermarket_data[[#This Row],[DateTime]],"ddd")</f>
        <v>Thu</v>
      </c>
      <c r="M2160" t="str">
        <f>TEXT(Pqp_supermarket_data[[#This Row],[DateTime]],"mmm")</f>
        <v>Oct</v>
      </c>
      <c r="N2160" t="str">
        <f>TEXT(Pqp_supermarket_data[[#This Row],[DateTime]],"yyy")</f>
        <v>2024</v>
      </c>
    </row>
    <row r="2161" spans="1:14" x14ac:dyDescent="0.35">
      <c r="A2161" t="s">
        <v>4436</v>
      </c>
      <c r="B2161" s="1">
        <v>45470.136158356479</v>
      </c>
      <c r="C2161" t="s">
        <v>4437</v>
      </c>
      <c r="D2161" t="s">
        <v>25</v>
      </c>
      <c r="E2161" t="s">
        <v>49</v>
      </c>
      <c r="F2161">
        <v>7</v>
      </c>
      <c r="G2161">
        <v>3</v>
      </c>
      <c r="H2161" t="s">
        <v>14</v>
      </c>
      <c r="I2161" t="s">
        <v>15</v>
      </c>
      <c r="J2161" t="s">
        <v>262</v>
      </c>
      <c r="K2161">
        <f>Pqp_supermarket_data[[#This Row],[Unit_Price]]*Pqp_supermarket_data[[#This Row],[Quantity]]</f>
        <v>21</v>
      </c>
      <c r="L2161" t="str">
        <f>TEXT(Pqp_supermarket_data[[#This Row],[DateTime]],"ddd")</f>
        <v>Thu</v>
      </c>
      <c r="M2161" t="str">
        <f>TEXT(Pqp_supermarket_data[[#This Row],[DateTime]],"mmm")</f>
        <v>Jun</v>
      </c>
      <c r="N2161" t="str">
        <f>TEXT(Pqp_supermarket_data[[#This Row],[DateTime]],"yyy")</f>
        <v>2024</v>
      </c>
    </row>
    <row r="2162" spans="1:14" x14ac:dyDescent="0.35">
      <c r="A2162" t="s">
        <v>4438</v>
      </c>
      <c r="B2162" s="1">
        <v>44430.33754724537</v>
      </c>
      <c r="C2162" t="s">
        <v>4439</v>
      </c>
      <c r="D2162" t="s">
        <v>85</v>
      </c>
      <c r="E2162" t="s">
        <v>115</v>
      </c>
      <c r="F2162">
        <v>1.5</v>
      </c>
      <c r="G2162">
        <v>10</v>
      </c>
      <c r="H2162" t="s">
        <v>14</v>
      </c>
      <c r="I2162" t="s">
        <v>86</v>
      </c>
      <c r="J2162" t="s">
        <v>267</v>
      </c>
      <c r="K2162">
        <f>Pqp_supermarket_data[[#This Row],[Unit_Price]]*Pqp_supermarket_data[[#This Row],[Quantity]]</f>
        <v>15</v>
      </c>
      <c r="L2162" t="str">
        <f>TEXT(Pqp_supermarket_data[[#This Row],[DateTime]],"ddd")</f>
        <v>Sun</v>
      </c>
      <c r="M2162" t="str">
        <f>TEXT(Pqp_supermarket_data[[#This Row],[DateTime]],"mmm")</f>
        <v>Aug</v>
      </c>
      <c r="N2162" t="str">
        <f>TEXT(Pqp_supermarket_data[[#This Row],[DateTime]],"yyy")</f>
        <v>2021</v>
      </c>
    </row>
    <row r="2163" spans="1:14" x14ac:dyDescent="0.35">
      <c r="A2163" t="s">
        <v>4440</v>
      </c>
      <c r="B2163" s="1">
        <v>45235.227130590276</v>
      </c>
      <c r="C2163" t="s">
        <v>4441</v>
      </c>
      <c r="D2163" t="s">
        <v>127</v>
      </c>
      <c r="E2163" t="s">
        <v>115</v>
      </c>
      <c r="F2163">
        <v>1.5</v>
      </c>
      <c r="G2163">
        <v>5</v>
      </c>
      <c r="H2163" t="s">
        <v>14</v>
      </c>
      <c r="I2163" t="s">
        <v>61</v>
      </c>
      <c r="J2163" t="s">
        <v>209</v>
      </c>
      <c r="K2163">
        <f>Pqp_supermarket_data[[#This Row],[Unit_Price]]*Pqp_supermarket_data[[#This Row],[Quantity]]</f>
        <v>7.5</v>
      </c>
      <c r="L2163" t="str">
        <f>TEXT(Pqp_supermarket_data[[#This Row],[DateTime]],"ddd")</f>
        <v>Sun</v>
      </c>
      <c r="M2163" t="str">
        <f>TEXT(Pqp_supermarket_data[[#This Row],[DateTime]],"mmm")</f>
        <v>Nov</v>
      </c>
      <c r="N2163" t="str">
        <f>TEXT(Pqp_supermarket_data[[#This Row],[DateTime]],"yyy")</f>
        <v>2023</v>
      </c>
    </row>
    <row r="2164" spans="1:14" x14ac:dyDescent="0.35">
      <c r="A2164" t="s">
        <v>4442</v>
      </c>
      <c r="B2164" s="1">
        <v>45159.111158391206</v>
      </c>
      <c r="C2164" t="s">
        <v>4443</v>
      </c>
      <c r="D2164" t="s">
        <v>44</v>
      </c>
      <c r="E2164" t="s">
        <v>39</v>
      </c>
      <c r="F2164">
        <v>3.2</v>
      </c>
      <c r="G2164">
        <v>8</v>
      </c>
      <c r="H2164" t="s">
        <v>14</v>
      </c>
      <c r="I2164" t="s">
        <v>61</v>
      </c>
      <c r="J2164" t="s">
        <v>22</v>
      </c>
      <c r="K2164">
        <f>Pqp_supermarket_data[[#This Row],[Unit_Price]]*Pqp_supermarket_data[[#This Row],[Quantity]]</f>
        <v>25.6</v>
      </c>
      <c r="L2164" t="str">
        <f>TEXT(Pqp_supermarket_data[[#This Row],[DateTime]],"ddd")</f>
        <v>Mon</v>
      </c>
      <c r="M2164" t="str">
        <f>TEXT(Pqp_supermarket_data[[#This Row],[DateTime]],"mmm")</f>
        <v>Aug</v>
      </c>
      <c r="N2164" t="str">
        <f>TEXT(Pqp_supermarket_data[[#This Row],[DateTime]],"yyy")</f>
        <v>2023</v>
      </c>
    </row>
    <row r="2165" spans="1:14" x14ac:dyDescent="0.35">
      <c r="A2165" t="s">
        <v>4444</v>
      </c>
      <c r="B2165" s="1">
        <v>44633.026436168984</v>
      </c>
      <c r="C2165" t="s">
        <v>4445</v>
      </c>
      <c r="D2165" t="s">
        <v>82</v>
      </c>
      <c r="E2165" t="s">
        <v>35</v>
      </c>
      <c r="F2165">
        <v>1.2</v>
      </c>
      <c r="G2165">
        <v>7</v>
      </c>
      <c r="H2165" t="s">
        <v>14</v>
      </c>
      <c r="I2165" t="s">
        <v>40</v>
      </c>
      <c r="J2165" t="s">
        <v>404</v>
      </c>
      <c r="K2165">
        <f>Pqp_supermarket_data[[#This Row],[Unit_Price]]*Pqp_supermarket_data[[#This Row],[Quantity]]</f>
        <v>8.4</v>
      </c>
      <c r="L2165" t="str">
        <f>TEXT(Pqp_supermarket_data[[#This Row],[DateTime]],"ddd")</f>
        <v>Sun</v>
      </c>
      <c r="M2165" t="str">
        <f>TEXT(Pqp_supermarket_data[[#This Row],[DateTime]],"mmm")</f>
        <v>Mar</v>
      </c>
      <c r="N2165" t="str">
        <f>TEXT(Pqp_supermarket_data[[#This Row],[DateTime]],"yyy")</f>
        <v>2022</v>
      </c>
    </row>
    <row r="2166" spans="1:14" x14ac:dyDescent="0.35">
      <c r="A2166" t="s">
        <v>4446</v>
      </c>
      <c r="B2166" s="1">
        <v>45061.691019513892</v>
      </c>
      <c r="C2166" t="s">
        <v>4447</v>
      </c>
      <c r="D2166" t="s">
        <v>69</v>
      </c>
      <c r="E2166" t="s">
        <v>70</v>
      </c>
      <c r="F2166">
        <v>5</v>
      </c>
      <c r="G2166">
        <v>5</v>
      </c>
      <c r="H2166" t="s">
        <v>14</v>
      </c>
      <c r="I2166" t="s">
        <v>40</v>
      </c>
      <c r="J2166" t="s">
        <v>54</v>
      </c>
      <c r="K2166">
        <f>Pqp_supermarket_data[[#This Row],[Unit_Price]]*Pqp_supermarket_data[[#This Row],[Quantity]]</f>
        <v>25</v>
      </c>
      <c r="L2166" t="str">
        <f>TEXT(Pqp_supermarket_data[[#This Row],[DateTime]],"ddd")</f>
        <v>Mon</v>
      </c>
      <c r="M2166" t="str">
        <f>TEXT(Pqp_supermarket_data[[#This Row],[DateTime]],"mmm")</f>
        <v>May</v>
      </c>
      <c r="N2166" t="str">
        <f>TEXT(Pqp_supermarket_data[[#This Row],[DateTime]],"yyy")</f>
        <v>2023</v>
      </c>
    </row>
    <row r="2167" spans="1:14" x14ac:dyDescent="0.35">
      <c r="A2167" t="s">
        <v>4448</v>
      </c>
      <c r="B2167" s="1">
        <v>45372.280602858795</v>
      </c>
      <c r="C2167" t="s">
        <v>4449</v>
      </c>
      <c r="D2167" t="s">
        <v>12</v>
      </c>
      <c r="E2167" t="s">
        <v>13</v>
      </c>
      <c r="F2167">
        <v>3.1</v>
      </c>
      <c r="G2167">
        <v>5</v>
      </c>
      <c r="H2167" t="s">
        <v>14</v>
      </c>
      <c r="I2167" t="s">
        <v>61</v>
      </c>
      <c r="J2167" t="s">
        <v>27</v>
      </c>
      <c r="K2167">
        <f>Pqp_supermarket_data[[#This Row],[Unit_Price]]*Pqp_supermarket_data[[#This Row],[Quantity]]</f>
        <v>15.5</v>
      </c>
      <c r="L2167" t="str">
        <f>TEXT(Pqp_supermarket_data[[#This Row],[DateTime]],"ddd")</f>
        <v>Thu</v>
      </c>
      <c r="M2167" t="str">
        <f>TEXT(Pqp_supermarket_data[[#This Row],[DateTime]],"mmm")</f>
        <v>Mar</v>
      </c>
      <c r="N2167" t="str">
        <f>TEXT(Pqp_supermarket_data[[#This Row],[DateTime]],"yyy")</f>
        <v>2024</v>
      </c>
    </row>
    <row r="2168" spans="1:14" x14ac:dyDescent="0.35">
      <c r="A2168" t="s">
        <v>4450</v>
      </c>
      <c r="B2168" s="1">
        <v>45126.983380648147</v>
      </c>
      <c r="C2168" t="s">
        <v>4451</v>
      </c>
      <c r="D2168" t="s">
        <v>82</v>
      </c>
      <c r="E2168" t="s">
        <v>39</v>
      </c>
      <c r="F2168">
        <v>3.2</v>
      </c>
      <c r="G2168">
        <v>9</v>
      </c>
      <c r="H2168" t="s">
        <v>14</v>
      </c>
      <c r="I2168" t="s">
        <v>21</v>
      </c>
      <c r="J2168" t="s">
        <v>202</v>
      </c>
      <c r="K2168">
        <f>Pqp_supermarket_data[[#This Row],[Unit_Price]]*Pqp_supermarket_data[[#This Row],[Quantity]]</f>
        <v>28.8</v>
      </c>
      <c r="L2168" t="str">
        <f>TEXT(Pqp_supermarket_data[[#This Row],[DateTime]],"ddd")</f>
        <v>Wed</v>
      </c>
      <c r="M2168" t="str">
        <f>TEXT(Pqp_supermarket_data[[#This Row],[DateTime]],"mmm")</f>
        <v>Jul</v>
      </c>
      <c r="N2168" t="str">
        <f>TEXT(Pqp_supermarket_data[[#This Row],[DateTime]],"yyy")</f>
        <v>2023</v>
      </c>
    </row>
    <row r="2169" spans="1:14" x14ac:dyDescent="0.35">
      <c r="A2169" t="s">
        <v>4452</v>
      </c>
      <c r="B2169" s="1">
        <v>45378.282686203704</v>
      </c>
      <c r="C2169" t="s">
        <v>4453</v>
      </c>
      <c r="D2169" t="s">
        <v>85</v>
      </c>
      <c r="E2169" t="s">
        <v>70</v>
      </c>
      <c r="F2169">
        <v>5</v>
      </c>
      <c r="G2169">
        <v>5</v>
      </c>
      <c r="H2169" t="s">
        <v>14</v>
      </c>
      <c r="I2169" t="s">
        <v>40</v>
      </c>
      <c r="J2169" t="s">
        <v>205</v>
      </c>
      <c r="K2169">
        <f>Pqp_supermarket_data[[#This Row],[Unit_Price]]*Pqp_supermarket_data[[#This Row],[Quantity]]</f>
        <v>25</v>
      </c>
      <c r="L2169" t="str">
        <f>TEXT(Pqp_supermarket_data[[#This Row],[DateTime]],"ddd")</f>
        <v>Wed</v>
      </c>
      <c r="M2169" t="str">
        <f>TEXT(Pqp_supermarket_data[[#This Row],[DateTime]],"mmm")</f>
        <v>Mar</v>
      </c>
      <c r="N2169" t="str">
        <f>TEXT(Pqp_supermarket_data[[#This Row],[DateTime]],"yyy")</f>
        <v>2024</v>
      </c>
    </row>
    <row r="2170" spans="1:14" x14ac:dyDescent="0.35">
      <c r="A2170" t="s">
        <v>4454</v>
      </c>
      <c r="B2170" s="1">
        <v>45289.337547326388</v>
      </c>
      <c r="C2170" t="s">
        <v>4455</v>
      </c>
      <c r="D2170" t="s">
        <v>12</v>
      </c>
      <c r="E2170" t="s">
        <v>115</v>
      </c>
      <c r="F2170">
        <v>1.5</v>
      </c>
      <c r="G2170">
        <v>10</v>
      </c>
      <c r="H2170" t="s">
        <v>14</v>
      </c>
      <c r="I2170" t="s">
        <v>86</v>
      </c>
      <c r="J2170" t="s">
        <v>436</v>
      </c>
      <c r="K2170">
        <f>Pqp_supermarket_data[[#This Row],[Unit_Price]]*Pqp_supermarket_data[[#This Row],[Quantity]]</f>
        <v>15</v>
      </c>
      <c r="L2170" t="str">
        <f>TEXT(Pqp_supermarket_data[[#This Row],[DateTime]],"ddd")</f>
        <v>Fri</v>
      </c>
      <c r="M2170" t="str">
        <f>TEXT(Pqp_supermarket_data[[#This Row],[DateTime]],"mmm")</f>
        <v>Dec</v>
      </c>
      <c r="N2170" t="str">
        <f>TEXT(Pqp_supermarket_data[[#This Row],[DateTime]],"yyy")</f>
        <v>2023</v>
      </c>
    </row>
    <row r="2171" spans="1:14" x14ac:dyDescent="0.35">
      <c r="A2171" t="s">
        <v>4456</v>
      </c>
      <c r="B2171" s="1">
        <v>44436.029214004629</v>
      </c>
      <c r="C2171" t="s">
        <v>4457</v>
      </c>
      <c r="D2171" t="s">
        <v>19</v>
      </c>
      <c r="E2171" t="s">
        <v>115</v>
      </c>
      <c r="F2171">
        <v>1.5</v>
      </c>
      <c r="G2171">
        <v>4</v>
      </c>
      <c r="H2171" t="s">
        <v>14</v>
      </c>
      <c r="I2171" t="s">
        <v>61</v>
      </c>
      <c r="J2171" t="s">
        <v>538</v>
      </c>
      <c r="K2171">
        <f>Pqp_supermarket_data[[#This Row],[Unit_Price]]*Pqp_supermarket_data[[#This Row],[Quantity]]</f>
        <v>6</v>
      </c>
      <c r="L2171" t="str">
        <f>TEXT(Pqp_supermarket_data[[#This Row],[DateTime]],"ddd")</f>
        <v>Sat</v>
      </c>
      <c r="M2171" t="str">
        <f>TEXT(Pqp_supermarket_data[[#This Row],[DateTime]],"mmm")</f>
        <v>Aug</v>
      </c>
      <c r="N2171" t="str">
        <f>TEXT(Pqp_supermarket_data[[#This Row],[DateTime]],"yyy")</f>
        <v>2021</v>
      </c>
    </row>
    <row r="2172" spans="1:14" x14ac:dyDescent="0.35">
      <c r="A2172" t="s">
        <v>4458</v>
      </c>
      <c r="B2172" s="1">
        <v>44586.05768622685</v>
      </c>
      <c r="C2172" t="s">
        <v>4459</v>
      </c>
      <c r="D2172" t="s">
        <v>77</v>
      </c>
      <c r="E2172" t="s">
        <v>137</v>
      </c>
      <c r="F2172">
        <v>2.5</v>
      </c>
      <c r="G2172">
        <v>6</v>
      </c>
      <c r="H2172" t="s">
        <v>14</v>
      </c>
      <c r="I2172" t="s">
        <v>61</v>
      </c>
      <c r="J2172" t="s">
        <v>183</v>
      </c>
      <c r="K2172">
        <f>Pqp_supermarket_data[[#This Row],[Unit_Price]]*Pqp_supermarket_data[[#This Row],[Quantity]]</f>
        <v>15</v>
      </c>
      <c r="L2172" t="str">
        <f>TEXT(Pqp_supermarket_data[[#This Row],[DateTime]],"ddd")</f>
        <v>Tue</v>
      </c>
      <c r="M2172" t="str">
        <f>TEXT(Pqp_supermarket_data[[#This Row],[DateTime]],"mmm")</f>
        <v>Jan</v>
      </c>
      <c r="N2172" t="str">
        <f>TEXT(Pqp_supermarket_data[[#This Row],[DateTime]],"yyy")</f>
        <v>2022</v>
      </c>
    </row>
    <row r="2173" spans="1:14" x14ac:dyDescent="0.35">
      <c r="A2173" t="s">
        <v>4460</v>
      </c>
      <c r="B2173" s="1">
        <v>45029.935464016206</v>
      </c>
      <c r="C2173" t="s">
        <v>4461</v>
      </c>
      <c r="D2173" t="s">
        <v>127</v>
      </c>
      <c r="E2173" t="s">
        <v>148</v>
      </c>
      <c r="F2173">
        <v>5.5</v>
      </c>
      <c r="G2173">
        <v>8</v>
      </c>
      <c r="H2173" t="s">
        <v>14</v>
      </c>
      <c r="I2173" t="s">
        <v>15</v>
      </c>
      <c r="J2173" t="s">
        <v>314</v>
      </c>
      <c r="K2173">
        <f>Pqp_supermarket_data[[#This Row],[Unit_Price]]*Pqp_supermarket_data[[#This Row],[Quantity]]</f>
        <v>44</v>
      </c>
      <c r="L2173" t="str">
        <f>TEXT(Pqp_supermarket_data[[#This Row],[DateTime]],"ddd")</f>
        <v>Thu</v>
      </c>
      <c r="M2173" t="str">
        <f>TEXT(Pqp_supermarket_data[[#This Row],[DateTime]],"mmm")</f>
        <v>Apr</v>
      </c>
      <c r="N2173" t="str">
        <f>TEXT(Pqp_supermarket_data[[#This Row],[DateTime]],"yyy")</f>
        <v>2023</v>
      </c>
    </row>
    <row r="2174" spans="1:14" x14ac:dyDescent="0.35">
      <c r="A2174" t="s">
        <v>4462</v>
      </c>
      <c r="B2174" s="1">
        <v>45635.10907515046</v>
      </c>
      <c r="C2174" t="s">
        <v>4463</v>
      </c>
      <c r="D2174" t="s">
        <v>12</v>
      </c>
      <c r="E2174" t="s">
        <v>145</v>
      </c>
      <c r="F2174">
        <v>1.7</v>
      </c>
      <c r="G2174">
        <v>3</v>
      </c>
      <c r="H2174" t="s">
        <v>14</v>
      </c>
      <c r="I2174" t="s">
        <v>15</v>
      </c>
      <c r="J2174" t="s">
        <v>131</v>
      </c>
      <c r="K2174">
        <f>Pqp_supermarket_data[[#This Row],[Unit_Price]]*Pqp_supermarket_data[[#This Row],[Quantity]]</f>
        <v>5.0999999999999996</v>
      </c>
      <c r="L2174" t="str">
        <f>TEXT(Pqp_supermarket_data[[#This Row],[DateTime]],"ddd")</f>
        <v>Mon</v>
      </c>
      <c r="M2174" t="str">
        <f>TEXT(Pqp_supermarket_data[[#This Row],[DateTime]],"mmm")</f>
        <v>Dec</v>
      </c>
      <c r="N2174" t="str">
        <f>TEXT(Pqp_supermarket_data[[#This Row],[DateTime]],"yyy")</f>
        <v>2024</v>
      </c>
    </row>
    <row r="2175" spans="1:14" x14ac:dyDescent="0.35">
      <c r="A2175" t="s">
        <v>4464</v>
      </c>
      <c r="B2175" s="1">
        <v>45173.801436261572</v>
      </c>
      <c r="C2175" t="s">
        <v>4465</v>
      </c>
      <c r="D2175" t="s">
        <v>85</v>
      </c>
      <c r="E2175" t="s">
        <v>65</v>
      </c>
      <c r="F2175">
        <v>3</v>
      </c>
      <c r="G2175">
        <v>8</v>
      </c>
      <c r="H2175" t="s">
        <v>14</v>
      </c>
      <c r="I2175" t="s">
        <v>15</v>
      </c>
      <c r="J2175" t="s">
        <v>394</v>
      </c>
      <c r="K2175">
        <f>Pqp_supermarket_data[[#This Row],[Unit_Price]]*Pqp_supermarket_data[[#This Row],[Quantity]]</f>
        <v>24</v>
      </c>
      <c r="L2175" t="str">
        <f>TEXT(Pqp_supermarket_data[[#This Row],[DateTime]],"ddd")</f>
        <v>Mon</v>
      </c>
      <c r="M2175" t="str">
        <f>TEXT(Pqp_supermarket_data[[#This Row],[DateTime]],"mmm")</f>
        <v>Sep</v>
      </c>
      <c r="N2175" t="str">
        <f>TEXT(Pqp_supermarket_data[[#This Row],[DateTime]],"yyy")</f>
        <v>2023</v>
      </c>
    </row>
    <row r="2176" spans="1:14" x14ac:dyDescent="0.35">
      <c r="A2176" t="s">
        <v>4466</v>
      </c>
      <c r="B2176" s="1">
        <v>44613.818102939818</v>
      </c>
      <c r="C2176" t="s">
        <v>4467</v>
      </c>
      <c r="D2176" t="s">
        <v>30</v>
      </c>
      <c r="E2176" t="s">
        <v>13</v>
      </c>
      <c r="F2176">
        <v>3.1</v>
      </c>
      <c r="G2176">
        <v>9</v>
      </c>
      <c r="H2176" t="s">
        <v>14</v>
      </c>
      <c r="I2176" t="s">
        <v>21</v>
      </c>
      <c r="J2176" t="s">
        <v>50</v>
      </c>
      <c r="K2176">
        <f>Pqp_supermarket_data[[#This Row],[Unit_Price]]*Pqp_supermarket_data[[#This Row],[Quantity]]</f>
        <v>27.900000000000002</v>
      </c>
      <c r="L2176" t="str">
        <f>TEXT(Pqp_supermarket_data[[#This Row],[DateTime]],"ddd")</f>
        <v>Mon</v>
      </c>
      <c r="M2176" t="str">
        <f>TEXT(Pqp_supermarket_data[[#This Row],[DateTime]],"mmm")</f>
        <v>Feb</v>
      </c>
      <c r="N2176" t="str">
        <f>TEXT(Pqp_supermarket_data[[#This Row],[DateTime]],"yyy")</f>
        <v>2022</v>
      </c>
    </row>
    <row r="2177" spans="1:14" x14ac:dyDescent="0.35">
      <c r="A2177" t="s">
        <v>4468</v>
      </c>
      <c r="B2177" s="1">
        <v>44374.554214062497</v>
      </c>
      <c r="C2177" t="s">
        <v>4469</v>
      </c>
      <c r="D2177" t="s">
        <v>226</v>
      </c>
      <c r="E2177" t="s">
        <v>65</v>
      </c>
      <c r="F2177">
        <v>3</v>
      </c>
      <c r="G2177">
        <v>6</v>
      </c>
      <c r="H2177" t="s">
        <v>14</v>
      </c>
      <c r="I2177" t="s">
        <v>61</v>
      </c>
      <c r="J2177" t="s">
        <v>426</v>
      </c>
      <c r="K2177">
        <f>Pqp_supermarket_data[[#This Row],[Unit_Price]]*Pqp_supermarket_data[[#This Row],[Quantity]]</f>
        <v>18</v>
      </c>
      <c r="L2177" t="str">
        <f>TEXT(Pqp_supermarket_data[[#This Row],[DateTime]],"ddd")</f>
        <v>Sun</v>
      </c>
      <c r="M2177" t="str">
        <f>TEXT(Pqp_supermarket_data[[#This Row],[DateTime]],"mmm")</f>
        <v>Jun</v>
      </c>
      <c r="N2177" t="str">
        <f>TEXT(Pqp_supermarket_data[[#This Row],[DateTime]],"yyy")</f>
        <v>2021</v>
      </c>
    </row>
    <row r="2178" spans="1:14" x14ac:dyDescent="0.35">
      <c r="A2178" t="s">
        <v>4470</v>
      </c>
      <c r="B2178" s="1">
        <v>44872.562547395835</v>
      </c>
      <c r="C2178" t="s">
        <v>4471</v>
      </c>
      <c r="D2178" t="s">
        <v>25</v>
      </c>
      <c r="E2178" t="s">
        <v>94</v>
      </c>
      <c r="F2178">
        <v>0.8</v>
      </c>
      <c r="G2178">
        <v>6</v>
      </c>
      <c r="H2178" t="s">
        <v>14</v>
      </c>
      <c r="I2178" t="s">
        <v>86</v>
      </c>
      <c r="J2178" t="s">
        <v>496</v>
      </c>
      <c r="K2178">
        <f>Pqp_supermarket_data[[#This Row],[Unit_Price]]*Pqp_supermarket_data[[#This Row],[Quantity]]</f>
        <v>4.8000000000000007</v>
      </c>
      <c r="L2178" t="str">
        <f>TEXT(Pqp_supermarket_data[[#This Row],[DateTime]],"ddd")</f>
        <v>Mon</v>
      </c>
      <c r="M2178" t="str">
        <f>TEXT(Pqp_supermarket_data[[#This Row],[DateTime]],"mmm")</f>
        <v>Nov</v>
      </c>
      <c r="N2178" t="str">
        <f>TEXT(Pqp_supermarket_data[[#This Row],[DateTime]],"yyy")</f>
        <v>2022</v>
      </c>
    </row>
    <row r="2179" spans="1:14" x14ac:dyDescent="0.35">
      <c r="A2179" t="s">
        <v>4472</v>
      </c>
      <c r="B2179" s="1">
        <v>44843.086852962966</v>
      </c>
      <c r="C2179" t="s">
        <v>4473</v>
      </c>
      <c r="D2179" t="s">
        <v>25</v>
      </c>
      <c r="E2179" t="s">
        <v>13</v>
      </c>
      <c r="F2179">
        <v>3.1</v>
      </c>
      <c r="G2179">
        <v>5</v>
      </c>
      <c r="H2179" t="s">
        <v>14</v>
      </c>
      <c r="I2179" t="s">
        <v>21</v>
      </c>
      <c r="J2179" t="s">
        <v>314</v>
      </c>
      <c r="K2179">
        <f>Pqp_supermarket_data[[#This Row],[Unit_Price]]*Pqp_supermarket_data[[#This Row],[Quantity]]</f>
        <v>15.5</v>
      </c>
      <c r="L2179" t="str">
        <f>TEXT(Pqp_supermarket_data[[#This Row],[DateTime]],"ddd")</f>
        <v>Sun</v>
      </c>
      <c r="M2179" t="str">
        <f>TEXT(Pqp_supermarket_data[[#This Row],[DateTime]],"mmm")</f>
        <v>Oct</v>
      </c>
      <c r="N2179" t="str">
        <f>TEXT(Pqp_supermarket_data[[#This Row],[DateTime]],"yyy")</f>
        <v>2022</v>
      </c>
    </row>
    <row r="2180" spans="1:14" x14ac:dyDescent="0.35">
      <c r="A2180" t="s">
        <v>4474</v>
      </c>
      <c r="B2180" s="1">
        <v>45739.388241851855</v>
      </c>
      <c r="C2180" t="s">
        <v>4475</v>
      </c>
      <c r="D2180" t="s">
        <v>30</v>
      </c>
      <c r="E2180" t="s">
        <v>145</v>
      </c>
      <c r="F2180">
        <v>1.7</v>
      </c>
      <c r="G2180">
        <v>7</v>
      </c>
      <c r="H2180" t="s">
        <v>14</v>
      </c>
      <c r="I2180" t="s">
        <v>86</v>
      </c>
      <c r="J2180" t="s">
        <v>723</v>
      </c>
      <c r="K2180">
        <f>Pqp_supermarket_data[[#This Row],[Unit_Price]]*Pqp_supermarket_data[[#This Row],[Quantity]]</f>
        <v>11.9</v>
      </c>
      <c r="L2180" t="str">
        <f>TEXT(Pqp_supermarket_data[[#This Row],[DateTime]],"ddd")</f>
        <v>Sun</v>
      </c>
      <c r="M2180" t="str">
        <f>TEXT(Pqp_supermarket_data[[#This Row],[DateTime]],"mmm")</f>
        <v>Mar</v>
      </c>
      <c r="N2180" t="str">
        <f>TEXT(Pqp_supermarket_data[[#This Row],[DateTime]],"yyy")</f>
        <v>2025</v>
      </c>
    </row>
    <row r="2181" spans="1:14" x14ac:dyDescent="0.35">
      <c r="A2181" t="s">
        <v>4476</v>
      </c>
      <c r="B2181" s="1">
        <v>45687.891019641203</v>
      </c>
      <c r="C2181" t="s">
        <v>4477</v>
      </c>
      <c r="D2181" t="s">
        <v>19</v>
      </c>
      <c r="E2181" t="s">
        <v>90</v>
      </c>
      <c r="F2181">
        <v>1.8</v>
      </c>
      <c r="G2181">
        <v>6</v>
      </c>
      <c r="H2181" t="s">
        <v>14</v>
      </c>
      <c r="I2181" t="s">
        <v>40</v>
      </c>
      <c r="J2181" t="s">
        <v>323</v>
      </c>
      <c r="K2181">
        <f>Pqp_supermarket_data[[#This Row],[Unit_Price]]*Pqp_supermarket_data[[#This Row],[Quantity]]</f>
        <v>10.8</v>
      </c>
      <c r="L2181" t="str">
        <f>TEXT(Pqp_supermarket_data[[#This Row],[DateTime]],"ddd")</f>
        <v>Thu</v>
      </c>
      <c r="M2181" t="str">
        <f>TEXT(Pqp_supermarket_data[[#This Row],[DateTime]],"mmm")</f>
        <v>Jan</v>
      </c>
      <c r="N2181" t="str">
        <f>TEXT(Pqp_supermarket_data[[#This Row],[DateTime]],"yyy")</f>
        <v>2025</v>
      </c>
    </row>
    <row r="2182" spans="1:14" x14ac:dyDescent="0.35">
      <c r="A2182" t="s">
        <v>4478</v>
      </c>
      <c r="B2182" s="1">
        <v>44891.495880752314</v>
      </c>
      <c r="C2182" t="s">
        <v>4479</v>
      </c>
      <c r="D2182" t="s">
        <v>34</v>
      </c>
      <c r="E2182" t="s">
        <v>39</v>
      </c>
      <c r="F2182">
        <v>3.2</v>
      </c>
      <c r="G2182">
        <v>9</v>
      </c>
      <c r="H2182" t="s">
        <v>14</v>
      </c>
      <c r="I2182" t="s">
        <v>86</v>
      </c>
      <c r="J2182" t="s">
        <v>429</v>
      </c>
      <c r="K2182">
        <f>Pqp_supermarket_data[[#This Row],[Unit_Price]]*Pqp_supermarket_data[[#This Row],[Quantity]]</f>
        <v>28.8</v>
      </c>
      <c r="L2182" t="str">
        <f>TEXT(Pqp_supermarket_data[[#This Row],[DateTime]],"ddd")</f>
        <v>Sat</v>
      </c>
      <c r="M2182" t="str">
        <f>TEXT(Pqp_supermarket_data[[#This Row],[DateTime]],"mmm")</f>
        <v>Nov</v>
      </c>
      <c r="N2182" t="str">
        <f>TEXT(Pqp_supermarket_data[[#This Row],[DateTime]],"yyy")</f>
        <v>2022</v>
      </c>
    </row>
    <row r="2183" spans="1:14" x14ac:dyDescent="0.35">
      <c r="A2183" t="s">
        <v>4480</v>
      </c>
      <c r="B2183" s="1">
        <v>44609.115325219907</v>
      </c>
      <c r="C2183" t="s">
        <v>4481</v>
      </c>
      <c r="D2183" t="s">
        <v>77</v>
      </c>
      <c r="E2183" t="s">
        <v>65</v>
      </c>
      <c r="F2183">
        <v>3</v>
      </c>
      <c r="G2183">
        <v>10</v>
      </c>
      <c r="H2183" t="s">
        <v>14</v>
      </c>
      <c r="I2183" t="s">
        <v>40</v>
      </c>
      <c r="J2183" t="s">
        <v>270</v>
      </c>
      <c r="K2183">
        <f>Pqp_supermarket_data[[#This Row],[Unit_Price]]*Pqp_supermarket_data[[#This Row],[Quantity]]</f>
        <v>30</v>
      </c>
      <c r="L2183" t="str">
        <f>TEXT(Pqp_supermarket_data[[#This Row],[DateTime]],"ddd")</f>
        <v>Thu</v>
      </c>
      <c r="M2183" t="str">
        <f>TEXT(Pqp_supermarket_data[[#This Row],[DateTime]],"mmm")</f>
        <v>Feb</v>
      </c>
      <c r="N2183" t="str">
        <f>TEXT(Pqp_supermarket_data[[#This Row],[DateTime]],"yyy")</f>
        <v>2022</v>
      </c>
    </row>
    <row r="2184" spans="1:14" x14ac:dyDescent="0.35">
      <c r="A2184" t="s">
        <v>4482</v>
      </c>
      <c r="B2184" s="1">
        <v>45555.844491886572</v>
      </c>
      <c r="C2184" t="s">
        <v>4483</v>
      </c>
      <c r="D2184" t="s">
        <v>226</v>
      </c>
      <c r="E2184" t="s">
        <v>90</v>
      </c>
      <c r="F2184">
        <v>1.8</v>
      </c>
      <c r="G2184">
        <v>2</v>
      </c>
      <c r="H2184" t="s">
        <v>14</v>
      </c>
      <c r="I2184" t="s">
        <v>21</v>
      </c>
      <c r="J2184" t="s">
        <v>311</v>
      </c>
      <c r="K2184">
        <f>Pqp_supermarket_data[[#This Row],[Unit_Price]]*Pqp_supermarket_data[[#This Row],[Quantity]]</f>
        <v>3.6</v>
      </c>
      <c r="L2184" t="str">
        <f>TEXT(Pqp_supermarket_data[[#This Row],[DateTime]],"ddd")</f>
        <v>Fri</v>
      </c>
      <c r="M2184" t="str">
        <f>TEXT(Pqp_supermarket_data[[#This Row],[DateTime]],"mmm")</f>
        <v>Sep</v>
      </c>
      <c r="N2184" t="str">
        <f>TEXT(Pqp_supermarket_data[[#This Row],[DateTime]],"yyy")</f>
        <v>2024</v>
      </c>
    </row>
    <row r="2185" spans="1:14" x14ac:dyDescent="0.35">
      <c r="A2185" t="s">
        <v>4484</v>
      </c>
      <c r="B2185" s="1">
        <v>44536.718102997685</v>
      </c>
      <c r="C2185" t="s">
        <v>4485</v>
      </c>
      <c r="D2185" t="s">
        <v>226</v>
      </c>
      <c r="E2185" t="s">
        <v>65</v>
      </c>
      <c r="F2185">
        <v>3</v>
      </c>
      <c r="G2185">
        <v>7</v>
      </c>
      <c r="H2185" t="s">
        <v>14</v>
      </c>
      <c r="I2185" t="s">
        <v>61</v>
      </c>
      <c r="J2185" t="s">
        <v>311</v>
      </c>
      <c r="K2185">
        <f>Pqp_supermarket_data[[#This Row],[Unit_Price]]*Pqp_supermarket_data[[#This Row],[Quantity]]</f>
        <v>21</v>
      </c>
      <c r="L2185" t="str">
        <f>TEXT(Pqp_supermarket_data[[#This Row],[DateTime]],"ddd")</f>
        <v>Mon</v>
      </c>
      <c r="M2185" t="str">
        <f>TEXT(Pqp_supermarket_data[[#This Row],[DateTime]],"mmm")</f>
        <v>Dec</v>
      </c>
      <c r="N2185" t="str">
        <f>TEXT(Pqp_supermarket_data[[#This Row],[DateTime]],"yyy")</f>
        <v>2021</v>
      </c>
    </row>
    <row r="2186" spans="1:14" x14ac:dyDescent="0.35">
      <c r="A2186" t="s">
        <v>4486</v>
      </c>
      <c r="B2186" s="1">
        <v>44861.595186342594</v>
      </c>
      <c r="C2186" t="s">
        <v>4487</v>
      </c>
      <c r="D2186" t="s">
        <v>30</v>
      </c>
      <c r="E2186" t="s">
        <v>39</v>
      </c>
      <c r="F2186">
        <v>3.2</v>
      </c>
      <c r="G2186">
        <v>2</v>
      </c>
      <c r="H2186" t="s">
        <v>14</v>
      </c>
      <c r="I2186" t="s">
        <v>15</v>
      </c>
      <c r="J2186" t="s">
        <v>230</v>
      </c>
      <c r="K2186">
        <f>Pqp_supermarket_data[[#This Row],[Unit_Price]]*Pqp_supermarket_data[[#This Row],[Quantity]]</f>
        <v>6.4</v>
      </c>
      <c r="L2186" t="str">
        <f>TEXT(Pqp_supermarket_data[[#This Row],[DateTime]],"ddd")</f>
        <v>Thu</v>
      </c>
      <c r="M2186" t="str">
        <f>TEXT(Pqp_supermarket_data[[#This Row],[DateTime]],"mmm")</f>
        <v>Oct</v>
      </c>
      <c r="N2186" t="str">
        <f>TEXT(Pqp_supermarket_data[[#This Row],[DateTime]],"yyy")</f>
        <v>2022</v>
      </c>
    </row>
    <row r="2187" spans="1:14" x14ac:dyDescent="0.35">
      <c r="A2187" t="s">
        <v>4488</v>
      </c>
      <c r="B2187" s="1">
        <v>44608.122964120368</v>
      </c>
      <c r="C2187" t="s">
        <v>4489</v>
      </c>
      <c r="D2187" t="s">
        <v>85</v>
      </c>
      <c r="E2187" t="s">
        <v>145</v>
      </c>
      <c r="F2187">
        <v>1.7</v>
      </c>
      <c r="G2187">
        <v>1</v>
      </c>
      <c r="H2187" t="s">
        <v>14</v>
      </c>
      <c r="I2187" t="s">
        <v>86</v>
      </c>
      <c r="J2187" t="s">
        <v>317</v>
      </c>
      <c r="K2187">
        <f>Pqp_supermarket_data[[#This Row],[Unit_Price]]*Pqp_supermarket_data[[#This Row],[Quantity]]</f>
        <v>1.7</v>
      </c>
      <c r="L2187" t="str">
        <f>TEXT(Pqp_supermarket_data[[#This Row],[DateTime]],"ddd")</f>
        <v>Wed</v>
      </c>
      <c r="M2187" t="str">
        <f>TEXT(Pqp_supermarket_data[[#This Row],[DateTime]],"mmm")</f>
        <v>Feb</v>
      </c>
      <c r="N2187" t="str">
        <f>TEXT(Pqp_supermarket_data[[#This Row],[DateTime]],"yyy")</f>
        <v>2022</v>
      </c>
    </row>
    <row r="2188" spans="1:14" x14ac:dyDescent="0.35">
      <c r="A2188" t="s">
        <v>4490</v>
      </c>
      <c r="B2188" s="1">
        <v>45185.532686354163</v>
      </c>
      <c r="C2188" t="s">
        <v>4491</v>
      </c>
      <c r="D2188" t="s">
        <v>34</v>
      </c>
      <c r="E2188" t="s">
        <v>49</v>
      </c>
      <c r="F2188">
        <v>7</v>
      </c>
      <c r="G2188">
        <v>1</v>
      </c>
      <c r="H2188" t="s">
        <v>14</v>
      </c>
      <c r="I2188" t="s">
        <v>40</v>
      </c>
      <c r="J2188" t="s">
        <v>499</v>
      </c>
      <c r="K2188">
        <f>Pqp_supermarket_data[[#This Row],[Unit_Price]]*Pqp_supermarket_data[[#This Row],[Quantity]]</f>
        <v>7</v>
      </c>
      <c r="L2188" t="str">
        <f>TEXT(Pqp_supermarket_data[[#This Row],[DateTime]],"ddd")</f>
        <v>Sat</v>
      </c>
      <c r="M2188" t="str">
        <f>TEXT(Pqp_supermarket_data[[#This Row],[DateTime]],"mmm")</f>
        <v>Sep</v>
      </c>
      <c r="N2188" t="str">
        <f>TEXT(Pqp_supermarket_data[[#This Row],[DateTime]],"yyy")</f>
        <v>2023</v>
      </c>
    </row>
    <row r="2189" spans="1:14" x14ac:dyDescent="0.35">
      <c r="A2189" t="s">
        <v>4492</v>
      </c>
      <c r="B2189" s="1">
        <v>45126.011853020835</v>
      </c>
      <c r="C2189" t="s">
        <v>4493</v>
      </c>
      <c r="D2189" t="s">
        <v>127</v>
      </c>
      <c r="E2189" t="s">
        <v>26</v>
      </c>
      <c r="F2189">
        <v>2.5</v>
      </c>
      <c r="G2189">
        <v>10</v>
      </c>
      <c r="H2189" t="s">
        <v>14</v>
      </c>
      <c r="I2189" t="s">
        <v>36</v>
      </c>
      <c r="J2189" t="s">
        <v>426</v>
      </c>
      <c r="K2189">
        <f>Pqp_supermarket_data[[#This Row],[Unit_Price]]*Pqp_supermarket_data[[#This Row],[Quantity]]</f>
        <v>25</v>
      </c>
      <c r="L2189" t="str">
        <f>TEXT(Pqp_supermarket_data[[#This Row],[DateTime]],"ddd")</f>
        <v>Wed</v>
      </c>
      <c r="M2189" t="str">
        <f>TEXT(Pqp_supermarket_data[[#This Row],[DateTime]],"mmm")</f>
        <v>Jul</v>
      </c>
      <c r="N2189" t="str">
        <f>TEXT(Pqp_supermarket_data[[#This Row],[DateTime]],"yyy")</f>
        <v>2023</v>
      </c>
    </row>
    <row r="2190" spans="1:14" x14ac:dyDescent="0.35">
      <c r="A2190" t="s">
        <v>4494</v>
      </c>
      <c r="B2190" s="1">
        <v>45117.83129746528</v>
      </c>
      <c r="C2190" t="s">
        <v>4495</v>
      </c>
      <c r="D2190" t="s">
        <v>30</v>
      </c>
      <c r="E2190" t="s">
        <v>78</v>
      </c>
      <c r="F2190">
        <v>4</v>
      </c>
      <c r="G2190">
        <v>10</v>
      </c>
      <c r="H2190" t="s">
        <v>14</v>
      </c>
      <c r="I2190" t="s">
        <v>61</v>
      </c>
      <c r="J2190" t="s">
        <v>541</v>
      </c>
      <c r="K2190">
        <f>Pqp_supermarket_data[[#This Row],[Unit_Price]]*Pqp_supermarket_data[[#This Row],[Quantity]]</f>
        <v>40</v>
      </c>
      <c r="L2190" t="str">
        <f>TEXT(Pqp_supermarket_data[[#This Row],[DateTime]],"ddd")</f>
        <v>Mon</v>
      </c>
      <c r="M2190" t="str">
        <f>TEXT(Pqp_supermarket_data[[#This Row],[DateTime]],"mmm")</f>
        <v>Jul</v>
      </c>
      <c r="N2190" t="str">
        <f>TEXT(Pqp_supermarket_data[[#This Row],[DateTime]],"yyy")</f>
        <v>2023</v>
      </c>
    </row>
    <row r="2191" spans="1:14" x14ac:dyDescent="0.35">
      <c r="A2191" t="s">
        <v>4496</v>
      </c>
      <c r="B2191" s="1">
        <v>44605.384769699071</v>
      </c>
      <c r="C2191" t="s">
        <v>4497</v>
      </c>
      <c r="D2191" t="s">
        <v>226</v>
      </c>
      <c r="E2191" t="s">
        <v>111</v>
      </c>
      <c r="F2191">
        <v>2.2000000000000002</v>
      </c>
      <c r="G2191">
        <v>4</v>
      </c>
      <c r="H2191" t="s">
        <v>14</v>
      </c>
      <c r="I2191" t="s">
        <v>61</v>
      </c>
      <c r="J2191" t="s">
        <v>458</v>
      </c>
      <c r="K2191">
        <f>Pqp_supermarket_data[[#This Row],[Unit_Price]]*Pqp_supermarket_data[[#This Row],[Quantity]]</f>
        <v>8.8000000000000007</v>
      </c>
      <c r="L2191" t="str">
        <f>TEXT(Pqp_supermarket_data[[#This Row],[DateTime]],"ddd")</f>
        <v>Sun</v>
      </c>
      <c r="M2191" t="str">
        <f>TEXT(Pqp_supermarket_data[[#This Row],[DateTime]],"mmm")</f>
        <v>Feb</v>
      </c>
      <c r="N2191" t="str">
        <f>TEXT(Pqp_supermarket_data[[#This Row],[DateTime]],"yyy")</f>
        <v>2022</v>
      </c>
    </row>
    <row r="2192" spans="1:14" x14ac:dyDescent="0.35">
      <c r="A2192" t="s">
        <v>4498</v>
      </c>
      <c r="B2192" s="1">
        <v>45580.536158587965</v>
      </c>
      <c r="C2192" t="s">
        <v>4499</v>
      </c>
      <c r="D2192" t="s">
        <v>171</v>
      </c>
      <c r="E2192" t="s">
        <v>137</v>
      </c>
      <c r="F2192">
        <v>2.5</v>
      </c>
      <c r="G2192">
        <v>3</v>
      </c>
      <c r="H2192" t="s">
        <v>14</v>
      </c>
      <c r="I2192" t="s">
        <v>21</v>
      </c>
      <c r="J2192" t="s">
        <v>561</v>
      </c>
      <c r="K2192">
        <f>Pqp_supermarket_data[[#This Row],[Unit_Price]]*Pqp_supermarket_data[[#This Row],[Quantity]]</f>
        <v>7.5</v>
      </c>
      <c r="L2192" t="str">
        <f>TEXT(Pqp_supermarket_data[[#This Row],[DateTime]],"ddd")</f>
        <v>Tue</v>
      </c>
      <c r="M2192" t="str">
        <f>TEXT(Pqp_supermarket_data[[#This Row],[DateTime]],"mmm")</f>
        <v>Oct</v>
      </c>
      <c r="N2192" t="str">
        <f>TEXT(Pqp_supermarket_data[[#This Row],[DateTime]],"yyy")</f>
        <v>2024</v>
      </c>
    </row>
    <row r="2193" spans="1:14" x14ac:dyDescent="0.35">
      <c r="A2193" t="s">
        <v>4500</v>
      </c>
      <c r="B2193" s="1">
        <v>45645.10490859954</v>
      </c>
      <c r="C2193" t="s">
        <v>4501</v>
      </c>
      <c r="D2193" t="s">
        <v>44</v>
      </c>
      <c r="E2193" t="s">
        <v>26</v>
      </c>
      <c r="F2193">
        <v>2.5</v>
      </c>
      <c r="G2193">
        <v>4</v>
      </c>
      <c r="H2193" t="s">
        <v>14</v>
      </c>
      <c r="I2193" t="s">
        <v>15</v>
      </c>
      <c r="J2193" t="s">
        <v>108</v>
      </c>
      <c r="K2193">
        <f>Pqp_supermarket_data[[#This Row],[Unit_Price]]*Pqp_supermarket_data[[#This Row],[Quantity]]</f>
        <v>10</v>
      </c>
      <c r="L2193" t="str">
        <f>TEXT(Pqp_supermarket_data[[#This Row],[DateTime]],"ddd")</f>
        <v>Thu</v>
      </c>
      <c r="M2193" t="str">
        <f>TEXT(Pqp_supermarket_data[[#This Row],[DateTime]],"mmm")</f>
        <v>Dec</v>
      </c>
      <c r="N2193" t="str">
        <f>TEXT(Pqp_supermarket_data[[#This Row],[DateTime]],"yyy")</f>
        <v>2024</v>
      </c>
    </row>
    <row r="2194" spans="1:14" x14ac:dyDescent="0.35">
      <c r="A2194" t="s">
        <v>4502</v>
      </c>
      <c r="B2194" s="1">
        <v>45452.006297499996</v>
      </c>
      <c r="C2194" t="s">
        <v>4503</v>
      </c>
      <c r="D2194" t="s">
        <v>25</v>
      </c>
      <c r="E2194" t="s">
        <v>78</v>
      </c>
      <c r="F2194">
        <v>4</v>
      </c>
      <c r="G2194">
        <v>6</v>
      </c>
      <c r="H2194" t="s">
        <v>14</v>
      </c>
      <c r="I2194" t="s">
        <v>40</v>
      </c>
      <c r="J2194" t="s">
        <v>16</v>
      </c>
      <c r="K2194">
        <f>Pqp_supermarket_data[[#This Row],[Unit_Price]]*Pqp_supermarket_data[[#This Row],[Quantity]]</f>
        <v>24</v>
      </c>
      <c r="L2194" t="str">
        <f>TEXT(Pqp_supermarket_data[[#This Row],[DateTime]],"ddd")</f>
        <v>Sun</v>
      </c>
      <c r="M2194" t="str">
        <f>TEXT(Pqp_supermarket_data[[#This Row],[DateTime]],"mmm")</f>
        <v>Jun</v>
      </c>
      <c r="N2194" t="str">
        <f>TEXT(Pqp_supermarket_data[[#This Row],[DateTime]],"yyy")</f>
        <v>2024</v>
      </c>
    </row>
    <row r="2195" spans="1:14" x14ac:dyDescent="0.35">
      <c r="A2195" t="s">
        <v>4504</v>
      </c>
      <c r="B2195" s="1">
        <v>44886.397964166666</v>
      </c>
      <c r="C2195" t="s">
        <v>4505</v>
      </c>
      <c r="D2195" t="s">
        <v>82</v>
      </c>
      <c r="E2195" t="s">
        <v>35</v>
      </c>
      <c r="F2195">
        <v>1.2</v>
      </c>
      <c r="G2195">
        <v>8</v>
      </c>
      <c r="H2195" t="s">
        <v>14</v>
      </c>
      <c r="I2195" t="s">
        <v>36</v>
      </c>
      <c r="J2195" t="s">
        <v>202</v>
      </c>
      <c r="K2195">
        <f>Pqp_supermarket_data[[#This Row],[Unit_Price]]*Pqp_supermarket_data[[#This Row],[Quantity]]</f>
        <v>9.6</v>
      </c>
      <c r="L2195" t="str">
        <f>TEXT(Pqp_supermarket_data[[#This Row],[DateTime]],"ddd")</f>
        <v>Mon</v>
      </c>
      <c r="M2195" t="str">
        <f>TEXT(Pqp_supermarket_data[[#This Row],[DateTime]],"mmm")</f>
        <v>Nov</v>
      </c>
      <c r="N2195" t="str">
        <f>TEXT(Pqp_supermarket_data[[#This Row],[DateTime]],"yyy")</f>
        <v>2022</v>
      </c>
    </row>
    <row r="2196" spans="1:14" x14ac:dyDescent="0.35">
      <c r="A2196" t="s">
        <v>4506</v>
      </c>
      <c r="B2196" s="1">
        <v>45359.057686400462</v>
      </c>
      <c r="C2196" t="s">
        <v>4507</v>
      </c>
      <c r="D2196" t="s">
        <v>98</v>
      </c>
      <c r="E2196" t="s">
        <v>70</v>
      </c>
      <c r="F2196">
        <v>5</v>
      </c>
      <c r="G2196">
        <v>7</v>
      </c>
      <c r="H2196" t="s">
        <v>14</v>
      </c>
      <c r="I2196" t="s">
        <v>15</v>
      </c>
      <c r="J2196" t="s">
        <v>212</v>
      </c>
      <c r="K2196">
        <f>Pqp_supermarket_data[[#This Row],[Unit_Price]]*Pqp_supermarket_data[[#This Row],[Quantity]]</f>
        <v>35</v>
      </c>
      <c r="L2196" t="str">
        <f>TEXT(Pqp_supermarket_data[[#This Row],[DateTime]],"ddd")</f>
        <v>Fri</v>
      </c>
      <c r="M2196" t="str">
        <f>TEXT(Pqp_supermarket_data[[#This Row],[DateTime]],"mmm")</f>
        <v>Mar</v>
      </c>
      <c r="N2196" t="str">
        <f>TEXT(Pqp_supermarket_data[[#This Row],[DateTime]],"yyy")</f>
        <v>2024</v>
      </c>
    </row>
    <row r="2197" spans="1:14" x14ac:dyDescent="0.35">
      <c r="A2197" t="s">
        <v>4508</v>
      </c>
      <c r="B2197" s="1">
        <v>45006.773658622682</v>
      </c>
      <c r="C2197" t="s">
        <v>4509</v>
      </c>
      <c r="D2197" t="s">
        <v>77</v>
      </c>
      <c r="E2197" t="s">
        <v>65</v>
      </c>
      <c r="F2197">
        <v>3</v>
      </c>
      <c r="G2197">
        <v>3</v>
      </c>
      <c r="H2197" t="s">
        <v>14</v>
      </c>
      <c r="I2197" t="s">
        <v>21</v>
      </c>
      <c r="J2197" t="s">
        <v>87</v>
      </c>
      <c r="K2197">
        <f>Pqp_supermarket_data[[#This Row],[Unit_Price]]*Pqp_supermarket_data[[#This Row],[Quantity]]</f>
        <v>9</v>
      </c>
      <c r="L2197" t="str">
        <f>TEXT(Pqp_supermarket_data[[#This Row],[DateTime]],"ddd")</f>
        <v>Tue</v>
      </c>
      <c r="M2197" t="str">
        <f>TEXT(Pqp_supermarket_data[[#This Row],[DateTime]],"mmm")</f>
        <v>Mar</v>
      </c>
      <c r="N2197" t="str">
        <f>TEXT(Pqp_supermarket_data[[#This Row],[DateTime]],"yyy")</f>
        <v>2023</v>
      </c>
    </row>
    <row r="2198" spans="1:14" x14ac:dyDescent="0.35">
      <c r="A2198" t="s">
        <v>4510</v>
      </c>
      <c r="B2198" s="1">
        <v>44729.427825300925</v>
      </c>
      <c r="C2198" t="s">
        <v>4511</v>
      </c>
      <c r="D2198" t="s">
        <v>226</v>
      </c>
      <c r="E2198" t="s">
        <v>78</v>
      </c>
      <c r="F2198">
        <v>4</v>
      </c>
      <c r="G2198">
        <v>2</v>
      </c>
      <c r="H2198" t="s">
        <v>14</v>
      </c>
      <c r="I2198" t="s">
        <v>86</v>
      </c>
      <c r="J2198" t="s">
        <v>202</v>
      </c>
      <c r="K2198">
        <f>Pqp_supermarket_data[[#This Row],[Unit_Price]]*Pqp_supermarket_data[[#This Row],[Quantity]]</f>
        <v>8</v>
      </c>
      <c r="L2198" t="str">
        <f>TEXT(Pqp_supermarket_data[[#This Row],[DateTime]],"ddd")</f>
        <v>Fri</v>
      </c>
      <c r="M2198" t="str">
        <f>TEXT(Pqp_supermarket_data[[#This Row],[DateTime]],"mmm")</f>
        <v>Jun</v>
      </c>
      <c r="N2198" t="str">
        <f>TEXT(Pqp_supermarket_data[[#This Row],[DateTime]],"yyy")</f>
        <v>2022</v>
      </c>
    </row>
    <row r="2199" spans="1:14" x14ac:dyDescent="0.35">
      <c r="A2199" t="s">
        <v>4512</v>
      </c>
      <c r="B2199" s="1">
        <v>44548.068797534725</v>
      </c>
      <c r="C2199" t="s">
        <v>4513</v>
      </c>
      <c r="D2199" t="s">
        <v>44</v>
      </c>
      <c r="E2199" t="s">
        <v>145</v>
      </c>
      <c r="F2199">
        <v>1.7</v>
      </c>
      <c r="G2199">
        <v>4</v>
      </c>
      <c r="H2199" t="s">
        <v>14</v>
      </c>
      <c r="I2199" t="s">
        <v>15</v>
      </c>
      <c r="J2199" t="s">
        <v>451</v>
      </c>
      <c r="K2199">
        <f>Pqp_supermarket_data[[#This Row],[Unit_Price]]*Pqp_supermarket_data[[#This Row],[Quantity]]</f>
        <v>6.8</v>
      </c>
      <c r="L2199" t="str">
        <f>TEXT(Pqp_supermarket_data[[#This Row],[DateTime]],"ddd")</f>
        <v>Sat</v>
      </c>
      <c r="M2199" t="str">
        <f>TEXT(Pqp_supermarket_data[[#This Row],[DateTime]],"mmm")</f>
        <v>Dec</v>
      </c>
      <c r="N2199" t="str">
        <f>TEXT(Pqp_supermarket_data[[#This Row],[DateTime]],"yyy")</f>
        <v>2021</v>
      </c>
    </row>
    <row r="2200" spans="1:14" x14ac:dyDescent="0.35">
      <c r="A2200" t="s">
        <v>4514</v>
      </c>
      <c r="B2200" s="1">
        <v>44748.080603090275</v>
      </c>
      <c r="C2200" t="s">
        <v>4515</v>
      </c>
      <c r="D2200" t="s">
        <v>127</v>
      </c>
      <c r="E2200" t="s">
        <v>90</v>
      </c>
      <c r="F2200">
        <v>1.8</v>
      </c>
      <c r="G2200">
        <v>2</v>
      </c>
      <c r="H2200" t="s">
        <v>14</v>
      </c>
      <c r="I2200" t="s">
        <v>86</v>
      </c>
      <c r="J2200" t="s">
        <v>397</v>
      </c>
      <c r="K2200">
        <f>Pqp_supermarket_data[[#This Row],[Unit_Price]]*Pqp_supermarket_data[[#This Row],[Quantity]]</f>
        <v>3.6</v>
      </c>
      <c r="L2200" t="str">
        <f>TEXT(Pqp_supermarket_data[[#This Row],[DateTime]],"ddd")</f>
        <v>Wed</v>
      </c>
      <c r="M2200" t="str">
        <f>TEXT(Pqp_supermarket_data[[#This Row],[DateTime]],"mmm")</f>
        <v>Jul</v>
      </c>
      <c r="N2200" t="str">
        <f>TEXT(Pqp_supermarket_data[[#This Row],[DateTime]],"yyy")</f>
        <v>2022</v>
      </c>
    </row>
    <row r="2201" spans="1:14" x14ac:dyDescent="0.35">
      <c r="A2201" t="s">
        <v>4516</v>
      </c>
      <c r="B2201" s="1">
        <v>45772.02435310185</v>
      </c>
      <c r="C2201" t="s">
        <v>4517</v>
      </c>
      <c r="D2201" t="s">
        <v>82</v>
      </c>
      <c r="E2201" t="s">
        <v>49</v>
      </c>
      <c r="F2201">
        <v>7</v>
      </c>
      <c r="G2201">
        <v>2</v>
      </c>
      <c r="H2201" t="s">
        <v>14</v>
      </c>
      <c r="I2201" t="s">
        <v>61</v>
      </c>
      <c r="J2201" t="s">
        <v>116</v>
      </c>
      <c r="K2201">
        <f>Pqp_supermarket_data[[#This Row],[Unit_Price]]*Pqp_supermarket_data[[#This Row],[Quantity]]</f>
        <v>14</v>
      </c>
      <c r="L2201" t="str">
        <f>TEXT(Pqp_supermarket_data[[#This Row],[DateTime]],"ddd")</f>
        <v>Fri</v>
      </c>
      <c r="M2201" t="str">
        <f>TEXT(Pqp_supermarket_data[[#This Row],[DateTime]],"mmm")</f>
        <v>Apr</v>
      </c>
      <c r="N2201" t="str">
        <f>TEXT(Pqp_supermarket_data[[#This Row],[DateTime]],"yyy")</f>
        <v>2025</v>
      </c>
    </row>
    <row r="2202" spans="1:14" x14ac:dyDescent="0.35">
      <c r="A2202" t="s">
        <v>4518</v>
      </c>
      <c r="B2202" s="1">
        <v>45152.45768644676</v>
      </c>
      <c r="C2202" t="s">
        <v>4519</v>
      </c>
      <c r="D2202" t="s">
        <v>34</v>
      </c>
      <c r="E2202" t="s">
        <v>57</v>
      </c>
      <c r="F2202">
        <v>4.5</v>
      </c>
      <c r="G2202">
        <v>4</v>
      </c>
      <c r="H2202" t="s">
        <v>14</v>
      </c>
      <c r="I2202" t="s">
        <v>36</v>
      </c>
      <c r="J2202" t="s">
        <v>369</v>
      </c>
      <c r="K2202">
        <f>Pqp_supermarket_data[[#This Row],[Unit_Price]]*Pqp_supermarket_data[[#This Row],[Quantity]]</f>
        <v>18</v>
      </c>
      <c r="L2202" t="str">
        <f>TEXT(Pqp_supermarket_data[[#This Row],[DateTime]],"ddd")</f>
        <v>Mon</v>
      </c>
      <c r="M2202" t="str">
        <f>TEXT(Pqp_supermarket_data[[#This Row],[DateTime]],"mmm")</f>
        <v>Aug</v>
      </c>
      <c r="N2202" t="str">
        <f>TEXT(Pqp_supermarket_data[[#This Row],[DateTime]],"yyy")</f>
        <v>2023</v>
      </c>
    </row>
    <row r="2203" spans="1:14" x14ac:dyDescent="0.35">
      <c r="A2203" t="s">
        <v>4520</v>
      </c>
      <c r="B2203" s="1">
        <v>44453.691019791666</v>
      </c>
      <c r="C2203" t="s">
        <v>4521</v>
      </c>
      <c r="D2203" t="s">
        <v>82</v>
      </c>
      <c r="E2203" t="s">
        <v>115</v>
      </c>
      <c r="F2203">
        <v>1.5</v>
      </c>
      <c r="G2203">
        <v>1</v>
      </c>
      <c r="H2203" t="s">
        <v>14</v>
      </c>
      <c r="I2203" t="s">
        <v>61</v>
      </c>
      <c r="J2203" t="s">
        <v>46</v>
      </c>
      <c r="K2203">
        <f>Pqp_supermarket_data[[#This Row],[Unit_Price]]*Pqp_supermarket_data[[#This Row],[Quantity]]</f>
        <v>1.5</v>
      </c>
      <c r="L2203" t="str">
        <f>TEXT(Pqp_supermarket_data[[#This Row],[DateTime]],"ddd")</f>
        <v>Tue</v>
      </c>
      <c r="M2203" t="str">
        <f>TEXT(Pqp_supermarket_data[[#This Row],[DateTime]],"mmm")</f>
        <v>Sep</v>
      </c>
      <c r="N2203" t="str">
        <f>TEXT(Pqp_supermarket_data[[#This Row],[DateTime]],"yyy")</f>
        <v>2021</v>
      </c>
    </row>
    <row r="2204" spans="1:14" x14ac:dyDescent="0.35">
      <c r="A2204" t="s">
        <v>4522</v>
      </c>
      <c r="B2204" s="1">
        <v>44461.141714247686</v>
      </c>
      <c r="C2204" t="s">
        <v>4523</v>
      </c>
      <c r="D2204" t="s">
        <v>69</v>
      </c>
      <c r="E2204" t="s">
        <v>26</v>
      </c>
      <c r="F2204">
        <v>2.5</v>
      </c>
      <c r="G2204">
        <v>3</v>
      </c>
      <c r="H2204" t="s">
        <v>14</v>
      </c>
      <c r="I2204" t="s">
        <v>21</v>
      </c>
      <c r="J2204" t="s">
        <v>99</v>
      </c>
      <c r="K2204">
        <f>Pqp_supermarket_data[[#This Row],[Unit_Price]]*Pqp_supermarket_data[[#This Row],[Quantity]]</f>
        <v>7.5</v>
      </c>
      <c r="L2204" t="str">
        <f>TEXT(Pqp_supermarket_data[[#This Row],[DateTime]],"ddd")</f>
        <v>Wed</v>
      </c>
      <c r="M2204" t="str">
        <f>TEXT(Pqp_supermarket_data[[#This Row],[DateTime]],"mmm")</f>
        <v>Sep</v>
      </c>
      <c r="N2204" t="str">
        <f>TEXT(Pqp_supermarket_data[[#This Row],[DateTime]],"yyy")</f>
        <v>2021</v>
      </c>
    </row>
    <row r="2205" spans="1:14" x14ac:dyDescent="0.35">
      <c r="A2205" t="s">
        <v>4524</v>
      </c>
      <c r="B2205" s="1">
        <v>45523.886853159725</v>
      </c>
      <c r="C2205" t="s">
        <v>3192</v>
      </c>
      <c r="D2205" t="s">
        <v>69</v>
      </c>
      <c r="E2205" t="s">
        <v>115</v>
      </c>
      <c r="F2205">
        <v>1.5</v>
      </c>
      <c r="G2205">
        <v>1</v>
      </c>
      <c r="H2205" t="s">
        <v>14</v>
      </c>
      <c r="I2205" t="s">
        <v>40</v>
      </c>
      <c r="J2205" t="s">
        <v>273</v>
      </c>
      <c r="K2205">
        <f>Pqp_supermarket_data[[#This Row],[Unit_Price]]*Pqp_supermarket_data[[#This Row],[Quantity]]</f>
        <v>1.5</v>
      </c>
      <c r="L2205" t="str">
        <f>TEXT(Pqp_supermarket_data[[#This Row],[DateTime]],"ddd")</f>
        <v>Mon</v>
      </c>
      <c r="M2205" t="str">
        <f>TEXT(Pqp_supermarket_data[[#This Row],[DateTime]],"mmm")</f>
        <v>Aug</v>
      </c>
      <c r="N2205" t="str">
        <f>TEXT(Pqp_supermarket_data[[#This Row],[DateTime]],"yyy")</f>
        <v>2024</v>
      </c>
    </row>
    <row r="2206" spans="1:14" x14ac:dyDescent="0.35">
      <c r="A2206" t="s">
        <v>4525</v>
      </c>
      <c r="B2206" s="1">
        <v>45356.572269826385</v>
      </c>
      <c r="C2206" t="s">
        <v>4526</v>
      </c>
      <c r="D2206" t="s">
        <v>127</v>
      </c>
      <c r="E2206" t="s">
        <v>53</v>
      </c>
      <c r="F2206">
        <v>2.8</v>
      </c>
      <c r="G2206">
        <v>10</v>
      </c>
      <c r="H2206" t="s">
        <v>14</v>
      </c>
      <c r="I2206" t="s">
        <v>86</v>
      </c>
      <c r="J2206" t="s">
        <v>769</v>
      </c>
      <c r="K2206">
        <f>Pqp_supermarket_data[[#This Row],[Unit_Price]]*Pqp_supermarket_data[[#This Row],[Quantity]]</f>
        <v>28</v>
      </c>
      <c r="L2206" t="str">
        <f>TEXT(Pqp_supermarket_data[[#This Row],[DateTime]],"ddd")</f>
        <v>Tue</v>
      </c>
      <c r="M2206" t="str">
        <f>TEXT(Pqp_supermarket_data[[#This Row],[DateTime]],"mmm")</f>
        <v>Mar</v>
      </c>
      <c r="N2206" t="str">
        <f>TEXT(Pqp_supermarket_data[[#This Row],[DateTime]],"yyy")</f>
        <v>2024</v>
      </c>
    </row>
    <row r="2207" spans="1:14" x14ac:dyDescent="0.35">
      <c r="A2207" t="s">
        <v>4527</v>
      </c>
      <c r="B2207" s="1">
        <v>44928.343797615744</v>
      </c>
      <c r="C2207" t="s">
        <v>4528</v>
      </c>
      <c r="D2207" t="s">
        <v>19</v>
      </c>
      <c r="E2207" t="s">
        <v>90</v>
      </c>
      <c r="F2207">
        <v>1.8</v>
      </c>
      <c r="G2207">
        <v>3</v>
      </c>
      <c r="H2207" t="s">
        <v>14</v>
      </c>
      <c r="I2207" t="s">
        <v>36</v>
      </c>
      <c r="J2207" t="s">
        <v>178</v>
      </c>
      <c r="K2207">
        <f>Pqp_supermarket_data[[#This Row],[Unit_Price]]*Pqp_supermarket_data[[#This Row],[Quantity]]</f>
        <v>5.4</v>
      </c>
      <c r="L2207" t="str">
        <f>TEXT(Pqp_supermarket_data[[#This Row],[DateTime]],"ddd")</f>
        <v>Mon</v>
      </c>
      <c r="M2207" t="str">
        <f>TEXT(Pqp_supermarket_data[[#This Row],[DateTime]],"mmm")</f>
        <v>Jan</v>
      </c>
      <c r="N2207" t="str">
        <f>TEXT(Pqp_supermarket_data[[#This Row],[DateTime]],"yyy")</f>
        <v>2023</v>
      </c>
    </row>
    <row r="2208" spans="1:14" x14ac:dyDescent="0.35">
      <c r="A2208" t="s">
        <v>4529</v>
      </c>
      <c r="B2208" s="1">
        <v>45415.062547615744</v>
      </c>
      <c r="C2208" t="s">
        <v>4530</v>
      </c>
      <c r="D2208" t="s">
        <v>19</v>
      </c>
      <c r="E2208" t="s">
        <v>148</v>
      </c>
      <c r="F2208">
        <v>5.5</v>
      </c>
      <c r="G2208">
        <v>3</v>
      </c>
      <c r="H2208" t="s">
        <v>14</v>
      </c>
      <c r="I2208" t="s">
        <v>40</v>
      </c>
      <c r="J2208" t="s">
        <v>336</v>
      </c>
      <c r="K2208">
        <f>Pqp_supermarket_data[[#This Row],[Unit_Price]]*Pqp_supermarket_data[[#This Row],[Quantity]]</f>
        <v>16.5</v>
      </c>
      <c r="L2208" t="str">
        <f>TEXT(Pqp_supermarket_data[[#This Row],[DateTime]],"ddd")</f>
        <v>Fri</v>
      </c>
      <c r="M2208" t="str">
        <f>TEXT(Pqp_supermarket_data[[#This Row],[DateTime]],"mmm")</f>
        <v>May</v>
      </c>
      <c r="N2208" t="str">
        <f>TEXT(Pqp_supermarket_data[[#This Row],[DateTime]],"yyy")</f>
        <v>2024</v>
      </c>
    </row>
    <row r="2209" spans="1:14" x14ac:dyDescent="0.35">
      <c r="A2209" t="s">
        <v>4531</v>
      </c>
      <c r="B2209" s="1">
        <v>45369.167408738424</v>
      </c>
      <c r="C2209" t="s">
        <v>4532</v>
      </c>
      <c r="D2209" t="s">
        <v>30</v>
      </c>
      <c r="E2209" t="s">
        <v>53</v>
      </c>
      <c r="F2209">
        <v>2.8</v>
      </c>
      <c r="G2209">
        <v>5</v>
      </c>
      <c r="H2209" t="s">
        <v>14</v>
      </c>
      <c r="I2209" t="s">
        <v>21</v>
      </c>
      <c r="J2209" t="s">
        <v>394</v>
      </c>
      <c r="K2209">
        <f>Pqp_supermarket_data[[#This Row],[Unit_Price]]*Pqp_supermarket_data[[#This Row],[Quantity]]</f>
        <v>14</v>
      </c>
      <c r="L2209" t="str">
        <f>TEXT(Pqp_supermarket_data[[#This Row],[DateTime]],"ddd")</f>
        <v>Mon</v>
      </c>
      <c r="M2209" t="str">
        <f>TEXT(Pqp_supermarket_data[[#This Row],[DateTime]],"mmm")</f>
        <v>Mar</v>
      </c>
      <c r="N2209" t="str">
        <f>TEXT(Pqp_supermarket_data[[#This Row],[DateTime]],"yyy")</f>
        <v>2024</v>
      </c>
    </row>
    <row r="2210" spans="1:14" x14ac:dyDescent="0.35">
      <c r="A2210" t="s">
        <v>4533</v>
      </c>
      <c r="B2210" s="1">
        <v>45728.545186527779</v>
      </c>
      <c r="C2210" t="s">
        <v>4534</v>
      </c>
      <c r="D2210" t="s">
        <v>208</v>
      </c>
      <c r="E2210" t="s">
        <v>115</v>
      </c>
      <c r="F2210">
        <v>1.5</v>
      </c>
      <c r="G2210">
        <v>1</v>
      </c>
      <c r="H2210" t="s">
        <v>14</v>
      </c>
      <c r="I2210" t="s">
        <v>36</v>
      </c>
      <c r="J2210" t="s">
        <v>209</v>
      </c>
      <c r="K2210">
        <f>Pqp_supermarket_data[[#This Row],[Unit_Price]]*Pqp_supermarket_data[[#This Row],[Quantity]]</f>
        <v>1.5</v>
      </c>
      <c r="L2210" t="str">
        <f>TEXT(Pqp_supermarket_data[[#This Row],[DateTime]],"ddd")</f>
        <v>Wed</v>
      </c>
      <c r="M2210" t="str">
        <f>TEXT(Pqp_supermarket_data[[#This Row],[DateTime]],"mmm")</f>
        <v>Mar</v>
      </c>
      <c r="N2210" t="str">
        <f>TEXT(Pqp_supermarket_data[[#This Row],[DateTime]],"yyy")</f>
        <v>2025</v>
      </c>
    </row>
    <row r="2211" spans="1:14" x14ac:dyDescent="0.35">
      <c r="A2211" t="s">
        <v>4535</v>
      </c>
      <c r="B2211" s="1">
        <v>44952.494492094906</v>
      </c>
      <c r="C2211" t="s">
        <v>4536</v>
      </c>
      <c r="D2211" t="s">
        <v>82</v>
      </c>
      <c r="E2211" t="s">
        <v>45</v>
      </c>
      <c r="F2211">
        <v>1</v>
      </c>
      <c r="G2211">
        <v>9</v>
      </c>
      <c r="H2211" t="s">
        <v>14</v>
      </c>
      <c r="I2211" t="s">
        <v>15</v>
      </c>
      <c r="J2211" t="s">
        <v>769</v>
      </c>
      <c r="K2211">
        <f>Pqp_supermarket_data[[#This Row],[Unit_Price]]*Pqp_supermarket_data[[#This Row],[Quantity]]</f>
        <v>9</v>
      </c>
      <c r="L2211" t="str">
        <f>TEXT(Pqp_supermarket_data[[#This Row],[DateTime]],"ddd")</f>
        <v>Thu</v>
      </c>
      <c r="M2211" t="str">
        <f>TEXT(Pqp_supermarket_data[[#This Row],[DateTime]],"mmm")</f>
        <v>Jan</v>
      </c>
      <c r="N2211" t="str">
        <f>TEXT(Pqp_supermarket_data[[#This Row],[DateTime]],"yyy")</f>
        <v>2023</v>
      </c>
    </row>
    <row r="2212" spans="1:14" x14ac:dyDescent="0.35">
      <c r="A2212" t="s">
        <v>4537</v>
      </c>
      <c r="B2212" s="1">
        <v>45581.544492094908</v>
      </c>
      <c r="C2212" t="s">
        <v>4538</v>
      </c>
      <c r="D2212" t="s">
        <v>19</v>
      </c>
      <c r="E2212" t="s">
        <v>26</v>
      </c>
      <c r="F2212">
        <v>2.5</v>
      </c>
      <c r="G2212">
        <v>2</v>
      </c>
      <c r="H2212" t="s">
        <v>14</v>
      </c>
      <c r="I2212" t="s">
        <v>86</v>
      </c>
      <c r="J2212" t="s">
        <v>95</v>
      </c>
      <c r="K2212">
        <f>Pqp_supermarket_data[[#This Row],[Unit_Price]]*Pqp_supermarket_data[[#This Row],[Quantity]]</f>
        <v>5</v>
      </c>
      <c r="L2212" t="str">
        <f>TEXT(Pqp_supermarket_data[[#This Row],[DateTime]],"ddd")</f>
        <v>Wed</v>
      </c>
      <c r="M2212" t="str">
        <f>TEXT(Pqp_supermarket_data[[#This Row],[DateTime]],"mmm")</f>
        <v>Oct</v>
      </c>
      <c r="N2212" t="str">
        <f>TEXT(Pqp_supermarket_data[[#This Row],[DateTime]],"yyy")</f>
        <v>2024</v>
      </c>
    </row>
    <row r="2213" spans="1:14" x14ac:dyDescent="0.35">
      <c r="A2213" t="s">
        <v>4539</v>
      </c>
      <c r="B2213" s="1">
        <v>45555.914630995372</v>
      </c>
      <c r="C2213" t="s">
        <v>4540</v>
      </c>
      <c r="D2213" t="s">
        <v>82</v>
      </c>
      <c r="E2213" t="s">
        <v>20</v>
      </c>
      <c r="F2213">
        <v>1</v>
      </c>
      <c r="G2213">
        <v>8</v>
      </c>
      <c r="H2213" t="s">
        <v>14</v>
      </c>
      <c r="I2213" t="s">
        <v>15</v>
      </c>
      <c r="J2213" t="s">
        <v>538</v>
      </c>
      <c r="K2213">
        <f>Pqp_supermarket_data[[#This Row],[Unit_Price]]*Pqp_supermarket_data[[#This Row],[Quantity]]</f>
        <v>8</v>
      </c>
      <c r="L2213" t="str">
        <f>TEXT(Pqp_supermarket_data[[#This Row],[DateTime]],"ddd")</f>
        <v>Fri</v>
      </c>
      <c r="M2213" t="str">
        <f>TEXT(Pqp_supermarket_data[[#This Row],[DateTime]],"mmm")</f>
        <v>Sep</v>
      </c>
      <c r="N2213" t="str">
        <f>TEXT(Pqp_supermarket_data[[#This Row],[DateTime]],"yyy")</f>
        <v>2024</v>
      </c>
    </row>
    <row r="2214" spans="1:14" x14ac:dyDescent="0.35">
      <c r="A2214" t="s">
        <v>4541</v>
      </c>
      <c r="B2214" s="1">
        <v>44482.546575439817</v>
      </c>
      <c r="C2214" t="s">
        <v>4542</v>
      </c>
      <c r="D2214" t="s">
        <v>98</v>
      </c>
      <c r="E2214" t="s">
        <v>115</v>
      </c>
      <c r="F2214">
        <v>1.5</v>
      </c>
      <c r="G2214">
        <v>5</v>
      </c>
      <c r="H2214" t="s">
        <v>14</v>
      </c>
      <c r="I2214" t="s">
        <v>15</v>
      </c>
      <c r="J2214" t="s">
        <v>394</v>
      </c>
      <c r="K2214">
        <f>Pqp_supermarket_data[[#This Row],[Unit_Price]]*Pqp_supermarket_data[[#This Row],[Quantity]]</f>
        <v>7.5</v>
      </c>
      <c r="L2214" t="str">
        <f>TEXT(Pqp_supermarket_data[[#This Row],[DateTime]],"ddd")</f>
        <v>Wed</v>
      </c>
      <c r="M2214" t="str">
        <f>TEXT(Pqp_supermarket_data[[#This Row],[DateTime]],"mmm")</f>
        <v>Oct</v>
      </c>
      <c r="N2214" t="str">
        <f>TEXT(Pqp_supermarket_data[[#This Row],[DateTime]],"yyy")</f>
        <v>2021</v>
      </c>
    </row>
    <row r="2215" spans="1:14" x14ac:dyDescent="0.35">
      <c r="A2215" t="s">
        <v>4543</v>
      </c>
      <c r="B2215" s="1">
        <v>44441.835464340278</v>
      </c>
      <c r="C2215" t="s">
        <v>4544</v>
      </c>
      <c r="D2215" t="s">
        <v>171</v>
      </c>
      <c r="E2215" t="s">
        <v>148</v>
      </c>
      <c r="F2215">
        <v>5.5</v>
      </c>
      <c r="G2215">
        <v>8</v>
      </c>
      <c r="H2215" t="s">
        <v>14</v>
      </c>
      <c r="I2215" t="s">
        <v>86</v>
      </c>
      <c r="J2215" t="s">
        <v>314</v>
      </c>
      <c r="K2215">
        <f>Pqp_supermarket_data[[#This Row],[Unit_Price]]*Pqp_supermarket_data[[#This Row],[Quantity]]</f>
        <v>44</v>
      </c>
      <c r="L2215" t="str">
        <f>TEXT(Pqp_supermarket_data[[#This Row],[DateTime]],"ddd")</f>
        <v>Thu</v>
      </c>
      <c r="M2215" t="str">
        <f>TEXT(Pqp_supermarket_data[[#This Row],[DateTime]],"mmm")</f>
        <v>Sep</v>
      </c>
      <c r="N2215" t="str">
        <f>TEXT(Pqp_supermarket_data[[#This Row],[DateTime]],"yyy")</f>
        <v>2021</v>
      </c>
    </row>
    <row r="2216" spans="1:14" x14ac:dyDescent="0.35">
      <c r="A2216" t="s">
        <v>4545</v>
      </c>
      <c r="B2216" s="1">
        <v>44617.304214351854</v>
      </c>
      <c r="C2216" t="s">
        <v>4546</v>
      </c>
      <c r="D2216" t="s">
        <v>25</v>
      </c>
      <c r="E2216" t="s">
        <v>90</v>
      </c>
      <c r="F2216">
        <v>1.8</v>
      </c>
      <c r="G2216">
        <v>3</v>
      </c>
      <c r="H2216" t="s">
        <v>14</v>
      </c>
      <c r="I2216" t="s">
        <v>15</v>
      </c>
      <c r="J2216" t="s">
        <v>499</v>
      </c>
      <c r="K2216">
        <f>Pqp_supermarket_data[[#This Row],[Unit_Price]]*Pqp_supermarket_data[[#This Row],[Quantity]]</f>
        <v>5.4</v>
      </c>
      <c r="L2216" t="str">
        <f>TEXT(Pqp_supermarket_data[[#This Row],[DateTime]],"ddd")</f>
        <v>Fri</v>
      </c>
      <c r="M2216" t="str">
        <f>TEXT(Pqp_supermarket_data[[#This Row],[DateTime]],"mmm")</f>
        <v>Feb</v>
      </c>
      <c r="N2216" t="str">
        <f>TEXT(Pqp_supermarket_data[[#This Row],[DateTime]],"yyy")</f>
        <v>2022</v>
      </c>
    </row>
    <row r="2217" spans="1:14" x14ac:dyDescent="0.35">
      <c r="A2217" t="s">
        <v>4547</v>
      </c>
      <c r="B2217" s="1">
        <v>44436.443797685184</v>
      </c>
      <c r="C2217" t="s">
        <v>4548</v>
      </c>
      <c r="D2217" t="s">
        <v>77</v>
      </c>
      <c r="E2217" t="s">
        <v>49</v>
      </c>
      <c r="F2217">
        <v>7</v>
      </c>
      <c r="G2217">
        <v>5</v>
      </c>
      <c r="H2217" t="s">
        <v>14</v>
      </c>
      <c r="I2217" t="s">
        <v>21</v>
      </c>
      <c r="J2217" t="s">
        <v>192</v>
      </c>
      <c r="K2217">
        <f>Pqp_supermarket_data[[#This Row],[Unit_Price]]*Pqp_supermarket_data[[#This Row],[Quantity]]</f>
        <v>35</v>
      </c>
      <c r="L2217" t="str">
        <f>TEXT(Pqp_supermarket_data[[#This Row],[DateTime]],"ddd")</f>
        <v>Sat</v>
      </c>
      <c r="M2217" t="str">
        <f>TEXT(Pqp_supermarket_data[[#This Row],[DateTime]],"mmm")</f>
        <v>Aug</v>
      </c>
      <c r="N2217" t="str">
        <f>TEXT(Pqp_supermarket_data[[#This Row],[DateTime]],"yyy")</f>
        <v>2021</v>
      </c>
    </row>
    <row r="2218" spans="1:14" x14ac:dyDescent="0.35">
      <c r="A2218" t="s">
        <v>4549</v>
      </c>
      <c r="B2218" s="1">
        <v>45275.256992141207</v>
      </c>
      <c r="C2218" t="s">
        <v>4550</v>
      </c>
      <c r="D2218" t="s">
        <v>69</v>
      </c>
      <c r="E2218" t="s">
        <v>57</v>
      </c>
      <c r="F2218">
        <v>4.5</v>
      </c>
      <c r="G2218">
        <v>6</v>
      </c>
      <c r="H2218" t="s">
        <v>14</v>
      </c>
      <c r="I2218" t="s">
        <v>36</v>
      </c>
      <c r="J2218" t="s">
        <v>311</v>
      </c>
      <c r="K2218">
        <f>Pqp_supermarket_data[[#This Row],[Unit_Price]]*Pqp_supermarket_data[[#This Row],[Quantity]]</f>
        <v>27</v>
      </c>
      <c r="L2218" t="str">
        <f>TEXT(Pqp_supermarket_data[[#This Row],[DateTime]],"ddd")</f>
        <v>Fri</v>
      </c>
      <c r="M2218" t="str">
        <f>TEXT(Pqp_supermarket_data[[#This Row],[DateTime]],"mmm")</f>
        <v>Dec</v>
      </c>
      <c r="N2218" t="str">
        <f>TEXT(Pqp_supermarket_data[[#This Row],[DateTime]],"yyy")</f>
        <v>2023</v>
      </c>
    </row>
    <row r="2219" spans="1:14" x14ac:dyDescent="0.35">
      <c r="A2219" t="s">
        <v>4551</v>
      </c>
      <c r="B2219" s="1">
        <v>44417.786853252313</v>
      </c>
      <c r="C2219" t="s">
        <v>4552</v>
      </c>
      <c r="D2219" t="s">
        <v>85</v>
      </c>
      <c r="E2219" t="s">
        <v>119</v>
      </c>
      <c r="F2219">
        <v>4</v>
      </c>
      <c r="G2219">
        <v>5</v>
      </c>
      <c r="H2219" t="s">
        <v>14</v>
      </c>
      <c r="I2219" t="s">
        <v>15</v>
      </c>
      <c r="J2219" t="s">
        <v>394</v>
      </c>
      <c r="K2219">
        <f>Pqp_supermarket_data[[#This Row],[Unit_Price]]*Pqp_supermarket_data[[#This Row],[Quantity]]</f>
        <v>20</v>
      </c>
      <c r="L2219" t="str">
        <f>TEXT(Pqp_supermarket_data[[#This Row],[DateTime]],"ddd")</f>
        <v>Mon</v>
      </c>
      <c r="M2219" t="str">
        <f>TEXT(Pqp_supermarket_data[[#This Row],[DateTime]],"mmm")</f>
        <v>Aug</v>
      </c>
      <c r="N2219" t="str">
        <f>TEXT(Pqp_supermarket_data[[#This Row],[DateTime]],"yyy")</f>
        <v>2021</v>
      </c>
    </row>
    <row r="2220" spans="1:14" x14ac:dyDescent="0.35">
      <c r="A2220" t="s">
        <v>4553</v>
      </c>
      <c r="B2220" s="1">
        <v>44922.072269942131</v>
      </c>
      <c r="C2220" t="s">
        <v>4554</v>
      </c>
      <c r="D2220" t="s">
        <v>69</v>
      </c>
      <c r="E2220" t="s">
        <v>119</v>
      </c>
      <c r="F2220">
        <v>4</v>
      </c>
      <c r="G2220">
        <v>1</v>
      </c>
      <c r="H2220" t="s">
        <v>14</v>
      </c>
      <c r="I2220" t="s">
        <v>36</v>
      </c>
      <c r="J2220" t="s">
        <v>423</v>
      </c>
      <c r="K2220">
        <f>Pqp_supermarket_data[[#This Row],[Unit_Price]]*Pqp_supermarket_data[[#This Row],[Quantity]]</f>
        <v>4</v>
      </c>
      <c r="L2220" t="str">
        <f>TEXT(Pqp_supermarket_data[[#This Row],[DateTime]],"ddd")</f>
        <v>Tue</v>
      </c>
      <c r="M2220" t="str">
        <f>TEXT(Pqp_supermarket_data[[#This Row],[DateTime]],"mmm")</f>
        <v>Dec</v>
      </c>
      <c r="N2220" t="str">
        <f>TEXT(Pqp_supermarket_data[[#This Row],[DateTime]],"yyy")</f>
        <v>2022</v>
      </c>
    </row>
    <row r="2221" spans="1:14" x14ac:dyDescent="0.35">
      <c r="A2221" t="s">
        <v>4555</v>
      </c>
      <c r="B2221" s="1">
        <v>44492.483381064812</v>
      </c>
      <c r="C2221" t="s">
        <v>4556</v>
      </c>
      <c r="D2221" t="s">
        <v>25</v>
      </c>
      <c r="E2221" t="s">
        <v>94</v>
      </c>
      <c r="F2221">
        <v>0.8</v>
      </c>
      <c r="G2221">
        <v>1</v>
      </c>
      <c r="H2221" t="s">
        <v>14</v>
      </c>
      <c r="I2221" t="s">
        <v>15</v>
      </c>
      <c r="J2221" t="s">
        <v>71</v>
      </c>
      <c r="K2221">
        <f>Pqp_supermarket_data[[#This Row],[Unit_Price]]*Pqp_supermarket_data[[#This Row],[Quantity]]</f>
        <v>0.8</v>
      </c>
      <c r="L2221" t="str">
        <f>TEXT(Pqp_supermarket_data[[#This Row],[DateTime]],"ddd")</f>
        <v>Sat</v>
      </c>
      <c r="M2221" t="str">
        <f>TEXT(Pqp_supermarket_data[[#This Row],[DateTime]],"mmm")</f>
        <v>Oct</v>
      </c>
      <c r="N2221" t="str">
        <f>TEXT(Pqp_supermarket_data[[#This Row],[DateTime]],"yyy")</f>
        <v>2021</v>
      </c>
    </row>
    <row r="2222" spans="1:14" x14ac:dyDescent="0.35">
      <c r="A2222" t="s">
        <v>4557</v>
      </c>
      <c r="B2222" s="1">
        <v>45717.261158842593</v>
      </c>
      <c r="C2222" t="s">
        <v>4558</v>
      </c>
      <c r="D2222" t="s">
        <v>82</v>
      </c>
      <c r="E2222" t="s">
        <v>39</v>
      </c>
      <c r="F2222">
        <v>3.2</v>
      </c>
      <c r="G2222">
        <v>1</v>
      </c>
      <c r="H2222" t="s">
        <v>14</v>
      </c>
      <c r="I2222" t="s">
        <v>21</v>
      </c>
      <c r="J2222" t="s">
        <v>470</v>
      </c>
      <c r="K2222">
        <f>Pqp_supermarket_data[[#This Row],[Unit_Price]]*Pqp_supermarket_data[[#This Row],[Quantity]]</f>
        <v>3.2</v>
      </c>
      <c r="L2222" t="str">
        <f>TEXT(Pqp_supermarket_data[[#This Row],[DateTime]],"ddd")</f>
        <v>Sat</v>
      </c>
      <c r="M2222" t="str">
        <f>TEXT(Pqp_supermarket_data[[#This Row],[DateTime]],"mmm")</f>
        <v>Mar</v>
      </c>
      <c r="N2222" t="str">
        <f>TEXT(Pqp_supermarket_data[[#This Row],[DateTime]],"yyy")</f>
        <v>2025</v>
      </c>
    </row>
    <row r="2223" spans="1:14" x14ac:dyDescent="0.35">
      <c r="A2223" t="s">
        <v>4559</v>
      </c>
      <c r="B2223" s="1">
        <v>44796.093103310188</v>
      </c>
      <c r="C2223" t="s">
        <v>4560</v>
      </c>
      <c r="D2223" t="s">
        <v>30</v>
      </c>
      <c r="E2223" t="s">
        <v>119</v>
      </c>
      <c r="F2223">
        <v>4</v>
      </c>
      <c r="G2223">
        <v>7</v>
      </c>
      <c r="H2223" t="s">
        <v>14</v>
      </c>
      <c r="I2223" t="s">
        <v>86</v>
      </c>
      <c r="J2223" t="s">
        <v>163</v>
      </c>
      <c r="K2223">
        <f>Pqp_supermarket_data[[#This Row],[Unit_Price]]*Pqp_supermarket_data[[#This Row],[Quantity]]</f>
        <v>28</v>
      </c>
      <c r="L2223" t="str">
        <f>TEXT(Pqp_supermarket_data[[#This Row],[DateTime]],"ddd")</f>
        <v>Tue</v>
      </c>
      <c r="M2223" t="str">
        <f>TEXT(Pqp_supermarket_data[[#This Row],[DateTime]],"mmm")</f>
        <v>Aug</v>
      </c>
      <c r="N2223" t="str">
        <f>TEXT(Pqp_supermarket_data[[#This Row],[DateTime]],"yyy")</f>
        <v>2022</v>
      </c>
    </row>
    <row r="2224" spans="1:14" x14ac:dyDescent="0.35">
      <c r="A2224" t="s">
        <v>4561</v>
      </c>
      <c r="B2224" s="1">
        <v>44857.756992199073</v>
      </c>
      <c r="C2224" t="s">
        <v>4562</v>
      </c>
      <c r="D2224" t="s">
        <v>85</v>
      </c>
      <c r="E2224" t="s">
        <v>70</v>
      </c>
      <c r="F2224">
        <v>5</v>
      </c>
      <c r="G2224">
        <v>2</v>
      </c>
      <c r="H2224" t="s">
        <v>14</v>
      </c>
      <c r="I2224" t="s">
        <v>36</v>
      </c>
      <c r="J2224" t="s">
        <v>339</v>
      </c>
      <c r="K2224">
        <f>Pqp_supermarket_data[[#This Row],[Unit_Price]]*Pqp_supermarket_data[[#This Row],[Quantity]]</f>
        <v>10</v>
      </c>
      <c r="L2224" t="str">
        <f>TEXT(Pqp_supermarket_data[[#This Row],[DateTime]],"ddd")</f>
        <v>Sun</v>
      </c>
      <c r="M2224" t="str">
        <f>TEXT(Pqp_supermarket_data[[#This Row],[DateTime]],"mmm")</f>
        <v>Oct</v>
      </c>
      <c r="N2224" t="str">
        <f>TEXT(Pqp_supermarket_data[[#This Row],[DateTime]],"yyy")</f>
        <v>2022</v>
      </c>
    </row>
    <row r="2225" spans="1:14" x14ac:dyDescent="0.35">
      <c r="A2225" t="s">
        <v>4563</v>
      </c>
      <c r="B2225" s="1">
        <v>44443.852131099535</v>
      </c>
      <c r="C2225" t="s">
        <v>4564</v>
      </c>
      <c r="D2225" t="s">
        <v>44</v>
      </c>
      <c r="E2225" t="s">
        <v>39</v>
      </c>
      <c r="F2225">
        <v>3.2</v>
      </c>
      <c r="G2225">
        <v>3</v>
      </c>
      <c r="H2225" t="s">
        <v>14</v>
      </c>
      <c r="I2225" t="s">
        <v>61</v>
      </c>
      <c r="J2225" t="s">
        <v>102</v>
      </c>
      <c r="K2225">
        <f>Pqp_supermarket_data[[#This Row],[Unit_Price]]*Pqp_supermarket_data[[#This Row],[Quantity]]</f>
        <v>9.6000000000000014</v>
      </c>
      <c r="L2225" t="str">
        <f>TEXT(Pqp_supermarket_data[[#This Row],[DateTime]],"ddd")</f>
        <v>Sat</v>
      </c>
      <c r="M2225" t="str">
        <f>TEXT(Pqp_supermarket_data[[#This Row],[DateTime]],"mmm")</f>
        <v>Sep</v>
      </c>
      <c r="N2225" t="str">
        <f>TEXT(Pqp_supermarket_data[[#This Row],[DateTime]],"yyy")</f>
        <v>2021</v>
      </c>
    </row>
    <row r="2226" spans="1:14" x14ac:dyDescent="0.35">
      <c r="A2226" t="s">
        <v>4565</v>
      </c>
      <c r="B2226" s="1">
        <v>44787.831297777775</v>
      </c>
      <c r="C2226" t="s">
        <v>4566</v>
      </c>
      <c r="D2226" t="s">
        <v>30</v>
      </c>
      <c r="E2226" t="s">
        <v>148</v>
      </c>
      <c r="F2226">
        <v>5.5</v>
      </c>
      <c r="G2226">
        <v>6</v>
      </c>
      <c r="H2226" t="s">
        <v>14</v>
      </c>
      <c r="I2226" t="s">
        <v>21</v>
      </c>
      <c r="J2226" t="s">
        <v>924</v>
      </c>
      <c r="K2226">
        <f>Pqp_supermarket_data[[#This Row],[Unit_Price]]*Pqp_supermarket_data[[#This Row],[Quantity]]</f>
        <v>33</v>
      </c>
      <c r="L2226" t="str">
        <f>TEXT(Pqp_supermarket_data[[#This Row],[DateTime]],"ddd")</f>
        <v>Sun</v>
      </c>
      <c r="M2226" t="str">
        <f>TEXT(Pqp_supermarket_data[[#This Row],[DateTime]],"mmm")</f>
        <v>Aug</v>
      </c>
      <c r="N2226" t="str">
        <f>TEXT(Pqp_supermarket_data[[#This Row],[DateTime]],"yyy")</f>
        <v>2022</v>
      </c>
    </row>
    <row r="2227" spans="1:14" x14ac:dyDescent="0.35">
      <c r="A2227" t="s">
        <v>4567</v>
      </c>
      <c r="B2227" s="1">
        <v>45657.082686666668</v>
      </c>
      <c r="C2227" t="s">
        <v>4568</v>
      </c>
      <c r="D2227" t="s">
        <v>30</v>
      </c>
      <c r="E2227" t="s">
        <v>35</v>
      </c>
      <c r="F2227">
        <v>1.2</v>
      </c>
      <c r="G2227">
        <v>9</v>
      </c>
      <c r="H2227" t="s">
        <v>14</v>
      </c>
      <c r="I2227" t="s">
        <v>15</v>
      </c>
      <c r="J2227" t="s">
        <v>58</v>
      </c>
      <c r="K2227">
        <f>Pqp_supermarket_data[[#This Row],[Unit_Price]]*Pqp_supermarket_data[[#This Row],[Quantity]]</f>
        <v>10.799999999999999</v>
      </c>
      <c r="L2227" t="str">
        <f>TEXT(Pqp_supermarket_data[[#This Row],[DateTime]],"ddd")</f>
        <v>Tue</v>
      </c>
      <c r="M2227" t="str">
        <f>TEXT(Pqp_supermarket_data[[#This Row],[DateTime]],"mmm")</f>
        <v>Dec</v>
      </c>
      <c r="N2227" t="str">
        <f>TEXT(Pqp_supermarket_data[[#This Row],[DateTime]],"yyy")</f>
        <v>2024</v>
      </c>
    </row>
    <row r="2228" spans="1:14" x14ac:dyDescent="0.35">
      <c r="A2228" t="s">
        <v>4569</v>
      </c>
      <c r="B2228" s="1">
        <v>45320.939631122688</v>
      </c>
      <c r="C2228" t="s">
        <v>4570</v>
      </c>
      <c r="D2228" t="s">
        <v>77</v>
      </c>
      <c r="E2228" t="s">
        <v>148</v>
      </c>
      <c r="F2228">
        <v>5.5</v>
      </c>
      <c r="G2228">
        <v>9</v>
      </c>
      <c r="H2228" t="s">
        <v>14</v>
      </c>
      <c r="I2228" t="s">
        <v>36</v>
      </c>
      <c r="J2228" t="s">
        <v>50</v>
      </c>
      <c r="K2228">
        <f>Pqp_supermarket_data[[#This Row],[Unit_Price]]*Pqp_supermarket_data[[#This Row],[Quantity]]</f>
        <v>49.5</v>
      </c>
      <c r="L2228" t="str">
        <f>TEXT(Pqp_supermarket_data[[#This Row],[DateTime]],"ddd")</f>
        <v>Mon</v>
      </c>
      <c r="M2228" t="str">
        <f>TEXT(Pqp_supermarket_data[[#This Row],[DateTime]],"mmm")</f>
        <v>Jan</v>
      </c>
      <c r="N2228" t="str">
        <f>TEXT(Pqp_supermarket_data[[#This Row],[DateTime]],"yyy")</f>
        <v>2024</v>
      </c>
    </row>
    <row r="2229" spans="1:14" x14ac:dyDescent="0.35">
      <c r="A2229" t="s">
        <v>4571</v>
      </c>
      <c r="B2229" s="1">
        <v>45528.088242256941</v>
      </c>
      <c r="C2229" t="s">
        <v>4572</v>
      </c>
      <c r="D2229" t="s">
        <v>98</v>
      </c>
      <c r="E2229" t="s">
        <v>145</v>
      </c>
      <c r="F2229">
        <v>1.7</v>
      </c>
      <c r="G2229">
        <v>9</v>
      </c>
      <c r="H2229" t="s">
        <v>14</v>
      </c>
      <c r="I2229" t="s">
        <v>40</v>
      </c>
      <c r="J2229" t="s">
        <v>616</v>
      </c>
      <c r="K2229">
        <f>Pqp_supermarket_data[[#This Row],[Unit_Price]]*Pqp_supermarket_data[[#This Row],[Quantity]]</f>
        <v>15.299999999999999</v>
      </c>
      <c r="L2229" t="str">
        <f>TEXT(Pqp_supermarket_data[[#This Row],[DateTime]],"ddd")</f>
        <v>Sat</v>
      </c>
      <c r="M2229" t="str">
        <f>TEXT(Pqp_supermarket_data[[#This Row],[DateTime]],"mmm")</f>
        <v>Aug</v>
      </c>
      <c r="N2229" t="str">
        <f>TEXT(Pqp_supermarket_data[[#This Row],[DateTime]],"yyy")</f>
        <v>2024</v>
      </c>
    </row>
    <row r="2230" spans="1:14" x14ac:dyDescent="0.35">
      <c r="A2230" t="s">
        <v>4573</v>
      </c>
      <c r="B2230" s="1">
        <v>45413.023658923608</v>
      </c>
      <c r="C2230" t="s">
        <v>4574</v>
      </c>
      <c r="D2230" t="s">
        <v>19</v>
      </c>
      <c r="E2230" t="s">
        <v>90</v>
      </c>
      <c r="F2230">
        <v>1.8</v>
      </c>
      <c r="G2230">
        <v>4</v>
      </c>
      <c r="H2230" t="s">
        <v>14</v>
      </c>
      <c r="I2230" t="s">
        <v>15</v>
      </c>
      <c r="J2230" t="s">
        <v>382</v>
      </c>
      <c r="K2230">
        <f>Pqp_supermarket_data[[#This Row],[Unit_Price]]*Pqp_supermarket_data[[#This Row],[Quantity]]</f>
        <v>7.2</v>
      </c>
      <c r="L2230" t="str">
        <f>TEXT(Pqp_supermarket_data[[#This Row],[DateTime]],"ddd")</f>
        <v>Wed</v>
      </c>
      <c r="M2230" t="str">
        <f>TEXT(Pqp_supermarket_data[[#This Row],[DateTime]],"mmm")</f>
        <v>May</v>
      </c>
      <c r="N2230" t="str">
        <f>TEXT(Pqp_supermarket_data[[#This Row],[DateTime]],"yyy")</f>
        <v>2024</v>
      </c>
    </row>
    <row r="2231" spans="1:14" x14ac:dyDescent="0.35">
      <c r="A2231" t="s">
        <v>4575</v>
      </c>
      <c r="B2231" s="1">
        <v>45332.551436712965</v>
      </c>
      <c r="C2231" t="s">
        <v>4576</v>
      </c>
      <c r="D2231" t="s">
        <v>12</v>
      </c>
      <c r="E2231" t="s">
        <v>53</v>
      </c>
      <c r="F2231">
        <v>2.8</v>
      </c>
      <c r="G2231">
        <v>9</v>
      </c>
      <c r="H2231" t="s">
        <v>14</v>
      </c>
      <c r="I2231" t="s">
        <v>21</v>
      </c>
      <c r="J2231" t="s">
        <v>267</v>
      </c>
      <c r="K2231">
        <f>Pqp_supermarket_data[[#This Row],[Unit_Price]]*Pqp_supermarket_data[[#This Row],[Quantity]]</f>
        <v>25.2</v>
      </c>
      <c r="L2231" t="str">
        <f>TEXT(Pqp_supermarket_data[[#This Row],[DateTime]],"ddd")</f>
        <v>Sat</v>
      </c>
      <c r="M2231" t="str">
        <f>TEXT(Pqp_supermarket_data[[#This Row],[DateTime]],"mmm")</f>
        <v>Feb</v>
      </c>
      <c r="N2231" t="str">
        <f>TEXT(Pqp_supermarket_data[[#This Row],[DateTime]],"yyy")</f>
        <v>2024</v>
      </c>
    </row>
    <row r="2232" spans="1:14" x14ac:dyDescent="0.35">
      <c r="A2232" t="s">
        <v>4577</v>
      </c>
      <c r="B2232" s="1">
        <v>45475.771575601852</v>
      </c>
      <c r="C2232" t="s">
        <v>4578</v>
      </c>
      <c r="D2232" t="s">
        <v>85</v>
      </c>
      <c r="E2232" t="s">
        <v>90</v>
      </c>
      <c r="F2232">
        <v>1.8</v>
      </c>
      <c r="G2232">
        <v>1</v>
      </c>
      <c r="H2232" t="s">
        <v>14</v>
      </c>
      <c r="I2232" t="s">
        <v>21</v>
      </c>
      <c r="J2232" t="s">
        <v>116</v>
      </c>
      <c r="K2232">
        <f>Pqp_supermarket_data[[#This Row],[Unit_Price]]*Pqp_supermarket_data[[#This Row],[Quantity]]</f>
        <v>1.8</v>
      </c>
      <c r="L2232" t="str">
        <f>TEXT(Pqp_supermarket_data[[#This Row],[DateTime]],"ddd")</f>
        <v>Tue</v>
      </c>
      <c r="M2232" t="str">
        <f>TEXT(Pqp_supermarket_data[[#This Row],[DateTime]],"mmm")</f>
        <v>Jul</v>
      </c>
      <c r="N2232" t="str">
        <f>TEXT(Pqp_supermarket_data[[#This Row],[DateTime]],"yyy")</f>
        <v>2024</v>
      </c>
    </row>
    <row r="2233" spans="1:14" x14ac:dyDescent="0.35">
      <c r="A2233" t="s">
        <v>4579</v>
      </c>
      <c r="B2233" s="1">
        <v>44682.237547835648</v>
      </c>
      <c r="C2233" t="s">
        <v>4580</v>
      </c>
      <c r="D2233" t="s">
        <v>85</v>
      </c>
      <c r="E2233" t="s">
        <v>94</v>
      </c>
      <c r="F2233">
        <v>0.8</v>
      </c>
      <c r="G2233">
        <v>6</v>
      </c>
      <c r="H2233" t="s">
        <v>14</v>
      </c>
      <c r="I2233" t="s">
        <v>15</v>
      </c>
      <c r="J2233" t="s">
        <v>58</v>
      </c>
      <c r="K2233">
        <f>Pqp_supermarket_data[[#This Row],[Unit_Price]]*Pqp_supermarket_data[[#This Row],[Quantity]]</f>
        <v>4.8000000000000007</v>
      </c>
      <c r="L2233" t="str">
        <f>TEXT(Pqp_supermarket_data[[#This Row],[DateTime]],"ddd")</f>
        <v>Sun</v>
      </c>
      <c r="M2233" t="str">
        <f>TEXT(Pqp_supermarket_data[[#This Row],[DateTime]],"mmm")</f>
        <v>May</v>
      </c>
      <c r="N2233" t="str">
        <f>TEXT(Pqp_supermarket_data[[#This Row],[DateTime]],"yyy")</f>
        <v>2022</v>
      </c>
    </row>
    <row r="2234" spans="1:14" x14ac:dyDescent="0.35">
      <c r="A2234" t="s">
        <v>4581</v>
      </c>
      <c r="B2234" s="1">
        <v>44393.323658958332</v>
      </c>
      <c r="C2234" t="s">
        <v>2896</v>
      </c>
      <c r="D2234" t="s">
        <v>30</v>
      </c>
      <c r="E2234" t="s">
        <v>45</v>
      </c>
      <c r="F2234">
        <v>1</v>
      </c>
      <c r="G2234">
        <v>4</v>
      </c>
      <c r="H2234" t="s">
        <v>14</v>
      </c>
      <c r="I2234" t="s">
        <v>36</v>
      </c>
      <c r="J2234" t="s">
        <v>744</v>
      </c>
      <c r="K2234">
        <f>Pqp_supermarket_data[[#This Row],[Unit_Price]]*Pqp_supermarket_data[[#This Row],[Quantity]]</f>
        <v>4</v>
      </c>
      <c r="L2234" t="str">
        <f>TEXT(Pqp_supermarket_data[[#This Row],[DateTime]],"ddd")</f>
        <v>Fri</v>
      </c>
      <c r="M2234" t="str">
        <f>TEXT(Pqp_supermarket_data[[#This Row],[DateTime]],"mmm")</f>
        <v>Jul</v>
      </c>
      <c r="N2234" t="str">
        <f>TEXT(Pqp_supermarket_data[[#This Row],[DateTime]],"yyy")</f>
        <v>2021</v>
      </c>
    </row>
    <row r="2235" spans="1:14" x14ac:dyDescent="0.35">
      <c r="A2235" t="s">
        <v>4582</v>
      </c>
      <c r="B2235" s="1">
        <v>44678.749353402774</v>
      </c>
      <c r="C2235" t="s">
        <v>4583</v>
      </c>
      <c r="D2235" t="s">
        <v>34</v>
      </c>
      <c r="E2235" t="s">
        <v>78</v>
      </c>
      <c r="F2235">
        <v>4</v>
      </c>
      <c r="G2235">
        <v>5</v>
      </c>
      <c r="H2235" t="s">
        <v>14</v>
      </c>
      <c r="I2235" t="s">
        <v>40</v>
      </c>
      <c r="J2235" t="s">
        <v>548</v>
      </c>
      <c r="K2235">
        <f>Pqp_supermarket_data[[#This Row],[Unit_Price]]*Pqp_supermarket_data[[#This Row],[Quantity]]</f>
        <v>20</v>
      </c>
      <c r="L2235" t="str">
        <f>TEXT(Pqp_supermarket_data[[#This Row],[DateTime]],"ddd")</f>
        <v>Wed</v>
      </c>
      <c r="M2235" t="str">
        <f>TEXT(Pqp_supermarket_data[[#This Row],[DateTime]],"mmm")</f>
        <v>Apr</v>
      </c>
      <c r="N2235" t="str">
        <f>TEXT(Pqp_supermarket_data[[#This Row],[DateTime]],"yyy")</f>
        <v>2022</v>
      </c>
    </row>
    <row r="2236" spans="1:14" x14ac:dyDescent="0.35">
      <c r="A2236" t="s">
        <v>4584</v>
      </c>
      <c r="B2236" s="1">
        <v>45179.020186747686</v>
      </c>
      <c r="C2236" t="s">
        <v>4585</v>
      </c>
      <c r="D2236" t="s">
        <v>85</v>
      </c>
      <c r="E2236" t="s">
        <v>145</v>
      </c>
      <c r="F2236">
        <v>1.7</v>
      </c>
      <c r="G2236">
        <v>8</v>
      </c>
      <c r="H2236" t="s">
        <v>14</v>
      </c>
      <c r="I2236" t="s">
        <v>86</v>
      </c>
      <c r="J2236" t="s">
        <v>394</v>
      </c>
      <c r="K2236">
        <f>Pqp_supermarket_data[[#This Row],[Unit_Price]]*Pqp_supermarket_data[[#This Row],[Quantity]]</f>
        <v>13.6</v>
      </c>
      <c r="L2236" t="str">
        <f>TEXT(Pqp_supermarket_data[[#This Row],[DateTime]],"ddd")</f>
        <v>Sun</v>
      </c>
      <c r="M2236" t="str">
        <f>TEXT(Pqp_supermarket_data[[#This Row],[DateTime]],"mmm")</f>
        <v>Sep</v>
      </c>
      <c r="N2236" t="str">
        <f>TEXT(Pqp_supermarket_data[[#This Row],[DateTime]],"yyy")</f>
        <v>2023</v>
      </c>
    </row>
    <row r="2237" spans="1:14" x14ac:dyDescent="0.35">
      <c r="A2237" t="s">
        <v>4586</v>
      </c>
      <c r="B2237" s="1">
        <v>45507.588242314814</v>
      </c>
      <c r="C2237" t="s">
        <v>4587</v>
      </c>
      <c r="D2237" t="s">
        <v>208</v>
      </c>
      <c r="E2237" t="s">
        <v>65</v>
      </c>
      <c r="F2237">
        <v>3</v>
      </c>
      <c r="G2237">
        <v>5</v>
      </c>
      <c r="H2237" t="s">
        <v>14</v>
      </c>
      <c r="I2237" t="s">
        <v>36</v>
      </c>
      <c r="J2237" t="s">
        <v>270</v>
      </c>
      <c r="K2237">
        <f>Pqp_supermarket_data[[#This Row],[Unit_Price]]*Pqp_supermarket_data[[#This Row],[Quantity]]</f>
        <v>15</v>
      </c>
      <c r="L2237" t="str">
        <f>TEXT(Pqp_supermarket_data[[#This Row],[DateTime]],"ddd")</f>
        <v>Sat</v>
      </c>
      <c r="M2237" t="str">
        <f>TEXT(Pqp_supermarket_data[[#This Row],[DateTime]],"mmm")</f>
        <v>Aug</v>
      </c>
      <c r="N2237" t="str">
        <f>TEXT(Pqp_supermarket_data[[#This Row],[DateTime]],"yyy")</f>
        <v>2024</v>
      </c>
    </row>
    <row r="2238" spans="1:14" x14ac:dyDescent="0.35">
      <c r="A2238" t="s">
        <v>4588</v>
      </c>
      <c r="B2238" s="1">
        <v>44418.175742314816</v>
      </c>
      <c r="C2238" t="s">
        <v>4589</v>
      </c>
      <c r="D2238" t="s">
        <v>19</v>
      </c>
      <c r="E2238" t="s">
        <v>45</v>
      </c>
      <c r="F2238">
        <v>1</v>
      </c>
      <c r="G2238">
        <v>10</v>
      </c>
      <c r="H2238" t="s">
        <v>14</v>
      </c>
      <c r="I2238" t="s">
        <v>40</v>
      </c>
      <c r="J2238" t="s">
        <v>387</v>
      </c>
      <c r="K2238">
        <f>Pqp_supermarket_data[[#This Row],[Unit_Price]]*Pqp_supermarket_data[[#This Row],[Quantity]]</f>
        <v>10</v>
      </c>
      <c r="L2238" t="str">
        <f>TEXT(Pqp_supermarket_data[[#This Row],[DateTime]],"ddd")</f>
        <v>Tue</v>
      </c>
      <c r="M2238" t="str">
        <f>TEXT(Pqp_supermarket_data[[#This Row],[DateTime]],"mmm")</f>
        <v>Aug</v>
      </c>
      <c r="N2238" t="str">
        <f>TEXT(Pqp_supermarket_data[[#This Row],[DateTime]],"yyy")</f>
        <v>2021</v>
      </c>
    </row>
    <row r="2239" spans="1:14" x14ac:dyDescent="0.35">
      <c r="A2239" t="s">
        <v>4590</v>
      </c>
      <c r="B2239" s="1">
        <v>44946.386853425924</v>
      </c>
      <c r="C2239" t="s">
        <v>4591</v>
      </c>
      <c r="D2239" t="s">
        <v>98</v>
      </c>
      <c r="E2239" t="s">
        <v>94</v>
      </c>
      <c r="F2239">
        <v>0.8</v>
      </c>
      <c r="G2239">
        <v>4</v>
      </c>
      <c r="H2239" t="s">
        <v>14</v>
      </c>
      <c r="I2239" t="s">
        <v>86</v>
      </c>
      <c r="J2239" t="s">
        <v>769</v>
      </c>
      <c r="K2239">
        <f>Pqp_supermarket_data[[#This Row],[Unit_Price]]*Pqp_supermarket_data[[#This Row],[Quantity]]</f>
        <v>3.2</v>
      </c>
      <c r="L2239" t="str">
        <f>TEXT(Pqp_supermarket_data[[#This Row],[DateTime]],"ddd")</f>
        <v>Fri</v>
      </c>
      <c r="M2239" t="str">
        <f>TEXT(Pqp_supermarket_data[[#This Row],[DateTime]],"mmm")</f>
        <v>Jan</v>
      </c>
      <c r="N2239" t="str">
        <f>TEXT(Pqp_supermarket_data[[#This Row],[DateTime]],"yyy")</f>
        <v>2023</v>
      </c>
    </row>
    <row r="2240" spans="1:14" x14ac:dyDescent="0.35">
      <c r="A2240" t="s">
        <v>4592</v>
      </c>
      <c r="B2240" s="1">
        <v>44463.000742326389</v>
      </c>
      <c r="C2240" t="s">
        <v>4593</v>
      </c>
      <c r="D2240" t="s">
        <v>171</v>
      </c>
      <c r="E2240" t="s">
        <v>78</v>
      </c>
      <c r="F2240">
        <v>4</v>
      </c>
      <c r="G2240">
        <v>4</v>
      </c>
      <c r="H2240" t="s">
        <v>14</v>
      </c>
      <c r="I2240" t="s">
        <v>61</v>
      </c>
      <c r="J2240" t="s">
        <v>205</v>
      </c>
      <c r="K2240">
        <f>Pqp_supermarket_data[[#This Row],[Unit_Price]]*Pqp_supermarket_data[[#This Row],[Quantity]]</f>
        <v>16</v>
      </c>
      <c r="L2240" t="str">
        <f>TEXT(Pqp_supermarket_data[[#This Row],[DateTime]],"ddd")</f>
        <v>Fri</v>
      </c>
      <c r="M2240" t="str">
        <f>TEXT(Pqp_supermarket_data[[#This Row],[DateTime]],"mmm")</f>
        <v>Sep</v>
      </c>
      <c r="N2240" t="str">
        <f>TEXT(Pqp_supermarket_data[[#This Row],[DateTime]],"yyy")</f>
        <v>2021</v>
      </c>
    </row>
    <row r="2241" spans="1:14" x14ac:dyDescent="0.35">
      <c r="A2241" t="s">
        <v>4594</v>
      </c>
      <c r="B2241" s="1">
        <v>45323.220881215275</v>
      </c>
      <c r="C2241" t="s">
        <v>4595</v>
      </c>
      <c r="D2241" t="s">
        <v>19</v>
      </c>
      <c r="E2241" t="s">
        <v>49</v>
      </c>
      <c r="F2241">
        <v>7</v>
      </c>
      <c r="G2241">
        <v>2</v>
      </c>
      <c r="H2241" t="s">
        <v>14</v>
      </c>
      <c r="I2241" t="s">
        <v>36</v>
      </c>
      <c r="J2241" t="s">
        <v>202</v>
      </c>
      <c r="K2241">
        <f>Pqp_supermarket_data[[#This Row],[Unit_Price]]*Pqp_supermarket_data[[#This Row],[Quantity]]</f>
        <v>14</v>
      </c>
      <c r="L2241" t="str">
        <f>TEXT(Pqp_supermarket_data[[#This Row],[DateTime]],"ddd")</f>
        <v>Thu</v>
      </c>
      <c r="M2241" t="str">
        <f>TEXT(Pqp_supermarket_data[[#This Row],[DateTime]],"mmm")</f>
        <v>Feb</v>
      </c>
      <c r="N2241" t="str">
        <f>TEXT(Pqp_supermarket_data[[#This Row],[DateTime]],"yyy")</f>
        <v>2024</v>
      </c>
    </row>
    <row r="2242" spans="1:14" x14ac:dyDescent="0.35">
      <c r="A2242" t="s">
        <v>4596</v>
      </c>
      <c r="B2242" s="1">
        <v>44586.67852011574</v>
      </c>
      <c r="C2242" t="s">
        <v>4597</v>
      </c>
      <c r="D2242" t="s">
        <v>25</v>
      </c>
      <c r="E2242" t="s">
        <v>70</v>
      </c>
      <c r="F2242">
        <v>5</v>
      </c>
      <c r="G2242">
        <v>3</v>
      </c>
      <c r="H2242" t="s">
        <v>14</v>
      </c>
      <c r="I2242" t="s">
        <v>36</v>
      </c>
      <c r="J2242" t="s">
        <v>339</v>
      </c>
      <c r="K2242">
        <f>Pqp_supermarket_data[[#This Row],[Unit_Price]]*Pqp_supermarket_data[[#This Row],[Quantity]]</f>
        <v>15</v>
      </c>
      <c r="L2242" t="str">
        <f>TEXT(Pqp_supermarket_data[[#This Row],[DateTime]],"ddd")</f>
        <v>Tue</v>
      </c>
      <c r="M2242" t="str">
        <f>TEXT(Pqp_supermarket_data[[#This Row],[DateTime]],"mmm")</f>
        <v>Jan</v>
      </c>
      <c r="N2242" t="str">
        <f>TEXT(Pqp_supermarket_data[[#This Row],[DateTime]],"yyy")</f>
        <v>2022</v>
      </c>
    </row>
    <row r="2243" spans="1:14" x14ac:dyDescent="0.35">
      <c r="A2243" t="s">
        <v>4598</v>
      </c>
      <c r="B2243" s="1">
        <v>45116.531992337965</v>
      </c>
      <c r="C2243" t="s">
        <v>4599</v>
      </c>
      <c r="D2243" t="s">
        <v>77</v>
      </c>
      <c r="E2243" t="s">
        <v>90</v>
      </c>
      <c r="F2243">
        <v>1.8</v>
      </c>
      <c r="G2243">
        <v>5</v>
      </c>
      <c r="H2243" t="s">
        <v>14</v>
      </c>
      <c r="I2243" t="s">
        <v>21</v>
      </c>
      <c r="J2243" t="s">
        <v>192</v>
      </c>
      <c r="K2243">
        <f>Pqp_supermarket_data[[#This Row],[Unit_Price]]*Pqp_supermarket_data[[#This Row],[Quantity]]</f>
        <v>9</v>
      </c>
      <c r="L2243" t="str">
        <f>TEXT(Pqp_supermarket_data[[#This Row],[DateTime]],"ddd")</f>
        <v>Sun</v>
      </c>
      <c r="M2243" t="str">
        <f>TEXT(Pqp_supermarket_data[[#This Row],[DateTime]],"mmm")</f>
        <v>Jul</v>
      </c>
      <c r="N2243" t="str">
        <f>TEXT(Pqp_supermarket_data[[#This Row],[DateTime]],"yyy")</f>
        <v>2023</v>
      </c>
    </row>
    <row r="2244" spans="1:14" x14ac:dyDescent="0.35">
      <c r="A2244" t="s">
        <v>4600</v>
      </c>
      <c r="B2244" s="1">
        <v>44498.747270127315</v>
      </c>
      <c r="C2244" t="s">
        <v>4601</v>
      </c>
      <c r="D2244" t="s">
        <v>25</v>
      </c>
      <c r="E2244" t="s">
        <v>70</v>
      </c>
      <c r="F2244">
        <v>5</v>
      </c>
      <c r="G2244">
        <v>5</v>
      </c>
      <c r="H2244" t="s">
        <v>14</v>
      </c>
      <c r="I2244" t="s">
        <v>40</v>
      </c>
      <c r="J2244" t="s">
        <v>112</v>
      </c>
      <c r="K2244">
        <f>Pqp_supermarket_data[[#This Row],[Unit_Price]]*Pqp_supermarket_data[[#This Row],[Quantity]]</f>
        <v>25</v>
      </c>
      <c r="L2244" t="str">
        <f>TEXT(Pqp_supermarket_data[[#This Row],[DateTime]],"ddd")</f>
        <v>Fri</v>
      </c>
      <c r="M2244" t="str">
        <f>TEXT(Pqp_supermarket_data[[#This Row],[DateTime]],"mmm")</f>
        <v>Oct</v>
      </c>
      <c r="N2244" t="str">
        <f>TEXT(Pqp_supermarket_data[[#This Row],[DateTime]],"yyy")</f>
        <v>2021</v>
      </c>
    </row>
    <row r="2245" spans="1:14" x14ac:dyDescent="0.35">
      <c r="A2245" t="s">
        <v>4602</v>
      </c>
      <c r="B2245" s="1">
        <v>44536.97018679398</v>
      </c>
      <c r="C2245" t="s">
        <v>4603</v>
      </c>
      <c r="D2245" t="s">
        <v>77</v>
      </c>
      <c r="E2245" t="s">
        <v>39</v>
      </c>
      <c r="F2245">
        <v>3.2</v>
      </c>
      <c r="G2245">
        <v>5</v>
      </c>
      <c r="H2245" t="s">
        <v>14</v>
      </c>
      <c r="I2245" t="s">
        <v>40</v>
      </c>
      <c r="J2245" t="s">
        <v>41</v>
      </c>
      <c r="K2245">
        <f>Pqp_supermarket_data[[#This Row],[Unit_Price]]*Pqp_supermarket_data[[#This Row],[Quantity]]</f>
        <v>16</v>
      </c>
      <c r="L2245" t="str">
        <f>TEXT(Pqp_supermarket_data[[#This Row],[DateTime]],"ddd")</f>
        <v>Mon</v>
      </c>
      <c r="M2245" t="str">
        <f>TEXT(Pqp_supermarket_data[[#This Row],[DateTime]],"mmm")</f>
        <v>Dec</v>
      </c>
      <c r="N2245" t="str">
        <f>TEXT(Pqp_supermarket_data[[#This Row],[DateTime]],"yyy")</f>
        <v>2021</v>
      </c>
    </row>
    <row r="2246" spans="1:14" x14ac:dyDescent="0.35">
      <c r="A2246" t="s">
        <v>4604</v>
      </c>
      <c r="B2246" s="1">
        <v>45263.40699236111</v>
      </c>
      <c r="C2246" t="s">
        <v>4605</v>
      </c>
      <c r="D2246" t="s">
        <v>98</v>
      </c>
      <c r="E2246" t="s">
        <v>145</v>
      </c>
      <c r="F2246">
        <v>1.7</v>
      </c>
      <c r="G2246">
        <v>10</v>
      </c>
      <c r="H2246" t="s">
        <v>14</v>
      </c>
      <c r="I2246" t="s">
        <v>15</v>
      </c>
      <c r="J2246" t="s">
        <v>54</v>
      </c>
      <c r="K2246">
        <f>Pqp_supermarket_data[[#This Row],[Unit_Price]]*Pqp_supermarket_data[[#This Row],[Quantity]]</f>
        <v>17</v>
      </c>
      <c r="L2246" t="str">
        <f>TEXT(Pqp_supermarket_data[[#This Row],[DateTime]],"ddd")</f>
        <v>Sun</v>
      </c>
      <c r="M2246" t="str">
        <f>TEXT(Pqp_supermarket_data[[#This Row],[DateTime]],"mmm")</f>
        <v>Dec</v>
      </c>
      <c r="N2246" t="str">
        <f>TEXT(Pqp_supermarket_data[[#This Row],[DateTime]],"yyy")</f>
        <v>2023</v>
      </c>
    </row>
    <row r="2247" spans="1:14" x14ac:dyDescent="0.35">
      <c r="A2247" t="s">
        <v>4606</v>
      </c>
      <c r="B2247" s="1">
        <v>44369.901436817127</v>
      </c>
      <c r="C2247" t="s">
        <v>4607</v>
      </c>
      <c r="D2247" t="s">
        <v>127</v>
      </c>
      <c r="E2247" t="s">
        <v>26</v>
      </c>
      <c r="F2247">
        <v>2.5</v>
      </c>
      <c r="G2247">
        <v>9</v>
      </c>
      <c r="H2247" t="s">
        <v>14</v>
      </c>
      <c r="I2247" t="s">
        <v>40</v>
      </c>
      <c r="J2247" t="s">
        <v>451</v>
      </c>
      <c r="K2247">
        <f>Pqp_supermarket_data[[#This Row],[Unit_Price]]*Pqp_supermarket_data[[#This Row],[Quantity]]</f>
        <v>22.5</v>
      </c>
      <c r="L2247" t="str">
        <f>TEXT(Pqp_supermarket_data[[#This Row],[DateTime]],"ddd")</f>
        <v>Tue</v>
      </c>
      <c r="M2247" t="str">
        <f>TEXT(Pqp_supermarket_data[[#This Row],[DateTime]],"mmm")</f>
        <v>Jun</v>
      </c>
      <c r="N2247" t="str">
        <f>TEXT(Pqp_supermarket_data[[#This Row],[DateTime]],"yyy")</f>
        <v>2021</v>
      </c>
    </row>
    <row r="2248" spans="1:14" x14ac:dyDescent="0.35">
      <c r="A2248" t="s">
        <v>4608</v>
      </c>
      <c r="B2248" s="1">
        <v>44550.72990903935</v>
      </c>
      <c r="C2248" t="s">
        <v>4609</v>
      </c>
      <c r="D2248" t="s">
        <v>44</v>
      </c>
      <c r="E2248" t="s">
        <v>26</v>
      </c>
      <c r="F2248">
        <v>2.5</v>
      </c>
      <c r="G2248">
        <v>8</v>
      </c>
      <c r="H2248" t="s">
        <v>14</v>
      </c>
      <c r="I2248" t="s">
        <v>36</v>
      </c>
      <c r="J2248" t="s">
        <v>236</v>
      </c>
      <c r="K2248">
        <f>Pqp_supermarket_data[[#This Row],[Unit_Price]]*Pqp_supermarket_data[[#This Row],[Quantity]]</f>
        <v>20</v>
      </c>
      <c r="L2248" t="str">
        <f>TEXT(Pqp_supermarket_data[[#This Row],[DateTime]],"ddd")</f>
        <v>Mon</v>
      </c>
      <c r="M2248" t="str">
        <f>TEXT(Pqp_supermarket_data[[#This Row],[DateTime]],"mmm")</f>
        <v>Dec</v>
      </c>
      <c r="N2248" t="str">
        <f>TEXT(Pqp_supermarket_data[[#This Row],[DateTime]],"yyy")</f>
        <v>2021</v>
      </c>
    </row>
    <row r="2249" spans="1:14" x14ac:dyDescent="0.35">
      <c r="A2249" t="s">
        <v>4610</v>
      </c>
      <c r="B2249" s="1">
        <v>44923.490325740742</v>
      </c>
      <c r="C2249" t="s">
        <v>4611</v>
      </c>
      <c r="D2249" t="s">
        <v>77</v>
      </c>
      <c r="E2249" t="s">
        <v>13</v>
      </c>
      <c r="F2249">
        <v>3.1</v>
      </c>
      <c r="G2249">
        <v>5</v>
      </c>
      <c r="H2249" t="s">
        <v>14</v>
      </c>
      <c r="I2249" t="s">
        <v>61</v>
      </c>
      <c r="J2249" t="s">
        <v>71</v>
      </c>
      <c r="K2249">
        <f>Pqp_supermarket_data[[#This Row],[Unit_Price]]*Pqp_supermarket_data[[#This Row],[Quantity]]</f>
        <v>15.5</v>
      </c>
      <c r="L2249" t="str">
        <f>TEXT(Pqp_supermarket_data[[#This Row],[DateTime]],"ddd")</f>
        <v>Wed</v>
      </c>
      <c r="M2249" t="str">
        <f>TEXT(Pqp_supermarket_data[[#This Row],[DateTime]],"mmm")</f>
        <v>Dec</v>
      </c>
      <c r="N2249" t="str">
        <f>TEXT(Pqp_supermarket_data[[#This Row],[DateTime]],"yyy")</f>
        <v>2022</v>
      </c>
    </row>
    <row r="2250" spans="1:14" x14ac:dyDescent="0.35">
      <c r="A2250" t="s">
        <v>4612</v>
      </c>
      <c r="B2250" s="1">
        <v>44746.125047974536</v>
      </c>
      <c r="C2250" t="s">
        <v>4613</v>
      </c>
      <c r="D2250" t="s">
        <v>30</v>
      </c>
      <c r="E2250" t="s">
        <v>13</v>
      </c>
      <c r="F2250">
        <v>3.1</v>
      </c>
      <c r="G2250">
        <v>6</v>
      </c>
      <c r="H2250" t="s">
        <v>14</v>
      </c>
      <c r="I2250" t="s">
        <v>40</v>
      </c>
      <c r="J2250" t="s">
        <v>99</v>
      </c>
      <c r="K2250">
        <f>Pqp_supermarket_data[[#This Row],[Unit_Price]]*Pqp_supermarket_data[[#This Row],[Quantity]]</f>
        <v>18.600000000000001</v>
      </c>
      <c r="L2250" t="str">
        <f>TEXT(Pqp_supermarket_data[[#This Row],[DateTime]],"ddd")</f>
        <v>Mon</v>
      </c>
      <c r="M2250" t="str">
        <f>TEXT(Pqp_supermarket_data[[#This Row],[DateTime]],"mmm")</f>
        <v>Jul</v>
      </c>
      <c r="N2250" t="str">
        <f>TEXT(Pqp_supermarket_data[[#This Row],[DateTime]],"yyy")</f>
        <v>2022</v>
      </c>
    </row>
    <row r="2251" spans="1:14" x14ac:dyDescent="0.35">
      <c r="A2251" t="s">
        <v>4614</v>
      </c>
      <c r="B2251" s="1">
        <v>45578.607686863426</v>
      </c>
      <c r="C2251" t="s">
        <v>4615</v>
      </c>
      <c r="D2251" t="s">
        <v>98</v>
      </c>
      <c r="E2251" t="s">
        <v>26</v>
      </c>
      <c r="F2251">
        <v>2.5</v>
      </c>
      <c r="G2251">
        <v>10</v>
      </c>
      <c r="H2251" t="s">
        <v>14</v>
      </c>
      <c r="I2251" t="s">
        <v>86</v>
      </c>
      <c r="J2251" t="s">
        <v>499</v>
      </c>
      <c r="K2251">
        <f>Pqp_supermarket_data[[#This Row],[Unit_Price]]*Pqp_supermarket_data[[#This Row],[Quantity]]</f>
        <v>25</v>
      </c>
      <c r="L2251" t="str">
        <f>TEXT(Pqp_supermarket_data[[#This Row],[DateTime]],"ddd")</f>
        <v>Sun</v>
      </c>
      <c r="M2251" t="str">
        <f>TEXT(Pqp_supermarket_data[[#This Row],[DateTime]],"mmm")</f>
        <v>Oct</v>
      </c>
      <c r="N2251" t="str">
        <f>TEXT(Pqp_supermarket_data[[#This Row],[DateTime]],"yyy")</f>
        <v>2024</v>
      </c>
    </row>
    <row r="2252" spans="1:14" x14ac:dyDescent="0.35">
      <c r="A2252" t="s">
        <v>4616</v>
      </c>
      <c r="B2252" s="1">
        <v>44575.988936875001</v>
      </c>
      <c r="C2252" t="s">
        <v>4617</v>
      </c>
      <c r="D2252" t="s">
        <v>127</v>
      </c>
      <c r="E2252" t="s">
        <v>148</v>
      </c>
      <c r="F2252">
        <v>5.5</v>
      </c>
      <c r="G2252">
        <v>8</v>
      </c>
      <c r="H2252" t="s">
        <v>14</v>
      </c>
      <c r="I2252" t="s">
        <v>21</v>
      </c>
      <c r="J2252" t="s">
        <v>538</v>
      </c>
      <c r="K2252">
        <f>Pqp_supermarket_data[[#This Row],[Unit_Price]]*Pqp_supermarket_data[[#This Row],[Quantity]]</f>
        <v>44</v>
      </c>
      <c r="L2252" t="str">
        <f>TEXT(Pqp_supermarket_data[[#This Row],[DateTime]],"ddd")</f>
        <v>Fri</v>
      </c>
      <c r="M2252" t="str">
        <f>TEXT(Pqp_supermarket_data[[#This Row],[DateTime]],"mmm")</f>
        <v>Jan</v>
      </c>
      <c r="N2252" t="str">
        <f>TEXT(Pqp_supermarket_data[[#This Row],[DateTime]],"yyy")</f>
        <v>2022</v>
      </c>
    </row>
    <row r="2253" spans="1:14" x14ac:dyDescent="0.35">
      <c r="A2253" t="s">
        <v>4618</v>
      </c>
      <c r="B2253" s="1">
        <v>44628.033381331021</v>
      </c>
      <c r="C2253" t="s">
        <v>4619</v>
      </c>
      <c r="D2253" t="s">
        <v>85</v>
      </c>
      <c r="E2253" t="s">
        <v>49</v>
      </c>
      <c r="F2253">
        <v>7</v>
      </c>
      <c r="G2253">
        <v>1</v>
      </c>
      <c r="H2253" t="s">
        <v>14</v>
      </c>
      <c r="I2253" t="s">
        <v>21</v>
      </c>
      <c r="J2253" t="s">
        <v>192</v>
      </c>
      <c r="K2253">
        <f>Pqp_supermarket_data[[#This Row],[Unit_Price]]*Pqp_supermarket_data[[#This Row],[Quantity]]</f>
        <v>7</v>
      </c>
      <c r="L2253" t="str">
        <f>TEXT(Pqp_supermarket_data[[#This Row],[DateTime]],"ddd")</f>
        <v>Tue</v>
      </c>
      <c r="M2253" t="str">
        <f>TEXT(Pqp_supermarket_data[[#This Row],[DateTime]],"mmm")</f>
        <v>Mar</v>
      </c>
      <c r="N2253" t="str">
        <f>TEXT(Pqp_supermarket_data[[#This Row],[DateTime]],"yyy")</f>
        <v>2022</v>
      </c>
    </row>
    <row r="2254" spans="1:14" x14ac:dyDescent="0.35">
      <c r="A2254" t="s">
        <v>4620</v>
      </c>
      <c r="B2254" s="1">
        <v>44576.722270219907</v>
      </c>
      <c r="C2254" t="s">
        <v>4621</v>
      </c>
      <c r="D2254" t="s">
        <v>171</v>
      </c>
      <c r="E2254" t="s">
        <v>148</v>
      </c>
      <c r="F2254">
        <v>5.5</v>
      </c>
      <c r="G2254">
        <v>2</v>
      </c>
      <c r="H2254" t="s">
        <v>14</v>
      </c>
      <c r="I2254" t="s">
        <v>15</v>
      </c>
      <c r="J2254" t="s">
        <v>116</v>
      </c>
      <c r="K2254">
        <f>Pqp_supermarket_data[[#This Row],[Unit_Price]]*Pqp_supermarket_data[[#This Row],[Quantity]]</f>
        <v>11</v>
      </c>
      <c r="L2254" t="str">
        <f>TEXT(Pqp_supermarket_data[[#This Row],[DateTime]],"ddd")</f>
        <v>Sat</v>
      </c>
      <c r="M2254" t="str">
        <f>TEXT(Pqp_supermarket_data[[#This Row],[DateTime]],"mmm")</f>
        <v>Jan</v>
      </c>
      <c r="N2254" t="str">
        <f>TEXT(Pqp_supermarket_data[[#This Row],[DateTime]],"yyy")</f>
        <v>2022</v>
      </c>
    </row>
    <row r="2255" spans="1:14" x14ac:dyDescent="0.35">
      <c r="A2255" t="s">
        <v>4622</v>
      </c>
      <c r="B2255" s="1">
        <v>44597.653520231484</v>
      </c>
      <c r="C2255" t="s">
        <v>4623</v>
      </c>
      <c r="D2255" t="s">
        <v>19</v>
      </c>
      <c r="E2255" t="s">
        <v>45</v>
      </c>
      <c r="F2255">
        <v>1</v>
      </c>
      <c r="G2255">
        <v>7</v>
      </c>
      <c r="H2255" t="s">
        <v>14</v>
      </c>
      <c r="I2255" t="s">
        <v>86</v>
      </c>
      <c r="J2255" t="s">
        <v>541</v>
      </c>
      <c r="K2255">
        <f>Pqp_supermarket_data[[#This Row],[Unit_Price]]*Pqp_supermarket_data[[#This Row],[Quantity]]</f>
        <v>7</v>
      </c>
      <c r="L2255" t="str">
        <f>TEXT(Pqp_supermarket_data[[#This Row],[DateTime]],"ddd")</f>
        <v>Sat</v>
      </c>
      <c r="M2255" t="str">
        <f>TEXT(Pqp_supermarket_data[[#This Row],[DateTime]],"mmm")</f>
        <v>Feb</v>
      </c>
      <c r="N2255" t="str">
        <f>TEXT(Pqp_supermarket_data[[#This Row],[DateTime]],"yyy")</f>
        <v>2022</v>
      </c>
    </row>
    <row r="2256" spans="1:14" x14ac:dyDescent="0.35">
      <c r="A2256" t="s">
        <v>4624</v>
      </c>
      <c r="B2256" s="1">
        <v>45705.072964675928</v>
      </c>
      <c r="C2256" t="s">
        <v>4625</v>
      </c>
      <c r="D2256" t="s">
        <v>226</v>
      </c>
      <c r="E2256" t="s">
        <v>70</v>
      </c>
      <c r="F2256">
        <v>5</v>
      </c>
      <c r="G2256">
        <v>8</v>
      </c>
      <c r="H2256" t="s">
        <v>14</v>
      </c>
      <c r="I2256" t="s">
        <v>21</v>
      </c>
      <c r="J2256" t="s">
        <v>128</v>
      </c>
      <c r="K2256">
        <f>Pqp_supermarket_data[[#This Row],[Unit_Price]]*Pqp_supermarket_data[[#This Row],[Quantity]]</f>
        <v>40</v>
      </c>
      <c r="L2256" t="str">
        <f>TEXT(Pqp_supermarket_data[[#This Row],[DateTime]],"ddd")</f>
        <v>Mon</v>
      </c>
      <c r="M2256" t="str">
        <f>TEXT(Pqp_supermarket_data[[#This Row],[DateTime]],"mmm")</f>
        <v>Feb</v>
      </c>
      <c r="N2256" t="str">
        <f>TEXT(Pqp_supermarket_data[[#This Row],[DateTime]],"yyy")</f>
        <v>2025</v>
      </c>
    </row>
    <row r="2257" spans="1:14" x14ac:dyDescent="0.35">
      <c r="A2257" t="s">
        <v>4626</v>
      </c>
      <c r="B2257" s="1">
        <v>45710.023659131948</v>
      </c>
      <c r="C2257" t="s">
        <v>4627</v>
      </c>
      <c r="D2257" t="s">
        <v>226</v>
      </c>
      <c r="E2257" t="s">
        <v>145</v>
      </c>
      <c r="F2257">
        <v>1.7</v>
      </c>
      <c r="G2257">
        <v>1</v>
      </c>
      <c r="H2257" t="s">
        <v>14</v>
      </c>
      <c r="I2257" t="s">
        <v>15</v>
      </c>
      <c r="J2257" t="s">
        <v>323</v>
      </c>
      <c r="K2257">
        <f>Pqp_supermarket_data[[#This Row],[Unit_Price]]*Pqp_supermarket_data[[#This Row],[Quantity]]</f>
        <v>1.7</v>
      </c>
      <c r="L2257" t="str">
        <f>TEXT(Pqp_supermarket_data[[#This Row],[DateTime]],"ddd")</f>
        <v>Sat</v>
      </c>
      <c r="M2257" t="str">
        <f>TEXT(Pqp_supermarket_data[[#This Row],[DateTime]],"mmm")</f>
        <v>Feb</v>
      </c>
      <c r="N2257" t="str">
        <f>TEXT(Pqp_supermarket_data[[#This Row],[DateTime]],"yyy")</f>
        <v>2025</v>
      </c>
    </row>
    <row r="2258" spans="1:14" x14ac:dyDescent="0.35">
      <c r="A2258" t="s">
        <v>4628</v>
      </c>
      <c r="B2258" s="1">
        <v>45416.531992465279</v>
      </c>
      <c r="C2258" t="s">
        <v>4629</v>
      </c>
      <c r="D2258" t="s">
        <v>44</v>
      </c>
      <c r="E2258" t="s">
        <v>148</v>
      </c>
      <c r="F2258">
        <v>5.5</v>
      </c>
      <c r="G2258">
        <v>5</v>
      </c>
      <c r="H2258" t="s">
        <v>14</v>
      </c>
      <c r="I2258" t="s">
        <v>86</v>
      </c>
      <c r="J2258" t="s">
        <v>27</v>
      </c>
      <c r="K2258">
        <f>Pqp_supermarket_data[[#This Row],[Unit_Price]]*Pqp_supermarket_data[[#This Row],[Quantity]]</f>
        <v>27.5</v>
      </c>
      <c r="L2258" t="str">
        <f>TEXT(Pqp_supermarket_data[[#This Row],[DateTime]],"ddd")</f>
        <v>Sat</v>
      </c>
      <c r="M2258" t="str">
        <f>TEXT(Pqp_supermarket_data[[#This Row],[DateTime]],"mmm")</f>
        <v>May</v>
      </c>
      <c r="N2258" t="str">
        <f>TEXT(Pqp_supermarket_data[[#This Row],[DateTime]],"yyy")</f>
        <v>2024</v>
      </c>
    </row>
    <row r="2259" spans="1:14" x14ac:dyDescent="0.35">
      <c r="A2259" t="s">
        <v>4630</v>
      </c>
      <c r="B2259" s="1">
        <v>44851.211159143517</v>
      </c>
      <c r="C2259" t="s">
        <v>4631</v>
      </c>
      <c r="D2259" t="s">
        <v>34</v>
      </c>
      <c r="E2259" t="s">
        <v>53</v>
      </c>
      <c r="F2259">
        <v>2.8</v>
      </c>
      <c r="G2259">
        <v>6</v>
      </c>
      <c r="H2259" t="s">
        <v>14</v>
      </c>
      <c r="I2259" t="s">
        <v>15</v>
      </c>
      <c r="J2259" t="s">
        <v>339</v>
      </c>
      <c r="K2259">
        <f>Pqp_supermarket_data[[#This Row],[Unit_Price]]*Pqp_supermarket_data[[#This Row],[Quantity]]</f>
        <v>16.799999999999997</v>
      </c>
      <c r="L2259" t="str">
        <f>TEXT(Pqp_supermarket_data[[#This Row],[DateTime]],"ddd")</f>
        <v>Mon</v>
      </c>
      <c r="M2259" t="str">
        <f>TEXT(Pqp_supermarket_data[[#This Row],[DateTime]],"mmm")</f>
        <v>Oct</v>
      </c>
      <c r="N2259" t="str">
        <f>TEXT(Pqp_supermarket_data[[#This Row],[DateTime]],"yyy")</f>
        <v>2022</v>
      </c>
    </row>
    <row r="2260" spans="1:14" x14ac:dyDescent="0.35">
      <c r="A2260" t="s">
        <v>4632</v>
      </c>
      <c r="B2260" s="1">
        <v>44873.504214699075</v>
      </c>
      <c r="C2260" t="s">
        <v>4633</v>
      </c>
      <c r="D2260" t="s">
        <v>98</v>
      </c>
      <c r="E2260" t="s">
        <v>13</v>
      </c>
      <c r="F2260">
        <v>3.1</v>
      </c>
      <c r="G2260">
        <v>3</v>
      </c>
      <c r="H2260" t="s">
        <v>14</v>
      </c>
      <c r="I2260" t="s">
        <v>15</v>
      </c>
      <c r="J2260" t="s">
        <v>270</v>
      </c>
      <c r="K2260">
        <f>Pqp_supermarket_data[[#This Row],[Unit_Price]]*Pqp_supermarket_data[[#This Row],[Quantity]]</f>
        <v>9.3000000000000007</v>
      </c>
      <c r="L2260" t="str">
        <f>TEXT(Pqp_supermarket_data[[#This Row],[DateTime]],"ddd")</f>
        <v>Tue</v>
      </c>
      <c r="M2260" t="str">
        <f>TEXT(Pqp_supermarket_data[[#This Row],[DateTime]],"mmm")</f>
        <v>Nov</v>
      </c>
      <c r="N2260" t="str">
        <f>TEXT(Pqp_supermarket_data[[#This Row],[DateTime]],"yyy")</f>
        <v>2022</v>
      </c>
    </row>
    <row r="2261" spans="1:14" x14ac:dyDescent="0.35">
      <c r="A2261" t="s">
        <v>4634</v>
      </c>
      <c r="B2261" s="1">
        <v>44665.712548043979</v>
      </c>
      <c r="C2261" t="s">
        <v>4635</v>
      </c>
      <c r="D2261" t="s">
        <v>12</v>
      </c>
      <c r="E2261" t="s">
        <v>49</v>
      </c>
      <c r="F2261">
        <v>7</v>
      </c>
      <c r="G2261">
        <v>6</v>
      </c>
      <c r="H2261" t="s">
        <v>14</v>
      </c>
      <c r="I2261" t="s">
        <v>15</v>
      </c>
      <c r="J2261" t="s">
        <v>336</v>
      </c>
      <c r="K2261">
        <f>Pqp_supermarket_data[[#This Row],[Unit_Price]]*Pqp_supermarket_data[[#This Row],[Quantity]]</f>
        <v>42</v>
      </c>
      <c r="L2261" t="str">
        <f>TEXT(Pqp_supermarket_data[[#This Row],[DateTime]],"ddd")</f>
        <v>Thu</v>
      </c>
      <c r="M2261" t="str">
        <f>TEXT(Pqp_supermarket_data[[#This Row],[DateTime]],"mmm")</f>
        <v>Apr</v>
      </c>
      <c r="N2261" t="str">
        <f>TEXT(Pqp_supermarket_data[[#This Row],[DateTime]],"yyy")</f>
        <v>2022</v>
      </c>
    </row>
    <row r="2262" spans="1:14" x14ac:dyDescent="0.35">
      <c r="A2262" t="s">
        <v>4636</v>
      </c>
      <c r="B2262" s="1">
        <v>45604.127825821757</v>
      </c>
      <c r="C2262" t="s">
        <v>4637</v>
      </c>
      <c r="D2262" t="s">
        <v>171</v>
      </c>
      <c r="E2262" t="s">
        <v>20</v>
      </c>
      <c r="F2262">
        <v>1</v>
      </c>
      <c r="G2262">
        <v>4</v>
      </c>
      <c r="H2262" t="s">
        <v>14</v>
      </c>
      <c r="I2262" t="s">
        <v>61</v>
      </c>
      <c r="J2262" t="s">
        <v>245</v>
      </c>
      <c r="K2262">
        <f>Pqp_supermarket_data[[#This Row],[Unit_Price]]*Pqp_supermarket_data[[#This Row],[Quantity]]</f>
        <v>4</v>
      </c>
      <c r="L2262" t="str">
        <f>TEXT(Pqp_supermarket_data[[#This Row],[DateTime]],"ddd")</f>
        <v>Fri</v>
      </c>
      <c r="M2262" t="str">
        <f>TEXT(Pqp_supermarket_data[[#This Row],[DateTime]],"mmm")</f>
        <v>Nov</v>
      </c>
      <c r="N2262" t="str">
        <f>TEXT(Pqp_supermarket_data[[#This Row],[DateTime]],"yyy")</f>
        <v>2024</v>
      </c>
    </row>
    <row r="2263" spans="1:14" x14ac:dyDescent="0.35">
      <c r="A2263" t="s">
        <v>4638</v>
      </c>
      <c r="B2263" s="1">
        <v>45578.597964710651</v>
      </c>
      <c r="C2263" t="s">
        <v>4639</v>
      </c>
      <c r="D2263" t="s">
        <v>30</v>
      </c>
      <c r="E2263" t="s">
        <v>49</v>
      </c>
      <c r="F2263">
        <v>7</v>
      </c>
      <c r="G2263">
        <v>6</v>
      </c>
      <c r="H2263" t="s">
        <v>14</v>
      </c>
      <c r="I2263" t="s">
        <v>21</v>
      </c>
      <c r="J2263" t="s">
        <v>336</v>
      </c>
      <c r="K2263">
        <f>Pqp_supermarket_data[[#This Row],[Unit_Price]]*Pqp_supermarket_data[[#This Row],[Quantity]]</f>
        <v>42</v>
      </c>
      <c r="L2263" t="str">
        <f>TEXT(Pqp_supermarket_data[[#This Row],[DateTime]],"ddd")</f>
        <v>Sun</v>
      </c>
      <c r="M2263" t="str">
        <f>TEXT(Pqp_supermarket_data[[#This Row],[DateTime]],"mmm")</f>
        <v>Oct</v>
      </c>
      <c r="N2263" t="str">
        <f>TEXT(Pqp_supermarket_data[[#This Row],[DateTime]],"yyy")</f>
        <v>2024</v>
      </c>
    </row>
    <row r="2264" spans="1:14" x14ac:dyDescent="0.35">
      <c r="A2264" t="s">
        <v>4640</v>
      </c>
      <c r="B2264" s="1">
        <v>44477.318103611113</v>
      </c>
      <c r="C2264" t="s">
        <v>4641</v>
      </c>
      <c r="D2264" t="s">
        <v>82</v>
      </c>
      <c r="E2264" t="s">
        <v>78</v>
      </c>
      <c r="F2264">
        <v>4</v>
      </c>
      <c r="G2264">
        <v>5</v>
      </c>
      <c r="H2264" t="s">
        <v>14</v>
      </c>
      <c r="I2264" t="s">
        <v>36</v>
      </c>
      <c r="J2264" t="s">
        <v>723</v>
      </c>
      <c r="K2264">
        <f>Pqp_supermarket_data[[#This Row],[Unit_Price]]*Pqp_supermarket_data[[#This Row],[Quantity]]</f>
        <v>20</v>
      </c>
      <c r="L2264" t="str">
        <f>TEXT(Pqp_supermarket_data[[#This Row],[DateTime]],"ddd")</f>
        <v>Fri</v>
      </c>
      <c r="M2264" t="str">
        <f>TEXT(Pqp_supermarket_data[[#This Row],[DateTime]],"mmm")</f>
        <v>Oct</v>
      </c>
      <c r="N2264" t="str">
        <f>TEXT(Pqp_supermarket_data[[#This Row],[DateTime]],"yyy")</f>
        <v>2021</v>
      </c>
    </row>
    <row r="2265" spans="1:14" x14ac:dyDescent="0.35">
      <c r="A2265" t="s">
        <v>4642</v>
      </c>
      <c r="B2265" s="1">
        <v>45068.107686944444</v>
      </c>
      <c r="C2265" t="s">
        <v>4643</v>
      </c>
      <c r="D2265" t="s">
        <v>98</v>
      </c>
      <c r="E2265" t="s">
        <v>53</v>
      </c>
      <c r="F2265">
        <v>2.8</v>
      </c>
      <c r="G2265">
        <v>3</v>
      </c>
      <c r="H2265" t="s">
        <v>14</v>
      </c>
      <c r="I2265" t="s">
        <v>15</v>
      </c>
      <c r="J2265" t="s">
        <v>394</v>
      </c>
      <c r="K2265">
        <f>Pqp_supermarket_data[[#This Row],[Unit_Price]]*Pqp_supermarket_data[[#This Row],[Quantity]]</f>
        <v>8.3999999999999986</v>
      </c>
      <c r="L2265" t="str">
        <f>TEXT(Pqp_supermarket_data[[#This Row],[DateTime]],"ddd")</f>
        <v>Mon</v>
      </c>
      <c r="M2265" t="str">
        <f>TEXT(Pqp_supermarket_data[[#This Row],[DateTime]],"mmm")</f>
        <v>May</v>
      </c>
      <c r="N2265" t="str">
        <f>TEXT(Pqp_supermarket_data[[#This Row],[DateTime]],"yyy")</f>
        <v>2023</v>
      </c>
    </row>
    <row r="2266" spans="1:14" x14ac:dyDescent="0.35">
      <c r="A2266" t="s">
        <v>4644</v>
      </c>
      <c r="B2266" s="1">
        <v>45754.426436967595</v>
      </c>
      <c r="C2266" t="s">
        <v>4645</v>
      </c>
      <c r="D2266" t="s">
        <v>171</v>
      </c>
      <c r="E2266" t="s">
        <v>57</v>
      </c>
      <c r="F2266">
        <v>4.5</v>
      </c>
      <c r="G2266">
        <v>9</v>
      </c>
      <c r="H2266" t="s">
        <v>14</v>
      </c>
      <c r="I2266" t="s">
        <v>36</v>
      </c>
      <c r="J2266" t="s">
        <v>230</v>
      </c>
      <c r="K2266">
        <f>Pqp_supermarket_data[[#This Row],[Unit_Price]]*Pqp_supermarket_data[[#This Row],[Quantity]]</f>
        <v>40.5</v>
      </c>
      <c r="L2266" t="str">
        <f>TEXT(Pqp_supermarket_data[[#This Row],[DateTime]],"ddd")</f>
        <v>Mon</v>
      </c>
      <c r="M2266" t="str">
        <f>TEXT(Pqp_supermarket_data[[#This Row],[DateTime]],"mmm")</f>
        <v>Apr</v>
      </c>
      <c r="N2266" t="str">
        <f>TEXT(Pqp_supermarket_data[[#This Row],[DateTime]],"yyy")</f>
        <v>2025</v>
      </c>
    </row>
    <row r="2267" spans="1:14" x14ac:dyDescent="0.35">
      <c r="A2267" t="s">
        <v>4646</v>
      </c>
      <c r="B2267" s="1">
        <v>44639.151436979169</v>
      </c>
      <c r="C2267" t="s">
        <v>4647</v>
      </c>
      <c r="D2267" t="s">
        <v>85</v>
      </c>
      <c r="E2267" t="s">
        <v>20</v>
      </c>
      <c r="F2267">
        <v>1</v>
      </c>
      <c r="G2267">
        <v>3</v>
      </c>
      <c r="H2267" t="s">
        <v>14</v>
      </c>
      <c r="I2267" t="s">
        <v>86</v>
      </c>
      <c r="J2267" t="s">
        <v>215</v>
      </c>
      <c r="K2267">
        <f>Pqp_supermarket_data[[#This Row],[Unit_Price]]*Pqp_supermarket_data[[#This Row],[Quantity]]</f>
        <v>3</v>
      </c>
      <c r="L2267" t="str">
        <f>TEXT(Pqp_supermarket_data[[#This Row],[DateTime]],"ddd")</f>
        <v>Sat</v>
      </c>
      <c r="M2267" t="str">
        <f>TEXT(Pqp_supermarket_data[[#This Row],[DateTime]],"mmm")</f>
        <v>Mar</v>
      </c>
      <c r="N2267" t="str">
        <f>TEXT(Pqp_supermarket_data[[#This Row],[DateTime]],"yyy")</f>
        <v>2022</v>
      </c>
    </row>
    <row r="2268" spans="1:14" x14ac:dyDescent="0.35">
      <c r="A2268" t="s">
        <v>4648</v>
      </c>
      <c r="B2268" s="1">
        <v>44362.468103657404</v>
      </c>
      <c r="C2268" t="s">
        <v>4649</v>
      </c>
      <c r="D2268" t="s">
        <v>77</v>
      </c>
      <c r="E2268" t="s">
        <v>65</v>
      </c>
      <c r="F2268">
        <v>3</v>
      </c>
      <c r="G2268">
        <v>10</v>
      </c>
      <c r="H2268" t="s">
        <v>14</v>
      </c>
      <c r="I2268" t="s">
        <v>36</v>
      </c>
      <c r="J2268" t="s">
        <v>548</v>
      </c>
      <c r="K2268">
        <f>Pqp_supermarket_data[[#This Row],[Unit_Price]]*Pqp_supermarket_data[[#This Row],[Quantity]]</f>
        <v>30</v>
      </c>
      <c r="L2268" t="str">
        <f>TEXT(Pqp_supermarket_data[[#This Row],[DateTime]],"ddd")</f>
        <v>Tue</v>
      </c>
      <c r="M2268" t="str">
        <f>TEXT(Pqp_supermarket_data[[#This Row],[DateTime]],"mmm")</f>
        <v>Jun</v>
      </c>
      <c r="N2268" t="str">
        <f>TEXT(Pqp_supermarket_data[[#This Row],[DateTime]],"yyy")</f>
        <v>2021</v>
      </c>
    </row>
    <row r="2269" spans="1:14" x14ac:dyDescent="0.35">
      <c r="A2269" t="s">
        <v>4650</v>
      </c>
      <c r="B2269" s="1">
        <v>45247.361853668983</v>
      </c>
      <c r="C2269" t="s">
        <v>4651</v>
      </c>
      <c r="D2269" t="s">
        <v>44</v>
      </c>
      <c r="E2269" t="s">
        <v>20</v>
      </c>
      <c r="F2269">
        <v>1</v>
      </c>
      <c r="G2269">
        <v>6</v>
      </c>
      <c r="H2269" t="s">
        <v>14</v>
      </c>
      <c r="I2269" t="s">
        <v>86</v>
      </c>
      <c r="J2269" t="s">
        <v>16</v>
      </c>
      <c r="K2269">
        <f>Pqp_supermarket_data[[#This Row],[Unit_Price]]*Pqp_supermarket_data[[#This Row],[Quantity]]</f>
        <v>6</v>
      </c>
      <c r="L2269" t="str">
        <f>TEXT(Pqp_supermarket_data[[#This Row],[DateTime]],"ddd")</f>
        <v>Fri</v>
      </c>
      <c r="M2269" t="str">
        <f>TEXT(Pqp_supermarket_data[[#This Row],[DateTime]],"mmm")</f>
        <v>Nov</v>
      </c>
      <c r="N2269" t="str">
        <f>TEXT(Pqp_supermarket_data[[#This Row],[DateTime]],"yyy")</f>
        <v>2023</v>
      </c>
    </row>
    <row r="2270" spans="1:14" x14ac:dyDescent="0.35">
      <c r="A2270" t="s">
        <v>4652</v>
      </c>
      <c r="B2270" s="1">
        <v>44998.397270335648</v>
      </c>
      <c r="C2270" t="s">
        <v>4653</v>
      </c>
      <c r="D2270" t="s">
        <v>12</v>
      </c>
      <c r="E2270" t="s">
        <v>57</v>
      </c>
      <c r="F2270">
        <v>4.5</v>
      </c>
      <c r="G2270">
        <v>10</v>
      </c>
      <c r="H2270" t="s">
        <v>14</v>
      </c>
      <c r="I2270" t="s">
        <v>21</v>
      </c>
      <c r="J2270" t="s">
        <v>369</v>
      </c>
      <c r="K2270">
        <f>Pqp_supermarket_data[[#This Row],[Unit_Price]]*Pqp_supermarket_data[[#This Row],[Quantity]]</f>
        <v>45</v>
      </c>
      <c r="L2270" t="str">
        <f>TEXT(Pqp_supermarket_data[[#This Row],[DateTime]],"ddd")</f>
        <v>Mon</v>
      </c>
      <c r="M2270" t="str">
        <f>TEXT(Pqp_supermarket_data[[#This Row],[DateTime]],"mmm")</f>
        <v>Mar</v>
      </c>
      <c r="N2270" t="str">
        <f>TEXT(Pqp_supermarket_data[[#This Row],[DateTime]],"yyy")</f>
        <v>2023</v>
      </c>
    </row>
    <row r="2271" spans="1:14" x14ac:dyDescent="0.35">
      <c r="A2271" t="s">
        <v>4654</v>
      </c>
      <c r="B2271" s="1">
        <v>45123.24865922454</v>
      </c>
      <c r="C2271" t="s">
        <v>4655</v>
      </c>
      <c r="D2271" t="s">
        <v>34</v>
      </c>
      <c r="E2271" t="s">
        <v>137</v>
      </c>
      <c r="F2271">
        <v>2.5</v>
      </c>
      <c r="G2271">
        <v>4</v>
      </c>
      <c r="H2271" t="s">
        <v>14</v>
      </c>
      <c r="I2271" t="s">
        <v>21</v>
      </c>
      <c r="J2271" t="s">
        <v>744</v>
      </c>
      <c r="K2271">
        <f>Pqp_supermarket_data[[#This Row],[Unit_Price]]*Pqp_supermarket_data[[#This Row],[Quantity]]</f>
        <v>10</v>
      </c>
      <c r="L2271" t="str">
        <f>TEXT(Pqp_supermarket_data[[#This Row],[DateTime]],"ddd")</f>
        <v>Sun</v>
      </c>
      <c r="M2271" t="str">
        <f>TEXT(Pqp_supermarket_data[[#This Row],[DateTime]],"mmm")</f>
        <v>Jul</v>
      </c>
      <c r="N2271" t="str">
        <f>TEXT(Pqp_supermarket_data[[#This Row],[DateTime]],"yyy")</f>
        <v>2023</v>
      </c>
    </row>
    <row r="2272" spans="1:14" x14ac:dyDescent="0.35">
      <c r="A2272" t="s">
        <v>4656</v>
      </c>
      <c r="B2272" s="1">
        <v>44419.225742581017</v>
      </c>
      <c r="C2272" t="s">
        <v>4657</v>
      </c>
      <c r="D2272" t="s">
        <v>98</v>
      </c>
      <c r="E2272" t="s">
        <v>26</v>
      </c>
      <c r="F2272">
        <v>2.5</v>
      </c>
      <c r="G2272">
        <v>4</v>
      </c>
      <c r="H2272" t="s">
        <v>14</v>
      </c>
      <c r="I2272" t="s">
        <v>15</v>
      </c>
      <c r="J2272" t="s">
        <v>499</v>
      </c>
      <c r="K2272">
        <f>Pqp_supermarket_data[[#This Row],[Unit_Price]]*Pqp_supermarket_data[[#This Row],[Quantity]]</f>
        <v>10</v>
      </c>
      <c r="L2272" t="str">
        <f>TEXT(Pqp_supermarket_data[[#This Row],[DateTime]],"ddd")</f>
        <v>Wed</v>
      </c>
      <c r="M2272" t="str">
        <f>TEXT(Pqp_supermarket_data[[#This Row],[DateTime]],"mmm")</f>
        <v>Aug</v>
      </c>
      <c r="N2272" t="str">
        <f>TEXT(Pqp_supermarket_data[[#This Row],[DateTime]],"yyy")</f>
        <v>2021</v>
      </c>
    </row>
    <row r="2273" spans="1:14" x14ac:dyDescent="0.35">
      <c r="A2273" t="s">
        <v>4658</v>
      </c>
      <c r="B2273" s="1">
        <v>44884.691020370374</v>
      </c>
      <c r="C2273" t="s">
        <v>4659</v>
      </c>
      <c r="D2273" t="s">
        <v>25</v>
      </c>
      <c r="E2273" t="s">
        <v>111</v>
      </c>
      <c r="F2273">
        <v>2.2000000000000002</v>
      </c>
      <c r="G2273">
        <v>1</v>
      </c>
      <c r="H2273" t="s">
        <v>14</v>
      </c>
      <c r="I2273" t="s">
        <v>61</v>
      </c>
      <c r="J2273" t="s">
        <v>623</v>
      </c>
      <c r="K2273">
        <f>Pqp_supermarket_data[[#This Row],[Unit_Price]]*Pqp_supermarket_data[[#This Row],[Quantity]]</f>
        <v>2.2000000000000002</v>
      </c>
      <c r="L2273" t="str">
        <f>TEXT(Pqp_supermarket_data[[#This Row],[DateTime]],"ddd")</f>
        <v>Sat</v>
      </c>
      <c r="M2273" t="str">
        <f>TEXT(Pqp_supermarket_data[[#This Row],[DateTime]],"mmm")</f>
        <v>Nov</v>
      </c>
      <c r="N2273" t="str">
        <f>TEXT(Pqp_supermarket_data[[#This Row],[DateTime]],"yyy")</f>
        <v>2022</v>
      </c>
    </row>
    <row r="2274" spans="1:14" x14ac:dyDescent="0.35">
      <c r="A2274" t="s">
        <v>4660</v>
      </c>
      <c r="B2274" s="1">
        <v>45743.747270381944</v>
      </c>
      <c r="C2274" t="s">
        <v>4661</v>
      </c>
      <c r="D2274" t="s">
        <v>34</v>
      </c>
      <c r="E2274" t="s">
        <v>70</v>
      </c>
      <c r="F2274">
        <v>5</v>
      </c>
      <c r="G2274">
        <v>7</v>
      </c>
      <c r="H2274" t="s">
        <v>14</v>
      </c>
      <c r="I2274" t="s">
        <v>21</v>
      </c>
      <c r="J2274" t="s">
        <v>153</v>
      </c>
      <c r="K2274">
        <f>Pqp_supermarket_data[[#This Row],[Unit_Price]]*Pqp_supermarket_data[[#This Row],[Quantity]]</f>
        <v>35</v>
      </c>
      <c r="L2274" t="str">
        <f>TEXT(Pqp_supermarket_data[[#This Row],[DateTime]],"ddd")</f>
        <v>Thu</v>
      </c>
      <c r="M2274" t="str">
        <f>TEXT(Pqp_supermarket_data[[#This Row],[DateTime]],"mmm")</f>
        <v>Mar</v>
      </c>
      <c r="N2274" t="str">
        <f>TEXT(Pqp_supermarket_data[[#This Row],[DateTime]],"yyy")</f>
        <v>2025</v>
      </c>
    </row>
    <row r="2275" spans="1:14" x14ac:dyDescent="0.35">
      <c r="A2275" t="s">
        <v>4662</v>
      </c>
      <c r="B2275" s="1">
        <v>44623.291714826388</v>
      </c>
      <c r="C2275" t="s">
        <v>4513</v>
      </c>
      <c r="D2275" t="s">
        <v>69</v>
      </c>
      <c r="E2275" t="s">
        <v>90</v>
      </c>
      <c r="F2275">
        <v>1.8</v>
      </c>
      <c r="G2275">
        <v>10</v>
      </c>
      <c r="H2275" t="s">
        <v>14</v>
      </c>
      <c r="I2275" t="s">
        <v>86</v>
      </c>
      <c r="J2275" t="s">
        <v>134</v>
      </c>
      <c r="K2275">
        <f>Pqp_supermarket_data[[#This Row],[Unit_Price]]*Pqp_supermarket_data[[#This Row],[Quantity]]</f>
        <v>18</v>
      </c>
      <c r="L2275" t="str">
        <f>TEXT(Pqp_supermarket_data[[#This Row],[DateTime]],"ddd")</f>
        <v>Thu</v>
      </c>
      <c r="M2275" t="str">
        <f>TEXT(Pqp_supermarket_data[[#This Row],[DateTime]],"mmm")</f>
        <v>Mar</v>
      </c>
      <c r="N2275" t="str">
        <f>TEXT(Pqp_supermarket_data[[#This Row],[DateTime]],"yyy")</f>
        <v>2022</v>
      </c>
    </row>
    <row r="2276" spans="1:14" x14ac:dyDescent="0.35">
      <c r="A2276" t="s">
        <v>4663</v>
      </c>
      <c r="B2276" s="1">
        <v>44608.027131504627</v>
      </c>
      <c r="C2276" t="s">
        <v>4664</v>
      </c>
      <c r="D2276" t="s">
        <v>127</v>
      </c>
      <c r="E2276" t="s">
        <v>53</v>
      </c>
      <c r="F2276">
        <v>2.8</v>
      </c>
      <c r="G2276">
        <v>5</v>
      </c>
      <c r="H2276" t="s">
        <v>14</v>
      </c>
      <c r="I2276" t="s">
        <v>86</v>
      </c>
      <c r="J2276" t="s">
        <v>186</v>
      </c>
      <c r="K2276">
        <f>Pqp_supermarket_data[[#This Row],[Unit_Price]]*Pqp_supermarket_data[[#This Row],[Quantity]]</f>
        <v>14</v>
      </c>
      <c r="L2276" t="str">
        <f>TEXT(Pqp_supermarket_data[[#This Row],[DateTime]],"ddd")</f>
        <v>Wed</v>
      </c>
      <c r="M2276" t="str">
        <f>TEXT(Pqp_supermarket_data[[#This Row],[DateTime]],"mmm")</f>
        <v>Feb</v>
      </c>
      <c r="N2276" t="str">
        <f>TEXT(Pqp_supermarket_data[[#This Row],[DateTime]],"yyy")</f>
        <v>2022</v>
      </c>
    </row>
    <row r="2277" spans="1:14" x14ac:dyDescent="0.35">
      <c r="A2277" t="s">
        <v>4665</v>
      </c>
      <c r="B2277" s="1">
        <v>45040.25421486111</v>
      </c>
      <c r="C2277" t="s">
        <v>4666</v>
      </c>
      <c r="D2277" t="s">
        <v>85</v>
      </c>
      <c r="E2277" t="s">
        <v>53</v>
      </c>
      <c r="F2277">
        <v>2.8</v>
      </c>
      <c r="G2277">
        <v>2</v>
      </c>
      <c r="H2277" t="s">
        <v>14</v>
      </c>
      <c r="I2277" t="s">
        <v>36</v>
      </c>
      <c r="J2277" t="s">
        <v>16</v>
      </c>
      <c r="K2277">
        <f>Pqp_supermarket_data[[#This Row],[Unit_Price]]*Pqp_supermarket_data[[#This Row],[Quantity]]</f>
        <v>5.6</v>
      </c>
      <c r="L2277" t="str">
        <f>TEXT(Pqp_supermarket_data[[#This Row],[DateTime]],"ddd")</f>
        <v>Mon</v>
      </c>
      <c r="M2277" t="str">
        <f>TEXT(Pqp_supermarket_data[[#This Row],[DateTime]],"mmm")</f>
        <v>Apr</v>
      </c>
      <c r="N2277" t="str">
        <f>TEXT(Pqp_supermarket_data[[#This Row],[DateTime]],"yyy")</f>
        <v>2023</v>
      </c>
    </row>
    <row r="2278" spans="1:14" x14ac:dyDescent="0.35">
      <c r="A2278" t="s">
        <v>4667</v>
      </c>
      <c r="B2278" s="1">
        <v>45127.632687083336</v>
      </c>
      <c r="C2278" t="s">
        <v>4668</v>
      </c>
      <c r="D2278" t="s">
        <v>226</v>
      </c>
      <c r="E2278" t="s">
        <v>20</v>
      </c>
      <c r="F2278">
        <v>1</v>
      </c>
      <c r="G2278">
        <v>10</v>
      </c>
      <c r="H2278" t="s">
        <v>14</v>
      </c>
      <c r="I2278" t="s">
        <v>15</v>
      </c>
      <c r="J2278" t="s">
        <v>58</v>
      </c>
      <c r="K2278">
        <f>Pqp_supermarket_data[[#This Row],[Unit_Price]]*Pqp_supermarket_data[[#This Row],[Quantity]]</f>
        <v>10</v>
      </c>
      <c r="L2278" t="str">
        <f>TEXT(Pqp_supermarket_data[[#This Row],[DateTime]],"ddd")</f>
        <v>Thu</v>
      </c>
      <c r="M2278" t="str">
        <f>TEXT(Pqp_supermarket_data[[#This Row],[DateTime]],"mmm")</f>
        <v>Jul</v>
      </c>
      <c r="N2278" t="str">
        <f>TEXT(Pqp_supermarket_data[[#This Row],[DateTime]],"yyy")</f>
        <v>2023</v>
      </c>
    </row>
    <row r="2279" spans="1:14" x14ac:dyDescent="0.35">
      <c r="A2279" t="s">
        <v>4669</v>
      </c>
      <c r="B2279" s="1">
        <v>44746.622270428241</v>
      </c>
      <c r="C2279" t="s">
        <v>4670</v>
      </c>
      <c r="D2279" t="s">
        <v>85</v>
      </c>
      <c r="E2279" t="s">
        <v>39</v>
      </c>
      <c r="F2279">
        <v>3.2</v>
      </c>
      <c r="G2279">
        <v>2</v>
      </c>
      <c r="H2279" t="s">
        <v>14</v>
      </c>
      <c r="I2279" t="s">
        <v>21</v>
      </c>
      <c r="J2279" t="s">
        <v>496</v>
      </c>
      <c r="K2279">
        <f>Pqp_supermarket_data[[#This Row],[Unit_Price]]*Pqp_supermarket_data[[#This Row],[Quantity]]</f>
        <v>6.4</v>
      </c>
      <c r="L2279" t="str">
        <f>TEXT(Pqp_supermarket_data[[#This Row],[DateTime]],"ddd")</f>
        <v>Mon</v>
      </c>
      <c r="M2279" t="str">
        <f>TEXT(Pqp_supermarket_data[[#This Row],[DateTime]],"mmm")</f>
        <v>Jul</v>
      </c>
      <c r="N2279" t="str">
        <f>TEXT(Pqp_supermarket_data[[#This Row],[DateTime]],"yyy")</f>
        <v>2022</v>
      </c>
    </row>
    <row r="2280" spans="1:14" x14ac:dyDescent="0.35">
      <c r="A2280" t="s">
        <v>4671</v>
      </c>
      <c r="B2280" s="1">
        <v>45072.612548206016</v>
      </c>
      <c r="C2280" t="s">
        <v>4672</v>
      </c>
      <c r="D2280" t="s">
        <v>30</v>
      </c>
      <c r="E2280" t="s">
        <v>20</v>
      </c>
      <c r="F2280">
        <v>1</v>
      </c>
      <c r="G2280">
        <v>4</v>
      </c>
      <c r="H2280" t="s">
        <v>14</v>
      </c>
      <c r="I2280" t="s">
        <v>86</v>
      </c>
      <c r="J2280" t="s">
        <v>195</v>
      </c>
      <c r="K2280">
        <f>Pqp_supermarket_data[[#This Row],[Unit_Price]]*Pqp_supermarket_data[[#This Row],[Quantity]]</f>
        <v>4</v>
      </c>
      <c r="L2280" t="str">
        <f>TEXT(Pqp_supermarket_data[[#This Row],[DateTime]],"ddd")</f>
        <v>Fri</v>
      </c>
      <c r="M2280" t="str">
        <f>TEXT(Pqp_supermarket_data[[#This Row],[DateTime]],"mmm")</f>
        <v>May</v>
      </c>
      <c r="N2280" t="str">
        <f>TEXT(Pqp_supermarket_data[[#This Row],[DateTime]],"yyy")</f>
        <v>2023</v>
      </c>
    </row>
    <row r="2281" spans="1:14" x14ac:dyDescent="0.35">
      <c r="A2281" t="s">
        <v>4673</v>
      </c>
      <c r="B2281" s="1">
        <v>44610.497964884256</v>
      </c>
      <c r="C2281" t="s">
        <v>4674</v>
      </c>
      <c r="D2281" t="s">
        <v>171</v>
      </c>
      <c r="E2281" t="s">
        <v>70</v>
      </c>
      <c r="F2281">
        <v>5</v>
      </c>
      <c r="G2281">
        <v>8</v>
      </c>
      <c r="H2281" t="s">
        <v>14</v>
      </c>
      <c r="I2281" t="s">
        <v>21</v>
      </c>
      <c r="J2281" t="s">
        <v>236</v>
      </c>
      <c r="K2281">
        <f>Pqp_supermarket_data[[#This Row],[Unit_Price]]*Pqp_supermarket_data[[#This Row],[Quantity]]</f>
        <v>40</v>
      </c>
      <c r="L2281" t="str">
        <f>TEXT(Pqp_supermarket_data[[#This Row],[DateTime]],"ddd")</f>
        <v>Fri</v>
      </c>
      <c r="M2281" t="str">
        <f>TEXT(Pqp_supermarket_data[[#This Row],[DateTime]],"mmm")</f>
        <v>Feb</v>
      </c>
      <c r="N2281" t="str">
        <f>TEXT(Pqp_supermarket_data[[#This Row],[DateTime]],"yyy")</f>
        <v>2022</v>
      </c>
    </row>
    <row r="2282" spans="1:14" x14ac:dyDescent="0.35">
      <c r="A2282" t="s">
        <v>4675</v>
      </c>
      <c r="B2282" s="1">
        <v>45654.350742662034</v>
      </c>
      <c r="C2282" t="s">
        <v>4676</v>
      </c>
      <c r="D2282" t="s">
        <v>85</v>
      </c>
      <c r="E2282" t="s">
        <v>70</v>
      </c>
      <c r="F2282">
        <v>5</v>
      </c>
      <c r="G2282">
        <v>9</v>
      </c>
      <c r="H2282" t="s">
        <v>14</v>
      </c>
      <c r="I2282" t="s">
        <v>36</v>
      </c>
      <c r="J2282" t="s">
        <v>387</v>
      </c>
      <c r="K2282">
        <f>Pqp_supermarket_data[[#This Row],[Unit_Price]]*Pqp_supermarket_data[[#This Row],[Quantity]]</f>
        <v>45</v>
      </c>
      <c r="L2282" t="str">
        <f>TEXT(Pqp_supermarket_data[[#This Row],[DateTime]],"ddd")</f>
        <v>Sat</v>
      </c>
      <c r="M2282" t="str">
        <f>TEXT(Pqp_supermarket_data[[#This Row],[DateTime]],"mmm")</f>
        <v>Dec</v>
      </c>
      <c r="N2282" t="str">
        <f>TEXT(Pqp_supermarket_data[[#This Row],[DateTime]],"yyy")</f>
        <v>2024</v>
      </c>
    </row>
    <row r="2283" spans="1:14" x14ac:dyDescent="0.35">
      <c r="A2283" t="s">
        <v>4677</v>
      </c>
      <c r="B2283" s="1">
        <v>45074.896576006948</v>
      </c>
      <c r="C2283" t="s">
        <v>4678</v>
      </c>
      <c r="D2283" t="s">
        <v>12</v>
      </c>
      <c r="E2283" t="s">
        <v>111</v>
      </c>
      <c r="F2283">
        <v>2.2000000000000002</v>
      </c>
      <c r="G2283">
        <v>2</v>
      </c>
      <c r="H2283" t="s">
        <v>14</v>
      </c>
      <c r="I2283" t="s">
        <v>36</v>
      </c>
      <c r="J2283" t="s">
        <v>62</v>
      </c>
      <c r="K2283">
        <f>Pqp_supermarket_data[[#This Row],[Unit_Price]]*Pqp_supermarket_data[[#This Row],[Quantity]]</f>
        <v>4.4000000000000004</v>
      </c>
      <c r="L2283" t="str">
        <f>TEXT(Pqp_supermarket_data[[#This Row],[DateTime]],"ddd")</f>
        <v>Sun</v>
      </c>
      <c r="M2283" t="str">
        <f>TEXT(Pqp_supermarket_data[[#This Row],[DateTime]],"mmm")</f>
        <v>May</v>
      </c>
      <c r="N2283" t="str">
        <f>TEXT(Pqp_supermarket_data[[#This Row],[DateTime]],"yyy")</f>
        <v>2023</v>
      </c>
    </row>
    <row r="2284" spans="1:14" x14ac:dyDescent="0.35">
      <c r="A2284" t="s">
        <v>4679</v>
      </c>
      <c r="B2284" s="1">
        <v>45652.5896315625</v>
      </c>
      <c r="C2284" t="s">
        <v>4680</v>
      </c>
      <c r="D2284" t="s">
        <v>171</v>
      </c>
      <c r="E2284" t="s">
        <v>13</v>
      </c>
      <c r="F2284">
        <v>3.1</v>
      </c>
      <c r="G2284">
        <v>1</v>
      </c>
      <c r="H2284" t="s">
        <v>14</v>
      </c>
      <c r="I2284" t="s">
        <v>36</v>
      </c>
      <c r="J2284" t="s">
        <v>273</v>
      </c>
      <c r="K2284">
        <f>Pqp_supermarket_data[[#This Row],[Unit_Price]]*Pqp_supermarket_data[[#This Row],[Quantity]]</f>
        <v>3.1</v>
      </c>
      <c r="L2284" t="str">
        <f>TEXT(Pqp_supermarket_data[[#This Row],[DateTime]],"ddd")</f>
        <v>Thu</v>
      </c>
      <c r="M2284" t="str">
        <f>TEXT(Pqp_supermarket_data[[#This Row],[DateTime]],"mmm")</f>
        <v>Dec</v>
      </c>
      <c r="N2284" t="str">
        <f>TEXT(Pqp_supermarket_data[[#This Row],[DateTime]],"yyy")</f>
        <v>2024</v>
      </c>
    </row>
    <row r="2285" spans="1:14" x14ac:dyDescent="0.35">
      <c r="A2285" t="s">
        <v>4681</v>
      </c>
      <c r="B2285" s="1">
        <v>44780.986853784721</v>
      </c>
      <c r="C2285" t="s">
        <v>4682</v>
      </c>
      <c r="D2285" t="s">
        <v>226</v>
      </c>
      <c r="E2285" t="s">
        <v>111</v>
      </c>
      <c r="F2285">
        <v>2.2000000000000002</v>
      </c>
      <c r="G2285">
        <v>7</v>
      </c>
      <c r="H2285" t="s">
        <v>14</v>
      </c>
      <c r="I2285" t="s">
        <v>15</v>
      </c>
      <c r="J2285" t="s">
        <v>227</v>
      </c>
      <c r="K2285">
        <f>Pqp_supermarket_data[[#This Row],[Unit_Price]]*Pqp_supermarket_data[[#This Row],[Quantity]]</f>
        <v>15.400000000000002</v>
      </c>
      <c r="L2285" t="str">
        <f>TEXT(Pqp_supermarket_data[[#This Row],[DateTime]],"ddd")</f>
        <v>Sun</v>
      </c>
      <c r="M2285" t="str">
        <f>TEXT(Pqp_supermarket_data[[#This Row],[DateTime]],"mmm")</f>
        <v>Aug</v>
      </c>
      <c r="N2285" t="str">
        <f>TEXT(Pqp_supermarket_data[[#This Row],[DateTime]],"yyy")</f>
        <v>2022</v>
      </c>
    </row>
    <row r="2286" spans="1:14" x14ac:dyDescent="0.35">
      <c r="A2286" t="s">
        <v>4683</v>
      </c>
      <c r="B2286" s="1">
        <v>44861.161159351854</v>
      </c>
      <c r="C2286" t="s">
        <v>4684</v>
      </c>
      <c r="D2286" t="s">
        <v>12</v>
      </c>
      <c r="E2286" t="s">
        <v>57</v>
      </c>
      <c r="F2286">
        <v>4.5</v>
      </c>
      <c r="G2286">
        <v>6</v>
      </c>
      <c r="H2286" t="s">
        <v>14</v>
      </c>
      <c r="I2286" t="s">
        <v>15</v>
      </c>
      <c r="J2286" t="s">
        <v>323</v>
      </c>
      <c r="K2286">
        <f>Pqp_supermarket_data[[#This Row],[Unit_Price]]*Pqp_supermarket_data[[#This Row],[Quantity]]</f>
        <v>27</v>
      </c>
      <c r="L2286" t="str">
        <f>TEXT(Pqp_supermarket_data[[#This Row],[DateTime]],"ddd")</f>
        <v>Thu</v>
      </c>
      <c r="M2286" t="str">
        <f>TEXT(Pqp_supermarket_data[[#This Row],[DateTime]],"mmm")</f>
        <v>Oct</v>
      </c>
      <c r="N2286" t="str">
        <f>TEXT(Pqp_supermarket_data[[#This Row],[DateTime]],"yyy")</f>
        <v>2022</v>
      </c>
    </row>
    <row r="2287" spans="1:14" x14ac:dyDescent="0.35">
      <c r="A2287" t="s">
        <v>4685</v>
      </c>
      <c r="B2287" s="1">
        <v>44746.011853796299</v>
      </c>
      <c r="C2287" t="s">
        <v>4686</v>
      </c>
      <c r="D2287" t="s">
        <v>226</v>
      </c>
      <c r="E2287" t="s">
        <v>20</v>
      </c>
      <c r="F2287">
        <v>1</v>
      </c>
      <c r="G2287">
        <v>10</v>
      </c>
      <c r="H2287" t="s">
        <v>14</v>
      </c>
      <c r="I2287" t="s">
        <v>61</v>
      </c>
      <c r="J2287" t="s">
        <v>288</v>
      </c>
      <c r="K2287">
        <f>Pqp_supermarket_data[[#This Row],[Unit_Price]]*Pqp_supermarket_data[[#This Row],[Quantity]]</f>
        <v>10</v>
      </c>
      <c r="L2287" t="str">
        <f>TEXT(Pqp_supermarket_data[[#This Row],[DateTime]],"ddd")</f>
        <v>Mon</v>
      </c>
      <c r="M2287" t="str">
        <f>TEXT(Pqp_supermarket_data[[#This Row],[DateTime]],"mmm")</f>
        <v>Jul</v>
      </c>
      <c r="N2287" t="str">
        <f>TEXT(Pqp_supermarket_data[[#This Row],[DateTime]],"yyy")</f>
        <v>2022</v>
      </c>
    </row>
    <row r="2288" spans="1:14" x14ac:dyDescent="0.35">
      <c r="A2288" t="s">
        <v>4687</v>
      </c>
      <c r="B2288" s="1">
        <v>44538.486853807874</v>
      </c>
      <c r="C2288" t="s">
        <v>4688</v>
      </c>
      <c r="D2288" t="s">
        <v>226</v>
      </c>
      <c r="E2288" t="s">
        <v>53</v>
      </c>
      <c r="F2288">
        <v>2.8</v>
      </c>
      <c r="G2288">
        <v>10</v>
      </c>
      <c r="H2288" t="s">
        <v>14</v>
      </c>
      <c r="I2288" t="s">
        <v>40</v>
      </c>
      <c r="J2288" t="s">
        <v>267</v>
      </c>
      <c r="K2288">
        <f>Pqp_supermarket_data[[#This Row],[Unit_Price]]*Pqp_supermarket_data[[#This Row],[Quantity]]</f>
        <v>28</v>
      </c>
      <c r="L2288" t="str">
        <f>TEXT(Pqp_supermarket_data[[#This Row],[DateTime]],"ddd")</f>
        <v>Wed</v>
      </c>
      <c r="M2288" t="str">
        <f>TEXT(Pqp_supermarket_data[[#This Row],[DateTime]],"mmm")</f>
        <v>Dec</v>
      </c>
      <c r="N2288" t="str">
        <f>TEXT(Pqp_supermarket_data[[#This Row],[DateTime]],"yyy")</f>
        <v>2021</v>
      </c>
    </row>
    <row r="2289" spans="1:14" x14ac:dyDescent="0.35">
      <c r="A2289" t="s">
        <v>4689</v>
      </c>
      <c r="B2289" s="1">
        <v>45640.76532604167</v>
      </c>
      <c r="C2289" t="s">
        <v>4690</v>
      </c>
      <c r="D2289" t="s">
        <v>85</v>
      </c>
      <c r="E2289" t="s">
        <v>145</v>
      </c>
      <c r="F2289">
        <v>1.7</v>
      </c>
      <c r="G2289">
        <v>3</v>
      </c>
      <c r="H2289" t="s">
        <v>14</v>
      </c>
      <c r="I2289" t="s">
        <v>36</v>
      </c>
      <c r="J2289" t="s">
        <v>248</v>
      </c>
      <c r="K2289">
        <f>Pqp_supermarket_data[[#This Row],[Unit_Price]]*Pqp_supermarket_data[[#This Row],[Quantity]]</f>
        <v>5.0999999999999996</v>
      </c>
      <c r="L2289" t="str">
        <f>TEXT(Pqp_supermarket_data[[#This Row],[DateTime]],"ddd")</f>
        <v>Sat</v>
      </c>
      <c r="M2289" t="str">
        <f>TEXT(Pqp_supermarket_data[[#This Row],[DateTime]],"mmm")</f>
        <v>Dec</v>
      </c>
      <c r="N2289" t="str">
        <f>TEXT(Pqp_supermarket_data[[#This Row],[DateTime]],"yyy")</f>
        <v>2024</v>
      </c>
    </row>
    <row r="2290" spans="1:14" x14ac:dyDescent="0.35">
      <c r="A2290" t="s">
        <v>4691</v>
      </c>
      <c r="B2290" s="1">
        <v>45276.73407604167</v>
      </c>
      <c r="C2290" t="s">
        <v>1132</v>
      </c>
      <c r="D2290" t="s">
        <v>226</v>
      </c>
      <c r="E2290" t="s">
        <v>94</v>
      </c>
      <c r="F2290">
        <v>0.8</v>
      </c>
      <c r="G2290">
        <v>3</v>
      </c>
      <c r="H2290" t="s">
        <v>14</v>
      </c>
      <c r="I2290" t="s">
        <v>40</v>
      </c>
      <c r="J2290" t="s">
        <v>189</v>
      </c>
      <c r="K2290">
        <f>Pqp_supermarket_data[[#This Row],[Unit_Price]]*Pqp_supermarket_data[[#This Row],[Quantity]]</f>
        <v>2.4000000000000004</v>
      </c>
      <c r="L2290" t="str">
        <f>TEXT(Pqp_supermarket_data[[#This Row],[DateTime]],"ddd")</f>
        <v>Sat</v>
      </c>
      <c r="M2290" t="str">
        <f>TEXT(Pqp_supermarket_data[[#This Row],[DateTime]],"mmm")</f>
        <v>Dec</v>
      </c>
      <c r="N2290" t="str">
        <f>TEXT(Pqp_supermarket_data[[#This Row],[DateTime]],"yyy")</f>
        <v>2023</v>
      </c>
    </row>
    <row r="2291" spans="1:14" x14ac:dyDescent="0.35">
      <c r="A2291" t="s">
        <v>4692</v>
      </c>
      <c r="B2291" s="1">
        <v>44772.596576041666</v>
      </c>
      <c r="C2291" t="s">
        <v>4693</v>
      </c>
      <c r="D2291" t="s">
        <v>44</v>
      </c>
      <c r="E2291" t="s">
        <v>65</v>
      </c>
      <c r="F2291">
        <v>3</v>
      </c>
      <c r="G2291">
        <v>2</v>
      </c>
      <c r="H2291" t="s">
        <v>14</v>
      </c>
      <c r="I2291" t="s">
        <v>86</v>
      </c>
      <c r="J2291" t="s">
        <v>317</v>
      </c>
      <c r="K2291">
        <f>Pqp_supermarket_data[[#This Row],[Unit_Price]]*Pqp_supermarket_data[[#This Row],[Quantity]]</f>
        <v>6</v>
      </c>
      <c r="L2291" t="str">
        <f>TEXT(Pqp_supermarket_data[[#This Row],[DateTime]],"ddd")</f>
        <v>Sat</v>
      </c>
      <c r="M2291" t="str">
        <f>TEXT(Pqp_supermarket_data[[#This Row],[DateTime]],"mmm")</f>
        <v>Jul</v>
      </c>
      <c r="N2291" t="str">
        <f>TEXT(Pqp_supermarket_data[[#This Row],[DateTime]],"yyy")</f>
        <v>2022</v>
      </c>
    </row>
    <row r="2292" spans="1:14" x14ac:dyDescent="0.35">
      <c r="A2292" t="s">
        <v>4694</v>
      </c>
      <c r="B2292" s="1">
        <v>44350.668103842596</v>
      </c>
      <c r="C2292" t="s">
        <v>4695</v>
      </c>
      <c r="D2292" t="s">
        <v>226</v>
      </c>
      <c r="E2292" t="s">
        <v>145</v>
      </c>
      <c r="F2292">
        <v>1.7</v>
      </c>
      <c r="G2292">
        <v>7</v>
      </c>
      <c r="H2292" t="s">
        <v>14</v>
      </c>
      <c r="I2292" t="s">
        <v>36</v>
      </c>
      <c r="J2292" t="s">
        <v>122</v>
      </c>
      <c r="K2292">
        <f>Pqp_supermarket_data[[#This Row],[Unit_Price]]*Pqp_supermarket_data[[#This Row],[Quantity]]</f>
        <v>11.9</v>
      </c>
      <c r="L2292" t="str">
        <f>TEXT(Pqp_supermarket_data[[#This Row],[DateTime]],"ddd")</f>
        <v>Thu</v>
      </c>
      <c r="M2292" t="str">
        <f>TEXT(Pqp_supermarket_data[[#This Row],[DateTime]],"mmm")</f>
        <v>Jun</v>
      </c>
      <c r="N2292" t="str">
        <f>TEXT(Pqp_supermarket_data[[#This Row],[DateTime]],"yyy")</f>
        <v>2021</v>
      </c>
    </row>
    <row r="2293" spans="1:14" x14ac:dyDescent="0.35">
      <c r="A2293" t="s">
        <v>4696</v>
      </c>
      <c r="B2293" s="1">
        <v>45503.135464953702</v>
      </c>
      <c r="C2293" t="s">
        <v>4697</v>
      </c>
      <c r="D2293" t="s">
        <v>77</v>
      </c>
      <c r="E2293" t="s">
        <v>57</v>
      </c>
      <c r="F2293">
        <v>4.5</v>
      </c>
      <c r="G2293">
        <v>6</v>
      </c>
      <c r="H2293" t="s">
        <v>14</v>
      </c>
      <c r="I2293" t="s">
        <v>15</v>
      </c>
      <c r="J2293" t="s">
        <v>54</v>
      </c>
      <c r="K2293">
        <f>Pqp_supermarket_data[[#This Row],[Unit_Price]]*Pqp_supermarket_data[[#This Row],[Quantity]]</f>
        <v>27</v>
      </c>
      <c r="L2293" t="str">
        <f>TEXT(Pqp_supermarket_data[[#This Row],[DateTime]],"ddd")</f>
        <v>Tue</v>
      </c>
      <c r="M2293" t="str">
        <f>TEXT(Pqp_supermarket_data[[#This Row],[DateTime]],"mmm")</f>
        <v>Jul</v>
      </c>
      <c r="N2293" t="str">
        <f>TEXT(Pqp_supermarket_data[[#This Row],[DateTime]],"yyy")</f>
        <v>2024</v>
      </c>
    </row>
    <row r="2294" spans="1:14" x14ac:dyDescent="0.35">
      <c r="A2294" t="s">
        <v>4698</v>
      </c>
      <c r="B2294" s="1">
        <v>44905.204909398148</v>
      </c>
      <c r="C2294" t="s">
        <v>4699</v>
      </c>
      <c r="D2294" t="s">
        <v>77</v>
      </c>
      <c r="E2294" t="s">
        <v>94</v>
      </c>
      <c r="F2294">
        <v>0.8</v>
      </c>
      <c r="G2294">
        <v>5</v>
      </c>
      <c r="H2294" t="s">
        <v>14</v>
      </c>
      <c r="I2294" t="s">
        <v>86</v>
      </c>
      <c r="J2294" t="s">
        <v>485</v>
      </c>
      <c r="K2294">
        <f>Pqp_supermarket_data[[#This Row],[Unit_Price]]*Pqp_supermarket_data[[#This Row],[Quantity]]</f>
        <v>4</v>
      </c>
      <c r="L2294" t="str">
        <f>TEXT(Pqp_supermarket_data[[#This Row],[DateTime]],"ddd")</f>
        <v>Sat</v>
      </c>
      <c r="M2294" t="str">
        <f>TEXT(Pqp_supermarket_data[[#This Row],[DateTime]],"mmm")</f>
        <v>Dec</v>
      </c>
      <c r="N2294" t="str">
        <f>TEXT(Pqp_supermarket_data[[#This Row],[DateTime]],"yyy")</f>
        <v>2022</v>
      </c>
    </row>
    <row r="2295" spans="1:14" x14ac:dyDescent="0.35">
      <c r="A2295" t="s">
        <v>4700</v>
      </c>
      <c r="B2295" s="1">
        <v>45322.072964965279</v>
      </c>
      <c r="C2295" t="s">
        <v>4701</v>
      </c>
      <c r="D2295" t="s">
        <v>30</v>
      </c>
      <c r="E2295" t="s">
        <v>65</v>
      </c>
      <c r="F2295">
        <v>3</v>
      </c>
      <c r="G2295">
        <v>6</v>
      </c>
      <c r="H2295" t="s">
        <v>14</v>
      </c>
      <c r="I2295" t="s">
        <v>86</v>
      </c>
      <c r="J2295" t="s">
        <v>91</v>
      </c>
      <c r="K2295">
        <f>Pqp_supermarket_data[[#This Row],[Unit_Price]]*Pqp_supermarket_data[[#This Row],[Quantity]]</f>
        <v>18</v>
      </c>
      <c r="L2295" t="str">
        <f>TEXT(Pqp_supermarket_data[[#This Row],[DateTime]],"ddd")</f>
        <v>Wed</v>
      </c>
      <c r="M2295" t="str">
        <f>TEXT(Pqp_supermarket_data[[#This Row],[DateTime]],"mmm")</f>
        <v>Jan</v>
      </c>
      <c r="N2295" t="str">
        <f>TEXT(Pqp_supermarket_data[[#This Row],[DateTime]],"yyy")</f>
        <v>2024</v>
      </c>
    </row>
    <row r="2296" spans="1:14" x14ac:dyDescent="0.35">
      <c r="A2296" t="s">
        <v>4702</v>
      </c>
      <c r="B2296" s="1">
        <v>45593.881992743052</v>
      </c>
      <c r="C2296" t="s">
        <v>4703</v>
      </c>
      <c r="D2296" t="s">
        <v>208</v>
      </c>
      <c r="E2296" t="s">
        <v>45</v>
      </c>
      <c r="F2296">
        <v>1</v>
      </c>
      <c r="G2296">
        <v>1</v>
      </c>
      <c r="H2296" t="s">
        <v>14</v>
      </c>
      <c r="I2296" t="s">
        <v>21</v>
      </c>
      <c r="J2296" t="s">
        <v>387</v>
      </c>
      <c r="K2296">
        <f>Pqp_supermarket_data[[#This Row],[Unit_Price]]*Pqp_supermarket_data[[#This Row],[Quantity]]</f>
        <v>1</v>
      </c>
      <c r="L2296" t="str">
        <f>TEXT(Pqp_supermarket_data[[#This Row],[DateTime]],"ddd")</f>
        <v>Mon</v>
      </c>
      <c r="M2296" t="str">
        <f>TEXT(Pqp_supermarket_data[[#This Row],[DateTime]],"mmm")</f>
        <v>Oct</v>
      </c>
      <c r="N2296" t="str">
        <f>TEXT(Pqp_supermarket_data[[#This Row],[DateTime]],"yyy")</f>
        <v>2024</v>
      </c>
    </row>
    <row r="2297" spans="1:14" x14ac:dyDescent="0.35">
      <c r="A2297" t="s">
        <v>4704</v>
      </c>
      <c r="B2297" s="1">
        <v>44388.097270543978</v>
      </c>
      <c r="C2297" t="s">
        <v>4705</v>
      </c>
      <c r="D2297" t="s">
        <v>69</v>
      </c>
      <c r="E2297" t="s">
        <v>35</v>
      </c>
      <c r="F2297">
        <v>1.2</v>
      </c>
      <c r="G2297">
        <v>9</v>
      </c>
      <c r="H2297" t="s">
        <v>14</v>
      </c>
      <c r="I2297" t="s">
        <v>40</v>
      </c>
      <c r="J2297" t="s">
        <v>288</v>
      </c>
      <c r="K2297">
        <f>Pqp_supermarket_data[[#This Row],[Unit_Price]]*Pqp_supermarket_data[[#This Row],[Quantity]]</f>
        <v>10.799999999999999</v>
      </c>
      <c r="L2297" t="str">
        <f>TEXT(Pqp_supermarket_data[[#This Row],[DateTime]],"ddd")</f>
        <v>Sun</v>
      </c>
      <c r="M2297" t="str">
        <f>TEXT(Pqp_supermarket_data[[#This Row],[DateTime]],"mmm")</f>
        <v>Jul</v>
      </c>
      <c r="N2297" t="str">
        <f>TEXT(Pqp_supermarket_data[[#This Row],[DateTime]],"yyy")</f>
        <v>2021</v>
      </c>
    </row>
    <row r="2298" spans="1:14" x14ac:dyDescent="0.35">
      <c r="A2298" t="s">
        <v>4706</v>
      </c>
      <c r="B2298" s="1">
        <v>45117.046576099536</v>
      </c>
      <c r="C2298" t="s">
        <v>4707</v>
      </c>
      <c r="D2298" t="s">
        <v>208</v>
      </c>
      <c r="E2298" t="s">
        <v>119</v>
      </c>
      <c r="F2298">
        <v>4</v>
      </c>
      <c r="G2298">
        <v>10</v>
      </c>
      <c r="H2298" t="s">
        <v>14</v>
      </c>
      <c r="I2298" t="s">
        <v>61</v>
      </c>
      <c r="J2298" t="s">
        <v>95</v>
      </c>
      <c r="K2298">
        <f>Pqp_supermarket_data[[#This Row],[Unit_Price]]*Pqp_supermarket_data[[#This Row],[Quantity]]</f>
        <v>40</v>
      </c>
      <c r="L2298" t="str">
        <f>TEXT(Pqp_supermarket_data[[#This Row],[DateTime]],"ddd")</f>
        <v>Mon</v>
      </c>
      <c r="M2298" t="str">
        <f>TEXT(Pqp_supermarket_data[[#This Row],[DateTime]],"mmm")</f>
        <v>Jul</v>
      </c>
      <c r="N2298" t="str">
        <f>TEXT(Pqp_supermarket_data[[#This Row],[DateTime]],"yyy")</f>
        <v>2023</v>
      </c>
    </row>
    <row r="2299" spans="1:14" x14ac:dyDescent="0.35">
      <c r="A2299" t="s">
        <v>4708</v>
      </c>
      <c r="B2299" s="1">
        <v>45433.281992777775</v>
      </c>
      <c r="C2299" t="s">
        <v>4709</v>
      </c>
      <c r="D2299" t="s">
        <v>171</v>
      </c>
      <c r="E2299" t="s">
        <v>115</v>
      </c>
      <c r="F2299">
        <v>1.5</v>
      </c>
      <c r="G2299">
        <v>3</v>
      </c>
      <c r="H2299" t="s">
        <v>14</v>
      </c>
      <c r="I2299" t="s">
        <v>21</v>
      </c>
      <c r="J2299" t="s">
        <v>163</v>
      </c>
      <c r="K2299">
        <f>Pqp_supermarket_data[[#This Row],[Unit_Price]]*Pqp_supermarket_data[[#This Row],[Quantity]]</f>
        <v>4.5</v>
      </c>
      <c r="L2299" t="str">
        <f>TEXT(Pqp_supermarket_data[[#This Row],[DateTime]],"ddd")</f>
        <v>Tue</v>
      </c>
      <c r="M2299" t="str">
        <f>TEXT(Pqp_supermarket_data[[#This Row],[DateTime]],"mmm")</f>
        <v>May</v>
      </c>
      <c r="N2299" t="str">
        <f>TEXT(Pqp_supermarket_data[[#This Row],[DateTime]],"yyy")</f>
        <v>2024</v>
      </c>
    </row>
    <row r="2300" spans="1:14" x14ac:dyDescent="0.35">
      <c r="A2300" t="s">
        <v>4710</v>
      </c>
      <c r="B2300" s="1">
        <v>45079.396576122686</v>
      </c>
      <c r="C2300" t="s">
        <v>3170</v>
      </c>
      <c r="D2300" t="s">
        <v>30</v>
      </c>
      <c r="E2300" t="s">
        <v>111</v>
      </c>
      <c r="F2300">
        <v>2.2000000000000002</v>
      </c>
      <c r="G2300">
        <v>10</v>
      </c>
      <c r="H2300" t="s">
        <v>14</v>
      </c>
      <c r="I2300" t="s">
        <v>61</v>
      </c>
      <c r="J2300" t="s">
        <v>317</v>
      </c>
      <c r="K2300">
        <f>Pqp_supermarket_data[[#This Row],[Unit_Price]]*Pqp_supermarket_data[[#This Row],[Quantity]]</f>
        <v>22</v>
      </c>
      <c r="L2300" t="str">
        <f>TEXT(Pqp_supermarket_data[[#This Row],[DateTime]],"ddd")</f>
        <v>Fri</v>
      </c>
      <c r="M2300" t="str">
        <f>TEXT(Pqp_supermarket_data[[#This Row],[DateTime]],"mmm")</f>
        <v>Jun</v>
      </c>
      <c r="N2300" t="str">
        <f>TEXT(Pqp_supermarket_data[[#This Row],[DateTime]],"yyy")</f>
        <v>2023</v>
      </c>
    </row>
    <row r="2301" spans="1:14" x14ac:dyDescent="0.35">
      <c r="A2301" t="s">
        <v>4711</v>
      </c>
      <c r="B2301" s="1">
        <v>45423.945187245372</v>
      </c>
      <c r="C2301" t="s">
        <v>4712</v>
      </c>
      <c r="D2301" t="s">
        <v>34</v>
      </c>
      <c r="E2301" t="s">
        <v>94</v>
      </c>
      <c r="F2301">
        <v>0.8</v>
      </c>
      <c r="G2301">
        <v>9</v>
      </c>
      <c r="H2301" t="s">
        <v>14</v>
      </c>
      <c r="I2301" t="s">
        <v>15</v>
      </c>
      <c r="J2301" t="s">
        <v>510</v>
      </c>
      <c r="K2301">
        <f>Pqp_supermarket_data[[#This Row],[Unit_Price]]*Pqp_supermarket_data[[#This Row],[Quantity]]</f>
        <v>7.2</v>
      </c>
      <c r="L2301" t="str">
        <f>TEXT(Pqp_supermarket_data[[#This Row],[DateTime]],"ddd")</f>
        <v>Sat</v>
      </c>
      <c r="M2301" t="str">
        <f>TEXT(Pqp_supermarket_data[[#This Row],[DateTime]],"mmm")</f>
        <v>May</v>
      </c>
      <c r="N2301" t="str">
        <f>TEXT(Pqp_supermarket_data[[#This Row],[DateTime]],"yyy")</f>
        <v>2024</v>
      </c>
    </row>
    <row r="2302" spans="1:14" x14ac:dyDescent="0.35">
      <c r="A2302" t="s">
        <v>4713</v>
      </c>
      <c r="B2302" s="1">
        <v>45723.76671502315</v>
      </c>
      <c r="C2302" t="s">
        <v>4714</v>
      </c>
      <c r="D2302" t="s">
        <v>19</v>
      </c>
      <c r="E2302" t="s">
        <v>20</v>
      </c>
      <c r="F2302">
        <v>1</v>
      </c>
      <c r="G2302">
        <v>2</v>
      </c>
      <c r="H2302" t="s">
        <v>14</v>
      </c>
      <c r="I2302" t="s">
        <v>61</v>
      </c>
      <c r="J2302" t="s">
        <v>50</v>
      </c>
      <c r="K2302">
        <f>Pqp_supermarket_data[[#This Row],[Unit_Price]]*Pqp_supermarket_data[[#This Row],[Quantity]]</f>
        <v>2</v>
      </c>
      <c r="L2302" t="str">
        <f>TEXT(Pqp_supermarket_data[[#This Row],[DateTime]],"ddd")</f>
        <v>Fri</v>
      </c>
      <c r="M2302" t="str">
        <f>TEXT(Pqp_supermarket_data[[#This Row],[DateTime]],"mmm")</f>
        <v>Mar</v>
      </c>
      <c r="N2302" t="str">
        <f>TEXT(Pqp_supermarket_data[[#This Row],[DateTime]],"yyy")</f>
        <v>2025</v>
      </c>
    </row>
    <row r="2303" spans="1:14" x14ac:dyDescent="0.35">
      <c r="A2303" t="s">
        <v>4715</v>
      </c>
      <c r="B2303" s="1">
        <v>45566.07157615741</v>
      </c>
      <c r="C2303" t="s">
        <v>4716</v>
      </c>
      <c r="D2303" t="s">
        <v>69</v>
      </c>
      <c r="E2303" t="s">
        <v>119</v>
      </c>
      <c r="F2303">
        <v>4</v>
      </c>
      <c r="G2303">
        <v>9</v>
      </c>
      <c r="H2303" t="s">
        <v>14</v>
      </c>
      <c r="I2303" t="s">
        <v>15</v>
      </c>
      <c r="J2303" t="s">
        <v>58</v>
      </c>
      <c r="K2303">
        <f>Pqp_supermarket_data[[#This Row],[Unit_Price]]*Pqp_supermarket_data[[#This Row],[Quantity]]</f>
        <v>36</v>
      </c>
      <c r="L2303" t="str">
        <f>TEXT(Pqp_supermarket_data[[#This Row],[DateTime]],"ddd")</f>
        <v>Tue</v>
      </c>
      <c r="M2303" t="str">
        <f>TEXT(Pqp_supermarket_data[[#This Row],[DateTime]],"mmm")</f>
        <v>Oct</v>
      </c>
      <c r="N2303" t="str">
        <f>TEXT(Pqp_supermarket_data[[#This Row],[DateTime]],"yyy")</f>
        <v>2024</v>
      </c>
    </row>
    <row r="2304" spans="1:14" x14ac:dyDescent="0.35">
      <c r="A2304" t="s">
        <v>4717</v>
      </c>
      <c r="B2304" s="1">
        <v>44767.283381712965</v>
      </c>
      <c r="C2304" t="s">
        <v>4718</v>
      </c>
      <c r="D2304" t="s">
        <v>69</v>
      </c>
      <c r="E2304" t="s">
        <v>45</v>
      </c>
      <c r="F2304">
        <v>1</v>
      </c>
      <c r="G2304">
        <v>6</v>
      </c>
      <c r="H2304" t="s">
        <v>14</v>
      </c>
      <c r="I2304" t="s">
        <v>86</v>
      </c>
      <c r="J2304" t="s">
        <v>227</v>
      </c>
      <c r="K2304">
        <f>Pqp_supermarket_data[[#This Row],[Unit_Price]]*Pqp_supermarket_data[[#This Row],[Quantity]]</f>
        <v>6</v>
      </c>
      <c r="L2304" t="str">
        <f>TEXT(Pqp_supermarket_data[[#This Row],[DateTime]],"ddd")</f>
        <v>Mon</v>
      </c>
      <c r="M2304" t="str">
        <f>TEXT(Pqp_supermarket_data[[#This Row],[DateTime]],"mmm")</f>
        <v>Jul</v>
      </c>
      <c r="N2304" t="str">
        <f>TEXT(Pqp_supermarket_data[[#This Row],[DateTime]],"yyy")</f>
        <v>2022</v>
      </c>
    </row>
    <row r="2305" spans="1:14" x14ac:dyDescent="0.35">
      <c r="A2305" t="s">
        <v>4719</v>
      </c>
      <c r="B2305" s="1">
        <v>44664.025048391202</v>
      </c>
      <c r="C2305" t="s">
        <v>4720</v>
      </c>
      <c r="D2305" t="s">
        <v>98</v>
      </c>
      <c r="E2305" t="s">
        <v>148</v>
      </c>
      <c r="F2305">
        <v>5.5</v>
      </c>
      <c r="G2305">
        <v>9</v>
      </c>
      <c r="H2305" t="s">
        <v>14</v>
      </c>
      <c r="I2305" t="s">
        <v>40</v>
      </c>
      <c r="J2305" t="s">
        <v>102</v>
      </c>
      <c r="K2305">
        <f>Pqp_supermarket_data[[#This Row],[Unit_Price]]*Pqp_supermarket_data[[#This Row],[Quantity]]</f>
        <v>49.5</v>
      </c>
      <c r="L2305" t="str">
        <f>TEXT(Pqp_supermarket_data[[#This Row],[DateTime]],"ddd")</f>
        <v>Wed</v>
      </c>
      <c r="M2305" t="str">
        <f>TEXT(Pqp_supermarket_data[[#This Row],[DateTime]],"mmm")</f>
        <v>Apr</v>
      </c>
      <c r="N2305" t="str">
        <f>TEXT(Pqp_supermarket_data[[#This Row],[DateTime]],"yyy")</f>
        <v>2022</v>
      </c>
    </row>
    <row r="2306" spans="1:14" x14ac:dyDescent="0.35">
      <c r="A2306" t="s">
        <v>4721</v>
      </c>
      <c r="B2306" s="1">
        <v>45282.095187280094</v>
      </c>
      <c r="C2306" t="s">
        <v>3778</v>
      </c>
      <c r="D2306" t="s">
        <v>25</v>
      </c>
      <c r="E2306" t="s">
        <v>115</v>
      </c>
      <c r="F2306">
        <v>1.5</v>
      </c>
      <c r="G2306">
        <v>4</v>
      </c>
      <c r="H2306" t="s">
        <v>14</v>
      </c>
      <c r="I2306" t="s">
        <v>86</v>
      </c>
      <c r="J2306" t="s">
        <v>436</v>
      </c>
      <c r="K2306">
        <f>Pqp_supermarket_data[[#This Row],[Unit_Price]]*Pqp_supermarket_data[[#This Row],[Quantity]]</f>
        <v>6</v>
      </c>
      <c r="L2306" t="str">
        <f>TEXT(Pqp_supermarket_data[[#This Row],[DateTime]],"ddd")</f>
        <v>Fri</v>
      </c>
      <c r="M2306" t="str">
        <f>TEXT(Pqp_supermarket_data[[#This Row],[DateTime]],"mmm")</f>
        <v>Dec</v>
      </c>
      <c r="N2306" t="str">
        <f>TEXT(Pqp_supermarket_data[[#This Row],[DateTime]],"yyy")</f>
        <v>2023</v>
      </c>
    </row>
    <row r="2307" spans="1:14" x14ac:dyDescent="0.35">
      <c r="A2307" t="s">
        <v>4722</v>
      </c>
      <c r="B2307" s="1">
        <v>45053.477826180555</v>
      </c>
      <c r="C2307" t="s">
        <v>4723</v>
      </c>
      <c r="D2307" t="s">
        <v>19</v>
      </c>
      <c r="E2307" t="s">
        <v>115</v>
      </c>
      <c r="F2307">
        <v>1.5</v>
      </c>
      <c r="G2307">
        <v>10</v>
      </c>
      <c r="H2307" t="s">
        <v>14</v>
      </c>
      <c r="I2307" t="s">
        <v>40</v>
      </c>
      <c r="J2307" t="s">
        <v>128</v>
      </c>
      <c r="K2307">
        <f>Pqp_supermarket_data[[#This Row],[Unit_Price]]*Pqp_supermarket_data[[#This Row],[Quantity]]</f>
        <v>15</v>
      </c>
      <c r="L2307" t="str">
        <f>TEXT(Pqp_supermarket_data[[#This Row],[DateTime]],"ddd")</f>
        <v>Sun</v>
      </c>
      <c r="M2307" t="str">
        <f>TEXT(Pqp_supermarket_data[[#This Row],[DateTime]],"mmm")</f>
        <v>May</v>
      </c>
      <c r="N2307" t="str">
        <f>TEXT(Pqp_supermarket_data[[#This Row],[DateTime]],"yyy")</f>
        <v>2023</v>
      </c>
    </row>
    <row r="2308" spans="1:14" x14ac:dyDescent="0.35">
      <c r="A2308" t="s">
        <v>4724</v>
      </c>
      <c r="B2308" s="1">
        <v>45599.656298402777</v>
      </c>
      <c r="C2308" t="s">
        <v>4725</v>
      </c>
      <c r="D2308" t="s">
        <v>44</v>
      </c>
      <c r="E2308" t="s">
        <v>90</v>
      </c>
      <c r="F2308">
        <v>1.8</v>
      </c>
      <c r="G2308">
        <v>10</v>
      </c>
      <c r="H2308" t="s">
        <v>14</v>
      </c>
      <c r="I2308" t="s">
        <v>21</v>
      </c>
      <c r="J2308" t="s">
        <v>160</v>
      </c>
      <c r="K2308">
        <f>Pqp_supermarket_data[[#This Row],[Unit_Price]]*Pqp_supermarket_data[[#This Row],[Quantity]]</f>
        <v>18</v>
      </c>
      <c r="L2308" t="str">
        <f>TEXT(Pqp_supermarket_data[[#This Row],[DateTime]],"ddd")</f>
        <v>Sun</v>
      </c>
      <c r="M2308" t="str">
        <f>TEXT(Pqp_supermarket_data[[#This Row],[DateTime]],"mmm")</f>
        <v>Nov</v>
      </c>
      <c r="N2308" t="str">
        <f>TEXT(Pqp_supermarket_data[[#This Row],[DateTime]],"yyy")</f>
        <v>2024</v>
      </c>
    </row>
    <row r="2309" spans="1:14" x14ac:dyDescent="0.35">
      <c r="A2309" t="s">
        <v>4726</v>
      </c>
      <c r="B2309" s="1">
        <v>44696.875742847224</v>
      </c>
      <c r="C2309" t="s">
        <v>4727</v>
      </c>
      <c r="D2309" t="s">
        <v>226</v>
      </c>
      <c r="E2309" t="s">
        <v>20</v>
      </c>
      <c r="F2309">
        <v>1</v>
      </c>
      <c r="G2309">
        <v>4</v>
      </c>
      <c r="H2309" t="s">
        <v>14</v>
      </c>
      <c r="I2309" t="s">
        <v>61</v>
      </c>
      <c r="J2309" t="s">
        <v>394</v>
      </c>
      <c r="K2309">
        <f>Pqp_supermarket_data[[#This Row],[Unit_Price]]*Pqp_supermarket_data[[#This Row],[Quantity]]</f>
        <v>4</v>
      </c>
      <c r="L2309" t="str">
        <f>TEXT(Pqp_supermarket_data[[#This Row],[DateTime]],"ddd")</f>
        <v>Sun</v>
      </c>
      <c r="M2309" t="str">
        <f>TEXT(Pqp_supermarket_data[[#This Row],[DateTime]],"mmm")</f>
        <v>May</v>
      </c>
      <c r="N2309" t="str">
        <f>TEXT(Pqp_supermarket_data[[#This Row],[DateTime]],"yyy")</f>
        <v>2022</v>
      </c>
    </row>
    <row r="2310" spans="1:14" x14ac:dyDescent="0.35">
      <c r="A2310" t="s">
        <v>4728</v>
      </c>
      <c r="B2310" s="1">
        <v>45508.943103969905</v>
      </c>
      <c r="C2310" t="s">
        <v>4729</v>
      </c>
      <c r="D2310" t="s">
        <v>25</v>
      </c>
      <c r="E2310" t="s">
        <v>57</v>
      </c>
      <c r="F2310">
        <v>4.5</v>
      </c>
      <c r="G2310">
        <v>7</v>
      </c>
      <c r="H2310" t="s">
        <v>14</v>
      </c>
      <c r="I2310" t="s">
        <v>86</v>
      </c>
      <c r="J2310" t="s">
        <v>236</v>
      </c>
      <c r="K2310">
        <f>Pqp_supermarket_data[[#This Row],[Unit_Price]]*Pqp_supermarket_data[[#This Row],[Quantity]]</f>
        <v>31.5</v>
      </c>
      <c r="L2310" t="str">
        <f>TEXT(Pqp_supermarket_data[[#This Row],[DateTime]],"ddd")</f>
        <v>Sun</v>
      </c>
      <c r="M2310" t="str">
        <f>TEXT(Pqp_supermarket_data[[#This Row],[DateTime]],"mmm")</f>
        <v>Aug</v>
      </c>
      <c r="N2310" t="str">
        <f>TEXT(Pqp_supermarket_data[[#This Row],[DateTime]],"yyy")</f>
        <v>2024</v>
      </c>
    </row>
    <row r="2311" spans="1:14" x14ac:dyDescent="0.35">
      <c r="A2311" t="s">
        <v>4730</v>
      </c>
      <c r="B2311" s="1">
        <v>45014.454909525462</v>
      </c>
      <c r="C2311" t="s">
        <v>4731</v>
      </c>
      <c r="D2311" t="s">
        <v>208</v>
      </c>
      <c r="E2311" t="s">
        <v>115</v>
      </c>
      <c r="F2311">
        <v>1.5</v>
      </c>
      <c r="G2311">
        <v>2</v>
      </c>
      <c r="H2311" t="s">
        <v>14</v>
      </c>
      <c r="I2311" t="s">
        <v>61</v>
      </c>
      <c r="J2311" t="s">
        <v>270</v>
      </c>
      <c r="K2311">
        <f>Pqp_supermarket_data[[#This Row],[Unit_Price]]*Pqp_supermarket_data[[#This Row],[Quantity]]</f>
        <v>3</v>
      </c>
      <c r="L2311" t="str">
        <f>TEXT(Pqp_supermarket_data[[#This Row],[DateTime]],"ddd")</f>
        <v>Wed</v>
      </c>
      <c r="M2311" t="str">
        <f>TEXT(Pqp_supermarket_data[[#This Row],[DateTime]],"mmm")</f>
        <v>Mar</v>
      </c>
      <c r="N2311" t="str">
        <f>TEXT(Pqp_supermarket_data[[#This Row],[DateTime]],"yyy")</f>
        <v>2023</v>
      </c>
    </row>
    <row r="2312" spans="1:14" x14ac:dyDescent="0.35">
      <c r="A2312" t="s">
        <v>4732</v>
      </c>
      <c r="B2312" s="1">
        <v>44794.751437314815</v>
      </c>
      <c r="C2312" t="s">
        <v>4733</v>
      </c>
      <c r="D2312" t="s">
        <v>127</v>
      </c>
      <c r="E2312" t="s">
        <v>115</v>
      </c>
      <c r="F2312">
        <v>1.5</v>
      </c>
      <c r="G2312">
        <v>5</v>
      </c>
      <c r="H2312" t="s">
        <v>14</v>
      </c>
      <c r="I2312" t="s">
        <v>36</v>
      </c>
      <c r="J2312" t="s">
        <v>160</v>
      </c>
      <c r="K2312">
        <f>Pqp_supermarket_data[[#This Row],[Unit_Price]]*Pqp_supermarket_data[[#This Row],[Quantity]]</f>
        <v>7.5</v>
      </c>
      <c r="L2312" t="str">
        <f>TEXT(Pqp_supermarket_data[[#This Row],[DateTime]],"ddd")</f>
        <v>Sun</v>
      </c>
      <c r="M2312" t="str">
        <f>TEXT(Pqp_supermarket_data[[#This Row],[DateTime]],"mmm")</f>
        <v>Aug</v>
      </c>
      <c r="N2312" t="str">
        <f>TEXT(Pqp_supermarket_data[[#This Row],[DateTime]],"yyy")</f>
        <v>2022</v>
      </c>
    </row>
    <row r="2313" spans="1:14" x14ac:dyDescent="0.35">
      <c r="A2313" t="s">
        <v>4734</v>
      </c>
      <c r="B2313" s="1">
        <v>45673.856298425926</v>
      </c>
      <c r="C2313" t="s">
        <v>4735</v>
      </c>
      <c r="D2313" t="s">
        <v>208</v>
      </c>
      <c r="E2313" t="s">
        <v>78</v>
      </c>
      <c r="F2313">
        <v>4</v>
      </c>
      <c r="G2313">
        <v>2</v>
      </c>
      <c r="H2313" t="s">
        <v>14</v>
      </c>
      <c r="I2313" t="s">
        <v>61</v>
      </c>
      <c r="J2313" t="s">
        <v>131</v>
      </c>
      <c r="K2313">
        <f>Pqp_supermarket_data[[#This Row],[Unit_Price]]*Pqp_supermarket_data[[#This Row],[Quantity]]</f>
        <v>8</v>
      </c>
      <c r="L2313" t="str">
        <f>TEXT(Pqp_supermarket_data[[#This Row],[DateTime]],"ddd")</f>
        <v>Thu</v>
      </c>
      <c r="M2313" t="str">
        <f>TEXT(Pqp_supermarket_data[[#This Row],[DateTime]],"mmm")</f>
        <v>Jan</v>
      </c>
      <c r="N2313" t="str">
        <f>TEXT(Pqp_supermarket_data[[#This Row],[DateTime]],"yyy")</f>
        <v>2025</v>
      </c>
    </row>
    <row r="2314" spans="1:14" x14ac:dyDescent="0.35">
      <c r="A2314" t="s">
        <v>4736</v>
      </c>
      <c r="B2314" s="1">
        <v>44616.843798425929</v>
      </c>
      <c r="C2314" t="s">
        <v>4737</v>
      </c>
      <c r="D2314" t="s">
        <v>30</v>
      </c>
      <c r="E2314" t="s">
        <v>39</v>
      </c>
      <c r="F2314">
        <v>3.2</v>
      </c>
      <c r="G2314">
        <v>1</v>
      </c>
      <c r="H2314" t="s">
        <v>14</v>
      </c>
      <c r="I2314" t="s">
        <v>21</v>
      </c>
      <c r="J2314" t="s">
        <v>27</v>
      </c>
      <c r="K2314">
        <f>Pqp_supermarket_data[[#This Row],[Unit_Price]]*Pqp_supermarket_data[[#This Row],[Quantity]]</f>
        <v>3.2</v>
      </c>
      <c r="L2314" t="str">
        <f>TEXT(Pqp_supermarket_data[[#This Row],[DateTime]],"ddd")</f>
        <v>Thu</v>
      </c>
      <c r="M2314" t="str">
        <f>TEXT(Pqp_supermarket_data[[#This Row],[DateTime]],"mmm")</f>
        <v>Feb</v>
      </c>
      <c r="N2314" t="str">
        <f>TEXT(Pqp_supermarket_data[[#This Row],[DateTime]],"yyy")</f>
        <v>2022</v>
      </c>
    </row>
    <row r="2315" spans="1:14" x14ac:dyDescent="0.35">
      <c r="A2315" t="s">
        <v>4738</v>
      </c>
      <c r="B2315" s="1">
        <v>45690.168103993055</v>
      </c>
      <c r="C2315" t="s">
        <v>4739</v>
      </c>
      <c r="D2315" t="s">
        <v>25</v>
      </c>
      <c r="E2315" t="s">
        <v>53</v>
      </c>
      <c r="F2315">
        <v>2.8</v>
      </c>
      <c r="G2315">
        <v>9</v>
      </c>
      <c r="H2315" t="s">
        <v>14</v>
      </c>
      <c r="I2315" t="s">
        <v>40</v>
      </c>
      <c r="J2315" t="s">
        <v>382</v>
      </c>
      <c r="K2315">
        <f>Pqp_supermarket_data[[#This Row],[Unit_Price]]*Pqp_supermarket_data[[#This Row],[Quantity]]</f>
        <v>25.2</v>
      </c>
      <c r="L2315" t="str">
        <f>TEXT(Pqp_supermarket_data[[#This Row],[DateTime]],"ddd")</f>
        <v>Sun</v>
      </c>
      <c r="M2315" t="str">
        <f>TEXT(Pqp_supermarket_data[[#This Row],[DateTime]],"mmm")</f>
        <v>Feb</v>
      </c>
      <c r="N2315" t="str">
        <f>TEXT(Pqp_supermarket_data[[#This Row],[DateTime]],"yyy")</f>
        <v>2025</v>
      </c>
    </row>
    <row r="2316" spans="1:14" x14ac:dyDescent="0.35">
      <c r="A2316" t="s">
        <v>4740</v>
      </c>
      <c r="B2316" s="1">
        <v>44897.579215104168</v>
      </c>
      <c r="C2316" t="s">
        <v>4741</v>
      </c>
      <c r="D2316" t="s">
        <v>85</v>
      </c>
      <c r="E2316" t="s">
        <v>94</v>
      </c>
      <c r="F2316">
        <v>0.8</v>
      </c>
      <c r="G2316">
        <v>9</v>
      </c>
      <c r="H2316" t="s">
        <v>14</v>
      </c>
      <c r="I2316" t="s">
        <v>61</v>
      </c>
      <c r="J2316" t="s">
        <v>382</v>
      </c>
      <c r="K2316">
        <f>Pqp_supermarket_data[[#This Row],[Unit_Price]]*Pqp_supermarket_data[[#This Row],[Quantity]]</f>
        <v>7.2</v>
      </c>
      <c r="L2316" t="str">
        <f>TEXT(Pqp_supermarket_data[[#This Row],[DateTime]],"ddd")</f>
        <v>Fri</v>
      </c>
      <c r="M2316" t="str">
        <f>TEXT(Pqp_supermarket_data[[#This Row],[DateTime]],"mmm")</f>
        <v>Dec</v>
      </c>
      <c r="N2316" t="str">
        <f>TEXT(Pqp_supermarket_data[[#This Row],[DateTime]],"yyy")</f>
        <v>2022</v>
      </c>
    </row>
    <row r="2317" spans="1:14" x14ac:dyDescent="0.35">
      <c r="A2317" t="s">
        <v>4742</v>
      </c>
      <c r="B2317" s="1">
        <v>44355.477826226852</v>
      </c>
      <c r="C2317" t="s">
        <v>1807</v>
      </c>
      <c r="D2317" t="s">
        <v>25</v>
      </c>
      <c r="E2317" t="s">
        <v>148</v>
      </c>
      <c r="F2317">
        <v>5.5</v>
      </c>
      <c r="G2317">
        <v>8</v>
      </c>
      <c r="H2317" t="s">
        <v>14</v>
      </c>
      <c r="I2317" t="s">
        <v>15</v>
      </c>
      <c r="J2317" t="s">
        <v>499</v>
      </c>
      <c r="K2317">
        <f>Pqp_supermarket_data[[#This Row],[Unit_Price]]*Pqp_supermarket_data[[#This Row],[Quantity]]</f>
        <v>44</v>
      </c>
      <c r="L2317" t="str">
        <f>TEXT(Pqp_supermarket_data[[#This Row],[DateTime]],"ddd")</f>
        <v>Tue</v>
      </c>
      <c r="M2317" t="str">
        <f>TEXT(Pqp_supermarket_data[[#This Row],[DateTime]],"mmm")</f>
        <v>Jun</v>
      </c>
      <c r="N2317" t="str">
        <f>TEXT(Pqp_supermarket_data[[#This Row],[DateTime]],"yyy")</f>
        <v>2021</v>
      </c>
    </row>
    <row r="2318" spans="1:14" x14ac:dyDescent="0.35">
      <c r="A2318" t="s">
        <v>4743</v>
      </c>
      <c r="B2318" s="1">
        <v>44327.14032622685</v>
      </c>
      <c r="C2318" t="s">
        <v>4744</v>
      </c>
      <c r="D2318" t="s">
        <v>12</v>
      </c>
      <c r="E2318" t="s">
        <v>78</v>
      </c>
      <c r="F2318">
        <v>4</v>
      </c>
      <c r="G2318">
        <v>8</v>
      </c>
      <c r="H2318" t="s">
        <v>14</v>
      </c>
      <c r="I2318" t="s">
        <v>15</v>
      </c>
      <c r="J2318" t="s">
        <v>317</v>
      </c>
      <c r="K2318">
        <f>Pqp_supermarket_data[[#This Row],[Unit_Price]]*Pqp_supermarket_data[[#This Row],[Quantity]]</f>
        <v>32</v>
      </c>
      <c r="L2318" t="str">
        <f>TEXT(Pqp_supermarket_data[[#This Row],[DateTime]],"ddd")</f>
        <v>Tue</v>
      </c>
      <c r="M2318" t="str">
        <f>TEXT(Pqp_supermarket_data[[#This Row],[DateTime]],"mmm")</f>
        <v>May</v>
      </c>
      <c r="N2318" t="str">
        <f>TEXT(Pqp_supermarket_data[[#This Row],[DateTime]],"yyy")</f>
        <v>2021</v>
      </c>
    </row>
    <row r="2319" spans="1:14" x14ac:dyDescent="0.35">
      <c r="A2319" t="s">
        <v>4745</v>
      </c>
      <c r="B2319" s="1">
        <v>44474.768104016206</v>
      </c>
      <c r="C2319" t="s">
        <v>4746</v>
      </c>
      <c r="D2319" t="s">
        <v>208</v>
      </c>
      <c r="E2319" t="s">
        <v>49</v>
      </c>
      <c r="F2319">
        <v>7</v>
      </c>
      <c r="G2319">
        <v>4</v>
      </c>
      <c r="H2319" t="s">
        <v>14</v>
      </c>
      <c r="I2319" t="s">
        <v>36</v>
      </c>
      <c r="J2319" t="s">
        <v>233</v>
      </c>
      <c r="K2319">
        <f>Pqp_supermarket_data[[#This Row],[Unit_Price]]*Pqp_supermarket_data[[#This Row],[Quantity]]</f>
        <v>28</v>
      </c>
      <c r="L2319" t="str">
        <f>TEXT(Pqp_supermarket_data[[#This Row],[DateTime]],"ddd")</f>
        <v>Tue</v>
      </c>
      <c r="M2319" t="str">
        <f>TEXT(Pqp_supermarket_data[[#This Row],[DateTime]],"mmm")</f>
        <v>Oct</v>
      </c>
      <c r="N2319" t="str">
        <f>TEXT(Pqp_supermarket_data[[#This Row],[DateTime]],"yyy")</f>
        <v>2021</v>
      </c>
    </row>
    <row r="2320" spans="1:14" x14ac:dyDescent="0.35">
      <c r="A2320" t="s">
        <v>4747</v>
      </c>
      <c r="B2320" s="1">
        <v>45192.520187349539</v>
      </c>
      <c r="C2320" t="s">
        <v>4748</v>
      </c>
      <c r="D2320" t="s">
        <v>25</v>
      </c>
      <c r="E2320" t="s">
        <v>39</v>
      </c>
      <c r="F2320">
        <v>3.2</v>
      </c>
      <c r="G2320">
        <v>3</v>
      </c>
      <c r="H2320" t="s">
        <v>14</v>
      </c>
      <c r="I2320" t="s">
        <v>86</v>
      </c>
      <c r="J2320" t="s">
        <v>496</v>
      </c>
      <c r="K2320">
        <f>Pqp_supermarket_data[[#This Row],[Unit_Price]]*Pqp_supermarket_data[[#This Row],[Quantity]]</f>
        <v>9.6000000000000014</v>
      </c>
      <c r="L2320" t="str">
        <f>TEXT(Pqp_supermarket_data[[#This Row],[DateTime]],"ddd")</f>
        <v>Sat</v>
      </c>
      <c r="M2320" t="str">
        <f>TEXT(Pqp_supermarket_data[[#This Row],[DateTime]],"mmm")</f>
        <v>Sep</v>
      </c>
      <c r="N2320" t="str">
        <f>TEXT(Pqp_supermarket_data[[#This Row],[DateTime]],"yyy")</f>
        <v>2023</v>
      </c>
    </row>
    <row r="2321" spans="1:14" x14ac:dyDescent="0.35">
      <c r="A2321" t="s">
        <v>4749</v>
      </c>
      <c r="B2321" s="1">
        <v>45025.058381805553</v>
      </c>
      <c r="C2321" t="s">
        <v>4750</v>
      </c>
      <c r="D2321" t="s">
        <v>69</v>
      </c>
      <c r="E2321" t="s">
        <v>111</v>
      </c>
      <c r="F2321">
        <v>2.2000000000000002</v>
      </c>
      <c r="G2321">
        <v>10</v>
      </c>
      <c r="H2321" t="s">
        <v>14</v>
      </c>
      <c r="I2321" t="s">
        <v>15</v>
      </c>
      <c r="J2321" t="s">
        <v>215</v>
      </c>
      <c r="K2321">
        <f>Pqp_supermarket_data[[#This Row],[Unit_Price]]*Pqp_supermarket_data[[#This Row],[Quantity]]</f>
        <v>22</v>
      </c>
      <c r="L2321" t="str">
        <f>TEXT(Pqp_supermarket_data[[#This Row],[DateTime]],"ddd")</f>
        <v>Sun</v>
      </c>
      <c r="M2321" t="str">
        <f>TEXT(Pqp_supermarket_data[[#This Row],[DateTime]],"mmm")</f>
        <v>Apr</v>
      </c>
      <c r="N2321" t="str">
        <f>TEXT(Pqp_supermarket_data[[#This Row],[DateTime]],"yyy")</f>
        <v>2023</v>
      </c>
    </row>
    <row r="2322" spans="1:14" x14ac:dyDescent="0.35">
      <c r="A2322" t="s">
        <v>4751</v>
      </c>
      <c r="B2322" s="1">
        <v>44417.187548472219</v>
      </c>
      <c r="C2322" t="s">
        <v>4752</v>
      </c>
      <c r="D2322" t="s">
        <v>19</v>
      </c>
      <c r="E2322" t="s">
        <v>145</v>
      </c>
      <c r="F2322">
        <v>1.7</v>
      </c>
      <c r="G2322">
        <v>10</v>
      </c>
      <c r="H2322" t="s">
        <v>14</v>
      </c>
      <c r="I2322" t="s">
        <v>36</v>
      </c>
      <c r="J2322" t="s">
        <v>134</v>
      </c>
      <c r="K2322">
        <f>Pqp_supermarket_data[[#This Row],[Unit_Price]]*Pqp_supermarket_data[[#This Row],[Quantity]]</f>
        <v>17</v>
      </c>
      <c r="L2322" t="str">
        <f>TEXT(Pqp_supermarket_data[[#This Row],[DateTime]],"ddd")</f>
        <v>Mon</v>
      </c>
      <c r="M2322" t="str">
        <f>TEXT(Pqp_supermarket_data[[#This Row],[DateTime]],"mmm")</f>
        <v>Aug</v>
      </c>
      <c r="N2322" t="str">
        <f>TEXT(Pqp_supermarket_data[[#This Row],[DateTime]],"yyy")</f>
        <v>2021</v>
      </c>
    </row>
    <row r="2323" spans="1:14" x14ac:dyDescent="0.35">
      <c r="A2323" t="s">
        <v>4753</v>
      </c>
      <c r="B2323" s="1">
        <v>45152.27088181713</v>
      </c>
      <c r="C2323" t="s">
        <v>4754</v>
      </c>
      <c r="D2323" t="s">
        <v>30</v>
      </c>
      <c r="E2323" t="s">
        <v>13</v>
      </c>
      <c r="F2323">
        <v>3.1</v>
      </c>
      <c r="G2323">
        <v>7</v>
      </c>
      <c r="H2323" t="s">
        <v>14</v>
      </c>
      <c r="I2323" t="s">
        <v>36</v>
      </c>
      <c r="J2323" t="s">
        <v>99</v>
      </c>
      <c r="K2323">
        <f>Pqp_supermarket_data[[#This Row],[Unit_Price]]*Pqp_supermarket_data[[#This Row],[Quantity]]</f>
        <v>21.7</v>
      </c>
      <c r="L2323" t="str">
        <f>TEXT(Pqp_supermarket_data[[#This Row],[DateTime]],"ddd")</f>
        <v>Mon</v>
      </c>
      <c r="M2323" t="str">
        <f>TEXT(Pqp_supermarket_data[[#This Row],[DateTime]],"mmm")</f>
        <v>Aug</v>
      </c>
      <c r="N2323" t="str">
        <f>TEXT(Pqp_supermarket_data[[#This Row],[DateTime]],"yyy")</f>
        <v>2023</v>
      </c>
    </row>
    <row r="2324" spans="1:14" x14ac:dyDescent="0.35">
      <c r="A2324" t="s">
        <v>4755</v>
      </c>
      <c r="B2324" s="1">
        <v>44935.001437372688</v>
      </c>
      <c r="C2324" t="s">
        <v>4756</v>
      </c>
      <c r="D2324" t="s">
        <v>127</v>
      </c>
      <c r="E2324" t="s">
        <v>78</v>
      </c>
      <c r="F2324">
        <v>4</v>
      </c>
      <c r="G2324">
        <v>8</v>
      </c>
      <c r="H2324" t="s">
        <v>14</v>
      </c>
      <c r="I2324" t="s">
        <v>61</v>
      </c>
      <c r="J2324" t="s">
        <v>273</v>
      </c>
      <c r="K2324">
        <f>Pqp_supermarket_data[[#This Row],[Unit_Price]]*Pqp_supermarket_data[[#This Row],[Quantity]]</f>
        <v>32</v>
      </c>
      <c r="L2324" t="str">
        <f>TEXT(Pqp_supermarket_data[[#This Row],[DateTime]],"ddd")</f>
        <v>Mon</v>
      </c>
      <c r="M2324" t="str">
        <f>TEXT(Pqp_supermarket_data[[#This Row],[DateTime]],"mmm")</f>
        <v>Jan</v>
      </c>
      <c r="N2324" t="str">
        <f>TEXT(Pqp_supermarket_data[[#This Row],[DateTime]],"yyy")</f>
        <v>2023</v>
      </c>
    </row>
    <row r="2325" spans="1:14" x14ac:dyDescent="0.35">
      <c r="A2325" t="s">
        <v>4757</v>
      </c>
      <c r="B2325" s="1">
        <v>45764.695881828702</v>
      </c>
      <c r="C2325" t="s">
        <v>4758</v>
      </c>
      <c r="D2325" t="s">
        <v>82</v>
      </c>
      <c r="E2325" t="s">
        <v>137</v>
      </c>
      <c r="F2325">
        <v>2.5</v>
      </c>
      <c r="G2325">
        <v>8</v>
      </c>
      <c r="H2325" t="s">
        <v>14</v>
      </c>
      <c r="I2325" t="s">
        <v>15</v>
      </c>
      <c r="J2325" t="s">
        <v>227</v>
      </c>
      <c r="K2325">
        <f>Pqp_supermarket_data[[#This Row],[Unit_Price]]*Pqp_supermarket_data[[#This Row],[Quantity]]</f>
        <v>20</v>
      </c>
      <c r="L2325" t="str">
        <f>TEXT(Pqp_supermarket_data[[#This Row],[DateTime]],"ddd")</f>
        <v>Thu</v>
      </c>
      <c r="M2325" t="str">
        <f>TEXT(Pqp_supermarket_data[[#This Row],[DateTime]],"mmm")</f>
        <v>Apr</v>
      </c>
      <c r="N2325" t="str">
        <f>TEXT(Pqp_supermarket_data[[#This Row],[DateTime]],"yyy")</f>
        <v>2025</v>
      </c>
    </row>
    <row r="2326" spans="1:14" x14ac:dyDescent="0.35">
      <c r="A2326" t="s">
        <v>4759</v>
      </c>
      <c r="B2326" s="1">
        <v>44374.265326284723</v>
      </c>
      <c r="C2326" t="s">
        <v>4760</v>
      </c>
      <c r="D2326" t="s">
        <v>30</v>
      </c>
      <c r="E2326" t="s">
        <v>148</v>
      </c>
      <c r="F2326">
        <v>5.5</v>
      </c>
      <c r="G2326">
        <v>2</v>
      </c>
      <c r="H2326" t="s">
        <v>14</v>
      </c>
      <c r="I2326" t="s">
        <v>15</v>
      </c>
      <c r="J2326" t="s">
        <v>723</v>
      </c>
      <c r="K2326">
        <f>Pqp_supermarket_data[[#This Row],[Unit_Price]]*Pqp_supermarket_data[[#This Row],[Quantity]]</f>
        <v>11</v>
      </c>
      <c r="L2326" t="str">
        <f>TEXT(Pqp_supermarket_data[[#This Row],[DateTime]],"ddd")</f>
        <v>Sun</v>
      </c>
      <c r="M2326" t="str">
        <f>TEXT(Pqp_supermarket_data[[#This Row],[DateTime]],"mmm")</f>
        <v>Jun</v>
      </c>
      <c r="N2326" t="str">
        <f>TEXT(Pqp_supermarket_data[[#This Row],[DateTime]],"yyy")</f>
        <v>2021</v>
      </c>
    </row>
    <row r="2327" spans="1:14" x14ac:dyDescent="0.35">
      <c r="A2327" t="s">
        <v>4761</v>
      </c>
      <c r="B2327" s="1">
        <v>45650.327826296299</v>
      </c>
      <c r="C2327" t="s">
        <v>4762</v>
      </c>
      <c r="D2327" t="s">
        <v>44</v>
      </c>
      <c r="E2327" t="s">
        <v>94</v>
      </c>
      <c r="F2327">
        <v>0.8</v>
      </c>
      <c r="G2327">
        <v>5</v>
      </c>
      <c r="H2327" t="s">
        <v>14</v>
      </c>
      <c r="I2327" t="s">
        <v>36</v>
      </c>
      <c r="J2327" t="s">
        <v>541</v>
      </c>
      <c r="K2327">
        <f>Pqp_supermarket_data[[#This Row],[Unit_Price]]*Pqp_supermarket_data[[#This Row],[Quantity]]</f>
        <v>4</v>
      </c>
      <c r="L2327" t="str">
        <f>TEXT(Pqp_supermarket_data[[#This Row],[DateTime]],"ddd")</f>
        <v>Tue</v>
      </c>
      <c r="M2327" t="str">
        <f>TEXT(Pqp_supermarket_data[[#This Row],[DateTime]],"mmm")</f>
        <v>Dec</v>
      </c>
      <c r="N2327" t="str">
        <f>TEXT(Pqp_supermarket_data[[#This Row],[DateTime]],"yyy")</f>
        <v>2024</v>
      </c>
    </row>
    <row r="2328" spans="1:14" x14ac:dyDescent="0.35">
      <c r="A2328" t="s">
        <v>4763</v>
      </c>
      <c r="B2328" s="1">
        <v>44363.047270752315</v>
      </c>
      <c r="C2328" t="s">
        <v>4764</v>
      </c>
      <c r="D2328" t="s">
        <v>85</v>
      </c>
      <c r="E2328" t="s">
        <v>57</v>
      </c>
      <c r="F2328">
        <v>4.5</v>
      </c>
      <c r="G2328">
        <v>5</v>
      </c>
      <c r="H2328" t="s">
        <v>14</v>
      </c>
      <c r="I2328" t="s">
        <v>21</v>
      </c>
      <c r="J2328" t="s">
        <v>924</v>
      </c>
      <c r="K2328">
        <f>Pqp_supermarket_data[[#This Row],[Unit_Price]]*Pqp_supermarket_data[[#This Row],[Quantity]]</f>
        <v>22.5</v>
      </c>
      <c r="L2328" t="str">
        <f>TEXT(Pqp_supermarket_data[[#This Row],[DateTime]],"ddd")</f>
        <v>Wed</v>
      </c>
      <c r="M2328" t="str">
        <f>TEXT(Pqp_supermarket_data[[#This Row],[DateTime]],"mmm")</f>
        <v>Jun</v>
      </c>
      <c r="N2328" t="str">
        <f>TEXT(Pqp_supermarket_data[[#This Row],[DateTime]],"yyy")</f>
        <v>2021</v>
      </c>
    </row>
    <row r="2329" spans="1:14" x14ac:dyDescent="0.35">
      <c r="A2329" t="s">
        <v>4765</v>
      </c>
      <c r="B2329" s="1">
        <v>45564.417409652779</v>
      </c>
      <c r="C2329" t="s">
        <v>4766</v>
      </c>
      <c r="D2329" t="s">
        <v>34</v>
      </c>
      <c r="E2329" t="s">
        <v>78</v>
      </c>
      <c r="F2329">
        <v>4</v>
      </c>
      <c r="G2329">
        <v>2</v>
      </c>
      <c r="H2329" t="s">
        <v>14</v>
      </c>
      <c r="I2329" t="s">
        <v>21</v>
      </c>
      <c r="J2329" t="s">
        <v>336</v>
      </c>
      <c r="K2329">
        <f>Pqp_supermarket_data[[#This Row],[Unit_Price]]*Pqp_supermarket_data[[#This Row],[Quantity]]</f>
        <v>8</v>
      </c>
      <c r="L2329" t="str">
        <f>TEXT(Pqp_supermarket_data[[#This Row],[DateTime]],"ddd")</f>
        <v>Sun</v>
      </c>
      <c r="M2329" t="str">
        <f>TEXT(Pqp_supermarket_data[[#This Row],[DateTime]],"mmm")</f>
        <v>Sep</v>
      </c>
      <c r="N2329" t="str">
        <f>TEXT(Pqp_supermarket_data[[#This Row],[DateTime]],"yyy")</f>
        <v>2024</v>
      </c>
    </row>
    <row r="2330" spans="1:14" x14ac:dyDescent="0.35">
      <c r="A2330" t="s">
        <v>4767</v>
      </c>
      <c r="B2330" s="1">
        <v>45375.370187442131</v>
      </c>
      <c r="C2330" t="s">
        <v>4768</v>
      </c>
      <c r="D2330" t="s">
        <v>208</v>
      </c>
      <c r="E2330" t="s">
        <v>115</v>
      </c>
      <c r="F2330">
        <v>1.5</v>
      </c>
      <c r="G2330">
        <v>8</v>
      </c>
      <c r="H2330" t="s">
        <v>14</v>
      </c>
      <c r="I2330" t="s">
        <v>40</v>
      </c>
      <c r="J2330" t="s">
        <v>233</v>
      </c>
      <c r="K2330">
        <f>Pqp_supermarket_data[[#This Row],[Unit_Price]]*Pqp_supermarket_data[[#This Row],[Quantity]]</f>
        <v>12</v>
      </c>
      <c r="L2330" t="str">
        <f>TEXT(Pqp_supermarket_data[[#This Row],[DateTime]],"ddd")</f>
        <v>Sun</v>
      </c>
      <c r="M2330" t="str">
        <f>TEXT(Pqp_supermarket_data[[#This Row],[DateTime]],"mmm")</f>
        <v>Mar</v>
      </c>
      <c r="N2330" t="str">
        <f>TEXT(Pqp_supermarket_data[[#This Row],[DateTime]],"yyy")</f>
        <v>2024</v>
      </c>
    </row>
    <row r="2331" spans="1:14" x14ac:dyDescent="0.35">
      <c r="A2331" t="s">
        <v>4769</v>
      </c>
      <c r="B2331" s="1">
        <v>45318.481298564817</v>
      </c>
      <c r="C2331" t="s">
        <v>4257</v>
      </c>
      <c r="D2331" t="s">
        <v>82</v>
      </c>
      <c r="E2331" t="s">
        <v>94</v>
      </c>
      <c r="F2331">
        <v>0.8</v>
      </c>
      <c r="G2331">
        <v>2</v>
      </c>
      <c r="H2331" t="s">
        <v>14</v>
      </c>
      <c r="I2331" t="s">
        <v>36</v>
      </c>
      <c r="J2331" t="s">
        <v>95</v>
      </c>
      <c r="K2331">
        <f>Pqp_supermarket_data[[#This Row],[Unit_Price]]*Pqp_supermarket_data[[#This Row],[Quantity]]</f>
        <v>1.6</v>
      </c>
      <c r="L2331" t="str">
        <f>TEXT(Pqp_supermarket_data[[#This Row],[DateTime]],"ddd")</f>
        <v>Sat</v>
      </c>
      <c r="M2331" t="str">
        <f>TEXT(Pqp_supermarket_data[[#This Row],[DateTime]],"mmm")</f>
        <v>Jan</v>
      </c>
      <c r="N2331" t="str">
        <f>TEXT(Pqp_supermarket_data[[#This Row],[DateTime]],"yyy")</f>
        <v>2024</v>
      </c>
    </row>
    <row r="2332" spans="1:14" x14ac:dyDescent="0.35">
      <c r="A2332" t="s">
        <v>4770</v>
      </c>
      <c r="B2332" s="1">
        <v>45290.991020787034</v>
      </c>
      <c r="C2332" t="s">
        <v>4771</v>
      </c>
      <c r="D2332" t="s">
        <v>44</v>
      </c>
      <c r="E2332" t="s">
        <v>70</v>
      </c>
      <c r="F2332">
        <v>5</v>
      </c>
      <c r="G2332">
        <v>3</v>
      </c>
      <c r="H2332" t="s">
        <v>14</v>
      </c>
      <c r="I2332" t="s">
        <v>86</v>
      </c>
      <c r="J2332" t="s">
        <v>273</v>
      </c>
      <c r="K2332">
        <f>Pqp_supermarket_data[[#This Row],[Unit_Price]]*Pqp_supermarket_data[[#This Row],[Quantity]]</f>
        <v>15</v>
      </c>
      <c r="L2332" t="str">
        <f>TEXT(Pqp_supermarket_data[[#This Row],[DateTime]],"ddd")</f>
        <v>Sat</v>
      </c>
      <c r="M2332" t="str">
        <f>TEXT(Pqp_supermarket_data[[#This Row],[DateTime]],"mmm")</f>
        <v>Dec</v>
      </c>
      <c r="N2332" t="str">
        <f>TEXT(Pqp_supermarket_data[[#This Row],[DateTime]],"yyy")</f>
        <v>2023</v>
      </c>
    </row>
    <row r="2333" spans="1:14" x14ac:dyDescent="0.35">
      <c r="A2333" t="s">
        <v>4772</v>
      </c>
      <c r="B2333" s="1">
        <v>45701.643798576391</v>
      </c>
      <c r="C2333" t="s">
        <v>4773</v>
      </c>
      <c r="D2333" t="s">
        <v>85</v>
      </c>
      <c r="E2333" t="s">
        <v>78</v>
      </c>
      <c r="F2333">
        <v>4</v>
      </c>
      <c r="G2333">
        <v>4</v>
      </c>
      <c r="H2333" t="s">
        <v>14</v>
      </c>
      <c r="I2333" t="s">
        <v>36</v>
      </c>
      <c r="J2333" t="s">
        <v>79</v>
      </c>
      <c r="K2333">
        <f>Pqp_supermarket_data[[#This Row],[Unit_Price]]*Pqp_supermarket_data[[#This Row],[Quantity]]</f>
        <v>16</v>
      </c>
      <c r="L2333" t="str">
        <f>TEXT(Pqp_supermarket_data[[#This Row],[DateTime]],"ddd")</f>
        <v>Thu</v>
      </c>
      <c r="M2333" t="str">
        <f>TEXT(Pqp_supermarket_data[[#This Row],[DateTime]],"mmm")</f>
        <v>Feb</v>
      </c>
      <c r="N2333" t="str">
        <f>TEXT(Pqp_supermarket_data[[#This Row],[DateTime]],"yyy")</f>
        <v>2025</v>
      </c>
    </row>
    <row r="2334" spans="1:14" x14ac:dyDescent="0.35">
      <c r="A2334" t="s">
        <v>4774</v>
      </c>
      <c r="B2334" s="1">
        <v>45696.809770798609</v>
      </c>
      <c r="C2334" t="s">
        <v>4775</v>
      </c>
      <c r="D2334" t="s">
        <v>69</v>
      </c>
      <c r="E2334" t="s">
        <v>39</v>
      </c>
      <c r="F2334">
        <v>3.2</v>
      </c>
      <c r="G2334">
        <v>5</v>
      </c>
      <c r="H2334" t="s">
        <v>14</v>
      </c>
      <c r="I2334" t="s">
        <v>15</v>
      </c>
      <c r="J2334" t="s">
        <v>561</v>
      </c>
      <c r="K2334">
        <f>Pqp_supermarket_data[[#This Row],[Unit_Price]]*Pqp_supermarket_data[[#This Row],[Quantity]]</f>
        <v>16</v>
      </c>
      <c r="L2334" t="str">
        <f>TEXT(Pqp_supermarket_data[[#This Row],[DateTime]],"ddd")</f>
        <v>Sat</v>
      </c>
      <c r="M2334" t="str">
        <f>TEXT(Pqp_supermarket_data[[#This Row],[DateTime]],"mmm")</f>
        <v>Feb</v>
      </c>
      <c r="N2334" t="str">
        <f>TEXT(Pqp_supermarket_data[[#This Row],[DateTime]],"yyy")</f>
        <v>2025</v>
      </c>
    </row>
    <row r="2335" spans="1:14" x14ac:dyDescent="0.35">
      <c r="A2335" t="s">
        <v>4776</v>
      </c>
      <c r="B2335" s="1">
        <v>44840.270187488422</v>
      </c>
      <c r="C2335" t="s">
        <v>4777</v>
      </c>
      <c r="D2335" t="s">
        <v>30</v>
      </c>
      <c r="E2335" t="s">
        <v>137</v>
      </c>
      <c r="F2335">
        <v>2.5</v>
      </c>
      <c r="G2335">
        <v>7</v>
      </c>
      <c r="H2335" t="s">
        <v>14</v>
      </c>
      <c r="I2335" t="s">
        <v>86</v>
      </c>
      <c r="J2335" t="s">
        <v>744</v>
      </c>
      <c r="K2335">
        <f>Pqp_supermarket_data[[#This Row],[Unit_Price]]*Pqp_supermarket_data[[#This Row],[Quantity]]</f>
        <v>17.5</v>
      </c>
      <c r="L2335" t="str">
        <f>TEXT(Pqp_supermarket_data[[#This Row],[DateTime]],"ddd")</f>
        <v>Thu</v>
      </c>
      <c r="M2335" t="str">
        <f>TEXT(Pqp_supermarket_data[[#This Row],[DateTime]],"mmm")</f>
        <v>Oct</v>
      </c>
      <c r="N2335" t="str">
        <f>TEXT(Pqp_supermarket_data[[#This Row],[DateTime]],"yyy")</f>
        <v>2022</v>
      </c>
    </row>
    <row r="2336" spans="1:14" x14ac:dyDescent="0.35">
      <c r="A2336" t="s">
        <v>4778</v>
      </c>
      <c r="B2336" s="1">
        <v>45188.890326377317</v>
      </c>
      <c r="C2336" t="s">
        <v>4779</v>
      </c>
      <c r="D2336" t="s">
        <v>25</v>
      </c>
      <c r="E2336" t="s">
        <v>94</v>
      </c>
      <c r="F2336">
        <v>0.8</v>
      </c>
      <c r="G2336">
        <v>4</v>
      </c>
      <c r="H2336" t="s">
        <v>14</v>
      </c>
      <c r="I2336" t="s">
        <v>61</v>
      </c>
      <c r="J2336" t="s">
        <v>227</v>
      </c>
      <c r="K2336">
        <f>Pqp_supermarket_data[[#This Row],[Unit_Price]]*Pqp_supermarket_data[[#This Row],[Quantity]]</f>
        <v>3.2</v>
      </c>
      <c r="L2336" t="str">
        <f>TEXT(Pqp_supermarket_data[[#This Row],[DateTime]],"ddd")</f>
        <v>Tue</v>
      </c>
      <c r="M2336" t="str">
        <f>TEXT(Pqp_supermarket_data[[#This Row],[DateTime]],"mmm")</f>
        <v>Sep</v>
      </c>
      <c r="N2336" t="str">
        <f>TEXT(Pqp_supermarket_data[[#This Row],[DateTime]],"yyy")</f>
        <v>2023</v>
      </c>
    </row>
    <row r="2337" spans="1:14" x14ac:dyDescent="0.35">
      <c r="A2337" t="s">
        <v>4780</v>
      </c>
      <c r="B2337" s="1">
        <v>44888.521576388892</v>
      </c>
      <c r="C2337" t="s">
        <v>4781</v>
      </c>
      <c r="D2337" t="s">
        <v>98</v>
      </c>
      <c r="E2337" t="s">
        <v>65</v>
      </c>
      <c r="F2337">
        <v>3</v>
      </c>
      <c r="G2337">
        <v>4</v>
      </c>
      <c r="H2337" t="s">
        <v>14</v>
      </c>
      <c r="I2337" t="s">
        <v>21</v>
      </c>
      <c r="J2337" t="s">
        <v>716</v>
      </c>
      <c r="K2337">
        <f>Pqp_supermarket_data[[#This Row],[Unit_Price]]*Pqp_supermarket_data[[#This Row],[Quantity]]</f>
        <v>12</v>
      </c>
      <c r="L2337" t="str">
        <f>TEXT(Pqp_supermarket_data[[#This Row],[DateTime]],"ddd")</f>
        <v>Wed</v>
      </c>
      <c r="M2337" t="str">
        <f>TEXT(Pqp_supermarket_data[[#This Row],[DateTime]],"mmm")</f>
        <v>Nov</v>
      </c>
      <c r="N2337" t="str">
        <f>TEXT(Pqp_supermarket_data[[#This Row],[DateTime]],"yyy")</f>
        <v>2022</v>
      </c>
    </row>
    <row r="2338" spans="1:14" x14ac:dyDescent="0.35">
      <c r="A2338" t="s">
        <v>4782</v>
      </c>
      <c r="B2338" s="1">
        <v>45196.844493055556</v>
      </c>
      <c r="C2338" t="s">
        <v>4783</v>
      </c>
      <c r="D2338" t="s">
        <v>69</v>
      </c>
      <c r="E2338" t="s">
        <v>20</v>
      </c>
      <c r="F2338">
        <v>1</v>
      </c>
      <c r="G2338">
        <v>6</v>
      </c>
      <c r="H2338" t="s">
        <v>14</v>
      </c>
      <c r="I2338" t="s">
        <v>40</v>
      </c>
      <c r="J2338" t="s">
        <v>233</v>
      </c>
      <c r="K2338">
        <f>Pqp_supermarket_data[[#This Row],[Unit_Price]]*Pqp_supermarket_data[[#This Row],[Quantity]]</f>
        <v>6</v>
      </c>
      <c r="L2338" t="str">
        <f>TEXT(Pqp_supermarket_data[[#This Row],[DateTime]],"ddd")</f>
        <v>Wed</v>
      </c>
      <c r="M2338" t="str">
        <f>TEXT(Pqp_supermarket_data[[#This Row],[DateTime]],"mmm")</f>
        <v>Sep</v>
      </c>
      <c r="N2338" t="str">
        <f>TEXT(Pqp_supermarket_data[[#This Row],[DateTime]],"yyy")</f>
        <v>2023</v>
      </c>
    </row>
    <row r="2339" spans="1:14" x14ac:dyDescent="0.35">
      <c r="A2339" t="s">
        <v>4784</v>
      </c>
      <c r="B2339" s="1">
        <v>44384.458381956021</v>
      </c>
      <c r="C2339" t="s">
        <v>4785</v>
      </c>
      <c r="D2339" t="s">
        <v>85</v>
      </c>
      <c r="E2339" t="s">
        <v>20</v>
      </c>
      <c r="F2339">
        <v>1</v>
      </c>
      <c r="G2339">
        <v>1</v>
      </c>
      <c r="H2339" t="s">
        <v>14</v>
      </c>
      <c r="I2339" t="s">
        <v>21</v>
      </c>
      <c r="J2339" t="s">
        <v>105</v>
      </c>
      <c r="K2339">
        <f>Pqp_supermarket_data[[#This Row],[Unit_Price]]*Pqp_supermarket_data[[#This Row],[Quantity]]</f>
        <v>1</v>
      </c>
      <c r="L2339" t="str">
        <f>TEXT(Pqp_supermarket_data[[#This Row],[DateTime]],"ddd")</f>
        <v>Wed</v>
      </c>
      <c r="M2339" t="str">
        <f>TEXT(Pqp_supermarket_data[[#This Row],[DateTime]],"mmm")</f>
        <v>Jul</v>
      </c>
      <c r="N2339" t="str">
        <f>TEXT(Pqp_supermarket_data[[#This Row],[DateTime]],"yyy")</f>
        <v>2021</v>
      </c>
    </row>
    <row r="2340" spans="1:14" x14ac:dyDescent="0.35">
      <c r="A2340" t="s">
        <v>4786</v>
      </c>
      <c r="B2340" s="1">
        <v>45438.560465289353</v>
      </c>
      <c r="C2340" t="s">
        <v>4787</v>
      </c>
      <c r="D2340" t="s">
        <v>44</v>
      </c>
      <c r="E2340" t="s">
        <v>53</v>
      </c>
      <c r="F2340">
        <v>2.8</v>
      </c>
      <c r="G2340">
        <v>1</v>
      </c>
      <c r="H2340" t="s">
        <v>14</v>
      </c>
      <c r="I2340" t="s">
        <v>15</v>
      </c>
      <c r="J2340" t="s">
        <v>192</v>
      </c>
      <c r="K2340">
        <f>Pqp_supermarket_data[[#This Row],[Unit_Price]]*Pqp_supermarket_data[[#This Row],[Quantity]]</f>
        <v>2.8</v>
      </c>
      <c r="L2340" t="str">
        <f>TEXT(Pqp_supermarket_data[[#This Row],[DateTime]],"ddd")</f>
        <v>Sun</v>
      </c>
      <c r="M2340" t="str">
        <f>TEXT(Pqp_supermarket_data[[#This Row],[DateTime]],"mmm")</f>
        <v>May</v>
      </c>
      <c r="N2340" t="str">
        <f>TEXT(Pqp_supermarket_data[[#This Row],[DateTime]],"yyy")</f>
        <v>2024</v>
      </c>
    </row>
    <row r="2341" spans="1:14" x14ac:dyDescent="0.35">
      <c r="A2341" t="s">
        <v>4788</v>
      </c>
      <c r="B2341" s="1">
        <v>44385.268104189818</v>
      </c>
      <c r="C2341" t="s">
        <v>4789</v>
      </c>
      <c r="D2341" t="s">
        <v>82</v>
      </c>
      <c r="E2341" t="s">
        <v>35</v>
      </c>
      <c r="F2341">
        <v>1.2</v>
      </c>
      <c r="G2341">
        <v>10</v>
      </c>
      <c r="H2341" t="s">
        <v>14</v>
      </c>
      <c r="I2341" t="s">
        <v>40</v>
      </c>
      <c r="J2341" t="s">
        <v>423</v>
      </c>
      <c r="K2341">
        <f>Pqp_supermarket_data[[#This Row],[Unit_Price]]*Pqp_supermarket_data[[#This Row],[Quantity]]</f>
        <v>12</v>
      </c>
      <c r="L2341" t="str">
        <f>TEXT(Pqp_supermarket_data[[#This Row],[DateTime]],"ddd")</f>
        <v>Thu</v>
      </c>
      <c r="M2341" t="str">
        <f>TEXT(Pqp_supermarket_data[[#This Row],[DateTime]],"mmm")</f>
        <v>Jul</v>
      </c>
      <c r="N2341" t="str">
        <f>TEXT(Pqp_supermarket_data[[#This Row],[DateTime]],"yyy")</f>
        <v>2021</v>
      </c>
    </row>
    <row r="2342" spans="1:14" x14ac:dyDescent="0.35">
      <c r="A2342" t="s">
        <v>4790</v>
      </c>
      <c r="B2342" s="1">
        <v>44625.397270856483</v>
      </c>
      <c r="C2342" t="s">
        <v>4791</v>
      </c>
      <c r="D2342" t="s">
        <v>25</v>
      </c>
      <c r="E2342" t="s">
        <v>137</v>
      </c>
      <c r="F2342">
        <v>2.5</v>
      </c>
      <c r="G2342">
        <v>10</v>
      </c>
      <c r="H2342" t="s">
        <v>14</v>
      </c>
      <c r="I2342" t="s">
        <v>21</v>
      </c>
      <c r="J2342" t="s">
        <v>205</v>
      </c>
      <c r="K2342">
        <f>Pqp_supermarket_data[[#This Row],[Unit_Price]]*Pqp_supermarket_data[[#This Row],[Quantity]]</f>
        <v>25</v>
      </c>
      <c r="L2342" t="str">
        <f>TEXT(Pqp_supermarket_data[[#This Row],[DateTime]],"ddd")</f>
        <v>Sat</v>
      </c>
      <c r="M2342" t="str">
        <f>TEXT(Pqp_supermarket_data[[#This Row],[DateTime]],"mmm")</f>
        <v>Mar</v>
      </c>
      <c r="N2342" t="str">
        <f>TEXT(Pqp_supermarket_data[[#This Row],[DateTime]],"yyy")</f>
        <v>2022</v>
      </c>
    </row>
    <row r="2343" spans="1:14" x14ac:dyDescent="0.35">
      <c r="A2343" t="s">
        <v>4792</v>
      </c>
      <c r="B2343" s="1">
        <v>45745.69032642361</v>
      </c>
      <c r="C2343" t="s">
        <v>4793</v>
      </c>
      <c r="D2343" t="s">
        <v>19</v>
      </c>
      <c r="E2343" t="s">
        <v>115</v>
      </c>
      <c r="F2343">
        <v>1.5</v>
      </c>
      <c r="G2343">
        <v>10</v>
      </c>
      <c r="H2343" t="s">
        <v>14</v>
      </c>
      <c r="I2343" t="s">
        <v>36</v>
      </c>
      <c r="J2343" t="s">
        <v>423</v>
      </c>
      <c r="K2343">
        <f>Pqp_supermarket_data[[#This Row],[Unit_Price]]*Pqp_supermarket_data[[#This Row],[Quantity]]</f>
        <v>15</v>
      </c>
      <c r="L2343" t="str">
        <f>TEXT(Pqp_supermarket_data[[#This Row],[DateTime]],"ddd")</f>
        <v>Sat</v>
      </c>
      <c r="M2343" t="str">
        <f>TEXT(Pqp_supermarket_data[[#This Row],[DateTime]],"mmm")</f>
        <v>Mar</v>
      </c>
      <c r="N2343" t="str">
        <f>TEXT(Pqp_supermarket_data[[#This Row],[DateTime]],"yyy")</f>
        <v>2025</v>
      </c>
    </row>
    <row r="2344" spans="1:14" x14ac:dyDescent="0.35">
      <c r="A2344" t="s">
        <v>4794</v>
      </c>
      <c r="B2344" s="1">
        <v>45207.657687534724</v>
      </c>
      <c r="C2344" t="s">
        <v>4795</v>
      </c>
      <c r="D2344" t="s">
        <v>82</v>
      </c>
      <c r="E2344" t="s">
        <v>70</v>
      </c>
      <c r="F2344">
        <v>5</v>
      </c>
      <c r="G2344">
        <v>4</v>
      </c>
      <c r="H2344" t="s">
        <v>14</v>
      </c>
      <c r="I2344" t="s">
        <v>36</v>
      </c>
      <c r="J2344" t="s">
        <v>723</v>
      </c>
      <c r="K2344">
        <f>Pqp_supermarket_data[[#This Row],[Unit_Price]]*Pqp_supermarket_data[[#This Row],[Quantity]]</f>
        <v>20</v>
      </c>
      <c r="L2344" t="str">
        <f>TEXT(Pqp_supermarket_data[[#This Row],[DateTime]],"ddd")</f>
        <v>Sun</v>
      </c>
      <c r="M2344" t="str">
        <f>TEXT(Pqp_supermarket_data[[#This Row],[DateTime]],"mmm")</f>
        <v>Oct</v>
      </c>
      <c r="N2344" t="str">
        <f>TEXT(Pqp_supermarket_data[[#This Row],[DateTime]],"yyy")</f>
        <v>2023</v>
      </c>
    </row>
    <row r="2345" spans="1:14" x14ac:dyDescent="0.35">
      <c r="A2345" t="s">
        <v>4796</v>
      </c>
      <c r="B2345" s="1">
        <v>44532.211159768522</v>
      </c>
      <c r="C2345" t="s">
        <v>4797</v>
      </c>
      <c r="D2345" t="s">
        <v>30</v>
      </c>
      <c r="E2345" t="s">
        <v>70</v>
      </c>
      <c r="F2345">
        <v>5</v>
      </c>
      <c r="G2345">
        <v>8</v>
      </c>
      <c r="H2345" t="s">
        <v>14</v>
      </c>
      <c r="I2345" t="s">
        <v>15</v>
      </c>
      <c r="J2345" t="s">
        <v>223</v>
      </c>
      <c r="K2345">
        <f>Pqp_supermarket_data[[#This Row],[Unit_Price]]*Pqp_supermarket_data[[#This Row],[Quantity]]</f>
        <v>40</v>
      </c>
      <c r="L2345" t="str">
        <f>TEXT(Pqp_supermarket_data[[#This Row],[DateTime]],"ddd")</f>
        <v>Thu</v>
      </c>
      <c r="M2345" t="str">
        <f>TEXT(Pqp_supermarket_data[[#This Row],[DateTime]],"mmm")</f>
        <v>Dec</v>
      </c>
      <c r="N2345" t="str">
        <f>TEXT(Pqp_supermarket_data[[#This Row],[DateTime]],"yyy")</f>
        <v>2021</v>
      </c>
    </row>
    <row r="2346" spans="1:14" x14ac:dyDescent="0.35">
      <c r="A2346" t="s">
        <v>4798</v>
      </c>
      <c r="B2346" s="1">
        <v>44688.091715324073</v>
      </c>
      <c r="C2346" t="s">
        <v>4799</v>
      </c>
      <c r="D2346" t="s">
        <v>69</v>
      </c>
      <c r="E2346" t="s">
        <v>57</v>
      </c>
      <c r="F2346">
        <v>4.5</v>
      </c>
      <c r="G2346">
        <v>3</v>
      </c>
      <c r="H2346" t="s">
        <v>14</v>
      </c>
      <c r="I2346" t="s">
        <v>86</v>
      </c>
      <c r="J2346" t="s">
        <v>364</v>
      </c>
      <c r="K2346">
        <f>Pqp_supermarket_data[[#This Row],[Unit_Price]]*Pqp_supermarket_data[[#This Row],[Quantity]]</f>
        <v>13.5</v>
      </c>
      <c r="L2346" t="str">
        <f>TEXT(Pqp_supermarket_data[[#This Row],[DateTime]],"ddd")</f>
        <v>Sat</v>
      </c>
      <c r="M2346" t="str">
        <f>TEXT(Pqp_supermarket_data[[#This Row],[DateTime]],"mmm")</f>
        <v>May</v>
      </c>
      <c r="N2346" t="str">
        <f>TEXT(Pqp_supermarket_data[[#This Row],[DateTime]],"yyy")</f>
        <v>2022</v>
      </c>
    </row>
    <row r="2347" spans="1:14" x14ac:dyDescent="0.35">
      <c r="A2347" t="s">
        <v>4800</v>
      </c>
      <c r="B2347" s="1">
        <v>45458.068798668981</v>
      </c>
      <c r="C2347" t="s">
        <v>4801</v>
      </c>
      <c r="D2347" t="s">
        <v>208</v>
      </c>
      <c r="E2347" t="s">
        <v>145</v>
      </c>
      <c r="F2347">
        <v>1.7</v>
      </c>
      <c r="G2347">
        <v>5</v>
      </c>
      <c r="H2347" t="s">
        <v>14</v>
      </c>
      <c r="I2347" t="s">
        <v>15</v>
      </c>
      <c r="J2347" t="s">
        <v>436</v>
      </c>
      <c r="K2347">
        <f>Pqp_supermarket_data[[#This Row],[Unit_Price]]*Pqp_supermarket_data[[#This Row],[Quantity]]</f>
        <v>8.5</v>
      </c>
      <c r="L2347" t="str">
        <f>TEXT(Pqp_supermarket_data[[#This Row],[DateTime]],"ddd")</f>
        <v>Sat</v>
      </c>
      <c r="M2347" t="str">
        <f>TEXT(Pqp_supermarket_data[[#This Row],[DateTime]],"mmm")</f>
        <v>Jun</v>
      </c>
      <c r="N2347" t="str">
        <f>TEXT(Pqp_supermarket_data[[#This Row],[DateTime]],"yyy")</f>
        <v>2024</v>
      </c>
    </row>
    <row r="2348" spans="1:14" x14ac:dyDescent="0.35">
      <c r="A2348" t="s">
        <v>4802</v>
      </c>
      <c r="B2348" s="1">
        <v>44844.986854224539</v>
      </c>
      <c r="C2348" t="s">
        <v>4803</v>
      </c>
      <c r="D2348" t="s">
        <v>19</v>
      </c>
      <c r="E2348" t="s">
        <v>20</v>
      </c>
      <c r="F2348">
        <v>1</v>
      </c>
      <c r="G2348">
        <v>4</v>
      </c>
      <c r="H2348" t="s">
        <v>14</v>
      </c>
      <c r="I2348" t="s">
        <v>86</v>
      </c>
      <c r="J2348" t="s">
        <v>295</v>
      </c>
      <c r="K2348">
        <f>Pqp_supermarket_data[[#This Row],[Unit_Price]]*Pqp_supermarket_data[[#This Row],[Quantity]]</f>
        <v>4</v>
      </c>
      <c r="L2348" t="str">
        <f>TEXT(Pqp_supermarket_data[[#This Row],[DateTime]],"ddd")</f>
        <v>Mon</v>
      </c>
      <c r="M2348" t="str">
        <f>TEXT(Pqp_supermarket_data[[#This Row],[DateTime]],"mmm")</f>
        <v>Oct</v>
      </c>
      <c r="N2348" t="str">
        <f>TEXT(Pqp_supermarket_data[[#This Row],[DateTime]],"yyy")</f>
        <v>2022</v>
      </c>
    </row>
    <row r="2349" spans="1:14" x14ac:dyDescent="0.35">
      <c r="A2349" t="s">
        <v>4804</v>
      </c>
      <c r="B2349" s="1">
        <v>44503.092409780096</v>
      </c>
      <c r="C2349" t="s">
        <v>4805</v>
      </c>
      <c r="D2349" t="s">
        <v>82</v>
      </c>
      <c r="E2349" t="s">
        <v>145</v>
      </c>
      <c r="F2349">
        <v>1.7</v>
      </c>
      <c r="G2349">
        <v>7</v>
      </c>
      <c r="H2349" t="s">
        <v>14</v>
      </c>
      <c r="I2349" t="s">
        <v>86</v>
      </c>
      <c r="J2349" t="s">
        <v>46</v>
      </c>
      <c r="K2349">
        <f>Pqp_supermarket_data[[#This Row],[Unit_Price]]*Pqp_supermarket_data[[#This Row],[Quantity]]</f>
        <v>11.9</v>
      </c>
      <c r="L2349" t="str">
        <f>TEXT(Pqp_supermarket_data[[#This Row],[DateTime]],"ddd")</f>
        <v>Wed</v>
      </c>
      <c r="M2349" t="str">
        <f>TEXT(Pqp_supermarket_data[[#This Row],[DateTime]],"mmm")</f>
        <v>Nov</v>
      </c>
      <c r="N2349" t="str">
        <f>TEXT(Pqp_supermarket_data[[#This Row],[DateTime]],"yyy")</f>
        <v>2021</v>
      </c>
    </row>
    <row r="2350" spans="1:14" x14ac:dyDescent="0.35">
      <c r="A2350" t="s">
        <v>4806</v>
      </c>
      <c r="B2350" s="1">
        <v>44859.95977090278</v>
      </c>
      <c r="C2350" t="s">
        <v>4807</v>
      </c>
      <c r="D2350" t="s">
        <v>98</v>
      </c>
      <c r="E2350" t="s">
        <v>53</v>
      </c>
      <c r="F2350">
        <v>2.8</v>
      </c>
      <c r="G2350">
        <v>6</v>
      </c>
      <c r="H2350" t="s">
        <v>14</v>
      </c>
      <c r="I2350" t="s">
        <v>61</v>
      </c>
      <c r="J2350" t="s">
        <v>178</v>
      </c>
      <c r="K2350">
        <f>Pqp_supermarket_data[[#This Row],[Unit_Price]]*Pqp_supermarket_data[[#This Row],[Quantity]]</f>
        <v>16.799999999999997</v>
      </c>
      <c r="L2350" t="str">
        <f>TEXT(Pqp_supermarket_data[[#This Row],[DateTime]],"ddd")</f>
        <v>Tue</v>
      </c>
      <c r="M2350" t="str">
        <f>TEXT(Pqp_supermarket_data[[#This Row],[DateTime]],"mmm")</f>
        <v>Oct</v>
      </c>
      <c r="N2350" t="str">
        <f>TEXT(Pqp_supermarket_data[[#This Row],[DateTime]],"yyy")</f>
        <v>2022</v>
      </c>
    </row>
    <row r="2351" spans="1:14" x14ac:dyDescent="0.35">
      <c r="A2351" t="s">
        <v>4808</v>
      </c>
      <c r="B2351" s="1">
        <v>44970.361159791668</v>
      </c>
      <c r="C2351" t="s">
        <v>4809</v>
      </c>
      <c r="D2351" t="s">
        <v>85</v>
      </c>
      <c r="E2351" t="s">
        <v>78</v>
      </c>
      <c r="F2351">
        <v>4</v>
      </c>
      <c r="G2351">
        <v>4</v>
      </c>
      <c r="H2351" t="s">
        <v>14</v>
      </c>
      <c r="I2351" t="s">
        <v>15</v>
      </c>
      <c r="J2351" t="s">
        <v>541</v>
      </c>
      <c r="K2351">
        <f>Pqp_supermarket_data[[#This Row],[Unit_Price]]*Pqp_supermarket_data[[#This Row],[Quantity]]</f>
        <v>16</v>
      </c>
      <c r="L2351" t="str">
        <f>TEXT(Pqp_supermarket_data[[#This Row],[DateTime]],"ddd")</f>
        <v>Mon</v>
      </c>
      <c r="M2351" t="str">
        <f>TEXT(Pqp_supermarket_data[[#This Row],[DateTime]],"mmm")</f>
        <v>Feb</v>
      </c>
      <c r="N2351" t="str">
        <f>TEXT(Pqp_supermarket_data[[#This Row],[DateTime]],"yyy")</f>
        <v>2023</v>
      </c>
    </row>
    <row r="2352" spans="1:14" x14ac:dyDescent="0.35">
      <c r="A2352" t="s">
        <v>4810</v>
      </c>
      <c r="B2352" s="1">
        <v>45394.801437581016</v>
      </c>
      <c r="C2352" t="s">
        <v>4811</v>
      </c>
      <c r="D2352" t="s">
        <v>34</v>
      </c>
      <c r="E2352" t="s">
        <v>45</v>
      </c>
      <c r="F2352">
        <v>1</v>
      </c>
      <c r="G2352">
        <v>6</v>
      </c>
      <c r="H2352" t="s">
        <v>14</v>
      </c>
      <c r="I2352" t="s">
        <v>86</v>
      </c>
      <c r="J2352" t="s">
        <v>153</v>
      </c>
      <c r="K2352">
        <f>Pqp_supermarket_data[[#This Row],[Unit_Price]]*Pqp_supermarket_data[[#This Row],[Quantity]]</f>
        <v>6</v>
      </c>
      <c r="L2352" t="str">
        <f>TEXT(Pqp_supermarket_data[[#This Row],[DateTime]],"ddd")</f>
        <v>Fri</v>
      </c>
      <c r="M2352" t="str">
        <f>TEXT(Pqp_supermarket_data[[#This Row],[DateTime]],"mmm")</f>
        <v>Apr</v>
      </c>
      <c r="N2352" t="str">
        <f>TEXT(Pqp_supermarket_data[[#This Row],[DateTime]],"yyy")</f>
        <v>2024</v>
      </c>
    </row>
    <row r="2353" spans="1:14" x14ac:dyDescent="0.35">
      <c r="A2353" t="s">
        <v>4812</v>
      </c>
      <c r="B2353" s="1">
        <v>44950.072965370367</v>
      </c>
      <c r="C2353" t="s">
        <v>4813</v>
      </c>
      <c r="D2353" t="s">
        <v>127</v>
      </c>
      <c r="E2353" t="s">
        <v>78</v>
      </c>
      <c r="F2353">
        <v>4</v>
      </c>
      <c r="G2353">
        <v>7</v>
      </c>
      <c r="H2353" t="s">
        <v>14</v>
      </c>
      <c r="I2353" t="s">
        <v>15</v>
      </c>
      <c r="J2353" t="s">
        <v>122</v>
      </c>
      <c r="K2353">
        <f>Pqp_supermarket_data[[#This Row],[Unit_Price]]*Pqp_supermarket_data[[#This Row],[Quantity]]</f>
        <v>28</v>
      </c>
      <c r="L2353" t="str">
        <f>TEXT(Pqp_supermarket_data[[#This Row],[DateTime]],"ddd")</f>
        <v>Tue</v>
      </c>
      <c r="M2353" t="str">
        <f>TEXT(Pqp_supermarket_data[[#This Row],[DateTime]],"mmm")</f>
        <v>Jan</v>
      </c>
      <c r="N2353" t="str">
        <f>TEXT(Pqp_supermarket_data[[#This Row],[DateTime]],"yyy")</f>
        <v>2023</v>
      </c>
    </row>
    <row r="2354" spans="1:14" x14ac:dyDescent="0.35">
      <c r="A2354" t="s">
        <v>4814</v>
      </c>
      <c r="B2354" s="1">
        <v>45563.822965370367</v>
      </c>
      <c r="C2354" t="s">
        <v>4815</v>
      </c>
      <c r="D2354" t="s">
        <v>98</v>
      </c>
      <c r="E2354" t="s">
        <v>57</v>
      </c>
      <c r="F2354">
        <v>4.5</v>
      </c>
      <c r="G2354">
        <v>10</v>
      </c>
      <c r="H2354" t="s">
        <v>14</v>
      </c>
      <c r="I2354" t="s">
        <v>86</v>
      </c>
      <c r="J2354" t="s">
        <v>166</v>
      </c>
      <c r="K2354">
        <f>Pqp_supermarket_data[[#This Row],[Unit_Price]]*Pqp_supermarket_data[[#This Row],[Quantity]]</f>
        <v>45</v>
      </c>
      <c r="L2354" t="str">
        <f>TEXT(Pqp_supermarket_data[[#This Row],[DateTime]],"ddd")</f>
        <v>Sat</v>
      </c>
      <c r="M2354" t="str">
        <f>TEXT(Pqp_supermarket_data[[#This Row],[DateTime]],"mmm")</f>
        <v>Sep</v>
      </c>
      <c r="N2354" t="str">
        <f>TEXT(Pqp_supermarket_data[[#This Row],[DateTime]],"yyy")</f>
        <v>2024</v>
      </c>
    </row>
    <row r="2355" spans="1:14" x14ac:dyDescent="0.35">
      <c r="A2355" t="s">
        <v>4816</v>
      </c>
      <c r="B2355" s="1">
        <v>45378.295187615739</v>
      </c>
      <c r="C2355" t="s">
        <v>4817</v>
      </c>
      <c r="D2355" t="s">
        <v>85</v>
      </c>
      <c r="E2355" t="s">
        <v>94</v>
      </c>
      <c r="F2355">
        <v>0.8</v>
      </c>
      <c r="G2355">
        <v>7</v>
      </c>
      <c r="H2355" t="s">
        <v>14</v>
      </c>
      <c r="I2355" t="s">
        <v>21</v>
      </c>
      <c r="J2355" t="s">
        <v>236</v>
      </c>
      <c r="K2355">
        <f>Pqp_supermarket_data[[#This Row],[Unit_Price]]*Pqp_supermarket_data[[#This Row],[Quantity]]</f>
        <v>5.6000000000000005</v>
      </c>
      <c r="L2355" t="str">
        <f>TEXT(Pqp_supermarket_data[[#This Row],[DateTime]],"ddd")</f>
        <v>Wed</v>
      </c>
      <c r="M2355" t="str">
        <f>TEXT(Pqp_supermarket_data[[#This Row],[DateTime]],"mmm")</f>
        <v>Mar</v>
      </c>
      <c r="N2355" t="str">
        <f>TEXT(Pqp_supermarket_data[[#This Row],[DateTime]],"yyy")</f>
        <v>2024</v>
      </c>
    </row>
    <row r="2356" spans="1:14" x14ac:dyDescent="0.35">
      <c r="A2356" t="s">
        <v>4818</v>
      </c>
      <c r="B2356" s="1">
        <v>45416.975743171293</v>
      </c>
      <c r="C2356" t="s">
        <v>4819</v>
      </c>
      <c r="D2356" t="s">
        <v>12</v>
      </c>
      <c r="E2356" t="s">
        <v>78</v>
      </c>
      <c r="F2356">
        <v>4</v>
      </c>
      <c r="G2356">
        <v>7</v>
      </c>
      <c r="H2356" t="s">
        <v>14</v>
      </c>
      <c r="I2356" t="s">
        <v>21</v>
      </c>
      <c r="J2356" t="s">
        <v>178</v>
      </c>
      <c r="K2356">
        <f>Pqp_supermarket_data[[#This Row],[Unit_Price]]*Pqp_supermarket_data[[#This Row],[Quantity]]</f>
        <v>28</v>
      </c>
      <c r="L2356" t="str">
        <f>TEXT(Pqp_supermarket_data[[#This Row],[DateTime]],"ddd")</f>
        <v>Sat</v>
      </c>
      <c r="M2356" t="str">
        <f>TEXT(Pqp_supermarket_data[[#This Row],[DateTime]],"mmm")</f>
        <v>May</v>
      </c>
      <c r="N2356" t="str">
        <f>TEXT(Pqp_supermarket_data[[#This Row],[DateTime]],"yyy")</f>
        <v>2024</v>
      </c>
    </row>
    <row r="2357" spans="1:14" x14ac:dyDescent="0.35">
      <c r="A2357" t="s">
        <v>4820</v>
      </c>
      <c r="B2357" s="1">
        <v>45434.193798738423</v>
      </c>
      <c r="C2357" t="s">
        <v>4821</v>
      </c>
      <c r="D2357" t="s">
        <v>30</v>
      </c>
      <c r="E2357" t="s">
        <v>119</v>
      </c>
      <c r="F2357">
        <v>4</v>
      </c>
      <c r="G2357">
        <v>3</v>
      </c>
      <c r="H2357" t="s">
        <v>14</v>
      </c>
      <c r="I2357" t="s">
        <v>36</v>
      </c>
      <c r="J2357" t="s">
        <v>548</v>
      </c>
      <c r="K2357">
        <f>Pqp_supermarket_data[[#This Row],[Unit_Price]]*Pqp_supermarket_data[[#This Row],[Quantity]]</f>
        <v>12</v>
      </c>
      <c r="L2357" t="str">
        <f>TEXT(Pqp_supermarket_data[[#This Row],[DateTime]],"ddd")</f>
        <v>Wed</v>
      </c>
      <c r="M2357" t="str">
        <f>TEXT(Pqp_supermarket_data[[#This Row],[DateTime]],"mmm")</f>
        <v>May</v>
      </c>
      <c r="N2357" t="str">
        <f>TEXT(Pqp_supermarket_data[[#This Row],[DateTime]],"yyy")</f>
        <v>2024</v>
      </c>
    </row>
    <row r="2358" spans="1:14" x14ac:dyDescent="0.35">
      <c r="A2358" t="s">
        <v>4822</v>
      </c>
      <c r="B2358" s="1">
        <v>44609.303520960646</v>
      </c>
      <c r="C2358" t="s">
        <v>4823</v>
      </c>
      <c r="D2358" t="s">
        <v>82</v>
      </c>
      <c r="E2358" t="s">
        <v>39</v>
      </c>
      <c r="F2358">
        <v>3.2</v>
      </c>
      <c r="G2358">
        <v>8</v>
      </c>
      <c r="H2358" t="s">
        <v>14</v>
      </c>
      <c r="I2358" t="s">
        <v>15</v>
      </c>
      <c r="J2358" t="s">
        <v>202</v>
      </c>
      <c r="K2358">
        <f>Pqp_supermarket_data[[#This Row],[Unit_Price]]*Pqp_supermarket_data[[#This Row],[Quantity]]</f>
        <v>25.6</v>
      </c>
      <c r="L2358" t="str">
        <f>TEXT(Pqp_supermarket_data[[#This Row],[DateTime]],"ddd")</f>
        <v>Thu</v>
      </c>
      <c r="M2358" t="str">
        <f>TEXT(Pqp_supermarket_data[[#This Row],[DateTime]],"mmm")</f>
        <v>Feb</v>
      </c>
      <c r="N2358" t="str">
        <f>TEXT(Pqp_supermarket_data[[#This Row],[DateTime]],"yyy")</f>
        <v>2022</v>
      </c>
    </row>
    <row r="2359" spans="1:14" x14ac:dyDescent="0.35">
      <c r="A2359" t="s">
        <v>4824</v>
      </c>
      <c r="B2359" s="1">
        <v>45518.92088208333</v>
      </c>
      <c r="C2359" t="s">
        <v>4825</v>
      </c>
      <c r="D2359" t="s">
        <v>171</v>
      </c>
      <c r="E2359" t="s">
        <v>45</v>
      </c>
      <c r="F2359">
        <v>1</v>
      </c>
      <c r="G2359">
        <v>9</v>
      </c>
      <c r="H2359" t="s">
        <v>14</v>
      </c>
      <c r="I2359" t="s">
        <v>36</v>
      </c>
      <c r="J2359" t="s">
        <v>134</v>
      </c>
      <c r="K2359">
        <f>Pqp_supermarket_data[[#This Row],[Unit_Price]]*Pqp_supermarket_data[[#This Row],[Quantity]]</f>
        <v>9</v>
      </c>
      <c r="L2359" t="str">
        <f>TEXT(Pqp_supermarket_data[[#This Row],[DateTime]],"ddd")</f>
        <v>Wed</v>
      </c>
      <c r="M2359" t="str">
        <f>TEXT(Pqp_supermarket_data[[#This Row],[DateTime]],"mmm")</f>
        <v>Aug</v>
      </c>
      <c r="N2359" t="str">
        <f>TEXT(Pqp_supermarket_data[[#This Row],[DateTime]],"yyy")</f>
        <v>2024</v>
      </c>
    </row>
    <row r="2360" spans="1:14" x14ac:dyDescent="0.35">
      <c r="A2360" t="s">
        <v>4826</v>
      </c>
      <c r="B2360" s="1">
        <v>45713.680604305555</v>
      </c>
      <c r="C2360" t="s">
        <v>4418</v>
      </c>
      <c r="D2360" t="s">
        <v>226</v>
      </c>
      <c r="E2360" t="s">
        <v>65</v>
      </c>
      <c r="F2360">
        <v>3</v>
      </c>
      <c r="G2360">
        <v>2</v>
      </c>
      <c r="H2360" t="s">
        <v>14</v>
      </c>
      <c r="I2360" t="s">
        <v>40</v>
      </c>
      <c r="J2360" t="s">
        <v>99</v>
      </c>
      <c r="K2360">
        <f>Pqp_supermarket_data[[#This Row],[Unit_Price]]*Pqp_supermarket_data[[#This Row],[Quantity]]</f>
        <v>6</v>
      </c>
      <c r="L2360" t="str">
        <f>TEXT(Pqp_supermarket_data[[#This Row],[DateTime]],"ddd")</f>
        <v>Tue</v>
      </c>
      <c r="M2360" t="str">
        <f>TEXT(Pqp_supermarket_data[[#This Row],[DateTime]],"mmm")</f>
        <v>Feb</v>
      </c>
      <c r="N2360" t="str">
        <f>TEXT(Pqp_supermarket_data[[#This Row],[DateTime]],"yyy")</f>
        <v>2025</v>
      </c>
    </row>
    <row r="2361" spans="1:14" x14ac:dyDescent="0.35">
      <c r="A2361" t="s">
        <v>4827</v>
      </c>
      <c r="B2361" s="1">
        <v>45678.105604317127</v>
      </c>
      <c r="C2361" t="s">
        <v>4828</v>
      </c>
      <c r="D2361" t="s">
        <v>77</v>
      </c>
      <c r="E2361" t="s">
        <v>39</v>
      </c>
      <c r="F2361">
        <v>3.2</v>
      </c>
      <c r="G2361">
        <v>6</v>
      </c>
      <c r="H2361" t="s">
        <v>14</v>
      </c>
      <c r="I2361" t="s">
        <v>15</v>
      </c>
      <c r="J2361" t="s">
        <v>314</v>
      </c>
      <c r="K2361">
        <f>Pqp_supermarket_data[[#This Row],[Unit_Price]]*Pqp_supermarket_data[[#This Row],[Quantity]]</f>
        <v>19.200000000000003</v>
      </c>
      <c r="L2361" t="str">
        <f>TEXT(Pqp_supermarket_data[[#This Row],[DateTime]],"ddd")</f>
        <v>Tue</v>
      </c>
      <c r="M2361" t="str">
        <f>TEXT(Pqp_supermarket_data[[#This Row],[DateTime]],"mmm")</f>
        <v>Jan</v>
      </c>
      <c r="N2361" t="str">
        <f>TEXT(Pqp_supermarket_data[[#This Row],[DateTime]],"yyy")</f>
        <v>2025</v>
      </c>
    </row>
    <row r="2362" spans="1:14" x14ac:dyDescent="0.35">
      <c r="A2362" t="s">
        <v>4829</v>
      </c>
      <c r="B2362" s="1">
        <v>45478.296576550929</v>
      </c>
      <c r="C2362" t="s">
        <v>4830</v>
      </c>
      <c r="D2362" t="s">
        <v>34</v>
      </c>
      <c r="E2362" t="s">
        <v>65</v>
      </c>
      <c r="F2362">
        <v>3</v>
      </c>
      <c r="G2362">
        <v>6</v>
      </c>
      <c r="H2362" t="s">
        <v>14</v>
      </c>
      <c r="I2362" t="s">
        <v>21</v>
      </c>
      <c r="J2362" t="s">
        <v>79</v>
      </c>
      <c r="K2362">
        <f>Pqp_supermarket_data[[#This Row],[Unit_Price]]*Pqp_supermarket_data[[#This Row],[Quantity]]</f>
        <v>18</v>
      </c>
      <c r="L2362" t="str">
        <f>TEXT(Pqp_supermarket_data[[#This Row],[DateTime]],"ddd")</f>
        <v>Fri</v>
      </c>
      <c r="M2362" t="str">
        <f>TEXT(Pqp_supermarket_data[[#This Row],[DateTime]],"mmm")</f>
        <v>Jul</v>
      </c>
      <c r="N2362" t="str">
        <f>TEXT(Pqp_supermarket_data[[#This Row],[DateTime]],"yyy")</f>
        <v>2024</v>
      </c>
    </row>
    <row r="2363" spans="1:14" x14ac:dyDescent="0.35">
      <c r="A2363" t="s">
        <v>4831</v>
      </c>
      <c r="B2363" s="1">
        <v>44591.955604328701</v>
      </c>
      <c r="C2363" t="s">
        <v>4832</v>
      </c>
      <c r="D2363" t="s">
        <v>44</v>
      </c>
      <c r="E2363" t="s">
        <v>94</v>
      </c>
      <c r="F2363">
        <v>0.8</v>
      </c>
      <c r="G2363">
        <v>5</v>
      </c>
      <c r="H2363" t="s">
        <v>14</v>
      </c>
      <c r="I2363" t="s">
        <v>61</v>
      </c>
      <c r="J2363" t="s">
        <v>58</v>
      </c>
      <c r="K2363">
        <f>Pqp_supermarket_data[[#This Row],[Unit_Price]]*Pqp_supermarket_data[[#This Row],[Quantity]]</f>
        <v>4</v>
      </c>
      <c r="L2363" t="str">
        <f>TEXT(Pqp_supermarket_data[[#This Row],[DateTime]],"ddd")</f>
        <v>Sun</v>
      </c>
      <c r="M2363" t="str">
        <f>TEXT(Pqp_supermarket_data[[#This Row],[DateTime]],"mmm")</f>
        <v>Jan</v>
      </c>
      <c r="N2363" t="str">
        <f>TEXT(Pqp_supermarket_data[[#This Row],[DateTime]],"yyy")</f>
        <v>2022</v>
      </c>
    </row>
    <row r="2364" spans="1:14" x14ac:dyDescent="0.35">
      <c r="A2364" t="s">
        <v>4833</v>
      </c>
      <c r="B2364" s="1">
        <v>44636.31185435185</v>
      </c>
      <c r="C2364" t="s">
        <v>4834</v>
      </c>
      <c r="D2364" t="s">
        <v>19</v>
      </c>
      <c r="E2364" t="s">
        <v>111</v>
      </c>
      <c r="F2364">
        <v>2.2000000000000002</v>
      </c>
      <c r="G2364">
        <v>3</v>
      </c>
      <c r="H2364" t="s">
        <v>14</v>
      </c>
      <c r="I2364" t="s">
        <v>86</v>
      </c>
      <c r="J2364" t="s">
        <v>172</v>
      </c>
      <c r="K2364">
        <f>Pqp_supermarket_data[[#This Row],[Unit_Price]]*Pqp_supermarket_data[[#This Row],[Quantity]]</f>
        <v>6.6000000000000005</v>
      </c>
      <c r="L2364" t="str">
        <f>TEXT(Pqp_supermarket_data[[#This Row],[DateTime]],"ddd")</f>
        <v>Wed</v>
      </c>
      <c r="M2364" t="str">
        <f>TEXT(Pqp_supermarket_data[[#This Row],[DateTime]],"mmm")</f>
        <v>Mar</v>
      </c>
      <c r="N2364" t="str">
        <f>TEXT(Pqp_supermarket_data[[#This Row],[DateTime]],"yyy")</f>
        <v>2022</v>
      </c>
    </row>
    <row r="2365" spans="1:14" x14ac:dyDescent="0.35">
      <c r="A2365" t="s">
        <v>4835</v>
      </c>
      <c r="B2365" s="1">
        <v>44695.750048807873</v>
      </c>
      <c r="C2365" t="s">
        <v>4836</v>
      </c>
      <c r="D2365" t="s">
        <v>69</v>
      </c>
      <c r="E2365" t="s">
        <v>20</v>
      </c>
      <c r="F2365">
        <v>1</v>
      </c>
      <c r="G2365">
        <v>9</v>
      </c>
      <c r="H2365" t="s">
        <v>14</v>
      </c>
      <c r="I2365" t="s">
        <v>36</v>
      </c>
      <c r="J2365" t="s">
        <v>122</v>
      </c>
      <c r="K2365">
        <f>Pqp_supermarket_data[[#This Row],[Unit_Price]]*Pqp_supermarket_data[[#This Row],[Quantity]]</f>
        <v>9</v>
      </c>
      <c r="L2365" t="str">
        <f>TEXT(Pqp_supermarket_data[[#This Row],[DateTime]],"ddd")</f>
        <v>Sat</v>
      </c>
      <c r="M2365" t="str">
        <f>TEXT(Pqp_supermarket_data[[#This Row],[DateTime]],"mmm")</f>
        <v>May</v>
      </c>
      <c r="N2365" t="str">
        <f>TEXT(Pqp_supermarket_data[[#This Row],[DateTime]],"yyy")</f>
        <v>2022</v>
      </c>
    </row>
    <row r="2366" spans="1:14" x14ac:dyDescent="0.35">
      <c r="A2366" t="s">
        <v>4837</v>
      </c>
      <c r="B2366" s="1">
        <v>44353.195882152781</v>
      </c>
      <c r="C2366" t="s">
        <v>4838</v>
      </c>
      <c r="D2366" t="s">
        <v>34</v>
      </c>
      <c r="E2366" t="s">
        <v>26</v>
      </c>
      <c r="F2366">
        <v>2.5</v>
      </c>
      <c r="G2366">
        <v>2</v>
      </c>
      <c r="H2366" t="s">
        <v>14</v>
      </c>
      <c r="I2366" t="s">
        <v>36</v>
      </c>
      <c r="J2366" t="s">
        <v>209</v>
      </c>
      <c r="K2366">
        <f>Pqp_supermarket_data[[#This Row],[Unit_Price]]*Pqp_supermarket_data[[#This Row],[Quantity]]</f>
        <v>5</v>
      </c>
      <c r="L2366" t="str">
        <f>TEXT(Pqp_supermarket_data[[#This Row],[DateTime]],"ddd")</f>
        <v>Sun</v>
      </c>
      <c r="M2366" t="str">
        <f>TEXT(Pqp_supermarket_data[[#This Row],[DateTime]],"mmm")</f>
        <v>Jun</v>
      </c>
      <c r="N2366" t="str">
        <f>TEXT(Pqp_supermarket_data[[#This Row],[DateTime]],"yyy")</f>
        <v>2021</v>
      </c>
    </row>
    <row r="2367" spans="1:14" x14ac:dyDescent="0.35">
      <c r="A2367" t="s">
        <v>4839</v>
      </c>
      <c r="B2367" s="1">
        <v>44875.401437708337</v>
      </c>
      <c r="C2367" t="s">
        <v>4840</v>
      </c>
      <c r="D2367" t="s">
        <v>208</v>
      </c>
      <c r="E2367" t="s">
        <v>111</v>
      </c>
      <c r="F2367">
        <v>2.2000000000000002</v>
      </c>
      <c r="G2367">
        <v>7</v>
      </c>
      <c r="H2367" t="s">
        <v>14</v>
      </c>
      <c r="I2367" t="s">
        <v>86</v>
      </c>
      <c r="J2367" t="s">
        <v>41</v>
      </c>
      <c r="K2367">
        <f>Pqp_supermarket_data[[#This Row],[Unit_Price]]*Pqp_supermarket_data[[#This Row],[Quantity]]</f>
        <v>15.400000000000002</v>
      </c>
      <c r="L2367" t="str">
        <f>TEXT(Pqp_supermarket_data[[#This Row],[DateTime]],"ddd")</f>
        <v>Thu</v>
      </c>
      <c r="M2367" t="str">
        <f>TEXT(Pqp_supermarket_data[[#This Row],[DateTime]],"mmm")</f>
        <v>Nov</v>
      </c>
      <c r="N2367" t="str">
        <f>TEXT(Pqp_supermarket_data[[#This Row],[DateTime]],"yyy")</f>
        <v>2022</v>
      </c>
    </row>
    <row r="2368" spans="1:14" x14ac:dyDescent="0.35">
      <c r="A2368" t="s">
        <v>4841</v>
      </c>
      <c r="B2368" s="1">
        <v>44810.31740994213</v>
      </c>
      <c r="C2368" t="s">
        <v>4842</v>
      </c>
      <c r="D2368" t="s">
        <v>208</v>
      </c>
      <c r="E2368" t="s">
        <v>119</v>
      </c>
      <c r="F2368">
        <v>4</v>
      </c>
      <c r="G2368">
        <v>6</v>
      </c>
      <c r="H2368" t="s">
        <v>14</v>
      </c>
      <c r="I2368" t="s">
        <v>86</v>
      </c>
      <c r="J2368" t="s">
        <v>87</v>
      </c>
      <c r="K2368">
        <f>Pqp_supermarket_data[[#This Row],[Unit_Price]]*Pqp_supermarket_data[[#This Row],[Quantity]]</f>
        <v>24</v>
      </c>
      <c r="L2368" t="str">
        <f>TEXT(Pqp_supermarket_data[[#This Row],[DateTime]],"ddd")</f>
        <v>Tue</v>
      </c>
      <c r="M2368" t="str">
        <f>TEXT(Pqp_supermarket_data[[#This Row],[DateTime]],"mmm")</f>
        <v>Sep</v>
      </c>
      <c r="N2368" t="str">
        <f>TEXT(Pqp_supermarket_data[[#This Row],[DateTime]],"yyy")</f>
        <v>2022</v>
      </c>
    </row>
    <row r="2369" spans="1:14" x14ac:dyDescent="0.35">
      <c r="A2369" t="s">
        <v>4843</v>
      </c>
      <c r="B2369" s="1">
        <v>44615.331993287036</v>
      </c>
      <c r="C2369" t="s">
        <v>4844</v>
      </c>
      <c r="D2369" t="s">
        <v>19</v>
      </c>
      <c r="E2369" t="s">
        <v>35</v>
      </c>
      <c r="F2369">
        <v>1.2</v>
      </c>
      <c r="G2369">
        <v>8</v>
      </c>
      <c r="H2369" t="s">
        <v>14</v>
      </c>
      <c r="I2369" t="s">
        <v>36</v>
      </c>
      <c r="J2369" t="s">
        <v>323</v>
      </c>
      <c r="K2369">
        <f>Pqp_supermarket_data[[#This Row],[Unit_Price]]*Pqp_supermarket_data[[#This Row],[Quantity]]</f>
        <v>9.6</v>
      </c>
      <c r="L2369" t="str">
        <f>TEXT(Pqp_supermarket_data[[#This Row],[DateTime]],"ddd")</f>
        <v>Wed</v>
      </c>
      <c r="M2369" t="str">
        <f>TEXT(Pqp_supermarket_data[[#This Row],[DateTime]],"mmm")</f>
        <v>Feb</v>
      </c>
      <c r="N2369" t="str">
        <f>TEXT(Pqp_supermarket_data[[#This Row],[DateTime]],"yyy")</f>
        <v>2022</v>
      </c>
    </row>
    <row r="2370" spans="1:14" x14ac:dyDescent="0.35">
      <c r="A2370" t="s">
        <v>4845</v>
      </c>
      <c r="B2370" s="1">
        <v>45082.139632175924</v>
      </c>
      <c r="C2370" t="s">
        <v>4846</v>
      </c>
      <c r="D2370" t="s">
        <v>19</v>
      </c>
      <c r="E2370" t="s">
        <v>53</v>
      </c>
      <c r="F2370">
        <v>2.8</v>
      </c>
      <c r="G2370">
        <v>2</v>
      </c>
      <c r="H2370" t="s">
        <v>14</v>
      </c>
      <c r="I2370" t="s">
        <v>15</v>
      </c>
      <c r="J2370" t="s">
        <v>16</v>
      </c>
      <c r="K2370">
        <f>Pqp_supermarket_data[[#This Row],[Unit_Price]]*Pqp_supermarket_data[[#This Row],[Quantity]]</f>
        <v>5.6</v>
      </c>
      <c r="L2370" t="str">
        <f>TEXT(Pqp_supermarket_data[[#This Row],[DateTime]],"ddd")</f>
        <v>Mon</v>
      </c>
      <c r="M2370" t="str">
        <f>TEXT(Pqp_supermarket_data[[#This Row],[DateTime]],"mmm")</f>
        <v>Jun</v>
      </c>
      <c r="N2370" t="str">
        <f>TEXT(Pqp_supermarket_data[[#This Row],[DateTime]],"yyy")</f>
        <v>2023</v>
      </c>
    </row>
    <row r="2371" spans="1:14" x14ac:dyDescent="0.35">
      <c r="A2371" t="s">
        <v>4847</v>
      </c>
      <c r="B2371" s="1">
        <v>44508.154909965277</v>
      </c>
      <c r="C2371" t="s">
        <v>4848</v>
      </c>
      <c r="D2371" t="s">
        <v>82</v>
      </c>
      <c r="E2371" t="s">
        <v>111</v>
      </c>
      <c r="F2371">
        <v>2.2000000000000002</v>
      </c>
      <c r="G2371">
        <v>2</v>
      </c>
      <c r="H2371" t="s">
        <v>14</v>
      </c>
      <c r="I2371" t="s">
        <v>36</v>
      </c>
      <c r="J2371" t="s">
        <v>485</v>
      </c>
      <c r="K2371">
        <f>Pqp_supermarket_data[[#This Row],[Unit_Price]]*Pqp_supermarket_data[[#This Row],[Quantity]]</f>
        <v>4.4000000000000004</v>
      </c>
      <c r="L2371" t="str">
        <f>TEXT(Pqp_supermarket_data[[#This Row],[DateTime]],"ddd")</f>
        <v>Mon</v>
      </c>
      <c r="M2371" t="str">
        <f>TEXT(Pqp_supermarket_data[[#This Row],[DateTime]],"mmm")</f>
        <v>Nov</v>
      </c>
      <c r="N2371" t="str">
        <f>TEXT(Pqp_supermarket_data[[#This Row],[DateTime]],"yyy")</f>
        <v>2021</v>
      </c>
    </row>
    <row r="2372" spans="1:14" x14ac:dyDescent="0.35">
      <c r="A2372" t="s">
        <v>4849</v>
      </c>
      <c r="B2372" s="1">
        <v>44488.130604409722</v>
      </c>
      <c r="C2372" t="s">
        <v>4850</v>
      </c>
      <c r="D2372" t="s">
        <v>12</v>
      </c>
      <c r="E2372" t="s">
        <v>65</v>
      </c>
      <c r="F2372">
        <v>3</v>
      </c>
      <c r="G2372">
        <v>6</v>
      </c>
      <c r="H2372" t="s">
        <v>14</v>
      </c>
      <c r="I2372" t="s">
        <v>21</v>
      </c>
      <c r="J2372" t="s">
        <v>336</v>
      </c>
      <c r="K2372">
        <f>Pqp_supermarket_data[[#This Row],[Unit_Price]]*Pqp_supermarket_data[[#This Row],[Quantity]]</f>
        <v>18</v>
      </c>
      <c r="L2372" t="str">
        <f>TEXT(Pqp_supermarket_data[[#This Row],[DateTime]],"ddd")</f>
        <v>Tue</v>
      </c>
      <c r="M2372" t="str">
        <f>TEXT(Pqp_supermarket_data[[#This Row],[DateTime]],"mmm")</f>
        <v>Oct</v>
      </c>
      <c r="N2372" t="str">
        <f>TEXT(Pqp_supermarket_data[[#This Row],[DateTime]],"yyy")</f>
        <v>2021</v>
      </c>
    </row>
    <row r="2373" spans="1:14" x14ac:dyDescent="0.35">
      <c r="A2373" t="s">
        <v>4851</v>
      </c>
      <c r="B2373" s="1">
        <v>45753.728521076388</v>
      </c>
      <c r="C2373" t="s">
        <v>4852</v>
      </c>
      <c r="D2373" t="s">
        <v>171</v>
      </c>
      <c r="E2373" t="s">
        <v>145</v>
      </c>
      <c r="F2373">
        <v>1.7</v>
      </c>
      <c r="G2373">
        <v>3</v>
      </c>
      <c r="H2373" t="s">
        <v>14</v>
      </c>
      <c r="I2373" t="s">
        <v>61</v>
      </c>
      <c r="J2373" t="s">
        <v>364</v>
      </c>
      <c r="K2373">
        <f>Pqp_supermarket_data[[#This Row],[Unit_Price]]*Pqp_supermarket_data[[#This Row],[Quantity]]</f>
        <v>5.0999999999999996</v>
      </c>
      <c r="L2373" t="str">
        <f>TEXT(Pqp_supermarket_data[[#This Row],[DateTime]],"ddd")</f>
        <v>Sun</v>
      </c>
      <c r="M2373" t="str">
        <f>TEXT(Pqp_supermarket_data[[#This Row],[DateTime]],"mmm")</f>
        <v>Apr</v>
      </c>
      <c r="N2373" t="str">
        <f>TEXT(Pqp_supermarket_data[[#This Row],[DateTime]],"yyy")</f>
        <v>2025</v>
      </c>
    </row>
    <row r="2374" spans="1:14" x14ac:dyDescent="0.35">
      <c r="A2374" t="s">
        <v>4853</v>
      </c>
      <c r="B2374" s="1">
        <v>45392.881298865737</v>
      </c>
      <c r="C2374" t="s">
        <v>4854</v>
      </c>
      <c r="D2374" t="s">
        <v>85</v>
      </c>
      <c r="E2374" t="s">
        <v>35</v>
      </c>
      <c r="F2374">
        <v>1.2</v>
      </c>
      <c r="G2374">
        <v>8</v>
      </c>
      <c r="H2374" t="s">
        <v>14</v>
      </c>
      <c r="I2374" t="s">
        <v>61</v>
      </c>
      <c r="J2374" t="s">
        <v>66</v>
      </c>
      <c r="K2374">
        <f>Pqp_supermarket_data[[#This Row],[Unit_Price]]*Pqp_supermarket_data[[#This Row],[Quantity]]</f>
        <v>9.6</v>
      </c>
      <c r="L2374" t="str">
        <f>TEXT(Pqp_supermarket_data[[#This Row],[DateTime]],"ddd")</f>
        <v>Wed</v>
      </c>
      <c r="M2374" t="str">
        <f>TEXT(Pqp_supermarket_data[[#This Row],[DateTime]],"mmm")</f>
        <v>Apr</v>
      </c>
      <c r="N2374" t="str">
        <f>TEXT(Pqp_supermarket_data[[#This Row],[DateTime]],"yyy")</f>
        <v>2024</v>
      </c>
    </row>
    <row r="2375" spans="1:14" x14ac:dyDescent="0.35">
      <c r="A2375" t="s">
        <v>4855</v>
      </c>
      <c r="B2375" s="1">
        <v>45679.716021087967</v>
      </c>
      <c r="C2375" t="s">
        <v>4856</v>
      </c>
      <c r="D2375" t="s">
        <v>12</v>
      </c>
      <c r="E2375" t="s">
        <v>57</v>
      </c>
      <c r="F2375">
        <v>4.5</v>
      </c>
      <c r="G2375">
        <v>5</v>
      </c>
      <c r="H2375" t="s">
        <v>14</v>
      </c>
      <c r="I2375" t="s">
        <v>86</v>
      </c>
      <c r="J2375" t="s">
        <v>236</v>
      </c>
      <c r="K2375">
        <f>Pqp_supermarket_data[[#This Row],[Unit_Price]]*Pqp_supermarket_data[[#This Row],[Quantity]]</f>
        <v>22.5</v>
      </c>
      <c r="L2375" t="str">
        <f>TEXT(Pqp_supermarket_data[[#This Row],[DateTime]],"ddd")</f>
        <v>Wed</v>
      </c>
      <c r="M2375" t="str">
        <f>TEXT(Pqp_supermarket_data[[#This Row],[DateTime]],"mmm")</f>
        <v>Jan</v>
      </c>
      <c r="N2375" t="str">
        <f>TEXT(Pqp_supermarket_data[[#This Row],[DateTime]],"yyy")</f>
        <v>2025</v>
      </c>
    </row>
    <row r="2376" spans="1:14" x14ac:dyDescent="0.35">
      <c r="A2376" t="s">
        <v>4857</v>
      </c>
      <c r="B2376" s="1">
        <v>45095.506298877313</v>
      </c>
      <c r="C2376" t="s">
        <v>4858</v>
      </c>
      <c r="D2376" t="s">
        <v>12</v>
      </c>
      <c r="E2376" t="s">
        <v>70</v>
      </c>
      <c r="F2376">
        <v>5</v>
      </c>
      <c r="G2376">
        <v>2</v>
      </c>
      <c r="H2376" t="s">
        <v>14</v>
      </c>
      <c r="I2376" t="s">
        <v>61</v>
      </c>
      <c r="J2376" t="s">
        <v>153</v>
      </c>
      <c r="K2376">
        <f>Pqp_supermarket_data[[#This Row],[Unit_Price]]*Pqp_supermarket_data[[#This Row],[Quantity]]</f>
        <v>10</v>
      </c>
      <c r="L2376" t="str">
        <f>TEXT(Pqp_supermarket_data[[#This Row],[DateTime]],"ddd")</f>
        <v>Sun</v>
      </c>
      <c r="M2376" t="str">
        <f>TEXT(Pqp_supermarket_data[[#This Row],[DateTime]],"mmm")</f>
        <v>Jun</v>
      </c>
      <c r="N2376" t="str">
        <f>TEXT(Pqp_supermarket_data[[#This Row],[DateTime]],"yyy")</f>
        <v>2023</v>
      </c>
    </row>
    <row r="2377" spans="1:14" x14ac:dyDescent="0.35">
      <c r="A2377" t="s">
        <v>4859</v>
      </c>
      <c r="B2377" s="1">
        <v>45722.354910000002</v>
      </c>
      <c r="C2377" t="s">
        <v>4860</v>
      </c>
      <c r="D2377" t="s">
        <v>19</v>
      </c>
      <c r="E2377" t="s">
        <v>45</v>
      </c>
      <c r="F2377">
        <v>1</v>
      </c>
      <c r="G2377">
        <v>1</v>
      </c>
      <c r="H2377" t="s">
        <v>14</v>
      </c>
      <c r="I2377" t="s">
        <v>36</v>
      </c>
      <c r="J2377" t="s">
        <v>317</v>
      </c>
      <c r="K2377">
        <f>Pqp_supermarket_data[[#This Row],[Unit_Price]]*Pqp_supermarket_data[[#This Row],[Quantity]]</f>
        <v>1</v>
      </c>
      <c r="L2377" t="str">
        <f>TEXT(Pqp_supermarket_data[[#This Row],[DateTime]],"ddd")</f>
        <v>Thu</v>
      </c>
      <c r="M2377" t="str">
        <f>TEXT(Pqp_supermarket_data[[#This Row],[DateTime]],"mmm")</f>
        <v>Mar</v>
      </c>
      <c r="N2377" t="str">
        <f>TEXT(Pqp_supermarket_data[[#This Row],[DateTime]],"yyy")</f>
        <v>2025</v>
      </c>
    </row>
    <row r="2378" spans="1:14" x14ac:dyDescent="0.35">
      <c r="A2378" t="s">
        <v>4861</v>
      </c>
      <c r="B2378" s="1">
        <v>45747.168104444441</v>
      </c>
      <c r="C2378" t="s">
        <v>4862</v>
      </c>
      <c r="D2378" t="s">
        <v>25</v>
      </c>
      <c r="E2378" t="s">
        <v>115</v>
      </c>
      <c r="F2378">
        <v>1.5</v>
      </c>
      <c r="G2378">
        <v>7</v>
      </c>
      <c r="H2378" t="s">
        <v>14</v>
      </c>
      <c r="I2378" t="s">
        <v>86</v>
      </c>
      <c r="J2378" t="s">
        <v>74</v>
      </c>
      <c r="K2378">
        <f>Pqp_supermarket_data[[#This Row],[Unit_Price]]*Pqp_supermarket_data[[#This Row],[Quantity]]</f>
        <v>10.5</v>
      </c>
      <c r="L2378" t="str">
        <f>TEXT(Pqp_supermarket_data[[#This Row],[DateTime]],"ddd")</f>
        <v>Mon</v>
      </c>
      <c r="M2378" t="str">
        <f>TEXT(Pqp_supermarket_data[[#This Row],[DateTime]],"mmm")</f>
        <v>Mar</v>
      </c>
      <c r="N2378" t="str">
        <f>TEXT(Pqp_supermarket_data[[#This Row],[DateTime]],"yyy")</f>
        <v>2025</v>
      </c>
    </row>
    <row r="2379" spans="1:14" x14ac:dyDescent="0.35">
      <c r="A2379" t="s">
        <v>4863</v>
      </c>
      <c r="B2379" s="1">
        <v>44362.67296556713</v>
      </c>
      <c r="C2379" t="s">
        <v>4864</v>
      </c>
      <c r="D2379" t="s">
        <v>12</v>
      </c>
      <c r="E2379" t="s">
        <v>49</v>
      </c>
      <c r="F2379">
        <v>7</v>
      </c>
      <c r="G2379">
        <v>6</v>
      </c>
      <c r="H2379" t="s">
        <v>14</v>
      </c>
      <c r="I2379" t="s">
        <v>61</v>
      </c>
      <c r="J2379" t="s">
        <v>138</v>
      </c>
      <c r="K2379">
        <f>Pqp_supermarket_data[[#This Row],[Unit_Price]]*Pqp_supermarket_data[[#This Row],[Quantity]]</f>
        <v>42</v>
      </c>
      <c r="L2379" t="str">
        <f>TEXT(Pqp_supermarket_data[[#This Row],[DateTime]],"ddd")</f>
        <v>Tue</v>
      </c>
      <c r="M2379" t="str">
        <f>TEXT(Pqp_supermarket_data[[#This Row],[DateTime]],"mmm")</f>
        <v>Jun</v>
      </c>
      <c r="N2379" t="str">
        <f>TEXT(Pqp_supermarket_data[[#This Row],[DateTime]],"yyy")</f>
        <v>2021</v>
      </c>
    </row>
    <row r="2380" spans="1:14" x14ac:dyDescent="0.35">
      <c r="A2380" t="s">
        <v>4865</v>
      </c>
      <c r="B2380" s="1">
        <v>44916.986854467592</v>
      </c>
      <c r="C2380" t="s">
        <v>4866</v>
      </c>
      <c r="D2380" t="s">
        <v>44</v>
      </c>
      <c r="E2380" t="s">
        <v>111</v>
      </c>
      <c r="F2380">
        <v>2.2000000000000002</v>
      </c>
      <c r="G2380">
        <v>6</v>
      </c>
      <c r="H2380" t="s">
        <v>14</v>
      </c>
      <c r="I2380" t="s">
        <v>36</v>
      </c>
      <c r="J2380" t="s">
        <v>924</v>
      </c>
      <c r="K2380">
        <f>Pqp_supermarket_data[[#This Row],[Unit_Price]]*Pqp_supermarket_data[[#This Row],[Quantity]]</f>
        <v>13.200000000000001</v>
      </c>
      <c r="L2380" t="str">
        <f>TEXT(Pqp_supermarket_data[[#This Row],[DateTime]],"ddd")</f>
        <v>Wed</v>
      </c>
      <c r="M2380" t="str">
        <f>TEXT(Pqp_supermarket_data[[#This Row],[DateTime]],"mmm")</f>
        <v>Dec</v>
      </c>
      <c r="N2380" t="str">
        <f>TEXT(Pqp_supermarket_data[[#This Row],[DateTime]],"yyy")</f>
        <v>2022</v>
      </c>
    </row>
    <row r="2381" spans="1:14" x14ac:dyDescent="0.35">
      <c r="A2381" t="s">
        <v>4867</v>
      </c>
      <c r="B2381" s="1">
        <v>44655.288243368057</v>
      </c>
      <c r="C2381" t="s">
        <v>4868</v>
      </c>
      <c r="D2381" t="s">
        <v>127</v>
      </c>
      <c r="E2381" t="s">
        <v>13</v>
      </c>
      <c r="F2381">
        <v>3.1</v>
      </c>
      <c r="G2381">
        <v>2</v>
      </c>
      <c r="H2381" t="s">
        <v>14</v>
      </c>
      <c r="I2381" t="s">
        <v>86</v>
      </c>
      <c r="J2381" t="s">
        <v>178</v>
      </c>
      <c r="K2381">
        <f>Pqp_supermarket_data[[#This Row],[Unit_Price]]*Pqp_supermarket_data[[#This Row],[Quantity]]</f>
        <v>6.2</v>
      </c>
      <c r="L2381" t="str">
        <f>TEXT(Pqp_supermarket_data[[#This Row],[DateTime]],"ddd")</f>
        <v>Mon</v>
      </c>
      <c r="M2381" t="str">
        <f>TEXT(Pqp_supermarket_data[[#This Row],[DateTime]],"mmm")</f>
        <v>Apr</v>
      </c>
      <c r="N2381" t="str">
        <f>TEXT(Pqp_supermarket_data[[#This Row],[DateTime]],"yyy")</f>
        <v>2022</v>
      </c>
    </row>
    <row r="2382" spans="1:14" x14ac:dyDescent="0.35">
      <c r="A2382" t="s">
        <v>4869</v>
      </c>
      <c r="B2382" s="1">
        <v>45612.644493368054</v>
      </c>
      <c r="C2382" t="s">
        <v>4870</v>
      </c>
      <c r="D2382" t="s">
        <v>44</v>
      </c>
      <c r="E2382" t="s">
        <v>90</v>
      </c>
      <c r="F2382">
        <v>1.8</v>
      </c>
      <c r="G2382">
        <v>2</v>
      </c>
      <c r="H2382" t="s">
        <v>14</v>
      </c>
      <c r="I2382" t="s">
        <v>40</v>
      </c>
      <c r="J2382" t="s">
        <v>295</v>
      </c>
      <c r="K2382">
        <f>Pqp_supermarket_data[[#This Row],[Unit_Price]]*Pqp_supermarket_data[[#This Row],[Quantity]]</f>
        <v>3.6</v>
      </c>
      <c r="L2382" t="str">
        <f>TEXT(Pqp_supermarket_data[[#This Row],[DateTime]],"ddd")</f>
        <v>Sat</v>
      </c>
      <c r="M2382" t="str">
        <f>TEXT(Pqp_supermarket_data[[#This Row],[DateTime]],"mmm")</f>
        <v>Nov</v>
      </c>
      <c r="N2382" t="str">
        <f>TEXT(Pqp_supermarket_data[[#This Row],[DateTime]],"yyy")</f>
        <v>2024</v>
      </c>
    </row>
    <row r="2383" spans="1:14" x14ac:dyDescent="0.35">
      <c r="A2383" t="s">
        <v>4871</v>
      </c>
      <c r="B2383" s="1">
        <v>45567.265326712964</v>
      </c>
      <c r="C2383" t="s">
        <v>4872</v>
      </c>
      <c r="D2383" t="s">
        <v>69</v>
      </c>
      <c r="E2383" t="s">
        <v>53</v>
      </c>
      <c r="F2383">
        <v>2.8</v>
      </c>
      <c r="G2383">
        <v>2</v>
      </c>
      <c r="H2383" t="s">
        <v>14</v>
      </c>
      <c r="I2383" t="s">
        <v>15</v>
      </c>
      <c r="J2383" t="s">
        <v>317</v>
      </c>
      <c r="K2383">
        <f>Pqp_supermarket_data[[#This Row],[Unit_Price]]*Pqp_supermarket_data[[#This Row],[Quantity]]</f>
        <v>5.6</v>
      </c>
      <c r="L2383" t="str">
        <f>TEXT(Pqp_supermarket_data[[#This Row],[DateTime]],"ddd")</f>
        <v>Wed</v>
      </c>
      <c r="M2383" t="str">
        <f>TEXT(Pqp_supermarket_data[[#This Row],[DateTime]],"mmm")</f>
        <v>Oct</v>
      </c>
      <c r="N2383" t="str">
        <f>TEXT(Pqp_supermarket_data[[#This Row],[DateTime]],"yyy")</f>
        <v>2024</v>
      </c>
    </row>
    <row r="2384" spans="1:14" x14ac:dyDescent="0.35">
      <c r="A2384" t="s">
        <v>4873</v>
      </c>
      <c r="B2384" s="1">
        <v>45301.438243379627</v>
      </c>
      <c r="C2384" t="s">
        <v>4874</v>
      </c>
      <c r="D2384" t="s">
        <v>77</v>
      </c>
      <c r="E2384" t="s">
        <v>35</v>
      </c>
      <c r="F2384">
        <v>1.2</v>
      </c>
      <c r="G2384">
        <v>1</v>
      </c>
      <c r="H2384" t="s">
        <v>14</v>
      </c>
      <c r="I2384" t="s">
        <v>36</v>
      </c>
      <c r="J2384" t="s">
        <v>102</v>
      </c>
      <c r="K2384">
        <f>Pqp_supermarket_data[[#This Row],[Unit_Price]]*Pqp_supermarket_data[[#This Row],[Quantity]]</f>
        <v>1.2</v>
      </c>
      <c r="L2384" t="str">
        <f>TEXT(Pqp_supermarket_data[[#This Row],[DateTime]],"ddd")</f>
        <v>Wed</v>
      </c>
      <c r="M2384" t="str">
        <f>TEXT(Pqp_supermarket_data[[#This Row],[DateTime]],"mmm")</f>
        <v>Jan</v>
      </c>
      <c r="N2384" t="str">
        <f>TEXT(Pqp_supermarket_data[[#This Row],[DateTime]],"yyy")</f>
        <v>2024</v>
      </c>
    </row>
    <row r="2385" spans="1:14" x14ac:dyDescent="0.35">
      <c r="A2385" t="s">
        <v>4875</v>
      </c>
      <c r="B2385" s="1">
        <v>44522.47018783565</v>
      </c>
      <c r="C2385" t="s">
        <v>4876</v>
      </c>
      <c r="D2385" t="s">
        <v>171</v>
      </c>
      <c r="E2385" t="s">
        <v>70</v>
      </c>
      <c r="F2385">
        <v>5</v>
      </c>
      <c r="G2385">
        <v>6</v>
      </c>
      <c r="H2385" t="s">
        <v>14</v>
      </c>
      <c r="I2385" t="s">
        <v>36</v>
      </c>
      <c r="J2385" t="s">
        <v>192</v>
      </c>
      <c r="K2385">
        <f>Pqp_supermarket_data[[#This Row],[Unit_Price]]*Pqp_supermarket_data[[#This Row],[Quantity]]</f>
        <v>30</v>
      </c>
      <c r="L2385" t="str">
        <f>TEXT(Pqp_supermarket_data[[#This Row],[DateTime]],"ddd")</f>
        <v>Mon</v>
      </c>
      <c r="M2385" t="str">
        <f>TEXT(Pqp_supermarket_data[[#This Row],[DateTime]],"mmm")</f>
        <v>Nov</v>
      </c>
      <c r="N2385" t="str">
        <f>TEXT(Pqp_supermarket_data[[#This Row],[DateTime]],"yyy")</f>
        <v>2021</v>
      </c>
    </row>
    <row r="2386" spans="1:14" x14ac:dyDescent="0.35">
      <c r="A2386" t="s">
        <v>4877</v>
      </c>
      <c r="B2386" s="1">
        <v>44532.43268784722</v>
      </c>
      <c r="C2386" t="s">
        <v>4878</v>
      </c>
      <c r="D2386" t="s">
        <v>12</v>
      </c>
      <c r="E2386" t="s">
        <v>111</v>
      </c>
      <c r="F2386">
        <v>2.2000000000000002</v>
      </c>
      <c r="G2386">
        <v>4</v>
      </c>
      <c r="H2386" t="s">
        <v>14</v>
      </c>
      <c r="I2386" t="s">
        <v>36</v>
      </c>
      <c r="J2386" t="s">
        <v>369</v>
      </c>
      <c r="K2386">
        <f>Pqp_supermarket_data[[#This Row],[Unit_Price]]*Pqp_supermarket_data[[#This Row],[Quantity]]</f>
        <v>8.8000000000000007</v>
      </c>
      <c r="L2386" t="str">
        <f>TEXT(Pqp_supermarket_data[[#This Row],[DateTime]],"ddd")</f>
        <v>Thu</v>
      </c>
      <c r="M2386" t="str">
        <f>TEXT(Pqp_supermarket_data[[#This Row],[DateTime]],"mmm")</f>
        <v>Dec</v>
      </c>
      <c r="N2386" t="str">
        <f>TEXT(Pqp_supermarket_data[[#This Row],[DateTime]],"yyy")</f>
        <v>2021</v>
      </c>
    </row>
    <row r="2387" spans="1:14" x14ac:dyDescent="0.35">
      <c r="A2387" t="s">
        <v>4879</v>
      </c>
      <c r="B2387" s="1">
        <v>45406.445187847225</v>
      </c>
      <c r="C2387" t="s">
        <v>4880</v>
      </c>
      <c r="D2387" t="s">
        <v>77</v>
      </c>
      <c r="E2387" t="s">
        <v>35</v>
      </c>
      <c r="F2387">
        <v>1.2</v>
      </c>
      <c r="G2387">
        <v>7</v>
      </c>
      <c r="H2387" t="s">
        <v>14</v>
      </c>
      <c r="I2387" t="s">
        <v>36</v>
      </c>
      <c r="J2387" t="s">
        <v>496</v>
      </c>
      <c r="K2387">
        <f>Pqp_supermarket_data[[#This Row],[Unit_Price]]*Pqp_supermarket_data[[#This Row],[Quantity]]</f>
        <v>8.4</v>
      </c>
      <c r="L2387" t="str">
        <f>TEXT(Pqp_supermarket_data[[#This Row],[DateTime]],"ddd")</f>
        <v>Wed</v>
      </c>
      <c r="M2387" t="str">
        <f>TEXT(Pqp_supermarket_data[[#This Row],[DateTime]],"mmm")</f>
        <v>Apr</v>
      </c>
      <c r="N2387" t="str">
        <f>TEXT(Pqp_supermarket_data[[#This Row],[DateTime]],"yyy")</f>
        <v>2024</v>
      </c>
    </row>
    <row r="2388" spans="1:14" x14ac:dyDescent="0.35">
      <c r="A2388" t="s">
        <v>4881</v>
      </c>
      <c r="B2388" s="1">
        <v>45356.486854525465</v>
      </c>
      <c r="C2388" t="s">
        <v>4882</v>
      </c>
      <c r="D2388" t="s">
        <v>77</v>
      </c>
      <c r="E2388" t="s">
        <v>49</v>
      </c>
      <c r="F2388">
        <v>7</v>
      </c>
      <c r="G2388">
        <v>6</v>
      </c>
      <c r="H2388" t="s">
        <v>14</v>
      </c>
      <c r="I2388" t="s">
        <v>36</v>
      </c>
      <c r="J2388" t="s">
        <v>716</v>
      </c>
      <c r="K2388">
        <f>Pqp_supermarket_data[[#This Row],[Unit_Price]]*Pqp_supermarket_data[[#This Row],[Quantity]]</f>
        <v>42</v>
      </c>
      <c r="L2388" t="str">
        <f>TEXT(Pqp_supermarket_data[[#This Row],[DateTime]],"ddd")</f>
        <v>Tue</v>
      </c>
      <c r="M2388" t="str">
        <f>TEXT(Pqp_supermarket_data[[#This Row],[DateTime]],"mmm")</f>
        <v>Mar</v>
      </c>
      <c r="N2388" t="str">
        <f>TEXT(Pqp_supermarket_data[[#This Row],[DateTime]],"yyy")</f>
        <v>2024</v>
      </c>
    </row>
    <row r="2389" spans="1:14" x14ac:dyDescent="0.35">
      <c r="A2389" t="s">
        <v>4883</v>
      </c>
      <c r="B2389" s="1">
        <v>45391.898660081017</v>
      </c>
      <c r="C2389" t="s">
        <v>4884</v>
      </c>
      <c r="D2389" t="s">
        <v>25</v>
      </c>
      <c r="E2389" t="s">
        <v>115</v>
      </c>
      <c r="F2389">
        <v>1.5</v>
      </c>
      <c r="G2389">
        <v>10</v>
      </c>
      <c r="H2389" t="s">
        <v>14</v>
      </c>
      <c r="I2389" t="s">
        <v>36</v>
      </c>
      <c r="J2389" t="s">
        <v>458</v>
      </c>
      <c r="K2389">
        <f>Pqp_supermarket_data[[#This Row],[Unit_Price]]*Pqp_supermarket_data[[#This Row],[Quantity]]</f>
        <v>15</v>
      </c>
      <c r="L2389" t="str">
        <f>TEXT(Pqp_supermarket_data[[#This Row],[DateTime]],"ddd")</f>
        <v>Tue</v>
      </c>
      <c r="M2389" t="str">
        <f>TEXT(Pqp_supermarket_data[[#This Row],[DateTime]],"mmm")</f>
        <v>Apr</v>
      </c>
      <c r="N2389" t="str">
        <f>TEXT(Pqp_supermarket_data[[#This Row],[DateTime]],"yyy")</f>
        <v>2024</v>
      </c>
    </row>
    <row r="2390" spans="1:14" x14ac:dyDescent="0.35">
      <c r="A2390" t="s">
        <v>4885</v>
      </c>
      <c r="B2390" s="1">
        <v>44826.152826759258</v>
      </c>
      <c r="C2390" t="s">
        <v>4886</v>
      </c>
      <c r="D2390" t="s">
        <v>30</v>
      </c>
      <c r="E2390" t="s">
        <v>119</v>
      </c>
      <c r="F2390">
        <v>4</v>
      </c>
      <c r="G2390">
        <v>1</v>
      </c>
      <c r="H2390" t="s">
        <v>14</v>
      </c>
      <c r="I2390" t="s">
        <v>86</v>
      </c>
      <c r="J2390" t="s">
        <v>458</v>
      </c>
      <c r="K2390">
        <f>Pqp_supermarket_data[[#This Row],[Unit_Price]]*Pqp_supermarket_data[[#This Row],[Quantity]]</f>
        <v>4</v>
      </c>
      <c r="L2390" t="str">
        <f>TEXT(Pqp_supermarket_data[[#This Row],[DateTime]],"ddd")</f>
        <v>Thu</v>
      </c>
      <c r="M2390" t="str">
        <f>TEXT(Pqp_supermarket_data[[#This Row],[DateTime]],"mmm")</f>
        <v>Sep</v>
      </c>
      <c r="N2390" t="str">
        <f>TEXT(Pqp_supermarket_data[[#This Row],[DateTime]],"yyy")</f>
        <v>2022</v>
      </c>
    </row>
    <row r="2391" spans="1:14" x14ac:dyDescent="0.35">
      <c r="A2391" t="s">
        <v>4887</v>
      </c>
      <c r="B2391" s="1">
        <v>44747.556298993055</v>
      </c>
      <c r="C2391" t="s">
        <v>4888</v>
      </c>
      <c r="D2391" t="s">
        <v>69</v>
      </c>
      <c r="E2391" t="s">
        <v>78</v>
      </c>
      <c r="F2391">
        <v>4</v>
      </c>
      <c r="G2391">
        <v>5</v>
      </c>
      <c r="H2391" t="s">
        <v>14</v>
      </c>
      <c r="I2391" t="s">
        <v>15</v>
      </c>
      <c r="J2391" t="s">
        <v>112</v>
      </c>
      <c r="K2391">
        <f>Pqp_supermarket_data[[#This Row],[Unit_Price]]*Pqp_supermarket_data[[#This Row],[Quantity]]</f>
        <v>20</v>
      </c>
      <c r="L2391" t="str">
        <f>TEXT(Pqp_supermarket_data[[#This Row],[DateTime]],"ddd")</f>
        <v>Tue</v>
      </c>
      <c r="M2391" t="str">
        <f>TEXT(Pqp_supermarket_data[[#This Row],[DateTime]],"mmm")</f>
        <v>Jul</v>
      </c>
      <c r="N2391" t="str">
        <f>TEXT(Pqp_supermarket_data[[#This Row],[DateTime]],"yyy")</f>
        <v>2022</v>
      </c>
    </row>
    <row r="2392" spans="1:14" x14ac:dyDescent="0.35">
      <c r="A2392" t="s">
        <v>4889</v>
      </c>
      <c r="B2392" s="1">
        <v>44608.279215659721</v>
      </c>
      <c r="C2392" t="s">
        <v>4890</v>
      </c>
      <c r="D2392" t="s">
        <v>77</v>
      </c>
      <c r="E2392" t="s">
        <v>65</v>
      </c>
      <c r="F2392">
        <v>3</v>
      </c>
      <c r="G2392">
        <v>4</v>
      </c>
      <c r="H2392" t="s">
        <v>14</v>
      </c>
      <c r="I2392" t="s">
        <v>15</v>
      </c>
      <c r="J2392" t="s">
        <v>394</v>
      </c>
      <c r="K2392">
        <f>Pqp_supermarket_data[[#This Row],[Unit_Price]]*Pqp_supermarket_data[[#This Row],[Quantity]]</f>
        <v>12</v>
      </c>
      <c r="L2392" t="str">
        <f>TEXT(Pqp_supermarket_data[[#This Row],[DateTime]],"ddd")</f>
        <v>Wed</v>
      </c>
      <c r="M2392" t="str">
        <f>TEXT(Pqp_supermarket_data[[#This Row],[DateTime]],"mmm")</f>
        <v>Feb</v>
      </c>
      <c r="N2392" t="str">
        <f>TEXT(Pqp_supermarket_data[[#This Row],[DateTime]],"yyy")</f>
        <v>2022</v>
      </c>
    </row>
    <row r="2393" spans="1:14" x14ac:dyDescent="0.35">
      <c r="A2393" t="s">
        <v>4891</v>
      </c>
      <c r="B2393" s="1">
        <v>45320.334076782405</v>
      </c>
      <c r="C2393" t="s">
        <v>4892</v>
      </c>
      <c r="D2393" t="s">
        <v>30</v>
      </c>
      <c r="E2393" t="s">
        <v>119</v>
      </c>
      <c r="F2393">
        <v>4</v>
      </c>
      <c r="G2393">
        <v>5</v>
      </c>
      <c r="H2393" t="s">
        <v>14</v>
      </c>
      <c r="I2393" t="s">
        <v>21</v>
      </c>
      <c r="J2393" t="s">
        <v>404</v>
      </c>
      <c r="K2393">
        <f>Pqp_supermarket_data[[#This Row],[Unit_Price]]*Pqp_supermarket_data[[#This Row],[Quantity]]</f>
        <v>20</v>
      </c>
      <c r="L2393" t="str">
        <f>TEXT(Pqp_supermarket_data[[#This Row],[DateTime]],"ddd")</f>
        <v>Mon</v>
      </c>
      <c r="M2393" t="str">
        <f>TEXT(Pqp_supermarket_data[[#This Row],[DateTime]],"mmm")</f>
        <v>Jan</v>
      </c>
      <c r="N2393" t="str">
        <f>TEXT(Pqp_supermarket_data[[#This Row],[DateTime]],"yyy")</f>
        <v>2024</v>
      </c>
    </row>
    <row r="2394" spans="1:14" x14ac:dyDescent="0.35">
      <c r="A2394" t="s">
        <v>4893</v>
      </c>
      <c r="B2394" s="1">
        <v>44748.713937893517</v>
      </c>
      <c r="C2394" t="s">
        <v>4894</v>
      </c>
      <c r="D2394" t="s">
        <v>25</v>
      </c>
      <c r="E2394" t="s">
        <v>145</v>
      </c>
      <c r="F2394">
        <v>1.7</v>
      </c>
      <c r="G2394">
        <v>5</v>
      </c>
      <c r="H2394" t="s">
        <v>14</v>
      </c>
      <c r="I2394" t="s">
        <v>61</v>
      </c>
      <c r="J2394" t="s">
        <v>202</v>
      </c>
      <c r="K2394">
        <f>Pqp_supermarket_data[[#This Row],[Unit_Price]]*Pqp_supermarket_data[[#This Row],[Quantity]]</f>
        <v>8.5</v>
      </c>
      <c r="L2394" t="str">
        <f>TEXT(Pqp_supermarket_data[[#This Row],[DateTime]],"ddd")</f>
        <v>Wed</v>
      </c>
      <c r="M2394" t="str">
        <f>TEXT(Pqp_supermarket_data[[#This Row],[DateTime]],"mmm")</f>
        <v>Jul</v>
      </c>
      <c r="N2394" t="str">
        <f>TEXT(Pqp_supermarket_data[[#This Row],[DateTime]],"yyy")</f>
        <v>2022</v>
      </c>
    </row>
    <row r="2395" spans="1:14" x14ac:dyDescent="0.35">
      <c r="A2395" t="s">
        <v>4895</v>
      </c>
      <c r="B2395" s="1">
        <v>45292.893104560186</v>
      </c>
      <c r="C2395" t="s">
        <v>4896</v>
      </c>
      <c r="D2395" t="s">
        <v>30</v>
      </c>
      <c r="E2395" t="s">
        <v>13</v>
      </c>
      <c r="F2395">
        <v>3.1</v>
      </c>
      <c r="G2395">
        <v>5</v>
      </c>
      <c r="H2395" t="s">
        <v>14</v>
      </c>
      <c r="I2395" t="s">
        <v>15</v>
      </c>
      <c r="J2395" t="s">
        <v>95</v>
      </c>
      <c r="K2395">
        <f>Pqp_supermarket_data[[#This Row],[Unit_Price]]*Pqp_supermarket_data[[#This Row],[Quantity]]</f>
        <v>15.5</v>
      </c>
      <c r="L2395" t="str">
        <f>TEXT(Pqp_supermarket_data[[#This Row],[DateTime]],"ddd")</f>
        <v>Mon</v>
      </c>
      <c r="M2395" t="str">
        <f>TEXT(Pqp_supermarket_data[[#This Row],[DateTime]],"mmm")</f>
        <v>Jan</v>
      </c>
      <c r="N2395" t="str">
        <f>TEXT(Pqp_supermarket_data[[#This Row],[DateTime]],"yyy")</f>
        <v>2024</v>
      </c>
    </row>
    <row r="2396" spans="1:14" x14ac:dyDescent="0.35">
      <c r="A2396" t="s">
        <v>4897</v>
      </c>
      <c r="B2396" s="1">
        <v>45660.454910138891</v>
      </c>
      <c r="C2396" t="s">
        <v>4898</v>
      </c>
      <c r="D2396" t="s">
        <v>44</v>
      </c>
      <c r="E2396" t="s">
        <v>137</v>
      </c>
      <c r="F2396">
        <v>2.5</v>
      </c>
      <c r="G2396">
        <v>10</v>
      </c>
      <c r="H2396" t="s">
        <v>14</v>
      </c>
      <c r="I2396" t="s">
        <v>86</v>
      </c>
      <c r="J2396" t="s">
        <v>369</v>
      </c>
      <c r="K2396">
        <f>Pqp_supermarket_data[[#This Row],[Unit_Price]]*Pqp_supermarket_data[[#This Row],[Quantity]]</f>
        <v>25</v>
      </c>
      <c r="L2396" t="str">
        <f>TEXT(Pqp_supermarket_data[[#This Row],[DateTime]],"ddd")</f>
        <v>Fri</v>
      </c>
      <c r="M2396" t="str">
        <f>TEXT(Pqp_supermarket_data[[#This Row],[DateTime]],"mmm")</f>
        <v>Jan</v>
      </c>
      <c r="N2396" t="str">
        <f>TEXT(Pqp_supermarket_data[[#This Row],[DateTime]],"yyy")</f>
        <v>2025</v>
      </c>
    </row>
    <row r="2397" spans="1:14" x14ac:dyDescent="0.35">
      <c r="A2397" t="s">
        <v>4899</v>
      </c>
      <c r="B2397" s="1">
        <v>44405.623660138888</v>
      </c>
      <c r="C2397" t="s">
        <v>4900</v>
      </c>
      <c r="D2397" t="s">
        <v>208</v>
      </c>
      <c r="E2397" t="s">
        <v>65</v>
      </c>
      <c r="F2397">
        <v>3</v>
      </c>
      <c r="G2397">
        <v>6</v>
      </c>
      <c r="H2397" t="s">
        <v>14</v>
      </c>
      <c r="I2397" t="s">
        <v>21</v>
      </c>
      <c r="J2397" t="s">
        <v>426</v>
      </c>
      <c r="K2397">
        <f>Pqp_supermarket_data[[#This Row],[Unit_Price]]*Pqp_supermarket_data[[#This Row],[Quantity]]</f>
        <v>18</v>
      </c>
      <c r="L2397" t="str">
        <f>TEXT(Pqp_supermarket_data[[#This Row],[DateTime]],"ddd")</f>
        <v>Wed</v>
      </c>
      <c r="M2397" t="str">
        <f>TEXT(Pqp_supermarket_data[[#This Row],[DateTime]],"mmm")</f>
        <v>Jul</v>
      </c>
      <c r="N2397" t="str">
        <f>TEXT(Pqp_supermarket_data[[#This Row],[DateTime]],"yyy")</f>
        <v>2021</v>
      </c>
    </row>
    <row r="2398" spans="1:14" x14ac:dyDescent="0.35">
      <c r="A2398" t="s">
        <v>4901</v>
      </c>
      <c r="B2398" s="1">
        <v>45045.613243483793</v>
      </c>
      <c r="C2398" t="s">
        <v>4902</v>
      </c>
      <c r="D2398" t="s">
        <v>171</v>
      </c>
      <c r="E2398" t="s">
        <v>65</v>
      </c>
      <c r="F2398">
        <v>3</v>
      </c>
      <c r="G2398">
        <v>10</v>
      </c>
      <c r="H2398" t="s">
        <v>14</v>
      </c>
      <c r="I2398" t="s">
        <v>61</v>
      </c>
      <c r="J2398" t="s">
        <v>46</v>
      </c>
      <c r="K2398">
        <f>Pqp_supermarket_data[[#This Row],[Unit_Price]]*Pqp_supermarket_data[[#This Row],[Quantity]]</f>
        <v>30</v>
      </c>
      <c r="L2398" t="str">
        <f>TEXT(Pqp_supermarket_data[[#This Row],[DateTime]],"ddd")</f>
        <v>Sat</v>
      </c>
      <c r="M2398" t="str">
        <f>TEXT(Pqp_supermarket_data[[#This Row],[DateTime]],"mmm")</f>
        <v>Apr</v>
      </c>
      <c r="N2398" t="str">
        <f>TEXT(Pqp_supermarket_data[[#This Row],[DateTime]],"yyy")</f>
        <v>2023</v>
      </c>
    </row>
    <row r="2399" spans="1:14" x14ac:dyDescent="0.35">
      <c r="A2399" t="s">
        <v>4903</v>
      </c>
      <c r="B2399" s="1">
        <v>45132.961160150466</v>
      </c>
      <c r="C2399" t="s">
        <v>4904</v>
      </c>
      <c r="D2399" t="s">
        <v>12</v>
      </c>
      <c r="E2399" t="s">
        <v>115</v>
      </c>
      <c r="F2399">
        <v>1.5</v>
      </c>
      <c r="G2399">
        <v>6</v>
      </c>
      <c r="H2399" t="s">
        <v>14</v>
      </c>
      <c r="I2399" t="s">
        <v>86</v>
      </c>
      <c r="J2399" t="s">
        <v>108</v>
      </c>
      <c r="K2399">
        <f>Pqp_supermarket_data[[#This Row],[Unit_Price]]*Pqp_supermarket_data[[#This Row],[Quantity]]</f>
        <v>9</v>
      </c>
      <c r="L2399" t="str">
        <f>TEXT(Pqp_supermarket_data[[#This Row],[DateTime]],"ddd")</f>
        <v>Tue</v>
      </c>
      <c r="M2399" t="str">
        <f>TEXT(Pqp_supermarket_data[[#This Row],[DateTime]],"mmm")</f>
        <v>Jul</v>
      </c>
      <c r="N2399" t="str">
        <f>TEXT(Pqp_supermarket_data[[#This Row],[DateTime]],"yyy")</f>
        <v>2023</v>
      </c>
    </row>
    <row r="2400" spans="1:14" x14ac:dyDescent="0.35">
      <c r="A2400" t="s">
        <v>4905</v>
      </c>
      <c r="B2400" s="1">
        <v>44785.119493495367</v>
      </c>
      <c r="C2400" t="s">
        <v>4906</v>
      </c>
      <c r="D2400" t="s">
        <v>12</v>
      </c>
      <c r="E2400" t="s">
        <v>78</v>
      </c>
      <c r="F2400">
        <v>4</v>
      </c>
      <c r="G2400">
        <v>4</v>
      </c>
      <c r="H2400" t="s">
        <v>14</v>
      </c>
      <c r="I2400" t="s">
        <v>21</v>
      </c>
      <c r="J2400" t="s">
        <v>66</v>
      </c>
      <c r="K2400">
        <f>Pqp_supermarket_data[[#This Row],[Unit_Price]]*Pqp_supermarket_data[[#This Row],[Quantity]]</f>
        <v>16</v>
      </c>
      <c r="L2400" t="str">
        <f>TEXT(Pqp_supermarket_data[[#This Row],[DateTime]],"ddd")</f>
        <v>Fri</v>
      </c>
      <c r="M2400" t="str">
        <f>TEXT(Pqp_supermarket_data[[#This Row],[DateTime]],"mmm")</f>
        <v>Aug</v>
      </c>
      <c r="N2400" t="str">
        <f>TEXT(Pqp_supermarket_data[[#This Row],[DateTime]],"yyy")</f>
        <v>2022</v>
      </c>
    </row>
    <row r="2401" spans="1:14" x14ac:dyDescent="0.35">
      <c r="A2401" t="s">
        <v>4907</v>
      </c>
      <c r="B2401" s="1">
        <v>45698.627826840275</v>
      </c>
      <c r="C2401" t="s">
        <v>4908</v>
      </c>
      <c r="D2401" t="s">
        <v>82</v>
      </c>
      <c r="E2401" t="s">
        <v>70</v>
      </c>
      <c r="F2401">
        <v>5</v>
      </c>
      <c r="G2401">
        <v>8</v>
      </c>
      <c r="H2401" t="s">
        <v>14</v>
      </c>
      <c r="I2401" t="s">
        <v>61</v>
      </c>
      <c r="J2401" t="s">
        <v>548</v>
      </c>
      <c r="K2401">
        <f>Pqp_supermarket_data[[#This Row],[Unit_Price]]*Pqp_supermarket_data[[#This Row],[Quantity]]</f>
        <v>40</v>
      </c>
      <c r="L2401" t="str">
        <f>TEXT(Pqp_supermarket_data[[#This Row],[DateTime]],"ddd")</f>
        <v>Mon</v>
      </c>
      <c r="M2401" t="str">
        <f>TEXT(Pqp_supermarket_data[[#This Row],[DateTime]],"mmm")</f>
        <v>Feb</v>
      </c>
      <c r="N2401" t="str">
        <f>TEXT(Pqp_supermarket_data[[#This Row],[DateTime]],"yyy")</f>
        <v>2025</v>
      </c>
    </row>
    <row r="2402" spans="1:14" x14ac:dyDescent="0.35">
      <c r="A2402" t="s">
        <v>4909</v>
      </c>
      <c r="B2402" s="1">
        <v>44836.956993506945</v>
      </c>
      <c r="C2402" t="s">
        <v>4910</v>
      </c>
      <c r="D2402" t="s">
        <v>69</v>
      </c>
      <c r="E2402" t="s">
        <v>111</v>
      </c>
      <c r="F2402">
        <v>2.2000000000000002</v>
      </c>
      <c r="G2402">
        <v>7</v>
      </c>
      <c r="H2402" t="s">
        <v>14</v>
      </c>
      <c r="I2402" t="s">
        <v>86</v>
      </c>
      <c r="J2402" t="s">
        <v>27</v>
      </c>
      <c r="K2402">
        <f>Pqp_supermarket_data[[#This Row],[Unit_Price]]*Pqp_supermarket_data[[#This Row],[Quantity]]</f>
        <v>15.400000000000002</v>
      </c>
      <c r="L2402" t="str">
        <f>TEXT(Pqp_supermarket_data[[#This Row],[DateTime]],"ddd")</f>
        <v>Sun</v>
      </c>
      <c r="M2402" t="str">
        <f>TEXT(Pqp_supermarket_data[[#This Row],[DateTime]],"mmm")</f>
        <v>Oct</v>
      </c>
      <c r="N2402" t="str">
        <f>TEXT(Pqp_supermarket_data[[#This Row],[DateTime]],"yyy")</f>
        <v>2022</v>
      </c>
    </row>
    <row r="2403" spans="1:14" x14ac:dyDescent="0.35">
      <c r="A2403" t="s">
        <v>4911</v>
      </c>
      <c r="B2403" s="1">
        <v>45501.126437962965</v>
      </c>
      <c r="C2403" t="s">
        <v>4912</v>
      </c>
      <c r="D2403" t="s">
        <v>34</v>
      </c>
      <c r="E2403" t="s">
        <v>111</v>
      </c>
      <c r="F2403">
        <v>2.2000000000000002</v>
      </c>
      <c r="G2403">
        <v>7</v>
      </c>
      <c r="H2403" t="s">
        <v>14</v>
      </c>
      <c r="I2403" t="s">
        <v>61</v>
      </c>
      <c r="J2403" t="s">
        <v>99</v>
      </c>
      <c r="K2403">
        <f>Pqp_supermarket_data[[#This Row],[Unit_Price]]*Pqp_supermarket_data[[#This Row],[Quantity]]</f>
        <v>15.400000000000002</v>
      </c>
      <c r="L2403" t="str">
        <f>TEXT(Pqp_supermarket_data[[#This Row],[DateTime]],"ddd")</f>
        <v>Sun</v>
      </c>
      <c r="M2403" t="str">
        <f>TEXT(Pqp_supermarket_data[[#This Row],[DateTime]],"mmm")</f>
        <v>Jul</v>
      </c>
      <c r="N2403" t="str">
        <f>TEXT(Pqp_supermarket_data[[#This Row],[DateTime]],"yyy")</f>
        <v>2024</v>
      </c>
    </row>
    <row r="2404" spans="1:14" x14ac:dyDescent="0.35">
      <c r="A2404" t="s">
        <v>4913</v>
      </c>
      <c r="B2404" s="1">
        <v>44896.645187974536</v>
      </c>
      <c r="C2404" t="s">
        <v>4914</v>
      </c>
      <c r="D2404" t="s">
        <v>69</v>
      </c>
      <c r="E2404" t="s">
        <v>111</v>
      </c>
      <c r="F2404">
        <v>2.2000000000000002</v>
      </c>
      <c r="G2404">
        <v>10</v>
      </c>
      <c r="H2404" t="s">
        <v>14</v>
      </c>
      <c r="I2404" t="s">
        <v>15</v>
      </c>
      <c r="J2404" t="s">
        <v>163</v>
      </c>
      <c r="K2404">
        <f>Pqp_supermarket_data[[#This Row],[Unit_Price]]*Pqp_supermarket_data[[#This Row],[Quantity]]</f>
        <v>22</v>
      </c>
      <c r="L2404" t="str">
        <f>TEXT(Pqp_supermarket_data[[#This Row],[DateTime]],"ddd")</f>
        <v>Thu</v>
      </c>
      <c r="M2404" t="str">
        <f>TEXT(Pqp_supermarket_data[[#This Row],[DateTime]],"mmm")</f>
        <v>Dec</v>
      </c>
      <c r="N2404" t="str">
        <f>TEXT(Pqp_supermarket_data[[#This Row],[DateTime]],"yyy")</f>
        <v>2022</v>
      </c>
    </row>
    <row r="2405" spans="1:14" x14ac:dyDescent="0.35">
      <c r="A2405" t="s">
        <v>4915</v>
      </c>
      <c r="B2405" s="1">
        <v>45592.542410196758</v>
      </c>
      <c r="C2405" t="s">
        <v>4916</v>
      </c>
      <c r="D2405" t="s">
        <v>98</v>
      </c>
      <c r="E2405" t="s">
        <v>111</v>
      </c>
      <c r="F2405">
        <v>2.2000000000000002</v>
      </c>
      <c r="G2405">
        <v>5</v>
      </c>
      <c r="H2405" t="s">
        <v>14</v>
      </c>
      <c r="I2405" t="s">
        <v>61</v>
      </c>
      <c r="J2405" t="s">
        <v>485</v>
      </c>
      <c r="K2405">
        <f>Pqp_supermarket_data[[#This Row],[Unit_Price]]*Pqp_supermarket_data[[#This Row],[Quantity]]</f>
        <v>11</v>
      </c>
      <c r="L2405" t="str">
        <f>TEXT(Pqp_supermarket_data[[#This Row],[DateTime]],"ddd")</f>
        <v>Sun</v>
      </c>
      <c r="M2405" t="str">
        <f>TEXT(Pqp_supermarket_data[[#This Row],[DateTime]],"mmm")</f>
        <v>Oct</v>
      </c>
      <c r="N2405" t="str">
        <f>TEXT(Pqp_supermarket_data[[#This Row],[DateTime]],"yyy")</f>
        <v>2024</v>
      </c>
    </row>
    <row r="2406" spans="1:14" x14ac:dyDescent="0.35">
      <c r="A2406" t="s">
        <v>4917</v>
      </c>
      <c r="B2406" s="1">
        <v>45741.91741021991</v>
      </c>
      <c r="C2406" t="s">
        <v>4918</v>
      </c>
      <c r="D2406" t="s">
        <v>69</v>
      </c>
      <c r="E2406" t="s">
        <v>57</v>
      </c>
      <c r="F2406">
        <v>4.5</v>
      </c>
      <c r="G2406">
        <v>9</v>
      </c>
      <c r="H2406" t="s">
        <v>14</v>
      </c>
      <c r="I2406" t="s">
        <v>61</v>
      </c>
      <c r="J2406" t="s">
        <v>496</v>
      </c>
      <c r="K2406">
        <f>Pqp_supermarket_data[[#This Row],[Unit_Price]]*Pqp_supermarket_data[[#This Row],[Quantity]]</f>
        <v>40.5</v>
      </c>
      <c r="L2406" t="str">
        <f>TEXT(Pqp_supermarket_data[[#This Row],[DateTime]],"ddd")</f>
        <v>Tue</v>
      </c>
      <c r="M2406" t="str">
        <f>TEXT(Pqp_supermarket_data[[#This Row],[DateTime]],"mmm")</f>
        <v>Mar</v>
      </c>
      <c r="N2406" t="str">
        <f>TEXT(Pqp_supermarket_data[[#This Row],[DateTime]],"yyy")</f>
        <v>2025</v>
      </c>
    </row>
    <row r="2407" spans="1:14" x14ac:dyDescent="0.35">
      <c r="A2407" t="s">
        <v>4919</v>
      </c>
      <c r="B2407" s="1">
        <v>45396.908382453701</v>
      </c>
      <c r="C2407" t="s">
        <v>4920</v>
      </c>
      <c r="D2407" t="s">
        <v>12</v>
      </c>
      <c r="E2407" t="s">
        <v>115</v>
      </c>
      <c r="F2407">
        <v>1.5</v>
      </c>
      <c r="G2407">
        <v>7</v>
      </c>
      <c r="H2407" t="s">
        <v>14</v>
      </c>
      <c r="I2407" t="s">
        <v>86</v>
      </c>
      <c r="J2407" t="s">
        <v>769</v>
      </c>
      <c r="K2407">
        <f>Pqp_supermarket_data[[#This Row],[Unit_Price]]*Pqp_supermarket_data[[#This Row],[Quantity]]</f>
        <v>10.5</v>
      </c>
      <c r="L2407" t="str">
        <f>TEXT(Pqp_supermarket_data[[#This Row],[DateTime]],"ddd")</f>
        <v>Sun</v>
      </c>
      <c r="M2407" t="str">
        <f>TEXT(Pqp_supermarket_data[[#This Row],[DateTime]],"mmm")</f>
        <v>Apr</v>
      </c>
      <c r="N2407" t="str">
        <f>TEXT(Pqp_supermarket_data[[#This Row],[DateTime]],"yyy")</f>
        <v>2024</v>
      </c>
    </row>
    <row r="2408" spans="1:14" x14ac:dyDescent="0.35">
      <c r="A2408" t="s">
        <v>4921</v>
      </c>
      <c r="B2408" s="1">
        <v>44787.682688009256</v>
      </c>
      <c r="C2408" t="s">
        <v>4922</v>
      </c>
      <c r="D2408" t="s">
        <v>44</v>
      </c>
      <c r="E2408" t="s">
        <v>148</v>
      </c>
      <c r="F2408">
        <v>5.5</v>
      </c>
      <c r="G2408">
        <v>2</v>
      </c>
      <c r="H2408" t="s">
        <v>14</v>
      </c>
      <c r="I2408" t="s">
        <v>61</v>
      </c>
      <c r="J2408" t="s">
        <v>54</v>
      </c>
      <c r="K2408">
        <f>Pqp_supermarket_data[[#This Row],[Unit_Price]]*Pqp_supermarket_data[[#This Row],[Quantity]]</f>
        <v>11</v>
      </c>
      <c r="L2408" t="str">
        <f>TEXT(Pqp_supermarket_data[[#This Row],[DateTime]],"ddd")</f>
        <v>Sun</v>
      </c>
      <c r="M2408" t="str">
        <f>TEXT(Pqp_supermarket_data[[#This Row],[DateTime]],"mmm")</f>
        <v>Aug</v>
      </c>
      <c r="N2408" t="str">
        <f>TEXT(Pqp_supermarket_data[[#This Row],[DateTime]],"yyy")</f>
        <v>2022</v>
      </c>
    </row>
    <row r="2409" spans="1:14" x14ac:dyDescent="0.35">
      <c r="A2409" t="s">
        <v>4923</v>
      </c>
      <c r="B2409" s="1">
        <v>44809.755604687503</v>
      </c>
      <c r="C2409" t="s">
        <v>4924</v>
      </c>
      <c r="D2409" t="s">
        <v>69</v>
      </c>
      <c r="E2409" t="s">
        <v>26</v>
      </c>
      <c r="F2409">
        <v>2.5</v>
      </c>
      <c r="G2409">
        <v>9</v>
      </c>
      <c r="H2409" t="s">
        <v>14</v>
      </c>
      <c r="I2409" t="s">
        <v>86</v>
      </c>
      <c r="J2409" t="s">
        <v>163</v>
      </c>
      <c r="K2409">
        <f>Pqp_supermarket_data[[#This Row],[Unit_Price]]*Pqp_supermarket_data[[#This Row],[Quantity]]</f>
        <v>22.5</v>
      </c>
      <c r="L2409" t="str">
        <f>TEXT(Pqp_supermarket_data[[#This Row],[DateTime]],"ddd")</f>
        <v>Mon</v>
      </c>
      <c r="M2409" t="str">
        <f>TEXT(Pqp_supermarket_data[[#This Row],[DateTime]],"mmm")</f>
        <v>Sep</v>
      </c>
      <c r="N2409" t="str">
        <f>TEXT(Pqp_supermarket_data[[#This Row],[DateTime]],"yyy")</f>
        <v>2022</v>
      </c>
    </row>
    <row r="2410" spans="1:14" x14ac:dyDescent="0.35">
      <c r="A2410" t="s">
        <v>4925</v>
      </c>
      <c r="B2410" s="1">
        <v>44933.934771365741</v>
      </c>
      <c r="C2410" t="s">
        <v>4926</v>
      </c>
      <c r="D2410" t="s">
        <v>127</v>
      </c>
      <c r="E2410" t="s">
        <v>94</v>
      </c>
      <c r="F2410">
        <v>0.8</v>
      </c>
      <c r="G2410">
        <v>6</v>
      </c>
      <c r="H2410" t="s">
        <v>14</v>
      </c>
      <c r="I2410" t="s">
        <v>36</v>
      </c>
      <c r="J2410" t="s">
        <v>245</v>
      </c>
      <c r="K2410">
        <f>Pqp_supermarket_data[[#This Row],[Unit_Price]]*Pqp_supermarket_data[[#This Row],[Quantity]]</f>
        <v>4.8000000000000007</v>
      </c>
      <c r="L2410" t="str">
        <f>TEXT(Pqp_supermarket_data[[#This Row],[DateTime]],"ddd")</f>
        <v>Sat</v>
      </c>
      <c r="M2410" t="str">
        <f>TEXT(Pqp_supermarket_data[[#This Row],[DateTime]],"mmm")</f>
        <v>Jan</v>
      </c>
      <c r="N2410" t="str">
        <f>TEXT(Pqp_supermarket_data[[#This Row],[DateTime]],"yyy")</f>
        <v>2023</v>
      </c>
    </row>
    <row r="2411" spans="1:14" x14ac:dyDescent="0.35">
      <c r="A2411" t="s">
        <v>4927</v>
      </c>
      <c r="B2411" s="1">
        <v>44385.749354699074</v>
      </c>
      <c r="C2411" t="s">
        <v>4928</v>
      </c>
      <c r="D2411" t="s">
        <v>171</v>
      </c>
      <c r="E2411" t="s">
        <v>148</v>
      </c>
      <c r="F2411">
        <v>5.5</v>
      </c>
      <c r="G2411">
        <v>10</v>
      </c>
      <c r="H2411" t="s">
        <v>14</v>
      </c>
      <c r="I2411" t="s">
        <v>15</v>
      </c>
      <c r="J2411" t="s">
        <v>716</v>
      </c>
      <c r="K2411">
        <f>Pqp_supermarket_data[[#This Row],[Unit_Price]]*Pqp_supermarket_data[[#This Row],[Quantity]]</f>
        <v>55</v>
      </c>
      <c r="L2411" t="str">
        <f>TEXT(Pqp_supermarket_data[[#This Row],[DateTime]],"ddd")</f>
        <v>Thu</v>
      </c>
      <c r="M2411" t="str">
        <f>TEXT(Pqp_supermarket_data[[#This Row],[DateTime]],"mmm")</f>
        <v>Jul</v>
      </c>
      <c r="N2411" t="str">
        <f>TEXT(Pqp_supermarket_data[[#This Row],[DateTime]],"yyy")</f>
        <v>2021</v>
      </c>
    </row>
    <row r="2412" spans="1:14" x14ac:dyDescent="0.35">
      <c r="A2412" t="s">
        <v>4929</v>
      </c>
      <c r="B2412" s="1">
        <v>45209.111160266206</v>
      </c>
      <c r="C2412" t="s">
        <v>4930</v>
      </c>
      <c r="D2412" t="s">
        <v>44</v>
      </c>
      <c r="E2412" t="s">
        <v>111</v>
      </c>
      <c r="F2412">
        <v>2.2000000000000002</v>
      </c>
      <c r="G2412">
        <v>6</v>
      </c>
      <c r="H2412" t="s">
        <v>14</v>
      </c>
      <c r="I2412" t="s">
        <v>21</v>
      </c>
      <c r="J2412" t="s">
        <v>122</v>
      </c>
      <c r="K2412">
        <f>Pqp_supermarket_data[[#This Row],[Unit_Price]]*Pqp_supermarket_data[[#This Row],[Quantity]]</f>
        <v>13.200000000000001</v>
      </c>
      <c r="L2412" t="str">
        <f>TEXT(Pqp_supermarket_data[[#This Row],[DateTime]],"ddd")</f>
        <v>Tue</v>
      </c>
      <c r="M2412" t="str">
        <f>TEXT(Pqp_supermarket_data[[#This Row],[DateTime]],"mmm")</f>
        <v>Oct</v>
      </c>
      <c r="N2412" t="str">
        <f>TEXT(Pqp_supermarket_data[[#This Row],[DateTime]],"yyy")</f>
        <v>2023</v>
      </c>
    </row>
    <row r="2413" spans="1:14" x14ac:dyDescent="0.35">
      <c r="A2413" t="s">
        <v>4931</v>
      </c>
      <c r="B2413" s="1">
        <v>45657.540326932867</v>
      </c>
      <c r="C2413" t="s">
        <v>4932</v>
      </c>
      <c r="D2413" t="s">
        <v>44</v>
      </c>
      <c r="E2413" t="s">
        <v>145</v>
      </c>
      <c r="F2413">
        <v>1.7</v>
      </c>
      <c r="G2413">
        <v>4</v>
      </c>
      <c r="H2413" t="s">
        <v>14</v>
      </c>
      <c r="I2413" t="s">
        <v>15</v>
      </c>
      <c r="J2413" t="s">
        <v>394</v>
      </c>
      <c r="K2413">
        <f>Pqp_supermarket_data[[#This Row],[Unit_Price]]*Pqp_supermarket_data[[#This Row],[Quantity]]</f>
        <v>6.8</v>
      </c>
      <c r="L2413" t="str">
        <f>TEXT(Pqp_supermarket_data[[#This Row],[DateTime]],"ddd")</f>
        <v>Tue</v>
      </c>
      <c r="M2413" t="str">
        <f>TEXT(Pqp_supermarket_data[[#This Row],[DateTime]],"mmm")</f>
        <v>Dec</v>
      </c>
      <c r="N2413" t="str">
        <f>TEXT(Pqp_supermarket_data[[#This Row],[DateTime]],"yyy")</f>
        <v>2024</v>
      </c>
    </row>
    <row r="2414" spans="1:14" x14ac:dyDescent="0.35">
      <c r="A2414" t="s">
        <v>4933</v>
      </c>
      <c r="B2414" s="1">
        <v>44377.227826944443</v>
      </c>
      <c r="C2414" t="s">
        <v>4934</v>
      </c>
      <c r="D2414" t="s">
        <v>34</v>
      </c>
      <c r="E2414" t="s">
        <v>39</v>
      </c>
      <c r="F2414">
        <v>3.2</v>
      </c>
      <c r="G2414">
        <v>8</v>
      </c>
      <c r="H2414" t="s">
        <v>14</v>
      </c>
      <c r="I2414" t="s">
        <v>61</v>
      </c>
      <c r="J2414" t="s">
        <v>270</v>
      </c>
      <c r="K2414">
        <f>Pqp_supermarket_data[[#This Row],[Unit_Price]]*Pqp_supermarket_data[[#This Row],[Quantity]]</f>
        <v>25.6</v>
      </c>
      <c r="L2414" t="str">
        <f>TEXT(Pqp_supermarket_data[[#This Row],[DateTime]],"ddd")</f>
        <v>Wed</v>
      </c>
      <c r="M2414" t="str">
        <f>TEXT(Pqp_supermarket_data[[#This Row],[DateTime]],"mmm")</f>
        <v>Jun</v>
      </c>
      <c r="N2414" t="str">
        <f>TEXT(Pqp_supermarket_data[[#This Row],[DateTime]],"yyy")</f>
        <v>2021</v>
      </c>
    </row>
    <row r="2415" spans="1:14" x14ac:dyDescent="0.35">
      <c r="A2415" t="s">
        <v>4935</v>
      </c>
      <c r="B2415" s="1">
        <v>45088.775049166667</v>
      </c>
      <c r="C2415" t="s">
        <v>4936</v>
      </c>
      <c r="D2415" t="s">
        <v>44</v>
      </c>
      <c r="E2415" t="s">
        <v>78</v>
      </c>
      <c r="F2415">
        <v>4</v>
      </c>
      <c r="G2415">
        <v>3</v>
      </c>
      <c r="H2415" t="s">
        <v>14</v>
      </c>
      <c r="I2415" t="s">
        <v>61</v>
      </c>
      <c r="J2415" t="s">
        <v>134</v>
      </c>
      <c r="K2415">
        <f>Pqp_supermarket_data[[#This Row],[Unit_Price]]*Pqp_supermarket_data[[#This Row],[Quantity]]</f>
        <v>12</v>
      </c>
      <c r="L2415" t="str">
        <f>TEXT(Pqp_supermarket_data[[#This Row],[DateTime]],"ddd")</f>
        <v>Sun</v>
      </c>
      <c r="M2415" t="str">
        <f>TEXT(Pqp_supermarket_data[[#This Row],[DateTime]],"mmm")</f>
        <v>Jun</v>
      </c>
      <c r="N2415" t="str">
        <f>TEXT(Pqp_supermarket_data[[#This Row],[DateTime]],"yyy")</f>
        <v>2023</v>
      </c>
    </row>
    <row r="2416" spans="1:14" x14ac:dyDescent="0.35">
      <c r="A2416" t="s">
        <v>4937</v>
      </c>
      <c r="B2416" s="1">
        <v>44614.236854733797</v>
      </c>
      <c r="C2416" t="s">
        <v>4938</v>
      </c>
      <c r="D2416" t="s">
        <v>171</v>
      </c>
      <c r="E2416" t="s">
        <v>45</v>
      </c>
      <c r="F2416">
        <v>1</v>
      </c>
      <c r="G2416">
        <v>4</v>
      </c>
      <c r="H2416" t="s">
        <v>14</v>
      </c>
      <c r="I2416" t="s">
        <v>15</v>
      </c>
      <c r="J2416" t="s">
        <v>723</v>
      </c>
      <c r="K2416">
        <f>Pqp_supermarket_data[[#This Row],[Unit_Price]]*Pqp_supermarket_data[[#This Row],[Quantity]]</f>
        <v>4</v>
      </c>
      <c r="L2416" t="str">
        <f>TEXT(Pqp_supermarket_data[[#This Row],[DateTime]],"ddd")</f>
        <v>Tue</v>
      </c>
      <c r="M2416" t="str">
        <f>TEXT(Pqp_supermarket_data[[#This Row],[DateTime]],"mmm")</f>
        <v>Feb</v>
      </c>
      <c r="N2416" t="str">
        <f>TEXT(Pqp_supermarket_data[[#This Row],[DateTime]],"yyy")</f>
        <v>2022</v>
      </c>
    </row>
    <row r="2417" spans="1:14" x14ac:dyDescent="0.35">
      <c r="A2417" t="s">
        <v>4939</v>
      </c>
      <c r="B2417" s="1">
        <v>44632.895882511577</v>
      </c>
      <c r="C2417" t="s">
        <v>4940</v>
      </c>
      <c r="D2417" t="s">
        <v>208</v>
      </c>
      <c r="E2417" t="s">
        <v>39</v>
      </c>
      <c r="F2417">
        <v>3.2</v>
      </c>
      <c r="G2417">
        <v>9</v>
      </c>
      <c r="H2417" t="s">
        <v>14</v>
      </c>
      <c r="I2417" t="s">
        <v>40</v>
      </c>
      <c r="J2417" t="s">
        <v>423</v>
      </c>
      <c r="K2417">
        <f>Pqp_supermarket_data[[#This Row],[Unit_Price]]*Pqp_supermarket_data[[#This Row],[Quantity]]</f>
        <v>28.8</v>
      </c>
      <c r="L2417" t="str">
        <f>TEXT(Pqp_supermarket_data[[#This Row],[DateTime]],"ddd")</f>
        <v>Sat</v>
      </c>
      <c r="M2417" t="str">
        <f>TEXT(Pqp_supermarket_data[[#This Row],[DateTime]],"mmm")</f>
        <v>Mar</v>
      </c>
      <c r="N2417" t="str">
        <f>TEXT(Pqp_supermarket_data[[#This Row],[DateTime]],"yyy")</f>
        <v>2022</v>
      </c>
    </row>
    <row r="2418" spans="1:14" x14ac:dyDescent="0.35">
      <c r="A2418" t="s">
        <v>4941</v>
      </c>
      <c r="B2418" s="1">
        <v>45482.754215856483</v>
      </c>
      <c r="C2418" t="s">
        <v>4942</v>
      </c>
      <c r="D2418" t="s">
        <v>77</v>
      </c>
      <c r="E2418" t="s">
        <v>90</v>
      </c>
      <c r="F2418">
        <v>1.8</v>
      </c>
      <c r="G2418">
        <v>8</v>
      </c>
      <c r="H2418" t="s">
        <v>14</v>
      </c>
      <c r="I2418" t="s">
        <v>86</v>
      </c>
      <c r="J2418" t="s">
        <v>538</v>
      </c>
      <c r="K2418">
        <f>Pqp_supermarket_data[[#This Row],[Unit_Price]]*Pqp_supermarket_data[[#This Row],[Quantity]]</f>
        <v>14.4</v>
      </c>
      <c r="L2418" t="str">
        <f>TEXT(Pqp_supermarket_data[[#This Row],[DateTime]],"ddd")</f>
        <v>Tue</v>
      </c>
      <c r="M2418" t="str">
        <f>TEXT(Pqp_supermarket_data[[#This Row],[DateTime]],"mmm")</f>
        <v>Jul</v>
      </c>
      <c r="N2418" t="str">
        <f>TEXT(Pqp_supermarket_data[[#This Row],[DateTime]],"yyy")</f>
        <v>2024</v>
      </c>
    </row>
    <row r="2419" spans="1:14" x14ac:dyDescent="0.35">
      <c r="A2419" t="s">
        <v>4943</v>
      </c>
      <c r="B2419" s="1">
        <v>45242.45699363426</v>
      </c>
      <c r="C2419" t="s">
        <v>4944</v>
      </c>
      <c r="D2419" t="s">
        <v>82</v>
      </c>
      <c r="E2419" t="s">
        <v>78</v>
      </c>
      <c r="F2419">
        <v>4</v>
      </c>
      <c r="G2419">
        <v>5</v>
      </c>
      <c r="H2419" t="s">
        <v>14</v>
      </c>
      <c r="I2419" t="s">
        <v>36</v>
      </c>
      <c r="J2419" t="s">
        <v>209</v>
      </c>
      <c r="K2419">
        <f>Pqp_supermarket_data[[#This Row],[Unit_Price]]*Pqp_supermarket_data[[#This Row],[Quantity]]</f>
        <v>20</v>
      </c>
      <c r="L2419" t="str">
        <f>TEXT(Pqp_supermarket_data[[#This Row],[DateTime]],"ddd")</f>
        <v>Sun</v>
      </c>
      <c r="M2419" t="str">
        <f>TEXT(Pqp_supermarket_data[[#This Row],[DateTime]],"mmm")</f>
        <v>Nov</v>
      </c>
      <c r="N2419" t="str">
        <f>TEXT(Pqp_supermarket_data[[#This Row],[DateTime]],"yyy")</f>
        <v>2023</v>
      </c>
    </row>
    <row r="2420" spans="1:14" x14ac:dyDescent="0.35">
      <c r="A2420" t="s">
        <v>4945</v>
      </c>
      <c r="B2420" s="1">
        <v>45041.497271412038</v>
      </c>
      <c r="C2420" t="s">
        <v>4946</v>
      </c>
      <c r="D2420" t="s">
        <v>25</v>
      </c>
      <c r="E2420" t="s">
        <v>26</v>
      </c>
      <c r="F2420">
        <v>2.5</v>
      </c>
      <c r="G2420">
        <v>1</v>
      </c>
      <c r="H2420" t="s">
        <v>14</v>
      </c>
      <c r="I2420" t="s">
        <v>61</v>
      </c>
      <c r="J2420" t="s">
        <v>62</v>
      </c>
      <c r="K2420">
        <f>Pqp_supermarket_data[[#This Row],[Unit_Price]]*Pqp_supermarket_data[[#This Row],[Quantity]]</f>
        <v>2.5</v>
      </c>
      <c r="L2420" t="str">
        <f>TEXT(Pqp_supermarket_data[[#This Row],[DateTime]],"ddd")</f>
        <v>Tue</v>
      </c>
      <c r="M2420" t="str">
        <f>TEXT(Pqp_supermarket_data[[#This Row],[DateTime]],"mmm")</f>
        <v>Apr</v>
      </c>
      <c r="N2420" t="str">
        <f>TEXT(Pqp_supermarket_data[[#This Row],[DateTime]],"yyy")</f>
        <v>2023</v>
      </c>
    </row>
    <row r="2421" spans="1:14" x14ac:dyDescent="0.35">
      <c r="A2421" t="s">
        <v>4947</v>
      </c>
      <c r="B2421" s="1">
        <v>44514.910465868059</v>
      </c>
      <c r="C2421" t="s">
        <v>4948</v>
      </c>
      <c r="D2421" t="s">
        <v>69</v>
      </c>
      <c r="E2421" t="s">
        <v>13</v>
      </c>
      <c r="F2421">
        <v>3.1</v>
      </c>
      <c r="G2421">
        <v>6</v>
      </c>
      <c r="H2421" t="s">
        <v>14</v>
      </c>
      <c r="I2421" t="s">
        <v>86</v>
      </c>
      <c r="J2421" t="s">
        <v>79</v>
      </c>
      <c r="K2421">
        <f>Pqp_supermarket_data[[#This Row],[Unit_Price]]*Pqp_supermarket_data[[#This Row],[Quantity]]</f>
        <v>18.600000000000001</v>
      </c>
      <c r="L2421" t="str">
        <f>TEXT(Pqp_supermarket_data[[#This Row],[DateTime]],"ddd")</f>
        <v>Sun</v>
      </c>
      <c r="M2421" t="str">
        <f>TEXT(Pqp_supermarket_data[[#This Row],[DateTime]],"mmm")</f>
        <v>Nov</v>
      </c>
      <c r="N2421" t="str">
        <f>TEXT(Pqp_supermarket_data[[#This Row],[DateTime]],"yyy")</f>
        <v>2021</v>
      </c>
    </row>
    <row r="2422" spans="1:14" x14ac:dyDescent="0.35">
      <c r="A2422" t="s">
        <v>4949</v>
      </c>
      <c r="B2422" s="1">
        <v>44547.843104756947</v>
      </c>
      <c r="C2422" t="s">
        <v>4950</v>
      </c>
      <c r="D2422" t="s">
        <v>34</v>
      </c>
      <c r="E2422" t="s">
        <v>78</v>
      </c>
      <c r="F2422">
        <v>4</v>
      </c>
      <c r="G2422">
        <v>10</v>
      </c>
      <c r="H2422" t="s">
        <v>14</v>
      </c>
      <c r="I2422" t="s">
        <v>21</v>
      </c>
      <c r="J2422" t="s">
        <v>172</v>
      </c>
      <c r="K2422">
        <f>Pqp_supermarket_data[[#This Row],[Unit_Price]]*Pqp_supermarket_data[[#This Row],[Quantity]]</f>
        <v>40</v>
      </c>
      <c r="L2422" t="str">
        <f>TEXT(Pqp_supermarket_data[[#This Row],[DateTime]],"ddd")</f>
        <v>Fri</v>
      </c>
      <c r="M2422" t="str">
        <f>TEXT(Pqp_supermarket_data[[#This Row],[DateTime]],"mmm")</f>
        <v>Dec</v>
      </c>
      <c r="N2422" t="str">
        <f>TEXT(Pqp_supermarket_data[[#This Row],[DateTime]],"yyy")</f>
        <v>2021</v>
      </c>
    </row>
    <row r="2423" spans="1:14" x14ac:dyDescent="0.35">
      <c r="A2423" t="s">
        <v>4951</v>
      </c>
      <c r="B2423" s="1">
        <v>45180.599354768521</v>
      </c>
      <c r="C2423" t="s">
        <v>4952</v>
      </c>
      <c r="D2423" t="s">
        <v>12</v>
      </c>
      <c r="E2423" t="s">
        <v>78</v>
      </c>
      <c r="F2423">
        <v>4</v>
      </c>
      <c r="G2423">
        <v>9</v>
      </c>
      <c r="H2423" t="s">
        <v>14</v>
      </c>
      <c r="I2423" t="s">
        <v>21</v>
      </c>
      <c r="J2423" t="s">
        <v>429</v>
      </c>
      <c r="K2423">
        <f>Pqp_supermarket_data[[#This Row],[Unit_Price]]*Pqp_supermarket_data[[#This Row],[Quantity]]</f>
        <v>36</v>
      </c>
      <c r="L2423" t="str">
        <f>TEXT(Pqp_supermarket_data[[#This Row],[DateTime]],"ddd")</f>
        <v>Mon</v>
      </c>
      <c r="M2423" t="str">
        <f>TEXT(Pqp_supermarket_data[[#This Row],[DateTime]],"mmm")</f>
        <v>Sep</v>
      </c>
      <c r="N2423" t="str">
        <f>TEXT(Pqp_supermarket_data[[#This Row],[DateTime]],"yyy")</f>
        <v>2023</v>
      </c>
    </row>
    <row r="2424" spans="1:14" x14ac:dyDescent="0.35">
      <c r="A2424" t="s">
        <v>4953</v>
      </c>
      <c r="B2424" s="1">
        <v>45278.041021435187</v>
      </c>
      <c r="C2424" t="s">
        <v>4954</v>
      </c>
      <c r="D2424" t="s">
        <v>12</v>
      </c>
      <c r="E2424" t="s">
        <v>35</v>
      </c>
      <c r="F2424">
        <v>1.2</v>
      </c>
      <c r="G2424">
        <v>5</v>
      </c>
      <c r="H2424" t="s">
        <v>14</v>
      </c>
      <c r="I2424" t="s">
        <v>61</v>
      </c>
      <c r="J2424" t="s">
        <v>212</v>
      </c>
      <c r="K2424">
        <f>Pqp_supermarket_data[[#This Row],[Unit_Price]]*Pqp_supermarket_data[[#This Row],[Quantity]]</f>
        <v>6</v>
      </c>
      <c r="L2424" t="str">
        <f>TEXT(Pqp_supermarket_data[[#This Row],[DateTime]],"ddd")</f>
        <v>Mon</v>
      </c>
      <c r="M2424" t="str">
        <f>TEXT(Pqp_supermarket_data[[#This Row],[DateTime]],"mmm")</f>
        <v>Dec</v>
      </c>
      <c r="N2424" t="str">
        <f>TEXT(Pqp_supermarket_data[[#This Row],[DateTime]],"yyy")</f>
        <v>2023</v>
      </c>
    </row>
    <row r="2425" spans="1:14" x14ac:dyDescent="0.35">
      <c r="A2425" t="s">
        <v>4955</v>
      </c>
      <c r="B2425" s="1">
        <v>45491.184077002312</v>
      </c>
      <c r="C2425" t="s">
        <v>4956</v>
      </c>
      <c r="D2425" t="s">
        <v>208</v>
      </c>
      <c r="E2425" t="s">
        <v>145</v>
      </c>
      <c r="F2425">
        <v>1.7</v>
      </c>
      <c r="G2425">
        <v>2</v>
      </c>
      <c r="H2425" t="s">
        <v>14</v>
      </c>
      <c r="I2425" t="s">
        <v>61</v>
      </c>
      <c r="J2425" t="s">
        <v>311</v>
      </c>
      <c r="K2425">
        <f>Pqp_supermarket_data[[#This Row],[Unit_Price]]*Pqp_supermarket_data[[#This Row],[Quantity]]</f>
        <v>3.4</v>
      </c>
      <c r="L2425" t="str">
        <f>TEXT(Pqp_supermarket_data[[#This Row],[DateTime]],"ddd")</f>
        <v>Thu</v>
      </c>
      <c r="M2425" t="str">
        <f>TEXT(Pqp_supermarket_data[[#This Row],[DateTime]],"mmm")</f>
        <v>Jul</v>
      </c>
      <c r="N2425" t="str">
        <f>TEXT(Pqp_supermarket_data[[#This Row],[DateTime]],"yyy")</f>
        <v>2024</v>
      </c>
    </row>
    <row r="2426" spans="1:14" x14ac:dyDescent="0.35">
      <c r="A2426" t="s">
        <v>4957</v>
      </c>
      <c r="B2426" s="1">
        <v>45483.948660335649</v>
      </c>
      <c r="C2426" t="s">
        <v>4958</v>
      </c>
      <c r="D2426" t="s">
        <v>82</v>
      </c>
      <c r="E2426" t="s">
        <v>20</v>
      </c>
      <c r="F2426">
        <v>1</v>
      </c>
      <c r="G2426">
        <v>3</v>
      </c>
      <c r="H2426" t="s">
        <v>14</v>
      </c>
      <c r="I2426" t="s">
        <v>21</v>
      </c>
      <c r="J2426" t="s">
        <v>510</v>
      </c>
      <c r="K2426">
        <f>Pqp_supermarket_data[[#This Row],[Unit_Price]]*Pqp_supermarket_data[[#This Row],[Quantity]]</f>
        <v>3</v>
      </c>
      <c r="L2426" t="str">
        <f>TEXT(Pqp_supermarket_data[[#This Row],[DateTime]],"ddd")</f>
        <v>Wed</v>
      </c>
      <c r="M2426" t="str">
        <f>TEXT(Pqp_supermarket_data[[#This Row],[DateTime]],"mmm")</f>
        <v>Jul</v>
      </c>
      <c r="N2426" t="str">
        <f>TEXT(Pqp_supermarket_data[[#This Row],[DateTime]],"yyy")</f>
        <v>2024</v>
      </c>
    </row>
    <row r="2427" spans="1:14" x14ac:dyDescent="0.35">
      <c r="A2427" t="s">
        <v>4959</v>
      </c>
      <c r="B2427" s="1">
        <v>45143.39379923611</v>
      </c>
      <c r="C2427" t="s">
        <v>4960</v>
      </c>
      <c r="D2427" t="s">
        <v>127</v>
      </c>
      <c r="E2427" t="s">
        <v>70</v>
      </c>
      <c r="F2427">
        <v>5</v>
      </c>
      <c r="G2427">
        <v>5</v>
      </c>
      <c r="H2427" t="s">
        <v>14</v>
      </c>
      <c r="I2427" t="s">
        <v>15</v>
      </c>
      <c r="J2427" t="s">
        <v>54</v>
      </c>
      <c r="K2427">
        <f>Pqp_supermarket_data[[#This Row],[Unit_Price]]*Pqp_supermarket_data[[#This Row],[Quantity]]</f>
        <v>25</v>
      </c>
      <c r="L2427" t="str">
        <f>TEXT(Pqp_supermarket_data[[#This Row],[DateTime]],"ddd")</f>
        <v>Sat</v>
      </c>
      <c r="M2427" t="str">
        <f>TEXT(Pqp_supermarket_data[[#This Row],[DateTime]],"mmm")</f>
        <v>Aug</v>
      </c>
      <c r="N2427" t="str">
        <f>TEXT(Pqp_supermarket_data[[#This Row],[DateTime]],"yyy")</f>
        <v>2023</v>
      </c>
    </row>
    <row r="2428" spans="1:14" x14ac:dyDescent="0.35">
      <c r="A2428" t="s">
        <v>4961</v>
      </c>
      <c r="B2428" s="1">
        <v>44543.963938136571</v>
      </c>
      <c r="C2428" t="s">
        <v>4676</v>
      </c>
      <c r="D2428" t="s">
        <v>69</v>
      </c>
      <c r="E2428" t="s">
        <v>119</v>
      </c>
      <c r="F2428">
        <v>4</v>
      </c>
      <c r="G2428">
        <v>3</v>
      </c>
      <c r="H2428" t="s">
        <v>14</v>
      </c>
      <c r="I2428" t="s">
        <v>61</v>
      </c>
      <c r="J2428" t="s">
        <v>397</v>
      </c>
      <c r="K2428">
        <f>Pqp_supermarket_data[[#This Row],[Unit_Price]]*Pqp_supermarket_data[[#This Row],[Quantity]]</f>
        <v>12</v>
      </c>
      <c r="L2428" t="str">
        <f>TEXT(Pqp_supermarket_data[[#This Row],[DateTime]],"ddd")</f>
        <v>Mon</v>
      </c>
      <c r="M2428" t="str">
        <f>TEXT(Pqp_supermarket_data[[#This Row],[DateTime]],"mmm")</f>
        <v>Dec</v>
      </c>
      <c r="N2428" t="str">
        <f>TEXT(Pqp_supermarket_data[[#This Row],[DateTime]],"yyy")</f>
        <v>2021</v>
      </c>
    </row>
    <row r="2429" spans="1:14" x14ac:dyDescent="0.35">
      <c r="A2429" t="s">
        <v>4962</v>
      </c>
      <c r="B2429" s="1">
        <v>45533.479910358794</v>
      </c>
      <c r="C2429" t="s">
        <v>4963</v>
      </c>
      <c r="D2429" t="s">
        <v>44</v>
      </c>
      <c r="E2429" t="s">
        <v>20</v>
      </c>
      <c r="F2429">
        <v>1</v>
      </c>
      <c r="G2429">
        <v>8</v>
      </c>
      <c r="H2429" t="s">
        <v>14</v>
      </c>
      <c r="I2429" t="s">
        <v>61</v>
      </c>
      <c r="J2429" t="s">
        <v>209</v>
      </c>
      <c r="K2429">
        <f>Pqp_supermarket_data[[#This Row],[Unit_Price]]*Pqp_supermarket_data[[#This Row],[Quantity]]</f>
        <v>8</v>
      </c>
      <c r="L2429" t="str">
        <f>TEXT(Pqp_supermarket_data[[#This Row],[DateTime]],"ddd")</f>
        <v>Thu</v>
      </c>
      <c r="M2429" t="str">
        <f>TEXT(Pqp_supermarket_data[[#This Row],[DateTime]],"mmm")</f>
        <v>Aug</v>
      </c>
      <c r="N2429" t="str">
        <f>TEXT(Pqp_supermarket_data[[#This Row],[DateTime]],"yyy")</f>
        <v>2024</v>
      </c>
    </row>
    <row r="2430" spans="1:14" x14ac:dyDescent="0.35">
      <c r="A2430" t="s">
        <v>4964</v>
      </c>
      <c r="B2430" s="1">
        <v>45140.584771469905</v>
      </c>
      <c r="C2430" t="s">
        <v>4965</v>
      </c>
      <c r="D2430" t="s">
        <v>85</v>
      </c>
      <c r="E2430" t="s">
        <v>35</v>
      </c>
      <c r="F2430">
        <v>1.2</v>
      </c>
      <c r="G2430">
        <v>7</v>
      </c>
      <c r="H2430" t="s">
        <v>14</v>
      </c>
      <c r="I2430" t="s">
        <v>36</v>
      </c>
      <c r="J2430" t="s">
        <v>394</v>
      </c>
      <c r="K2430">
        <f>Pqp_supermarket_data[[#This Row],[Unit_Price]]*Pqp_supermarket_data[[#This Row],[Quantity]]</f>
        <v>8.4</v>
      </c>
      <c r="L2430" t="str">
        <f>TEXT(Pqp_supermarket_data[[#This Row],[DateTime]],"ddd")</f>
        <v>Wed</v>
      </c>
      <c r="M2430" t="str">
        <f>TEXT(Pqp_supermarket_data[[#This Row],[DateTime]],"mmm")</f>
        <v>Aug</v>
      </c>
      <c r="N2430" t="str">
        <f>TEXT(Pqp_supermarket_data[[#This Row],[DateTime]],"yyy")</f>
        <v>2023</v>
      </c>
    </row>
    <row r="2431" spans="1:14" x14ac:dyDescent="0.35">
      <c r="A2431" t="s">
        <v>4966</v>
      </c>
      <c r="B2431" s="1">
        <v>44976.33754925926</v>
      </c>
      <c r="C2431" t="s">
        <v>4967</v>
      </c>
      <c r="D2431" t="s">
        <v>171</v>
      </c>
      <c r="E2431" t="s">
        <v>137</v>
      </c>
      <c r="F2431">
        <v>2.5</v>
      </c>
      <c r="G2431">
        <v>5</v>
      </c>
      <c r="H2431" t="s">
        <v>14</v>
      </c>
      <c r="I2431" t="s">
        <v>61</v>
      </c>
      <c r="J2431" t="s">
        <v>323</v>
      </c>
      <c r="K2431">
        <f>Pqp_supermarket_data[[#This Row],[Unit_Price]]*Pqp_supermarket_data[[#This Row],[Quantity]]</f>
        <v>12.5</v>
      </c>
      <c r="L2431" t="str">
        <f>TEXT(Pqp_supermarket_data[[#This Row],[DateTime]],"ddd")</f>
        <v>Sun</v>
      </c>
      <c r="M2431" t="str">
        <f>TEXT(Pqp_supermarket_data[[#This Row],[DateTime]],"mmm")</f>
        <v>Feb</v>
      </c>
      <c r="N2431" t="str">
        <f>TEXT(Pqp_supermarket_data[[#This Row],[DateTime]],"yyy")</f>
        <v>2023</v>
      </c>
    </row>
    <row r="2432" spans="1:14" x14ac:dyDescent="0.35">
      <c r="A2432" t="s">
        <v>4968</v>
      </c>
      <c r="B2432" s="1">
        <v>44622.479215937499</v>
      </c>
      <c r="C2432" t="s">
        <v>266</v>
      </c>
      <c r="D2432" t="s">
        <v>85</v>
      </c>
      <c r="E2432" t="s">
        <v>137</v>
      </c>
      <c r="F2432">
        <v>2.5</v>
      </c>
      <c r="G2432">
        <v>3</v>
      </c>
      <c r="H2432" t="s">
        <v>14</v>
      </c>
      <c r="I2432" t="s">
        <v>86</v>
      </c>
      <c r="J2432" t="s">
        <v>95</v>
      </c>
      <c r="K2432">
        <f>Pqp_supermarket_data[[#This Row],[Unit_Price]]*Pqp_supermarket_data[[#This Row],[Quantity]]</f>
        <v>7.5</v>
      </c>
      <c r="L2432" t="str">
        <f>TEXT(Pqp_supermarket_data[[#This Row],[DateTime]],"ddd")</f>
        <v>Wed</v>
      </c>
      <c r="M2432" t="str">
        <f>TEXT(Pqp_supermarket_data[[#This Row],[DateTime]],"mmm")</f>
        <v>Mar</v>
      </c>
      <c r="N2432" t="str">
        <f>TEXT(Pqp_supermarket_data[[#This Row],[DateTime]],"yyy")</f>
        <v>2022</v>
      </c>
    </row>
    <row r="2433" spans="1:14" x14ac:dyDescent="0.35">
      <c r="A2433" t="s">
        <v>4969</v>
      </c>
      <c r="B2433" s="1">
        <v>45647.386854826385</v>
      </c>
      <c r="C2433" t="s">
        <v>4970</v>
      </c>
      <c r="D2433" t="s">
        <v>77</v>
      </c>
      <c r="E2433" t="s">
        <v>90</v>
      </c>
      <c r="F2433">
        <v>1.8</v>
      </c>
      <c r="G2433">
        <v>3</v>
      </c>
      <c r="H2433" t="s">
        <v>14</v>
      </c>
      <c r="I2433" t="s">
        <v>36</v>
      </c>
      <c r="J2433" t="s">
        <v>461</v>
      </c>
      <c r="K2433">
        <f>Pqp_supermarket_data[[#This Row],[Unit_Price]]*Pqp_supermarket_data[[#This Row],[Quantity]]</f>
        <v>5.4</v>
      </c>
      <c r="L2433" t="str">
        <f>TEXT(Pqp_supermarket_data[[#This Row],[DateTime]],"ddd")</f>
        <v>Sat</v>
      </c>
      <c r="M2433" t="str">
        <f>TEXT(Pqp_supermarket_data[[#This Row],[DateTime]],"mmm")</f>
        <v>Dec</v>
      </c>
      <c r="N2433" t="str">
        <f>TEXT(Pqp_supermarket_data[[#This Row],[DateTime]],"yyy")</f>
        <v>2024</v>
      </c>
    </row>
    <row r="2434" spans="1:14" x14ac:dyDescent="0.35">
      <c r="A2434" t="s">
        <v>4971</v>
      </c>
      <c r="B2434" s="1">
        <v>45598.086160405095</v>
      </c>
      <c r="C2434" t="s">
        <v>4972</v>
      </c>
      <c r="D2434" t="s">
        <v>44</v>
      </c>
      <c r="E2434" t="s">
        <v>65</v>
      </c>
      <c r="F2434">
        <v>3</v>
      </c>
      <c r="G2434">
        <v>7</v>
      </c>
      <c r="H2434" t="s">
        <v>14</v>
      </c>
      <c r="I2434" t="s">
        <v>61</v>
      </c>
      <c r="J2434" t="s">
        <v>91</v>
      </c>
      <c r="K2434">
        <f>Pqp_supermarket_data[[#This Row],[Unit_Price]]*Pqp_supermarket_data[[#This Row],[Quantity]]</f>
        <v>21</v>
      </c>
      <c r="L2434" t="str">
        <f>TEXT(Pqp_supermarket_data[[#This Row],[DateTime]],"ddd")</f>
        <v>Sat</v>
      </c>
      <c r="M2434" t="str">
        <f>TEXT(Pqp_supermarket_data[[#This Row],[DateTime]],"mmm")</f>
        <v>Nov</v>
      </c>
      <c r="N2434" t="str">
        <f>TEXT(Pqp_supermarket_data[[#This Row],[DateTime]],"yyy")</f>
        <v>2024</v>
      </c>
    </row>
    <row r="2435" spans="1:14" x14ac:dyDescent="0.35">
      <c r="A2435" t="s">
        <v>4973</v>
      </c>
      <c r="B2435" s="1">
        <v>45643.917410405091</v>
      </c>
      <c r="C2435" t="s">
        <v>4974</v>
      </c>
      <c r="D2435" t="s">
        <v>85</v>
      </c>
      <c r="E2435" t="s">
        <v>137</v>
      </c>
      <c r="F2435">
        <v>2.5</v>
      </c>
      <c r="G2435">
        <v>9</v>
      </c>
      <c r="H2435" t="s">
        <v>14</v>
      </c>
      <c r="I2435" t="s">
        <v>86</v>
      </c>
      <c r="J2435" t="s">
        <v>230</v>
      </c>
      <c r="K2435">
        <f>Pqp_supermarket_data[[#This Row],[Unit_Price]]*Pqp_supermarket_data[[#This Row],[Quantity]]</f>
        <v>22.5</v>
      </c>
      <c r="L2435" t="str">
        <f>TEXT(Pqp_supermarket_data[[#This Row],[DateTime]],"ddd")</f>
        <v>Tue</v>
      </c>
      <c r="M2435" t="str">
        <f>TEXT(Pqp_supermarket_data[[#This Row],[DateTime]],"mmm")</f>
        <v>Dec</v>
      </c>
      <c r="N2435" t="str">
        <f>TEXT(Pqp_supermarket_data[[#This Row],[DateTime]],"yyy")</f>
        <v>2024</v>
      </c>
    </row>
    <row r="2436" spans="1:14" x14ac:dyDescent="0.35">
      <c r="A2436" t="s">
        <v>4975</v>
      </c>
      <c r="B2436" s="1">
        <v>44975.636854849537</v>
      </c>
      <c r="C2436" t="s">
        <v>4976</v>
      </c>
      <c r="D2436" t="s">
        <v>85</v>
      </c>
      <c r="E2436" t="s">
        <v>65</v>
      </c>
      <c r="F2436">
        <v>3</v>
      </c>
      <c r="G2436">
        <v>4</v>
      </c>
      <c r="H2436" t="s">
        <v>14</v>
      </c>
      <c r="I2436" t="s">
        <v>86</v>
      </c>
      <c r="J2436" t="s">
        <v>769</v>
      </c>
      <c r="K2436">
        <f>Pqp_supermarket_data[[#This Row],[Unit_Price]]*Pqp_supermarket_data[[#This Row],[Quantity]]</f>
        <v>12</v>
      </c>
      <c r="L2436" t="str">
        <f>TEXT(Pqp_supermarket_data[[#This Row],[DateTime]],"ddd")</f>
        <v>Sat</v>
      </c>
      <c r="M2436" t="str">
        <f>TEXT(Pqp_supermarket_data[[#This Row],[DateTime]],"mmm")</f>
        <v>Feb</v>
      </c>
      <c r="N2436" t="str">
        <f>TEXT(Pqp_supermarket_data[[#This Row],[DateTime]],"yyy")</f>
        <v>2023</v>
      </c>
    </row>
    <row r="2437" spans="1:14" x14ac:dyDescent="0.35">
      <c r="A2437" t="s">
        <v>4977</v>
      </c>
      <c r="B2437" s="1">
        <v>45550.216715983799</v>
      </c>
      <c r="C2437" t="s">
        <v>4978</v>
      </c>
      <c r="D2437" t="s">
        <v>25</v>
      </c>
      <c r="E2437" t="s">
        <v>137</v>
      </c>
      <c r="F2437">
        <v>2.5</v>
      </c>
      <c r="G2437">
        <v>9</v>
      </c>
      <c r="H2437" t="s">
        <v>14</v>
      </c>
      <c r="I2437" t="s">
        <v>40</v>
      </c>
      <c r="J2437" t="s">
        <v>166</v>
      </c>
      <c r="K2437">
        <f>Pqp_supermarket_data[[#This Row],[Unit_Price]]*Pqp_supermarket_data[[#This Row],[Quantity]]</f>
        <v>22.5</v>
      </c>
      <c r="L2437" t="str">
        <f>TEXT(Pqp_supermarket_data[[#This Row],[DateTime]],"ddd")</f>
        <v>Sun</v>
      </c>
      <c r="M2437" t="str">
        <f>TEXT(Pqp_supermarket_data[[#This Row],[DateTime]],"mmm")</f>
        <v>Sep</v>
      </c>
      <c r="N2437" t="str">
        <f>TEXT(Pqp_supermarket_data[[#This Row],[DateTime]],"yyy")</f>
        <v>2024</v>
      </c>
    </row>
    <row r="2438" spans="1:14" x14ac:dyDescent="0.35">
      <c r="A2438" t="s">
        <v>4979</v>
      </c>
      <c r="B2438" s="1">
        <v>44469.633382662039</v>
      </c>
      <c r="C2438" t="s">
        <v>4980</v>
      </c>
      <c r="D2438" t="s">
        <v>98</v>
      </c>
      <c r="E2438" t="s">
        <v>137</v>
      </c>
      <c r="F2438">
        <v>2.5</v>
      </c>
      <c r="G2438">
        <v>1</v>
      </c>
      <c r="H2438" t="s">
        <v>14</v>
      </c>
      <c r="I2438" t="s">
        <v>15</v>
      </c>
      <c r="J2438" t="s">
        <v>302</v>
      </c>
      <c r="K2438">
        <f>Pqp_supermarket_data[[#This Row],[Unit_Price]]*Pqp_supermarket_data[[#This Row],[Quantity]]</f>
        <v>2.5</v>
      </c>
      <c r="L2438" t="str">
        <f>TEXT(Pqp_supermarket_data[[#This Row],[DateTime]],"ddd")</f>
        <v>Thu</v>
      </c>
      <c r="M2438" t="str">
        <f>TEXT(Pqp_supermarket_data[[#This Row],[DateTime]],"mmm")</f>
        <v>Sep</v>
      </c>
      <c r="N2438" t="str">
        <f>TEXT(Pqp_supermarket_data[[#This Row],[DateTime]],"yyy")</f>
        <v>2021</v>
      </c>
    </row>
    <row r="2439" spans="1:14" x14ac:dyDescent="0.35">
      <c r="A2439" t="s">
        <v>4981</v>
      </c>
      <c r="B2439" s="1">
        <v>45310.354910439812</v>
      </c>
      <c r="C2439" t="s">
        <v>4982</v>
      </c>
      <c r="D2439" t="s">
        <v>69</v>
      </c>
      <c r="E2439" t="s">
        <v>90</v>
      </c>
      <c r="F2439">
        <v>1.8</v>
      </c>
      <c r="G2439">
        <v>6</v>
      </c>
      <c r="H2439" t="s">
        <v>14</v>
      </c>
      <c r="I2439" t="s">
        <v>61</v>
      </c>
      <c r="J2439" t="s">
        <v>423</v>
      </c>
      <c r="K2439">
        <f>Pqp_supermarket_data[[#This Row],[Unit_Price]]*Pqp_supermarket_data[[#This Row],[Quantity]]</f>
        <v>10.8</v>
      </c>
      <c r="L2439" t="str">
        <f>TEXT(Pqp_supermarket_data[[#This Row],[DateTime]],"ddd")</f>
        <v>Fri</v>
      </c>
      <c r="M2439" t="str">
        <f>TEXT(Pqp_supermarket_data[[#This Row],[DateTime]],"mmm")</f>
        <v>Jan</v>
      </c>
      <c r="N2439" t="str">
        <f>TEXT(Pqp_supermarket_data[[#This Row],[DateTime]],"yyy")</f>
        <v>2024</v>
      </c>
    </row>
    <row r="2440" spans="1:14" x14ac:dyDescent="0.35">
      <c r="A2440" t="s">
        <v>4983</v>
      </c>
      <c r="B2440" s="1">
        <v>44486.667410451388</v>
      </c>
      <c r="C2440" t="s">
        <v>4984</v>
      </c>
      <c r="D2440" t="s">
        <v>208</v>
      </c>
      <c r="E2440" t="s">
        <v>90</v>
      </c>
      <c r="F2440">
        <v>1.8</v>
      </c>
      <c r="G2440">
        <v>5</v>
      </c>
      <c r="H2440" t="s">
        <v>14</v>
      </c>
      <c r="I2440" t="s">
        <v>86</v>
      </c>
      <c r="J2440" t="s">
        <v>27</v>
      </c>
      <c r="K2440">
        <f>Pqp_supermarket_data[[#This Row],[Unit_Price]]*Pqp_supermarket_data[[#This Row],[Quantity]]</f>
        <v>9</v>
      </c>
      <c r="L2440" t="str">
        <f>TEXT(Pqp_supermarket_data[[#This Row],[DateTime]],"ddd")</f>
        <v>Sun</v>
      </c>
      <c r="M2440" t="str">
        <f>TEXT(Pqp_supermarket_data[[#This Row],[DateTime]],"mmm")</f>
        <v>Oct</v>
      </c>
      <c r="N2440" t="str">
        <f>TEXT(Pqp_supermarket_data[[#This Row],[DateTime]],"yyy")</f>
        <v>2021</v>
      </c>
    </row>
    <row r="2441" spans="1:14" x14ac:dyDescent="0.35">
      <c r="A2441" t="s">
        <v>4985</v>
      </c>
      <c r="B2441" s="1">
        <v>44414.612549351848</v>
      </c>
      <c r="C2441" t="s">
        <v>4986</v>
      </c>
      <c r="D2441" t="s">
        <v>82</v>
      </c>
      <c r="E2441" t="s">
        <v>20</v>
      </c>
      <c r="F2441">
        <v>1</v>
      </c>
      <c r="G2441">
        <v>2</v>
      </c>
      <c r="H2441" t="s">
        <v>14</v>
      </c>
      <c r="I2441" t="s">
        <v>40</v>
      </c>
      <c r="J2441" t="s">
        <v>485</v>
      </c>
      <c r="K2441">
        <f>Pqp_supermarket_data[[#This Row],[Unit_Price]]*Pqp_supermarket_data[[#This Row],[Quantity]]</f>
        <v>2</v>
      </c>
      <c r="L2441" t="str">
        <f>TEXT(Pqp_supermarket_data[[#This Row],[DateTime]],"ddd")</f>
        <v>Fri</v>
      </c>
      <c r="M2441" t="str">
        <f>TEXT(Pqp_supermarket_data[[#This Row],[DateTime]],"mmm")</f>
        <v>Aug</v>
      </c>
      <c r="N2441" t="str">
        <f>TEXT(Pqp_supermarket_data[[#This Row],[DateTime]],"yyy")</f>
        <v>2021</v>
      </c>
    </row>
    <row r="2442" spans="1:14" x14ac:dyDescent="0.35">
      <c r="A2442" t="s">
        <v>4987</v>
      </c>
      <c r="B2442" s="1">
        <v>44579.509077129631</v>
      </c>
      <c r="C2442" t="s">
        <v>4988</v>
      </c>
      <c r="D2442" t="s">
        <v>25</v>
      </c>
      <c r="E2442" t="s">
        <v>119</v>
      </c>
      <c r="F2442">
        <v>4</v>
      </c>
      <c r="G2442">
        <v>8</v>
      </c>
      <c r="H2442" t="s">
        <v>14</v>
      </c>
      <c r="I2442" t="s">
        <v>40</v>
      </c>
      <c r="J2442" t="s">
        <v>561</v>
      </c>
      <c r="K2442">
        <f>Pqp_supermarket_data[[#This Row],[Unit_Price]]*Pqp_supermarket_data[[#This Row],[Quantity]]</f>
        <v>32</v>
      </c>
      <c r="L2442" t="str">
        <f>TEXT(Pqp_supermarket_data[[#This Row],[DateTime]],"ddd")</f>
        <v>Tue</v>
      </c>
      <c r="M2442" t="str">
        <f>TEXT(Pqp_supermarket_data[[#This Row],[DateTime]],"mmm")</f>
        <v>Jan</v>
      </c>
      <c r="N2442" t="str">
        <f>TEXT(Pqp_supermarket_data[[#This Row],[DateTime]],"yyy")</f>
        <v>2022</v>
      </c>
    </row>
    <row r="2443" spans="1:14" x14ac:dyDescent="0.35">
      <c r="A2443" t="s">
        <v>4989</v>
      </c>
      <c r="B2443" s="1">
        <v>44349.450743807873</v>
      </c>
      <c r="C2443" t="s">
        <v>4990</v>
      </c>
      <c r="D2443" t="s">
        <v>19</v>
      </c>
      <c r="E2443" t="s">
        <v>53</v>
      </c>
      <c r="F2443">
        <v>2.8</v>
      </c>
      <c r="G2443">
        <v>9</v>
      </c>
      <c r="H2443" t="s">
        <v>14</v>
      </c>
      <c r="I2443" t="s">
        <v>15</v>
      </c>
      <c r="J2443" t="s">
        <v>662</v>
      </c>
      <c r="K2443">
        <f>Pqp_supermarket_data[[#This Row],[Unit_Price]]*Pqp_supermarket_data[[#This Row],[Quantity]]</f>
        <v>25.2</v>
      </c>
      <c r="L2443" t="str">
        <f>TEXT(Pqp_supermarket_data[[#This Row],[DateTime]],"ddd")</f>
        <v>Wed</v>
      </c>
      <c r="M2443" t="str">
        <f>TEXT(Pqp_supermarket_data[[#This Row],[DateTime]],"mmm")</f>
        <v>Jun</v>
      </c>
      <c r="N2443" t="str">
        <f>TEXT(Pqp_supermarket_data[[#This Row],[DateTime]],"yyy")</f>
        <v>2021</v>
      </c>
    </row>
    <row r="2444" spans="1:14" x14ac:dyDescent="0.35">
      <c r="A2444" t="s">
        <v>4991</v>
      </c>
      <c r="B2444" s="1">
        <v>45351.36949380787</v>
      </c>
      <c r="C2444" t="s">
        <v>4992</v>
      </c>
      <c r="D2444" t="s">
        <v>208</v>
      </c>
      <c r="E2444" t="s">
        <v>45</v>
      </c>
      <c r="F2444">
        <v>1</v>
      </c>
      <c r="G2444">
        <v>5</v>
      </c>
      <c r="H2444" t="s">
        <v>14</v>
      </c>
      <c r="I2444" t="s">
        <v>61</v>
      </c>
      <c r="J2444" t="s">
        <v>270</v>
      </c>
      <c r="K2444">
        <f>Pqp_supermarket_data[[#This Row],[Unit_Price]]*Pqp_supermarket_data[[#This Row],[Quantity]]</f>
        <v>5</v>
      </c>
      <c r="L2444" t="str">
        <f>TEXT(Pqp_supermarket_data[[#This Row],[DateTime]],"ddd")</f>
        <v>Thu</v>
      </c>
      <c r="M2444" t="str">
        <f>TEXT(Pqp_supermarket_data[[#This Row],[DateTime]],"mmm")</f>
        <v>Feb</v>
      </c>
      <c r="N2444" t="str">
        <f>TEXT(Pqp_supermarket_data[[#This Row],[DateTime]],"yyy")</f>
        <v>2024</v>
      </c>
    </row>
    <row r="2445" spans="1:14" x14ac:dyDescent="0.35">
      <c r="A2445" t="s">
        <v>4993</v>
      </c>
      <c r="B2445" s="1">
        <v>45019.876438252315</v>
      </c>
      <c r="C2445" t="s">
        <v>4994</v>
      </c>
      <c r="D2445" t="s">
        <v>69</v>
      </c>
      <c r="E2445" t="s">
        <v>78</v>
      </c>
      <c r="F2445">
        <v>4</v>
      </c>
      <c r="G2445">
        <v>10</v>
      </c>
      <c r="H2445" t="s">
        <v>14</v>
      </c>
      <c r="I2445" t="s">
        <v>61</v>
      </c>
      <c r="J2445" t="s">
        <v>517</v>
      </c>
      <c r="K2445">
        <f>Pqp_supermarket_data[[#This Row],[Unit_Price]]*Pqp_supermarket_data[[#This Row],[Quantity]]</f>
        <v>40</v>
      </c>
      <c r="L2445" t="str">
        <f>TEXT(Pqp_supermarket_data[[#This Row],[DateTime]],"ddd")</f>
        <v>Mon</v>
      </c>
      <c r="M2445" t="str">
        <f>TEXT(Pqp_supermarket_data[[#This Row],[DateTime]],"mmm")</f>
        <v>Apr</v>
      </c>
      <c r="N2445" t="str">
        <f>TEXT(Pqp_supermarket_data[[#This Row],[DateTime]],"yyy")</f>
        <v>2023</v>
      </c>
    </row>
    <row r="2446" spans="1:14" x14ac:dyDescent="0.35">
      <c r="A2446" t="s">
        <v>4995</v>
      </c>
      <c r="B2446" s="1">
        <v>45386.103521597222</v>
      </c>
      <c r="C2446" t="s">
        <v>341</v>
      </c>
      <c r="D2446" t="s">
        <v>127</v>
      </c>
      <c r="E2446" t="s">
        <v>49</v>
      </c>
      <c r="F2446">
        <v>7</v>
      </c>
      <c r="G2446">
        <v>2</v>
      </c>
      <c r="H2446" t="s">
        <v>14</v>
      </c>
      <c r="I2446" t="s">
        <v>36</v>
      </c>
      <c r="J2446" t="s">
        <v>429</v>
      </c>
      <c r="K2446">
        <f>Pqp_supermarket_data[[#This Row],[Unit_Price]]*Pqp_supermarket_data[[#This Row],[Quantity]]</f>
        <v>14</v>
      </c>
      <c r="L2446" t="str">
        <f>TEXT(Pqp_supermarket_data[[#This Row],[DateTime]],"ddd")</f>
        <v>Thu</v>
      </c>
      <c r="M2446" t="str">
        <f>TEXT(Pqp_supermarket_data[[#This Row],[DateTime]],"mmm")</f>
        <v>Apr</v>
      </c>
      <c r="N2446" t="str">
        <f>TEXT(Pqp_supermarket_data[[#This Row],[DateTime]],"yyy")</f>
        <v>2024</v>
      </c>
    </row>
    <row r="2447" spans="1:14" x14ac:dyDescent="0.35">
      <c r="A2447" t="s">
        <v>4996</v>
      </c>
      <c r="B2447" s="1">
        <v>44862.540327152776</v>
      </c>
      <c r="C2447" t="s">
        <v>4997</v>
      </c>
      <c r="D2447" t="s">
        <v>171</v>
      </c>
      <c r="E2447" t="s">
        <v>90</v>
      </c>
      <c r="F2447">
        <v>1.8</v>
      </c>
      <c r="G2447">
        <v>7</v>
      </c>
      <c r="H2447" t="s">
        <v>14</v>
      </c>
      <c r="I2447" t="s">
        <v>15</v>
      </c>
      <c r="J2447" t="s">
        <v>458</v>
      </c>
      <c r="K2447">
        <f>Pqp_supermarket_data[[#This Row],[Unit_Price]]*Pqp_supermarket_data[[#This Row],[Quantity]]</f>
        <v>12.6</v>
      </c>
      <c r="L2447" t="str">
        <f>TEXT(Pqp_supermarket_data[[#This Row],[DateTime]],"ddd")</f>
        <v>Fri</v>
      </c>
      <c r="M2447" t="str">
        <f>TEXT(Pqp_supermarket_data[[#This Row],[DateTime]],"mmm")</f>
        <v>Oct</v>
      </c>
      <c r="N2447" t="str">
        <f>TEXT(Pqp_supermarket_data[[#This Row],[DateTime]],"yyy")</f>
        <v>2022</v>
      </c>
    </row>
    <row r="2448" spans="1:14" x14ac:dyDescent="0.35">
      <c r="A2448" t="s">
        <v>4998</v>
      </c>
      <c r="B2448" s="1">
        <v>45556.50143827546</v>
      </c>
      <c r="C2448" t="s">
        <v>4999</v>
      </c>
      <c r="D2448" t="s">
        <v>226</v>
      </c>
      <c r="E2448" t="s">
        <v>148</v>
      </c>
      <c r="F2448">
        <v>5.5</v>
      </c>
      <c r="G2448">
        <v>4</v>
      </c>
      <c r="H2448" t="s">
        <v>14</v>
      </c>
      <c r="I2448" t="s">
        <v>15</v>
      </c>
      <c r="J2448" t="s">
        <v>302</v>
      </c>
      <c r="K2448">
        <f>Pqp_supermarket_data[[#This Row],[Unit_Price]]*Pqp_supermarket_data[[#This Row],[Quantity]]</f>
        <v>22</v>
      </c>
      <c r="L2448" t="str">
        <f>TEXT(Pqp_supermarket_data[[#This Row],[DateTime]],"ddd")</f>
        <v>Sat</v>
      </c>
      <c r="M2448" t="str">
        <f>TEXT(Pqp_supermarket_data[[#This Row],[DateTime]],"mmm")</f>
        <v>Sep</v>
      </c>
      <c r="N2448" t="str">
        <f>TEXT(Pqp_supermarket_data[[#This Row],[DateTime]],"yyy")</f>
        <v>2024</v>
      </c>
    </row>
    <row r="2449" spans="1:14" x14ac:dyDescent="0.35">
      <c r="A2449" t="s">
        <v>5000</v>
      </c>
      <c r="B2449" s="1">
        <v>44618.568799386572</v>
      </c>
      <c r="C2449" t="s">
        <v>5001</v>
      </c>
      <c r="D2449" t="s">
        <v>127</v>
      </c>
      <c r="E2449" t="s">
        <v>78</v>
      </c>
      <c r="F2449">
        <v>4</v>
      </c>
      <c r="G2449">
        <v>10</v>
      </c>
      <c r="H2449" t="s">
        <v>14</v>
      </c>
      <c r="I2449" t="s">
        <v>61</v>
      </c>
      <c r="J2449" t="s">
        <v>116</v>
      </c>
      <c r="K2449">
        <f>Pqp_supermarket_data[[#This Row],[Unit_Price]]*Pqp_supermarket_data[[#This Row],[Quantity]]</f>
        <v>40</v>
      </c>
      <c r="L2449" t="str">
        <f>TEXT(Pqp_supermarket_data[[#This Row],[DateTime]],"ddd")</f>
        <v>Sat</v>
      </c>
      <c r="M2449" t="str">
        <f>TEXT(Pqp_supermarket_data[[#This Row],[DateTime]],"mmm")</f>
        <v>Feb</v>
      </c>
      <c r="N2449" t="str">
        <f>TEXT(Pqp_supermarket_data[[#This Row],[DateTime]],"yyy")</f>
        <v>2022</v>
      </c>
    </row>
    <row r="2450" spans="1:14" x14ac:dyDescent="0.35">
      <c r="A2450" t="s">
        <v>5002</v>
      </c>
      <c r="B2450" s="1">
        <v>44837.489632743054</v>
      </c>
      <c r="C2450" t="s">
        <v>5003</v>
      </c>
      <c r="D2450" t="s">
        <v>30</v>
      </c>
      <c r="E2450" t="s">
        <v>26</v>
      </c>
      <c r="F2450">
        <v>2.5</v>
      </c>
      <c r="G2450">
        <v>10</v>
      </c>
      <c r="H2450" t="s">
        <v>14</v>
      </c>
      <c r="I2450" t="s">
        <v>61</v>
      </c>
      <c r="J2450" t="s">
        <v>163</v>
      </c>
      <c r="K2450">
        <f>Pqp_supermarket_data[[#This Row],[Unit_Price]]*Pqp_supermarket_data[[#This Row],[Quantity]]</f>
        <v>25</v>
      </c>
      <c r="L2450" t="str">
        <f>TEXT(Pqp_supermarket_data[[#This Row],[DateTime]],"ddd")</f>
        <v>Mon</v>
      </c>
      <c r="M2450" t="str">
        <f>TEXT(Pqp_supermarket_data[[#This Row],[DateTime]],"mmm")</f>
        <v>Oct</v>
      </c>
      <c r="N2450" t="str">
        <f>TEXT(Pqp_supermarket_data[[#This Row],[DateTime]],"yyy")</f>
        <v>2022</v>
      </c>
    </row>
    <row r="2451" spans="1:14" x14ac:dyDescent="0.35">
      <c r="A2451" t="s">
        <v>5004</v>
      </c>
      <c r="B2451" s="1">
        <v>44740.546577199071</v>
      </c>
      <c r="C2451" t="s">
        <v>5005</v>
      </c>
      <c r="D2451" t="s">
        <v>208</v>
      </c>
      <c r="E2451" t="s">
        <v>78</v>
      </c>
      <c r="F2451">
        <v>4</v>
      </c>
      <c r="G2451">
        <v>3</v>
      </c>
      <c r="H2451" t="s">
        <v>14</v>
      </c>
      <c r="I2451" t="s">
        <v>61</v>
      </c>
      <c r="J2451" t="s">
        <v>212</v>
      </c>
      <c r="K2451">
        <f>Pqp_supermarket_data[[#This Row],[Unit_Price]]*Pqp_supermarket_data[[#This Row],[Quantity]]</f>
        <v>12</v>
      </c>
      <c r="L2451" t="str">
        <f>TEXT(Pqp_supermarket_data[[#This Row],[DateTime]],"ddd")</f>
        <v>Tue</v>
      </c>
      <c r="M2451" t="str">
        <f>TEXT(Pqp_supermarket_data[[#This Row],[DateTime]],"mmm")</f>
        <v>Jun</v>
      </c>
      <c r="N2451" t="str">
        <f>TEXT(Pqp_supermarket_data[[#This Row],[DateTime]],"yyy")</f>
        <v>2022</v>
      </c>
    </row>
    <row r="2452" spans="1:14" x14ac:dyDescent="0.35">
      <c r="A2452" t="s">
        <v>5006</v>
      </c>
      <c r="B2452" s="1">
        <v>44762.584771643516</v>
      </c>
      <c r="C2452" t="s">
        <v>5007</v>
      </c>
      <c r="D2452" t="s">
        <v>12</v>
      </c>
      <c r="E2452" t="s">
        <v>39</v>
      </c>
      <c r="F2452">
        <v>3.2</v>
      </c>
      <c r="G2452">
        <v>8</v>
      </c>
      <c r="H2452" t="s">
        <v>14</v>
      </c>
      <c r="I2452" t="s">
        <v>86</v>
      </c>
      <c r="J2452" t="s">
        <v>538</v>
      </c>
      <c r="K2452">
        <f>Pqp_supermarket_data[[#This Row],[Unit_Price]]*Pqp_supermarket_data[[#This Row],[Quantity]]</f>
        <v>25.6</v>
      </c>
      <c r="L2452" t="str">
        <f>TEXT(Pqp_supermarket_data[[#This Row],[DateTime]],"ddd")</f>
        <v>Wed</v>
      </c>
      <c r="M2452" t="str">
        <f>TEXT(Pqp_supermarket_data[[#This Row],[DateTime]],"mmm")</f>
        <v>Jul</v>
      </c>
      <c r="N2452" t="str">
        <f>TEXT(Pqp_supermarket_data[[#This Row],[DateTime]],"yyy")</f>
        <v>2022</v>
      </c>
    </row>
    <row r="2453" spans="1:14" x14ac:dyDescent="0.35">
      <c r="A2453" t="s">
        <v>5008</v>
      </c>
      <c r="B2453" s="1">
        <v>45447.913938321763</v>
      </c>
      <c r="C2453" t="s">
        <v>5009</v>
      </c>
      <c r="D2453" t="s">
        <v>85</v>
      </c>
      <c r="E2453" t="s">
        <v>45</v>
      </c>
      <c r="F2453">
        <v>1</v>
      </c>
      <c r="G2453">
        <v>5</v>
      </c>
      <c r="H2453" t="s">
        <v>14</v>
      </c>
      <c r="I2453" t="s">
        <v>36</v>
      </c>
      <c r="J2453" t="s">
        <v>623</v>
      </c>
      <c r="K2453">
        <f>Pqp_supermarket_data[[#This Row],[Unit_Price]]*Pqp_supermarket_data[[#This Row],[Quantity]]</f>
        <v>5</v>
      </c>
      <c r="L2453" t="str">
        <f>TEXT(Pqp_supermarket_data[[#This Row],[DateTime]],"ddd")</f>
        <v>Tue</v>
      </c>
      <c r="M2453" t="str">
        <f>TEXT(Pqp_supermarket_data[[#This Row],[DateTime]],"mmm")</f>
        <v>Jun</v>
      </c>
      <c r="N2453" t="str">
        <f>TEXT(Pqp_supermarket_data[[#This Row],[DateTime]],"yyy")</f>
        <v>2024</v>
      </c>
    </row>
    <row r="2454" spans="1:14" x14ac:dyDescent="0.35">
      <c r="A2454" t="s">
        <v>5010</v>
      </c>
      <c r="B2454" s="1">
        <v>45626.763938321761</v>
      </c>
      <c r="C2454" t="s">
        <v>5011</v>
      </c>
      <c r="D2454" t="s">
        <v>19</v>
      </c>
      <c r="E2454" t="s">
        <v>35</v>
      </c>
      <c r="F2454">
        <v>1.2</v>
      </c>
      <c r="G2454">
        <v>1</v>
      </c>
      <c r="H2454" t="s">
        <v>14</v>
      </c>
      <c r="I2454" t="s">
        <v>21</v>
      </c>
      <c r="J2454" t="s">
        <v>166</v>
      </c>
      <c r="K2454">
        <f>Pqp_supermarket_data[[#This Row],[Unit_Price]]*Pqp_supermarket_data[[#This Row],[Quantity]]</f>
        <v>1.2</v>
      </c>
      <c r="L2454" t="str">
        <f>TEXT(Pqp_supermarket_data[[#This Row],[DateTime]],"ddd")</f>
        <v>Sat</v>
      </c>
      <c r="M2454" t="str">
        <f>TEXT(Pqp_supermarket_data[[#This Row],[DateTime]],"mmm")</f>
        <v>Nov</v>
      </c>
      <c r="N2454" t="str">
        <f>TEXT(Pqp_supermarket_data[[#This Row],[DateTime]],"yyy")</f>
        <v>2024</v>
      </c>
    </row>
    <row r="2455" spans="1:14" x14ac:dyDescent="0.35">
      <c r="A2455" t="s">
        <v>5012</v>
      </c>
      <c r="B2455" s="1">
        <v>45764.185466111114</v>
      </c>
      <c r="C2455" t="s">
        <v>5013</v>
      </c>
      <c r="D2455" t="s">
        <v>208</v>
      </c>
      <c r="E2455" t="s">
        <v>57</v>
      </c>
      <c r="F2455">
        <v>4.5</v>
      </c>
      <c r="G2455">
        <v>8</v>
      </c>
      <c r="H2455" t="s">
        <v>14</v>
      </c>
      <c r="I2455" t="s">
        <v>86</v>
      </c>
      <c r="J2455" t="s">
        <v>46</v>
      </c>
      <c r="K2455">
        <f>Pqp_supermarket_data[[#This Row],[Unit_Price]]*Pqp_supermarket_data[[#This Row],[Quantity]]</f>
        <v>36</v>
      </c>
      <c r="L2455" t="str">
        <f>TEXT(Pqp_supermarket_data[[#This Row],[DateTime]],"ddd")</f>
        <v>Thu</v>
      </c>
      <c r="M2455" t="str">
        <f>TEXT(Pqp_supermarket_data[[#This Row],[DateTime]],"mmm")</f>
        <v>Apr</v>
      </c>
      <c r="N2455" t="str">
        <f>TEXT(Pqp_supermarket_data[[#This Row],[DateTime]],"yyy")</f>
        <v>2025</v>
      </c>
    </row>
    <row r="2456" spans="1:14" x14ac:dyDescent="0.35">
      <c r="A2456" t="s">
        <v>5014</v>
      </c>
      <c r="B2456" s="1">
        <v>44623.347271666666</v>
      </c>
      <c r="C2456" t="s">
        <v>5015</v>
      </c>
      <c r="D2456" t="s">
        <v>208</v>
      </c>
      <c r="E2456" t="s">
        <v>53</v>
      </c>
      <c r="F2456">
        <v>2.8</v>
      </c>
      <c r="G2456">
        <v>4</v>
      </c>
      <c r="H2456" t="s">
        <v>14</v>
      </c>
      <c r="I2456" t="s">
        <v>36</v>
      </c>
      <c r="J2456" t="s">
        <v>248</v>
      </c>
      <c r="K2456">
        <f>Pqp_supermarket_data[[#This Row],[Unit_Price]]*Pqp_supermarket_data[[#This Row],[Quantity]]</f>
        <v>11.2</v>
      </c>
      <c r="L2456" t="str">
        <f>TEXT(Pqp_supermarket_data[[#This Row],[DateTime]],"ddd")</f>
        <v>Thu</v>
      </c>
      <c r="M2456" t="str">
        <f>TEXT(Pqp_supermarket_data[[#This Row],[DateTime]],"mmm")</f>
        <v>Mar</v>
      </c>
      <c r="N2456" t="str">
        <f>TEXT(Pqp_supermarket_data[[#This Row],[DateTime]],"yyy")</f>
        <v>2022</v>
      </c>
    </row>
    <row r="2457" spans="1:14" x14ac:dyDescent="0.35">
      <c r="A2457" t="s">
        <v>5016</v>
      </c>
      <c r="B2457" s="1">
        <v>44919.562549456015</v>
      </c>
      <c r="C2457" t="s">
        <v>5017</v>
      </c>
      <c r="D2457" t="s">
        <v>44</v>
      </c>
      <c r="E2457" t="s">
        <v>65</v>
      </c>
      <c r="F2457">
        <v>3</v>
      </c>
      <c r="G2457">
        <v>5</v>
      </c>
      <c r="H2457" t="s">
        <v>14</v>
      </c>
      <c r="I2457" t="s">
        <v>86</v>
      </c>
      <c r="J2457" t="s">
        <v>189</v>
      </c>
      <c r="K2457">
        <f>Pqp_supermarket_data[[#This Row],[Unit_Price]]*Pqp_supermarket_data[[#This Row],[Quantity]]</f>
        <v>15</v>
      </c>
      <c r="L2457" t="str">
        <f>TEXT(Pqp_supermarket_data[[#This Row],[DateTime]],"ddd")</f>
        <v>Sat</v>
      </c>
      <c r="M2457" t="str">
        <f>TEXT(Pqp_supermarket_data[[#This Row],[DateTime]],"mmm")</f>
        <v>Dec</v>
      </c>
      <c r="N2457" t="str">
        <f>TEXT(Pqp_supermarket_data[[#This Row],[DateTime]],"yyy")</f>
        <v>2022</v>
      </c>
    </row>
    <row r="2458" spans="1:14" x14ac:dyDescent="0.35">
      <c r="A2458" t="s">
        <v>5018</v>
      </c>
      <c r="B2458" s="1">
        <v>45741.150743900464</v>
      </c>
      <c r="C2458" t="s">
        <v>5019</v>
      </c>
      <c r="D2458" t="s">
        <v>208</v>
      </c>
      <c r="E2458" t="s">
        <v>148</v>
      </c>
      <c r="F2458">
        <v>5.5</v>
      </c>
      <c r="G2458">
        <v>5</v>
      </c>
      <c r="H2458" t="s">
        <v>14</v>
      </c>
      <c r="I2458" t="s">
        <v>15</v>
      </c>
      <c r="J2458" t="s">
        <v>924</v>
      </c>
      <c r="K2458">
        <f>Pqp_supermarket_data[[#This Row],[Unit_Price]]*Pqp_supermarket_data[[#This Row],[Quantity]]</f>
        <v>27.5</v>
      </c>
      <c r="L2458" t="str">
        <f>TEXT(Pqp_supermarket_data[[#This Row],[DateTime]],"ddd")</f>
        <v>Tue</v>
      </c>
      <c r="M2458" t="str">
        <f>TEXT(Pqp_supermarket_data[[#This Row],[DateTime]],"mmm")</f>
        <v>Mar</v>
      </c>
      <c r="N2458" t="str">
        <f>TEXT(Pqp_supermarket_data[[#This Row],[DateTime]],"yyy")</f>
        <v>2025</v>
      </c>
    </row>
    <row r="2459" spans="1:14" x14ac:dyDescent="0.35">
      <c r="A2459" t="s">
        <v>5020</v>
      </c>
      <c r="B2459" s="1">
        <v>44851.304910578707</v>
      </c>
      <c r="C2459" t="s">
        <v>5021</v>
      </c>
      <c r="D2459" t="s">
        <v>19</v>
      </c>
      <c r="E2459" t="s">
        <v>35</v>
      </c>
      <c r="F2459">
        <v>1.2</v>
      </c>
      <c r="G2459">
        <v>8</v>
      </c>
      <c r="H2459" t="s">
        <v>14</v>
      </c>
      <c r="I2459" t="s">
        <v>15</v>
      </c>
      <c r="J2459" t="s">
        <v>99</v>
      </c>
      <c r="K2459">
        <f>Pqp_supermarket_data[[#This Row],[Unit_Price]]*Pqp_supermarket_data[[#This Row],[Quantity]]</f>
        <v>9.6</v>
      </c>
      <c r="L2459" t="str">
        <f>TEXT(Pqp_supermarket_data[[#This Row],[DateTime]],"ddd")</f>
        <v>Mon</v>
      </c>
      <c r="M2459" t="str">
        <f>TEXT(Pqp_supermarket_data[[#This Row],[DateTime]],"mmm")</f>
        <v>Oct</v>
      </c>
      <c r="N2459" t="str">
        <f>TEXT(Pqp_supermarket_data[[#This Row],[DateTime]],"yyy")</f>
        <v>2022</v>
      </c>
    </row>
    <row r="2460" spans="1:14" x14ac:dyDescent="0.35">
      <c r="A2460" t="s">
        <v>5022</v>
      </c>
      <c r="B2460" s="1">
        <v>45556.444493912037</v>
      </c>
      <c r="C2460" t="s">
        <v>5023</v>
      </c>
      <c r="D2460" t="s">
        <v>25</v>
      </c>
      <c r="E2460" t="s">
        <v>70</v>
      </c>
      <c r="F2460">
        <v>5</v>
      </c>
      <c r="G2460">
        <v>10</v>
      </c>
      <c r="H2460" t="s">
        <v>14</v>
      </c>
      <c r="I2460" t="s">
        <v>36</v>
      </c>
      <c r="J2460" t="s">
        <v>270</v>
      </c>
      <c r="K2460">
        <f>Pqp_supermarket_data[[#This Row],[Unit_Price]]*Pqp_supermarket_data[[#This Row],[Quantity]]</f>
        <v>50</v>
      </c>
      <c r="L2460" t="str">
        <f>TEXT(Pqp_supermarket_data[[#This Row],[DateTime]],"ddd")</f>
        <v>Sat</v>
      </c>
      <c r="M2460" t="str">
        <f>TEXT(Pqp_supermarket_data[[#This Row],[DateTime]],"mmm")</f>
        <v>Sep</v>
      </c>
      <c r="N2460" t="str">
        <f>TEXT(Pqp_supermarket_data[[#This Row],[DateTime]],"yyy")</f>
        <v>2024</v>
      </c>
    </row>
    <row r="2461" spans="1:14" x14ac:dyDescent="0.35">
      <c r="A2461" t="s">
        <v>5024</v>
      </c>
      <c r="B2461" s="1">
        <v>45227.225743946758</v>
      </c>
      <c r="C2461" t="s">
        <v>5025</v>
      </c>
      <c r="D2461" t="s">
        <v>12</v>
      </c>
      <c r="E2461" t="s">
        <v>119</v>
      </c>
      <c r="F2461">
        <v>4</v>
      </c>
      <c r="G2461">
        <v>8</v>
      </c>
      <c r="H2461" t="s">
        <v>14</v>
      </c>
      <c r="I2461" t="s">
        <v>40</v>
      </c>
      <c r="J2461" t="s">
        <v>46</v>
      </c>
      <c r="K2461">
        <f>Pqp_supermarket_data[[#This Row],[Unit_Price]]*Pqp_supermarket_data[[#This Row],[Quantity]]</f>
        <v>32</v>
      </c>
      <c r="L2461" t="str">
        <f>TEXT(Pqp_supermarket_data[[#This Row],[DateTime]],"ddd")</f>
        <v>Sat</v>
      </c>
      <c r="M2461" t="str">
        <f>TEXT(Pqp_supermarket_data[[#This Row],[DateTime]],"mmm")</f>
        <v>Oct</v>
      </c>
      <c r="N2461" t="str">
        <f>TEXT(Pqp_supermarket_data[[#This Row],[DateTime]],"yyy")</f>
        <v>2023</v>
      </c>
    </row>
    <row r="2462" spans="1:14" x14ac:dyDescent="0.35">
      <c r="A2462" t="s">
        <v>5026</v>
      </c>
      <c r="B2462" s="1">
        <v>44370.38407728009</v>
      </c>
      <c r="C2462" t="s">
        <v>5027</v>
      </c>
      <c r="D2462" t="s">
        <v>77</v>
      </c>
      <c r="E2462" t="s">
        <v>49</v>
      </c>
      <c r="F2462">
        <v>7</v>
      </c>
      <c r="G2462">
        <v>7</v>
      </c>
      <c r="H2462" t="s">
        <v>14</v>
      </c>
      <c r="I2462" t="s">
        <v>40</v>
      </c>
      <c r="J2462" t="s">
        <v>74</v>
      </c>
      <c r="K2462">
        <f>Pqp_supermarket_data[[#This Row],[Unit_Price]]*Pqp_supermarket_data[[#This Row],[Quantity]]</f>
        <v>49</v>
      </c>
      <c r="L2462" t="str">
        <f>TEXT(Pqp_supermarket_data[[#This Row],[DateTime]],"ddd")</f>
        <v>Wed</v>
      </c>
      <c r="M2462" t="str">
        <f>TEXT(Pqp_supermarket_data[[#This Row],[DateTime]],"mmm")</f>
        <v>Jun</v>
      </c>
      <c r="N2462" t="str">
        <f>TEXT(Pqp_supermarket_data[[#This Row],[DateTime]],"yyy")</f>
        <v>2021</v>
      </c>
    </row>
    <row r="2463" spans="1:14" x14ac:dyDescent="0.35">
      <c r="A2463" t="s">
        <v>5028</v>
      </c>
      <c r="B2463" s="1">
        <v>44767.981299513885</v>
      </c>
      <c r="C2463" t="s">
        <v>5029</v>
      </c>
      <c r="D2463" t="s">
        <v>98</v>
      </c>
      <c r="E2463" t="s">
        <v>145</v>
      </c>
      <c r="F2463">
        <v>1.7</v>
      </c>
      <c r="G2463">
        <v>3</v>
      </c>
      <c r="H2463" t="s">
        <v>14</v>
      </c>
      <c r="I2463" t="s">
        <v>40</v>
      </c>
      <c r="J2463" t="s">
        <v>317</v>
      </c>
      <c r="K2463">
        <f>Pqp_supermarket_data[[#This Row],[Unit_Price]]*Pqp_supermarket_data[[#This Row],[Quantity]]</f>
        <v>5.0999999999999996</v>
      </c>
      <c r="L2463" t="str">
        <f>TEXT(Pqp_supermarket_data[[#This Row],[DateTime]],"ddd")</f>
        <v>Mon</v>
      </c>
      <c r="M2463" t="str">
        <f>TEXT(Pqp_supermarket_data[[#This Row],[DateTime]],"mmm")</f>
        <v>Jul</v>
      </c>
      <c r="N2463" t="str">
        <f>TEXT(Pqp_supermarket_data[[#This Row],[DateTime]],"yyy")</f>
        <v>2022</v>
      </c>
    </row>
    <row r="2464" spans="1:14" x14ac:dyDescent="0.35">
      <c r="A2464" t="s">
        <v>5030</v>
      </c>
      <c r="B2464" s="1">
        <v>45695.681993969905</v>
      </c>
      <c r="C2464" t="s">
        <v>5031</v>
      </c>
      <c r="D2464" t="s">
        <v>226</v>
      </c>
      <c r="E2464" t="s">
        <v>13</v>
      </c>
      <c r="F2464">
        <v>3.1</v>
      </c>
      <c r="G2464">
        <v>5</v>
      </c>
      <c r="H2464" t="s">
        <v>14</v>
      </c>
      <c r="I2464" t="s">
        <v>36</v>
      </c>
      <c r="J2464" t="s">
        <v>470</v>
      </c>
      <c r="K2464">
        <f>Pqp_supermarket_data[[#This Row],[Unit_Price]]*Pqp_supermarket_data[[#This Row],[Quantity]]</f>
        <v>15.5</v>
      </c>
      <c r="L2464" t="str">
        <f>TEXT(Pqp_supermarket_data[[#This Row],[DateTime]],"ddd")</f>
        <v>Fri</v>
      </c>
      <c r="M2464" t="str">
        <f>TEXT(Pqp_supermarket_data[[#This Row],[DateTime]],"mmm")</f>
        <v>Feb</v>
      </c>
      <c r="N2464" t="str">
        <f>TEXT(Pqp_supermarket_data[[#This Row],[DateTime]],"yyy")</f>
        <v>2025</v>
      </c>
    </row>
    <row r="2465" spans="1:14" x14ac:dyDescent="0.35">
      <c r="A2465" t="s">
        <v>5032</v>
      </c>
      <c r="B2465" s="1">
        <v>45371.22574396991</v>
      </c>
      <c r="C2465" t="s">
        <v>5033</v>
      </c>
      <c r="D2465" t="s">
        <v>30</v>
      </c>
      <c r="E2465" t="s">
        <v>13</v>
      </c>
      <c r="F2465">
        <v>3.1</v>
      </c>
      <c r="G2465">
        <v>4</v>
      </c>
      <c r="H2465" t="s">
        <v>14</v>
      </c>
      <c r="I2465" t="s">
        <v>15</v>
      </c>
      <c r="J2465" t="s">
        <v>320</v>
      </c>
      <c r="K2465">
        <f>Pqp_supermarket_data[[#This Row],[Unit_Price]]*Pqp_supermarket_data[[#This Row],[Quantity]]</f>
        <v>12.4</v>
      </c>
      <c r="L2465" t="str">
        <f>TEXT(Pqp_supermarket_data[[#This Row],[DateTime]],"ddd")</f>
        <v>Wed</v>
      </c>
      <c r="M2465" t="str">
        <f>TEXT(Pqp_supermarket_data[[#This Row],[DateTime]],"mmm")</f>
        <v>Mar</v>
      </c>
      <c r="N2465" t="str">
        <f>TEXT(Pqp_supermarket_data[[#This Row],[DateTime]],"yyy")</f>
        <v>2024</v>
      </c>
    </row>
    <row r="2466" spans="1:14" x14ac:dyDescent="0.35">
      <c r="A2466" t="s">
        <v>5034</v>
      </c>
      <c r="B2466" s="1">
        <v>44869.53129953704</v>
      </c>
      <c r="C2466" t="s">
        <v>5035</v>
      </c>
      <c r="D2466" t="s">
        <v>208</v>
      </c>
      <c r="E2466" t="s">
        <v>119</v>
      </c>
      <c r="F2466">
        <v>4</v>
      </c>
      <c r="G2466">
        <v>7</v>
      </c>
      <c r="H2466" t="s">
        <v>14</v>
      </c>
      <c r="I2466" t="s">
        <v>21</v>
      </c>
      <c r="J2466" t="s">
        <v>160</v>
      </c>
      <c r="K2466">
        <f>Pqp_supermarket_data[[#This Row],[Unit_Price]]*Pqp_supermarket_data[[#This Row],[Quantity]]</f>
        <v>28</v>
      </c>
      <c r="L2466" t="str">
        <f>TEXT(Pqp_supermarket_data[[#This Row],[DateTime]],"ddd")</f>
        <v>Fri</v>
      </c>
      <c r="M2466" t="str">
        <f>TEXT(Pqp_supermarket_data[[#This Row],[DateTime]],"mmm")</f>
        <v>Nov</v>
      </c>
      <c r="N2466" t="str">
        <f>TEXT(Pqp_supermarket_data[[#This Row],[DateTime]],"yyy")</f>
        <v>2022</v>
      </c>
    </row>
    <row r="2467" spans="1:14" x14ac:dyDescent="0.35">
      <c r="A2467" t="s">
        <v>5036</v>
      </c>
      <c r="B2467" s="1">
        <v>44786.236855092589</v>
      </c>
      <c r="C2467" t="s">
        <v>5037</v>
      </c>
      <c r="D2467" t="s">
        <v>34</v>
      </c>
      <c r="E2467" t="s">
        <v>137</v>
      </c>
      <c r="F2467">
        <v>2.5</v>
      </c>
      <c r="G2467">
        <v>5</v>
      </c>
      <c r="H2467" t="s">
        <v>14</v>
      </c>
      <c r="I2467" t="s">
        <v>61</v>
      </c>
      <c r="J2467" t="s">
        <v>451</v>
      </c>
      <c r="K2467">
        <f>Pqp_supermarket_data[[#This Row],[Unit_Price]]*Pqp_supermarket_data[[#This Row],[Quantity]]</f>
        <v>12.5</v>
      </c>
      <c r="L2467" t="str">
        <f>TEXT(Pqp_supermarket_data[[#This Row],[DateTime]],"ddd")</f>
        <v>Sat</v>
      </c>
      <c r="M2467" t="str">
        <f>TEXT(Pqp_supermarket_data[[#This Row],[DateTime]],"mmm")</f>
        <v>Aug</v>
      </c>
      <c r="N2467" t="str">
        <f>TEXT(Pqp_supermarket_data[[#This Row],[DateTime]],"yyy")</f>
        <v>2022</v>
      </c>
    </row>
    <row r="2468" spans="1:14" x14ac:dyDescent="0.35">
      <c r="A2468" t="s">
        <v>5038</v>
      </c>
      <c r="B2468" s="1">
        <v>44562.081299548612</v>
      </c>
      <c r="C2468" t="s">
        <v>5039</v>
      </c>
      <c r="D2468" t="s">
        <v>34</v>
      </c>
      <c r="E2468" t="s">
        <v>115</v>
      </c>
      <c r="F2468">
        <v>1.5</v>
      </c>
      <c r="G2468">
        <v>9</v>
      </c>
      <c r="H2468" t="s">
        <v>14</v>
      </c>
      <c r="I2468" t="s">
        <v>15</v>
      </c>
      <c r="J2468" t="s">
        <v>186</v>
      </c>
      <c r="K2468">
        <f>Pqp_supermarket_data[[#This Row],[Unit_Price]]*Pqp_supermarket_data[[#This Row],[Quantity]]</f>
        <v>13.5</v>
      </c>
      <c r="L2468" t="str">
        <f>TEXT(Pqp_supermarket_data[[#This Row],[DateTime]],"ddd")</f>
        <v>Sat</v>
      </c>
      <c r="M2468" t="str">
        <f>TEXT(Pqp_supermarket_data[[#This Row],[DateTime]],"mmm")</f>
        <v>Jan</v>
      </c>
      <c r="N2468" t="str">
        <f>TEXT(Pqp_supermarket_data[[#This Row],[DateTime]],"yyy")</f>
        <v>2022</v>
      </c>
    </row>
    <row r="2469" spans="1:14" x14ac:dyDescent="0.35">
      <c r="A2469" t="s">
        <v>5040</v>
      </c>
      <c r="B2469" s="1">
        <v>44438.069493993054</v>
      </c>
      <c r="C2469" t="s">
        <v>5041</v>
      </c>
      <c r="D2469" t="s">
        <v>85</v>
      </c>
      <c r="E2469" t="s">
        <v>20</v>
      </c>
      <c r="F2469">
        <v>1</v>
      </c>
      <c r="G2469">
        <v>3</v>
      </c>
      <c r="H2469" t="s">
        <v>14</v>
      </c>
      <c r="I2469" t="s">
        <v>61</v>
      </c>
      <c r="J2469" t="s">
        <v>202</v>
      </c>
      <c r="K2469">
        <f>Pqp_supermarket_data[[#This Row],[Unit_Price]]*Pqp_supermarket_data[[#This Row],[Quantity]]</f>
        <v>3</v>
      </c>
      <c r="L2469" t="str">
        <f>TEXT(Pqp_supermarket_data[[#This Row],[DateTime]],"ddd")</f>
        <v>Mon</v>
      </c>
      <c r="M2469" t="str">
        <f>TEXT(Pqp_supermarket_data[[#This Row],[DateTime]],"mmm")</f>
        <v>Aug</v>
      </c>
      <c r="N2469" t="str">
        <f>TEXT(Pqp_supermarket_data[[#This Row],[DateTime]],"yyy")</f>
        <v>2021</v>
      </c>
    </row>
    <row r="2470" spans="1:14" x14ac:dyDescent="0.35">
      <c r="A2470" t="s">
        <v>5042</v>
      </c>
      <c r="B2470" s="1">
        <v>44477.083382881945</v>
      </c>
      <c r="C2470" t="s">
        <v>5043</v>
      </c>
      <c r="D2470" t="s">
        <v>69</v>
      </c>
      <c r="E2470" t="s">
        <v>119</v>
      </c>
      <c r="F2470">
        <v>4</v>
      </c>
      <c r="G2470">
        <v>7</v>
      </c>
      <c r="H2470" t="s">
        <v>14</v>
      </c>
      <c r="I2470" t="s">
        <v>61</v>
      </c>
      <c r="J2470" t="s">
        <v>311</v>
      </c>
      <c r="K2470">
        <f>Pqp_supermarket_data[[#This Row],[Unit_Price]]*Pqp_supermarket_data[[#This Row],[Quantity]]</f>
        <v>28</v>
      </c>
      <c r="L2470" t="str">
        <f>TEXT(Pqp_supermarket_data[[#This Row],[DateTime]],"ddd")</f>
        <v>Fri</v>
      </c>
      <c r="M2470" t="str">
        <f>TEXT(Pqp_supermarket_data[[#This Row],[DateTime]],"mmm")</f>
        <v>Oct</v>
      </c>
      <c r="N2470" t="str">
        <f>TEXT(Pqp_supermarket_data[[#This Row],[DateTime]],"yyy")</f>
        <v>2021</v>
      </c>
    </row>
    <row r="2471" spans="1:14" x14ac:dyDescent="0.35">
      <c r="A2471" t="s">
        <v>5044</v>
      </c>
      <c r="B2471" s="1">
        <v>45075.178521793983</v>
      </c>
      <c r="C2471" t="s">
        <v>5045</v>
      </c>
      <c r="D2471" t="s">
        <v>34</v>
      </c>
      <c r="E2471" t="s">
        <v>115</v>
      </c>
      <c r="F2471">
        <v>1.5</v>
      </c>
      <c r="G2471">
        <v>9</v>
      </c>
      <c r="H2471" t="s">
        <v>14</v>
      </c>
      <c r="I2471" t="s">
        <v>86</v>
      </c>
      <c r="J2471" t="s">
        <v>116</v>
      </c>
      <c r="K2471">
        <f>Pqp_supermarket_data[[#This Row],[Unit_Price]]*Pqp_supermarket_data[[#This Row],[Quantity]]</f>
        <v>13.5</v>
      </c>
      <c r="L2471" t="str">
        <f>TEXT(Pqp_supermarket_data[[#This Row],[DateTime]],"ddd")</f>
        <v>Mon</v>
      </c>
      <c r="M2471" t="str">
        <f>TEXT(Pqp_supermarket_data[[#This Row],[DateTime]],"mmm")</f>
        <v>May</v>
      </c>
      <c r="N2471" t="str">
        <f>TEXT(Pqp_supermarket_data[[#This Row],[DateTime]],"yyy")</f>
        <v>2023</v>
      </c>
    </row>
    <row r="2472" spans="1:14" x14ac:dyDescent="0.35">
      <c r="A2472" t="s">
        <v>5046</v>
      </c>
      <c r="B2472" s="1">
        <v>44902.450049583334</v>
      </c>
      <c r="C2472" t="s">
        <v>5047</v>
      </c>
      <c r="D2472" t="s">
        <v>127</v>
      </c>
      <c r="E2472" t="s">
        <v>111</v>
      </c>
      <c r="F2472">
        <v>2.2000000000000002</v>
      </c>
      <c r="G2472">
        <v>6</v>
      </c>
      <c r="H2472" t="s">
        <v>14</v>
      </c>
      <c r="I2472" t="s">
        <v>61</v>
      </c>
      <c r="J2472" t="s">
        <v>230</v>
      </c>
      <c r="K2472">
        <f>Pqp_supermarket_data[[#This Row],[Unit_Price]]*Pqp_supermarket_data[[#This Row],[Quantity]]</f>
        <v>13.200000000000001</v>
      </c>
      <c r="L2472" t="str">
        <f>TEXT(Pqp_supermarket_data[[#This Row],[DateTime]],"ddd")</f>
        <v>Wed</v>
      </c>
      <c r="M2472" t="str">
        <f>TEXT(Pqp_supermarket_data[[#This Row],[DateTime]],"mmm")</f>
        <v>Dec</v>
      </c>
      <c r="N2472" t="str">
        <f>TEXT(Pqp_supermarket_data[[#This Row],[DateTime]],"yyy")</f>
        <v>2022</v>
      </c>
    </row>
    <row r="2473" spans="1:14" x14ac:dyDescent="0.35">
      <c r="A2473" t="s">
        <v>5048</v>
      </c>
      <c r="B2473" s="1">
        <v>44830.943105150465</v>
      </c>
      <c r="C2473" t="s">
        <v>5049</v>
      </c>
      <c r="D2473" t="s">
        <v>85</v>
      </c>
      <c r="E2473" t="s">
        <v>94</v>
      </c>
      <c r="F2473">
        <v>0.8</v>
      </c>
      <c r="G2473">
        <v>1</v>
      </c>
      <c r="H2473" t="s">
        <v>14</v>
      </c>
      <c r="I2473" t="s">
        <v>61</v>
      </c>
      <c r="J2473" t="s">
        <v>616</v>
      </c>
      <c r="K2473">
        <f>Pqp_supermarket_data[[#This Row],[Unit_Price]]*Pqp_supermarket_data[[#This Row],[Quantity]]</f>
        <v>0.8</v>
      </c>
      <c r="L2473" t="str">
        <f>TEXT(Pqp_supermarket_data[[#This Row],[DateTime]],"ddd")</f>
        <v>Mon</v>
      </c>
      <c r="M2473" t="str">
        <f>TEXT(Pqp_supermarket_data[[#This Row],[DateTime]],"mmm")</f>
        <v>Sep</v>
      </c>
      <c r="N2473" t="str">
        <f>TEXT(Pqp_supermarket_data[[#This Row],[DateTime]],"yyy")</f>
        <v>2022</v>
      </c>
    </row>
    <row r="2474" spans="1:14" x14ac:dyDescent="0.35">
      <c r="A2474" t="s">
        <v>5050</v>
      </c>
      <c r="B2474" s="1">
        <v>44506.366716273151</v>
      </c>
      <c r="C2474" t="s">
        <v>5051</v>
      </c>
      <c r="D2474" t="s">
        <v>44</v>
      </c>
      <c r="E2474" t="s">
        <v>20</v>
      </c>
      <c r="F2474">
        <v>1</v>
      </c>
      <c r="G2474">
        <v>3</v>
      </c>
      <c r="H2474" t="s">
        <v>14</v>
      </c>
      <c r="I2474" t="s">
        <v>21</v>
      </c>
      <c r="J2474" t="s">
        <v>16</v>
      </c>
      <c r="K2474">
        <f>Pqp_supermarket_data[[#This Row],[Unit_Price]]*Pqp_supermarket_data[[#This Row],[Quantity]]</f>
        <v>3</v>
      </c>
      <c r="L2474" t="str">
        <f>TEXT(Pqp_supermarket_data[[#This Row],[DateTime]],"ddd")</f>
        <v>Sat</v>
      </c>
      <c r="M2474" t="str">
        <f>TEXT(Pqp_supermarket_data[[#This Row],[DateTime]],"mmm")</f>
        <v>Nov</v>
      </c>
      <c r="N2474" t="str">
        <f>TEXT(Pqp_supermarket_data[[#This Row],[DateTime]],"yyy")</f>
        <v>2021</v>
      </c>
    </row>
    <row r="2475" spans="1:14" x14ac:dyDescent="0.35">
      <c r="A2475" t="s">
        <v>5052</v>
      </c>
      <c r="B2475" s="1">
        <v>45364.625744062498</v>
      </c>
      <c r="C2475" t="s">
        <v>5053</v>
      </c>
      <c r="D2475" t="s">
        <v>77</v>
      </c>
      <c r="E2475" t="s">
        <v>145</v>
      </c>
      <c r="F2475">
        <v>1.7</v>
      </c>
      <c r="G2475">
        <v>2</v>
      </c>
      <c r="H2475" t="s">
        <v>14</v>
      </c>
      <c r="I2475" t="s">
        <v>21</v>
      </c>
      <c r="J2475" t="s">
        <v>112</v>
      </c>
      <c r="K2475">
        <f>Pqp_supermarket_data[[#This Row],[Unit_Price]]*Pqp_supermarket_data[[#This Row],[Quantity]]</f>
        <v>3.4</v>
      </c>
      <c r="L2475" t="str">
        <f>TEXT(Pqp_supermarket_data[[#This Row],[DateTime]],"ddd")</f>
        <v>Wed</v>
      </c>
      <c r="M2475" t="str">
        <f>TEXT(Pqp_supermarket_data[[#This Row],[DateTime]],"mmm")</f>
        <v>Mar</v>
      </c>
      <c r="N2475" t="str">
        <f>TEXT(Pqp_supermarket_data[[#This Row],[DateTime]],"yyy")</f>
        <v>2024</v>
      </c>
    </row>
    <row r="2476" spans="1:14" x14ac:dyDescent="0.35">
      <c r="A2476" t="s">
        <v>5054</v>
      </c>
      <c r="B2476" s="1">
        <v>45700.888938518518</v>
      </c>
      <c r="C2476" t="s">
        <v>5055</v>
      </c>
      <c r="D2476" t="s">
        <v>171</v>
      </c>
      <c r="E2476" t="s">
        <v>35</v>
      </c>
      <c r="F2476">
        <v>1.2</v>
      </c>
      <c r="G2476">
        <v>5</v>
      </c>
      <c r="H2476" t="s">
        <v>14</v>
      </c>
      <c r="I2476" t="s">
        <v>21</v>
      </c>
      <c r="J2476" t="s">
        <v>178</v>
      </c>
      <c r="K2476">
        <f>Pqp_supermarket_data[[#This Row],[Unit_Price]]*Pqp_supermarket_data[[#This Row],[Quantity]]</f>
        <v>6</v>
      </c>
      <c r="L2476" t="str">
        <f>TEXT(Pqp_supermarket_data[[#This Row],[DateTime]],"ddd")</f>
        <v>Wed</v>
      </c>
      <c r="M2476" t="str">
        <f>TEXT(Pqp_supermarket_data[[#This Row],[DateTime]],"mmm")</f>
        <v>Feb</v>
      </c>
      <c r="N2476" t="str">
        <f>TEXT(Pqp_supermarket_data[[#This Row],[DateTime]],"yyy")</f>
        <v>2025</v>
      </c>
    </row>
    <row r="2477" spans="1:14" x14ac:dyDescent="0.35">
      <c r="A2477" t="s">
        <v>5056</v>
      </c>
      <c r="B2477" s="1">
        <v>45448.591716296294</v>
      </c>
      <c r="C2477" t="s">
        <v>5057</v>
      </c>
      <c r="D2477" t="s">
        <v>30</v>
      </c>
      <c r="E2477" t="s">
        <v>39</v>
      </c>
      <c r="F2477">
        <v>3.2</v>
      </c>
      <c r="G2477">
        <v>8</v>
      </c>
      <c r="H2477" t="s">
        <v>14</v>
      </c>
      <c r="I2477" t="s">
        <v>40</v>
      </c>
      <c r="J2477" t="s">
        <v>394</v>
      </c>
      <c r="K2477">
        <f>Pqp_supermarket_data[[#This Row],[Unit_Price]]*Pqp_supermarket_data[[#This Row],[Quantity]]</f>
        <v>25.6</v>
      </c>
      <c r="L2477" t="str">
        <f>TEXT(Pqp_supermarket_data[[#This Row],[DateTime]],"ddd")</f>
        <v>Wed</v>
      </c>
      <c r="M2477" t="str">
        <f>TEXT(Pqp_supermarket_data[[#This Row],[DateTime]],"mmm")</f>
        <v>Jun</v>
      </c>
      <c r="N2477" t="str">
        <f>TEXT(Pqp_supermarket_data[[#This Row],[DateTime]],"yyy")</f>
        <v>2024</v>
      </c>
    </row>
    <row r="2478" spans="1:14" x14ac:dyDescent="0.35">
      <c r="A2478" t="s">
        <v>5058</v>
      </c>
      <c r="B2478" s="1">
        <v>45021.81046630787</v>
      </c>
      <c r="C2478" t="s">
        <v>5059</v>
      </c>
      <c r="D2478" t="s">
        <v>82</v>
      </c>
      <c r="E2478" t="s">
        <v>90</v>
      </c>
      <c r="F2478">
        <v>1.8</v>
      </c>
      <c r="G2478">
        <v>7</v>
      </c>
      <c r="H2478" t="s">
        <v>14</v>
      </c>
      <c r="I2478" t="s">
        <v>15</v>
      </c>
      <c r="J2478" t="s">
        <v>317</v>
      </c>
      <c r="K2478">
        <f>Pqp_supermarket_data[[#This Row],[Unit_Price]]*Pqp_supermarket_data[[#This Row],[Quantity]]</f>
        <v>12.6</v>
      </c>
      <c r="L2478" t="str">
        <f>TEXT(Pqp_supermarket_data[[#This Row],[DateTime]],"ddd")</f>
        <v>Wed</v>
      </c>
      <c r="M2478" t="str">
        <f>TEXT(Pqp_supermarket_data[[#This Row],[DateTime]],"mmm")</f>
        <v>Apr</v>
      </c>
      <c r="N2478" t="str">
        <f>TEXT(Pqp_supermarket_data[[#This Row],[DateTime]],"yyy")</f>
        <v>2023</v>
      </c>
    </row>
    <row r="2479" spans="1:14" x14ac:dyDescent="0.35">
      <c r="A2479" t="s">
        <v>5060</v>
      </c>
      <c r="B2479" s="1">
        <v>45066.583382986108</v>
      </c>
      <c r="C2479" t="s">
        <v>5061</v>
      </c>
      <c r="D2479" t="s">
        <v>12</v>
      </c>
      <c r="E2479" t="s">
        <v>148</v>
      </c>
      <c r="F2479">
        <v>5.5</v>
      </c>
      <c r="G2479">
        <v>4</v>
      </c>
      <c r="H2479" t="s">
        <v>14</v>
      </c>
      <c r="I2479" t="s">
        <v>36</v>
      </c>
      <c r="J2479" t="s">
        <v>230</v>
      </c>
      <c r="K2479">
        <f>Pqp_supermarket_data[[#This Row],[Unit_Price]]*Pqp_supermarket_data[[#This Row],[Quantity]]</f>
        <v>22</v>
      </c>
      <c r="L2479" t="str">
        <f>TEXT(Pqp_supermarket_data[[#This Row],[DateTime]],"ddd")</f>
        <v>Sat</v>
      </c>
      <c r="M2479" t="str">
        <f>TEXT(Pqp_supermarket_data[[#This Row],[DateTime]],"mmm")</f>
        <v>May</v>
      </c>
      <c r="N2479" t="str">
        <f>TEXT(Pqp_supermarket_data[[#This Row],[DateTime]],"yyy")</f>
        <v>2023</v>
      </c>
    </row>
    <row r="2480" spans="1:14" x14ac:dyDescent="0.35">
      <c r="A2480" t="s">
        <v>5062</v>
      </c>
      <c r="B2480" s="1">
        <v>44857.356299664352</v>
      </c>
      <c r="C2480" t="s">
        <v>5063</v>
      </c>
      <c r="D2480" t="s">
        <v>12</v>
      </c>
      <c r="E2480" t="s">
        <v>78</v>
      </c>
      <c r="F2480">
        <v>4</v>
      </c>
      <c r="G2480">
        <v>1</v>
      </c>
      <c r="H2480" t="s">
        <v>14</v>
      </c>
      <c r="I2480" t="s">
        <v>21</v>
      </c>
      <c r="J2480" t="s">
        <v>192</v>
      </c>
      <c r="K2480">
        <f>Pqp_supermarket_data[[#This Row],[Unit_Price]]*Pqp_supermarket_data[[#This Row],[Quantity]]</f>
        <v>4</v>
      </c>
      <c r="L2480" t="str">
        <f>TEXT(Pqp_supermarket_data[[#This Row],[DateTime]],"ddd")</f>
        <v>Sun</v>
      </c>
      <c r="M2480" t="str">
        <f>TEXT(Pqp_supermarket_data[[#This Row],[DateTime]],"mmm")</f>
        <v>Oct</v>
      </c>
      <c r="N2480" t="str">
        <f>TEXT(Pqp_supermarket_data[[#This Row],[DateTime]],"yyy")</f>
        <v>2022</v>
      </c>
    </row>
    <row r="2481" spans="1:14" x14ac:dyDescent="0.35">
      <c r="A2481" t="s">
        <v>5064</v>
      </c>
      <c r="B2481" s="1">
        <v>44772.352827442126</v>
      </c>
      <c r="C2481" t="s">
        <v>5065</v>
      </c>
      <c r="D2481" t="s">
        <v>77</v>
      </c>
      <c r="E2481" t="s">
        <v>57</v>
      </c>
      <c r="F2481">
        <v>4.5</v>
      </c>
      <c r="G2481">
        <v>4</v>
      </c>
      <c r="H2481" t="s">
        <v>14</v>
      </c>
      <c r="I2481" t="s">
        <v>86</v>
      </c>
      <c r="J2481" t="s">
        <v>108</v>
      </c>
      <c r="K2481">
        <f>Pqp_supermarket_data[[#This Row],[Unit_Price]]*Pqp_supermarket_data[[#This Row],[Quantity]]</f>
        <v>18</v>
      </c>
      <c r="L2481" t="str">
        <f>TEXT(Pqp_supermarket_data[[#This Row],[DateTime]],"ddd")</f>
        <v>Sat</v>
      </c>
      <c r="M2481" t="str">
        <f>TEXT(Pqp_supermarket_data[[#This Row],[DateTime]],"mmm")</f>
        <v>Jul</v>
      </c>
      <c r="N2481" t="str">
        <f>TEXT(Pqp_supermarket_data[[#This Row],[DateTime]],"yyy")</f>
        <v>2022</v>
      </c>
    </row>
    <row r="2482" spans="1:14" x14ac:dyDescent="0.35">
      <c r="A2482" t="s">
        <v>5066</v>
      </c>
      <c r="B2482" s="1">
        <v>45357.823660787035</v>
      </c>
      <c r="C2482" t="s">
        <v>5067</v>
      </c>
      <c r="D2482" t="s">
        <v>77</v>
      </c>
      <c r="E2482" t="s">
        <v>78</v>
      </c>
      <c r="F2482">
        <v>4</v>
      </c>
      <c r="G2482">
        <v>1</v>
      </c>
      <c r="H2482" t="s">
        <v>14</v>
      </c>
      <c r="I2482" t="s">
        <v>40</v>
      </c>
      <c r="J2482" t="s">
        <v>27</v>
      </c>
      <c r="K2482">
        <f>Pqp_supermarket_data[[#This Row],[Unit_Price]]*Pqp_supermarket_data[[#This Row],[Quantity]]</f>
        <v>4</v>
      </c>
      <c r="L2482" t="str">
        <f>TEXT(Pqp_supermarket_data[[#This Row],[DateTime]],"ddd")</f>
        <v>Wed</v>
      </c>
      <c r="M2482" t="str">
        <f>TEXT(Pqp_supermarket_data[[#This Row],[DateTime]],"mmm")</f>
        <v>Mar</v>
      </c>
      <c r="N2482" t="str">
        <f>TEXT(Pqp_supermarket_data[[#This Row],[DateTime]],"yyy")</f>
        <v>2024</v>
      </c>
    </row>
    <row r="2483" spans="1:14" x14ac:dyDescent="0.35">
      <c r="A2483" t="s">
        <v>5068</v>
      </c>
      <c r="B2483" s="1">
        <v>45181.425744131942</v>
      </c>
      <c r="C2483" t="s">
        <v>5069</v>
      </c>
      <c r="D2483" t="s">
        <v>69</v>
      </c>
      <c r="E2483" t="s">
        <v>65</v>
      </c>
      <c r="F2483">
        <v>3</v>
      </c>
      <c r="G2483">
        <v>2</v>
      </c>
      <c r="H2483" t="s">
        <v>14</v>
      </c>
      <c r="I2483" t="s">
        <v>61</v>
      </c>
      <c r="J2483" t="s">
        <v>31</v>
      </c>
      <c r="K2483">
        <f>Pqp_supermarket_data[[#This Row],[Unit_Price]]*Pqp_supermarket_data[[#This Row],[Quantity]]</f>
        <v>6</v>
      </c>
      <c r="L2483" t="str">
        <f>TEXT(Pqp_supermarket_data[[#This Row],[DateTime]],"ddd")</f>
        <v>Tue</v>
      </c>
      <c r="M2483" t="str">
        <f>TEXT(Pqp_supermarket_data[[#This Row],[DateTime]],"mmm")</f>
        <v>Sep</v>
      </c>
      <c r="N2483" t="str">
        <f>TEXT(Pqp_supermarket_data[[#This Row],[DateTime]],"yyy")</f>
        <v>2023</v>
      </c>
    </row>
    <row r="2484" spans="1:14" x14ac:dyDescent="0.35">
      <c r="A2484" t="s">
        <v>5070</v>
      </c>
      <c r="B2484" s="1">
        <v>45543.002827476848</v>
      </c>
      <c r="C2484" t="s">
        <v>5071</v>
      </c>
      <c r="D2484" t="s">
        <v>30</v>
      </c>
      <c r="E2484" t="s">
        <v>49</v>
      </c>
      <c r="F2484">
        <v>7</v>
      </c>
      <c r="G2484">
        <v>1</v>
      </c>
      <c r="H2484" t="s">
        <v>14</v>
      </c>
      <c r="I2484" t="s">
        <v>36</v>
      </c>
      <c r="J2484" t="s">
        <v>273</v>
      </c>
      <c r="K2484">
        <f>Pqp_supermarket_data[[#This Row],[Unit_Price]]*Pqp_supermarket_data[[#This Row],[Quantity]]</f>
        <v>7</v>
      </c>
      <c r="L2484" t="str">
        <f>TEXT(Pqp_supermarket_data[[#This Row],[DateTime]],"ddd")</f>
        <v>Sun</v>
      </c>
      <c r="M2484" t="str">
        <f>TEXT(Pqp_supermarket_data[[#This Row],[DateTime]],"mmm")</f>
        <v>Sep</v>
      </c>
      <c r="N2484" t="str">
        <f>TEXT(Pqp_supermarket_data[[#This Row],[DateTime]],"yyy")</f>
        <v>2024</v>
      </c>
    </row>
    <row r="2485" spans="1:14" x14ac:dyDescent="0.35">
      <c r="A2485" t="s">
        <v>5072</v>
      </c>
      <c r="B2485" s="1">
        <v>45172.126438599538</v>
      </c>
      <c r="C2485" t="s">
        <v>5073</v>
      </c>
      <c r="D2485" t="s">
        <v>44</v>
      </c>
      <c r="E2485" t="s">
        <v>78</v>
      </c>
      <c r="F2485">
        <v>4</v>
      </c>
      <c r="G2485">
        <v>5</v>
      </c>
      <c r="H2485" t="s">
        <v>14</v>
      </c>
      <c r="I2485" t="s">
        <v>86</v>
      </c>
      <c r="J2485" t="s">
        <v>215</v>
      </c>
      <c r="K2485">
        <f>Pqp_supermarket_data[[#This Row],[Unit_Price]]*Pqp_supermarket_data[[#This Row],[Quantity]]</f>
        <v>20</v>
      </c>
      <c r="L2485" t="str">
        <f>TEXT(Pqp_supermarket_data[[#This Row],[DateTime]],"ddd")</f>
        <v>Sun</v>
      </c>
      <c r="M2485" t="str">
        <f>TEXT(Pqp_supermarket_data[[#This Row],[DateTime]],"mmm")</f>
        <v>Sep</v>
      </c>
      <c r="N2485" t="str">
        <f>TEXT(Pqp_supermarket_data[[#This Row],[DateTime]],"yyy")</f>
        <v>2023</v>
      </c>
    </row>
    <row r="2486" spans="1:14" x14ac:dyDescent="0.35">
      <c r="A2486" t="s">
        <v>5074</v>
      </c>
      <c r="B2486" s="1">
        <v>44578.906994155092</v>
      </c>
      <c r="C2486" t="s">
        <v>5075</v>
      </c>
      <c r="D2486" t="s">
        <v>171</v>
      </c>
      <c r="E2486" t="s">
        <v>119</v>
      </c>
      <c r="F2486">
        <v>4</v>
      </c>
      <c r="G2486">
        <v>1</v>
      </c>
      <c r="H2486" t="s">
        <v>14</v>
      </c>
      <c r="I2486" t="s">
        <v>36</v>
      </c>
      <c r="J2486" t="s">
        <v>723</v>
      </c>
      <c r="K2486">
        <f>Pqp_supermarket_data[[#This Row],[Unit_Price]]*Pqp_supermarket_data[[#This Row],[Quantity]]</f>
        <v>4</v>
      </c>
      <c r="L2486" t="str">
        <f>TEXT(Pqp_supermarket_data[[#This Row],[DateTime]],"ddd")</f>
        <v>Mon</v>
      </c>
      <c r="M2486" t="str">
        <f>TEXT(Pqp_supermarket_data[[#This Row],[DateTime]],"mmm")</f>
        <v>Jan</v>
      </c>
      <c r="N2486" t="str">
        <f>TEXT(Pqp_supermarket_data[[#This Row],[DateTime]],"yyy")</f>
        <v>2022</v>
      </c>
    </row>
    <row r="2487" spans="1:14" x14ac:dyDescent="0.35">
      <c r="A2487" t="s">
        <v>5076</v>
      </c>
      <c r="B2487" s="1">
        <v>45721.920883078703</v>
      </c>
      <c r="C2487" t="s">
        <v>5077</v>
      </c>
      <c r="D2487" t="s">
        <v>44</v>
      </c>
      <c r="E2487" t="s">
        <v>35</v>
      </c>
      <c r="F2487">
        <v>1.2</v>
      </c>
      <c r="G2487">
        <v>5</v>
      </c>
      <c r="H2487" t="s">
        <v>14</v>
      </c>
      <c r="I2487" t="s">
        <v>36</v>
      </c>
      <c r="J2487" t="s">
        <v>122</v>
      </c>
      <c r="K2487">
        <f>Pqp_supermarket_data[[#This Row],[Unit_Price]]*Pqp_supermarket_data[[#This Row],[Quantity]]</f>
        <v>6</v>
      </c>
      <c r="L2487" t="str">
        <f>TEXT(Pqp_supermarket_data[[#This Row],[DateTime]],"ddd")</f>
        <v>Wed</v>
      </c>
      <c r="M2487" t="str">
        <f>TEXT(Pqp_supermarket_data[[#This Row],[DateTime]],"mmm")</f>
        <v>Mar</v>
      </c>
      <c r="N2487" t="str">
        <f>TEXT(Pqp_supermarket_data[[#This Row],[DateTime]],"yyy")</f>
        <v>2025</v>
      </c>
    </row>
    <row r="2488" spans="1:14" x14ac:dyDescent="0.35">
      <c r="A2488" t="s">
        <v>5078</v>
      </c>
      <c r="B2488" s="1">
        <v>45000.817410868054</v>
      </c>
      <c r="C2488" t="s">
        <v>5079</v>
      </c>
      <c r="D2488" t="s">
        <v>77</v>
      </c>
      <c r="E2488" t="s">
        <v>145</v>
      </c>
      <c r="F2488">
        <v>1.7</v>
      </c>
      <c r="G2488">
        <v>10</v>
      </c>
      <c r="H2488" t="s">
        <v>14</v>
      </c>
      <c r="I2488" t="s">
        <v>21</v>
      </c>
      <c r="J2488" t="s">
        <v>561</v>
      </c>
      <c r="K2488">
        <f>Pqp_supermarket_data[[#This Row],[Unit_Price]]*Pqp_supermarket_data[[#This Row],[Quantity]]</f>
        <v>17</v>
      </c>
      <c r="L2488" t="str">
        <f>TEXT(Pqp_supermarket_data[[#This Row],[DateTime]],"ddd")</f>
        <v>Wed</v>
      </c>
      <c r="M2488" t="str">
        <f>TEXT(Pqp_supermarket_data[[#This Row],[DateTime]],"mmm")</f>
        <v>Mar</v>
      </c>
      <c r="N2488" t="str">
        <f>TEXT(Pqp_supermarket_data[[#This Row],[DateTime]],"yyy")</f>
        <v>2023</v>
      </c>
    </row>
    <row r="2489" spans="1:14" x14ac:dyDescent="0.35">
      <c r="A2489" t="s">
        <v>5080</v>
      </c>
      <c r="B2489" s="1">
        <v>44383.934077534723</v>
      </c>
      <c r="C2489" t="s">
        <v>5081</v>
      </c>
      <c r="D2489" t="s">
        <v>82</v>
      </c>
      <c r="E2489" t="s">
        <v>137</v>
      </c>
      <c r="F2489">
        <v>2.5</v>
      </c>
      <c r="G2489">
        <v>8</v>
      </c>
      <c r="H2489" t="s">
        <v>14</v>
      </c>
      <c r="I2489" t="s">
        <v>40</v>
      </c>
      <c r="J2489" t="s">
        <v>122</v>
      </c>
      <c r="K2489">
        <f>Pqp_supermarket_data[[#This Row],[Unit_Price]]*Pqp_supermarket_data[[#This Row],[Quantity]]</f>
        <v>20</v>
      </c>
      <c r="L2489" t="str">
        <f>TEXT(Pqp_supermarket_data[[#This Row],[DateTime]],"ddd")</f>
        <v>Tue</v>
      </c>
      <c r="M2489" t="str">
        <f>TEXT(Pqp_supermarket_data[[#This Row],[DateTime]],"mmm")</f>
        <v>Jul</v>
      </c>
      <c r="N2489" t="str">
        <f>TEXT(Pqp_supermarket_data[[#This Row],[DateTime]],"yyy")</f>
        <v>2021</v>
      </c>
    </row>
    <row r="2490" spans="1:14" x14ac:dyDescent="0.35">
      <c r="A2490" t="s">
        <v>5082</v>
      </c>
      <c r="B2490" s="1">
        <v>45269.847966423615</v>
      </c>
      <c r="C2490" t="s">
        <v>5083</v>
      </c>
      <c r="D2490" t="s">
        <v>77</v>
      </c>
      <c r="E2490" t="s">
        <v>26</v>
      </c>
      <c r="F2490">
        <v>2.5</v>
      </c>
      <c r="G2490">
        <v>2</v>
      </c>
      <c r="H2490" t="s">
        <v>14</v>
      </c>
      <c r="I2490" t="s">
        <v>86</v>
      </c>
      <c r="J2490" t="s">
        <v>41</v>
      </c>
      <c r="K2490">
        <f>Pqp_supermarket_data[[#This Row],[Unit_Price]]*Pqp_supermarket_data[[#This Row],[Quantity]]</f>
        <v>5</v>
      </c>
      <c r="L2490" t="str">
        <f>TEXT(Pqp_supermarket_data[[#This Row],[DateTime]],"ddd")</f>
        <v>Sat</v>
      </c>
      <c r="M2490" t="str">
        <f>TEXT(Pqp_supermarket_data[[#This Row],[DateTime]],"mmm")</f>
        <v>Dec</v>
      </c>
      <c r="N2490" t="str">
        <f>TEXT(Pqp_supermarket_data[[#This Row],[DateTime]],"yyy")</f>
        <v>2023</v>
      </c>
    </row>
    <row r="2491" spans="1:14" x14ac:dyDescent="0.35">
      <c r="A2491" t="s">
        <v>5084</v>
      </c>
      <c r="B2491" s="1">
        <v>45096.241716446762</v>
      </c>
      <c r="C2491" t="s">
        <v>5085</v>
      </c>
      <c r="D2491" t="s">
        <v>98</v>
      </c>
      <c r="E2491" t="s">
        <v>137</v>
      </c>
      <c r="F2491">
        <v>2.5</v>
      </c>
      <c r="G2491">
        <v>6</v>
      </c>
      <c r="H2491" t="s">
        <v>14</v>
      </c>
      <c r="I2491" t="s">
        <v>61</v>
      </c>
      <c r="J2491" t="s">
        <v>153</v>
      </c>
      <c r="K2491">
        <f>Pqp_supermarket_data[[#This Row],[Unit_Price]]*Pqp_supermarket_data[[#This Row],[Quantity]]</f>
        <v>15</v>
      </c>
      <c r="L2491" t="str">
        <f>TEXT(Pqp_supermarket_data[[#This Row],[DateTime]],"ddd")</f>
        <v>Mon</v>
      </c>
      <c r="M2491" t="str">
        <f>TEXT(Pqp_supermarket_data[[#This Row],[DateTime]],"mmm")</f>
        <v>Jun</v>
      </c>
      <c r="N2491" t="str">
        <f>TEXT(Pqp_supermarket_data[[#This Row],[DateTime]],"yyy")</f>
        <v>2023</v>
      </c>
    </row>
    <row r="2492" spans="1:14" x14ac:dyDescent="0.35">
      <c r="A2492" t="s">
        <v>5086</v>
      </c>
      <c r="B2492" s="1">
        <v>44344.967410902776</v>
      </c>
      <c r="C2492" t="s">
        <v>5087</v>
      </c>
      <c r="D2492" t="s">
        <v>171</v>
      </c>
      <c r="E2492" t="s">
        <v>145</v>
      </c>
      <c r="F2492">
        <v>1.7</v>
      </c>
      <c r="G2492">
        <v>2</v>
      </c>
      <c r="H2492" t="s">
        <v>14</v>
      </c>
      <c r="I2492" t="s">
        <v>40</v>
      </c>
      <c r="J2492" t="s">
        <v>382</v>
      </c>
      <c r="K2492">
        <f>Pqp_supermarket_data[[#This Row],[Unit_Price]]*Pqp_supermarket_data[[#This Row],[Quantity]]</f>
        <v>3.4</v>
      </c>
      <c r="L2492" t="str">
        <f>TEXT(Pqp_supermarket_data[[#This Row],[DateTime]],"ddd")</f>
        <v>Fri</v>
      </c>
      <c r="M2492" t="str">
        <f>TEXT(Pqp_supermarket_data[[#This Row],[DateTime]],"mmm")</f>
        <v>May</v>
      </c>
      <c r="N2492" t="str">
        <f>TEXT(Pqp_supermarket_data[[#This Row],[DateTime]],"yyy")</f>
        <v>2021</v>
      </c>
    </row>
    <row r="2493" spans="1:14" x14ac:dyDescent="0.35">
      <c r="A2493" t="s">
        <v>5088</v>
      </c>
      <c r="B2493" s="1">
        <v>45523.771577569445</v>
      </c>
      <c r="C2493" t="s">
        <v>5089</v>
      </c>
      <c r="D2493" t="s">
        <v>30</v>
      </c>
      <c r="E2493" t="s">
        <v>35</v>
      </c>
      <c r="F2493">
        <v>1.2</v>
      </c>
      <c r="G2493">
        <v>9</v>
      </c>
      <c r="H2493" t="s">
        <v>14</v>
      </c>
      <c r="I2493" t="s">
        <v>86</v>
      </c>
      <c r="J2493" t="s">
        <v>95</v>
      </c>
      <c r="K2493">
        <f>Pqp_supermarket_data[[#This Row],[Unit_Price]]*Pqp_supermarket_data[[#This Row],[Quantity]]</f>
        <v>10.799999999999999</v>
      </c>
      <c r="L2493" t="str">
        <f>TEXT(Pqp_supermarket_data[[#This Row],[DateTime]],"ddd")</f>
        <v>Mon</v>
      </c>
      <c r="M2493" t="str">
        <f>TEXT(Pqp_supermarket_data[[#This Row],[DateTime]],"mmm")</f>
        <v>Aug</v>
      </c>
      <c r="N2493" t="str">
        <f>TEXT(Pqp_supermarket_data[[#This Row],[DateTime]],"yyy")</f>
        <v>2024</v>
      </c>
    </row>
    <row r="2494" spans="1:14" x14ac:dyDescent="0.35">
      <c r="A2494" t="s">
        <v>5090</v>
      </c>
      <c r="B2494" s="1">
        <v>44758.331299803242</v>
      </c>
      <c r="C2494" t="s">
        <v>5091</v>
      </c>
      <c r="D2494" t="s">
        <v>127</v>
      </c>
      <c r="E2494" t="s">
        <v>119</v>
      </c>
      <c r="F2494">
        <v>4</v>
      </c>
      <c r="G2494">
        <v>7</v>
      </c>
      <c r="H2494" t="s">
        <v>14</v>
      </c>
      <c r="I2494" t="s">
        <v>21</v>
      </c>
      <c r="J2494" t="s">
        <v>189</v>
      </c>
      <c r="K2494">
        <f>Pqp_supermarket_data[[#This Row],[Unit_Price]]*Pqp_supermarket_data[[#This Row],[Quantity]]</f>
        <v>28</v>
      </c>
      <c r="L2494" t="str">
        <f>TEXT(Pqp_supermarket_data[[#This Row],[DateTime]],"ddd")</f>
        <v>Sat</v>
      </c>
      <c r="M2494" t="str">
        <f>TEXT(Pqp_supermarket_data[[#This Row],[DateTime]],"mmm")</f>
        <v>Jul</v>
      </c>
      <c r="N2494" t="str">
        <f>TEXT(Pqp_supermarket_data[[#This Row],[DateTime]],"yyy")</f>
        <v>2022</v>
      </c>
    </row>
    <row r="2495" spans="1:14" x14ac:dyDescent="0.35">
      <c r="A2495" t="s">
        <v>5092</v>
      </c>
      <c r="B2495" s="1">
        <v>45687.200744247682</v>
      </c>
      <c r="C2495" t="s">
        <v>5093</v>
      </c>
      <c r="D2495" t="s">
        <v>77</v>
      </c>
      <c r="E2495" t="s">
        <v>90</v>
      </c>
      <c r="F2495">
        <v>1.8</v>
      </c>
      <c r="G2495">
        <v>8</v>
      </c>
      <c r="H2495" t="s">
        <v>14</v>
      </c>
      <c r="I2495" t="s">
        <v>15</v>
      </c>
      <c r="J2495" t="s">
        <v>31</v>
      </c>
      <c r="K2495">
        <f>Pqp_supermarket_data[[#This Row],[Unit_Price]]*Pqp_supermarket_data[[#This Row],[Quantity]]</f>
        <v>14.4</v>
      </c>
      <c r="L2495" t="str">
        <f>TEXT(Pqp_supermarket_data[[#This Row],[DateTime]],"ddd")</f>
        <v>Thu</v>
      </c>
      <c r="M2495" t="str">
        <f>TEXT(Pqp_supermarket_data[[#This Row],[DateTime]],"mmm")</f>
        <v>Jan</v>
      </c>
      <c r="N2495" t="str">
        <f>TEXT(Pqp_supermarket_data[[#This Row],[DateTime]],"yyy")</f>
        <v>2025</v>
      </c>
    </row>
    <row r="2496" spans="1:14" x14ac:dyDescent="0.35">
      <c r="A2496" t="s">
        <v>5094</v>
      </c>
      <c r="B2496" s="1">
        <v>45186.350049826389</v>
      </c>
      <c r="C2496" t="s">
        <v>5095</v>
      </c>
      <c r="D2496" t="s">
        <v>127</v>
      </c>
      <c r="E2496" t="s">
        <v>45</v>
      </c>
      <c r="F2496">
        <v>1</v>
      </c>
      <c r="G2496">
        <v>6</v>
      </c>
      <c r="H2496" t="s">
        <v>14</v>
      </c>
      <c r="I2496" t="s">
        <v>86</v>
      </c>
      <c r="J2496" t="s">
        <v>233</v>
      </c>
      <c r="K2496">
        <f>Pqp_supermarket_data[[#This Row],[Unit_Price]]*Pqp_supermarket_data[[#This Row],[Quantity]]</f>
        <v>6</v>
      </c>
      <c r="L2496" t="str">
        <f>TEXT(Pqp_supermarket_data[[#This Row],[DateTime]],"ddd")</f>
        <v>Sun</v>
      </c>
      <c r="M2496" t="str">
        <f>TEXT(Pqp_supermarket_data[[#This Row],[DateTime]],"mmm")</f>
        <v>Sep</v>
      </c>
      <c r="N2496" t="str">
        <f>TEXT(Pqp_supermarket_data[[#This Row],[DateTime]],"yyy")</f>
        <v>2023</v>
      </c>
    </row>
    <row r="2497" spans="1:14" x14ac:dyDescent="0.35">
      <c r="A2497" t="s">
        <v>5096</v>
      </c>
      <c r="B2497" s="1">
        <v>44380.356299826388</v>
      </c>
      <c r="C2497" t="s">
        <v>5097</v>
      </c>
      <c r="D2497" t="s">
        <v>77</v>
      </c>
      <c r="E2497" t="s">
        <v>78</v>
      </c>
      <c r="F2497">
        <v>4</v>
      </c>
      <c r="G2497">
        <v>8</v>
      </c>
      <c r="H2497" t="s">
        <v>14</v>
      </c>
      <c r="I2497" t="s">
        <v>86</v>
      </c>
      <c r="J2497" t="s">
        <v>623</v>
      </c>
      <c r="K2497">
        <f>Pqp_supermarket_data[[#This Row],[Unit_Price]]*Pqp_supermarket_data[[#This Row],[Quantity]]</f>
        <v>32</v>
      </c>
      <c r="L2497" t="str">
        <f>TEXT(Pqp_supermarket_data[[#This Row],[DateTime]],"ddd")</f>
        <v>Sat</v>
      </c>
      <c r="M2497" t="str">
        <f>TEXT(Pqp_supermarket_data[[#This Row],[DateTime]],"mmm")</f>
        <v>Jul</v>
      </c>
      <c r="N2497" t="str">
        <f>TEXT(Pqp_supermarket_data[[#This Row],[DateTime]],"yyy")</f>
        <v>2021</v>
      </c>
    </row>
    <row r="2498" spans="1:14" x14ac:dyDescent="0.35">
      <c r="A2498" t="s">
        <v>5098</v>
      </c>
      <c r="B2498" s="1">
        <v>45775.025744270832</v>
      </c>
      <c r="C2498" t="s">
        <v>5099</v>
      </c>
      <c r="D2498" t="s">
        <v>12</v>
      </c>
      <c r="E2498" t="s">
        <v>94</v>
      </c>
      <c r="F2498">
        <v>0.8</v>
      </c>
      <c r="G2498">
        <v>7</v>
      </c>
      <c r="H2498" t="s">
        <v>14</v>
      </c>
      <c r="I2498" t="s">
        <v>40</v>
      </c>
      <c r="J2498" t="s">
        <v>108</v>
      </c>
      <c r="K2498">
        <f>Pqp_supermarket_data[[#This Row],[Unit_Price]]*Pqp_supermarket_data[[#This Row],[Quantity]]</f>
        <v>5.6000000000000005</v>
      </c>
      <c r="L2498" t="str">
        <f>TEXT(Pqp_supermarket_data[[#This Row],[DateTime]],"ddd")</f>
        <v>Mon</v>
      </c>
      <c r="M2498" t="str">
        <f>TEXT(Pqp_supermarket_data[[#This Row],[DateTime]],"mmm")</f>
        <v>Apr</v>
      </c>
      <c r="N2498" t="str">
        <f>TEXT(Pqp_supermarket_data[[#This Row],[DateTime]],"yyy")</f>
        <v>2025</v>
      </c>
    </row>
    <row r="2499" spans="1:14" x14ac:dyDescent="0.35">
      <c r="A2499" t="s">
        <v>5100</v>
      </c>
      <c r="B2499" s="1">
        <v>45412.253522060186</v>
      </c>
      <c r="C2499" t="s">
        <v>5101</v>
      </c>
      <c r="D2499" t="s">
        <v>34</v>
      </c>
      <c r="E2499" t="s">
        <v>119</v>
      </c>
      <c r="F2499">
        <v>4</v>
      </c>
      <c r="G2499">
        <v>8</v>
      </c>
      <c r="H2499" t="s">
        <v>14</v>
      </c>
      <c r="I2499" t="s">
        <v>15</v>
      </c>
      <c r="J2499" t="s">
        <v>541</v>
      </c>
      <c r="K2499">
        <f>Pqp_supermarket_data[[#This Row],[Unit_Price]]*Pqp_supermarket_data[[#This Row],[Quantity]]</f>
        <v>32</v>
      </c>
      <c r="L2499" t="str">
        <f>TEXT(Pqp_supermarket_data[[#This Row],[DateTime]],"ddd")</f>
        <v>Tue</v>
      </c>
      <c r="M2499" t="str">
        <f>TEXT(Pqp_supermarket_data[[#This Row],[DateTime]],"mmm")</f>
        <v>Apr</v>
      </c>
      <c r="N2499" t="str">
        <f>TEXT(Pqp_supermarket_data[[#This Row],[DateTime]],"yyy")</f>
        <v>2024</v>
      </c>
    </row>
    <row r="2500" spans="1:14" x14ac:dyDescent="0.35">
      <c r="A2500" t="s">
        <v>5102</v>
      </c>
      <c r="B2500" s="1">
        <v>44875.602827627314</v>
      </c>
      <c r="C2500" t="s">
        <v>5103</v>
      </c>
      <c r="D2500" t="s">
        <v>77</v>
      </c>
      <c r="E2500" t="s">
        <v>148</v>
      </c>
      <c r="F2500">
        <v>5.5</v>
      </c>
      <c r="G2500">
        <v>3</v>
      </c>
      <c r="H2500" t="s">
        <v>14</v>
      </c>
      <c r="I2500" t="s">
        <v>15</v>
      </c>
      <c r="J2500" t="s">
        <v>295</v>
      </c>
      <c r="K2500">
        <f>Pqp_supermarket_data[[#This Row],[Unit_Price]]*Pqp_supermarket_data[[#This Row],[Quantity]]</f>
        <v>16.5</v>
      </c>
      <c r="L2500" t="str">
        <f>TEXT(Pqp_supermarket_data[[#This Row],[DateTime]],"ddd")</f>
        <v>Thu</v>
      </c>
      <c r="M2500" t="str">
        <f>TEXT(Pqp_supermarket_data[[#This Row],[DateTime]],"mmm")</f>
        <v>Nov</v>
      </c>
      <c r="N2500" t="str">
        <f>TEXT(Pqp_supermarket_data[[#This Row],[DateTime]],"yyy")</f>
        <v>2022</v>
      </c>
    </row>
    <row r="2501" spans="1:14" x14ac:dyDescent="0.35">
      <c r="A2501" t="s">
        <v>5104</v>
      </c>
      <c r="B2501" s="1">
        <v>44546.809077662037</v>
      </c>
      <c r="C2501" t="s">
        <v>5105</v>
      </c>
      <c r="D2501" t="s">
        <v>98</v>
      </c>
      <c r="E2501" t="s">
        <v>115</v>
      </c>
      <c r="F2501">
        <v>1.5</v>
      </c>
      <c r="G2501">
        <v>6</v>
      </c>
      <c r="H2501" t="s">
        <v>14</v>
      </c>
      <c r="I2501" t="s">
        <v>36</v>
      </c>
      <c r="J2501" t="s">
        <v>236</v>
      </c>
      <c r="K2501">
        <f>Pqp_supermarket_data[[#This Row],[Unit_Price]]*Pqp_supermarket_data[[#This Row],[Quantity]]</f>
        <v>9</v>
      </c>
      <c r="L2501" t="str">
        <f>TEXT(Pqp_supermarket_data[[#This Row],[DateTime]],"ddd")</f>
        <v>Thu</v>
      </c>
      <c r="M2501" t="str">
        <f>TEXT(Pqp_supermarket_data[[#This Row],[DateTime]],"mmm")</f>
        <v>Dec</v>
      </c>
      <c r="N2501" t="str">
        <f>TEXT(Pqp_supermarket_data[[#This Row],[DateTime]],"yyy")</f>
        <v>2021</v>
      </c>
    </row>
    <row r="2502" spans="1:14" x14ac:dyDescent="0.35">
      <c r="A2502" t="s">
        <v>5106</v>
      </c>
      <c r="B2502" s="1">
        <v>45743.62018878472</v>
      </c>
      <c r="C2502" t="s">
        <v>5107</v>
      </c>
      <c r="D2502" t="s">
        <v>19</v>
      </c>
      <c r="E2502" t="s">
        <v>53</v>
      </c>
      <c r="F2502">
        <v>2.8</v>
      </c>
      <c r="G2502">
        <v>9</v>
      </c>
      <c r="H2502" t="s">
        <v>14</v>
      </c>
      <c r="I2502" t="s">
        <v>40</v>
      </c>
      <c r="J2502" t="s">
        <v>175</v>
      </c>
      <c r="K2502">
        <f>Pqp_supermarket_data[[#This Row],[Unit_Price]]*Pqp_supermarket_data[[#This Row],[Quantity]]</f>
        <v>25.2</v>
      </c>
      <c r="L2502" t="str">
        <f>TEXT(Pqp_supermarket_data[[#This Row],[DateTime]],"ddd")</f>
        <v>Thu</v>
      </c>
      <c r="M2502" t="str">
        <f>TEXT(Pqp_supermarket_data[[#This Row],[DateTime]],"mmm")</f>
        <v>Mar</v>
      </c>
      <c r="N2502" t="str">
        <f>TEXT(Pqp_supermarket_data[[#This Row],[DateTime]],"yyy")</f>
        <v>2025</v>
      </c>
    </row>
    <row r="2503" spans="1:14" x14ac:dyDescent="0.35">
      <c r="A2503" t="s">
        <v>5108</v>
      </c>
      <c r="B2503" s="1">
        <v>44816.506299907407</v>
      </c>
      <c r="C2503" t="s">
        <v>5109</v>
      </c>
      <c r="D2503" t="s">
        <v>82</v>
      </c>
      <c r="E2503" t="s">
        <v>20</v>
      </c>
      <c r="F2503">
        <v>1</v>
      </c>
      <c r="G2503">
        <v>7</v>
      </c>
      <c r="H2503" t="s">
        <v>14</v>
      </c>
      <c r="I2503" t="s">
        <v>40</v>
      </c>
      <c r="J2503" t="s">
        <v>95</v>
      </c>
      <c r="K2503">
        <f>Pqp_supermarket_data[[#This Row],[Unit_Price]]*Pqp_supermarket_data[[#This Row],[Quantity]]</f>
        <v>7</v>
      </c>
      <c r="L2503" t="str">
        <f>TEXT(Pqp_supermarket_data[[#This Row],[DateTime]],"ddd")</f>
        <v>Mon</v>
      </c>
      <c r="M2503" t="str">
        <f>TEXT(Pqp_supermarket_data[[#This Row],[DateTime]],"mmm")</f>
        <v>Sep</v>
      </c>
      <c r="N2503" t="str">
        <f>TEXT(Pqp_supermarket_data[[#This Row],[DateTime]],"yyy")</f>
        <v>2022</v>
      </c>
    </row>
    <row r="2504" spans="1:14" x14ac:dyDescent="0.35">
      <c r="A2504" t="s">
        <v>5110</v>
      </c>
      <c r="B2504" s="1">
        <v>45608.187549907409</v>
      </c>
      <c r="C2504" t="s">
        <v>5111</v>
      </c>
      <c r="D2504" t="s">
        <v>30</v>
      </c>
      <c r="E2504" t="s">
        <v>53</v>
      </c>
      <c r="F2504">
        <v>2.8</v>
      </c>
      <c r="G2504">
        <v>8</v>
      </c>
      <c r="H2504" t="s">
        <v>14</v>
      </c>
      <c r="I2504" t="s">
        <v>86</v>
      </c>
      <c r="J2504" t="s">
        <v>616</v>
      </c>
      <c r="K2504">
        <f>Pqp_supermarket_data[[#This Row],[Unit_Price]]*Pqp_supermarket_data[[#This Row],[Quantity]]</f>
        <v>22.4</v>
      </c>
      <c r="L2504" t="str">
        <f>TEXT(Pqp_supermarket_data[[#This Row],[DateTime]],"ddd")</f>
        <v>Tue</v>
      </c>
      <c r="M2504" t="str">
        <f>TEXT(Pqp_supermarket_data[[#This Row],[DateTime]],"mmm")</f>
        <v>Nov</v>
      </c>
      <c r="N2504" t="str">
        <f>TEXT(Pqp_supermarket_data[[#This Row],[DateTime]],"yyy")</f>
        <v>2024</v>
      </c>
    </row>
    <row r="2505" spans="1:14" x14ac:dyDescent="0.35">
      <c r="A2505" t="s">
        <v>5112</v>
      </c>
      <c r="B2505" s="1">
        <v>45288.388244363428</v>
      </c>
      <c r="C2505" t="s">
        <v>5113</v>
      </c>
      <c r="D2505" t="s">
        <v>208</v>
      </c>
      <c r="E2505" t="s">
        <v>94</v>
      </c>
      <c r="F2505">
        <v>0.8</v>
      </c>
      <c r="G2505">
        <v>2</v>
      </c>
      <c r="H2505" t="s">
        <v>14</v>
      </c>
      <c r="I2505" t="s">
        <v>21</v>
      </c>
      <c r="J2505" t="s">
        <v>458</v>
      </c>
      <c r="K2505">
        <f>Pqp_supermarket_data[[#This Row],[Unit_Price]]*Pqp_supermarket_data[[#This Row],[Quantity]]</f>
        <v>1.6</v>
      </c>
      <c r="L2505" t="str">
        <f>TEXT(Pqp_supermarket_data[[#This Row],[DateTime]],"ddd")</f>
        <v>Thu</v>
      </c>
      <c r="M2505" t="str">
        <f>TEXT(Pqp_supermarket_data[[#This Row],[DateTime]],"mmm")</f>
        <v>Dec</v>
      </c>
      <c r="N2505" t="str">
        <f>TEXT(Pqp_supermarket_data[[#This Row],[DateTime]],"yyy")</f>
        <v>2023</v>
      </c>
    </row>
    <row r="2506" spans="1:14" x14ac:dyDescent="0.35">
      <c r="A2506" t="s">
        <v>5114</v>
      </c>
      <c r="B2506" s="1">
        <v>44425.290327696763</v>
      </c>
      <c r="C2506" t="s">
        <v>5115</v>
      </c>
      <c r="D2506" t="s">
        <v>30</v>
      </c>
      <c r="E2506" t="s">
        <v>20</v>
      </c>
      <c r="F2506">
        <v>1</v>
      </c>
      <c r="G2506">
        <v>6</v>
      </c>
      <c r="H2506" t="s">
        <v>14</v>
      </c>
      <c r="I2506" t="s">
        <v>21</v>
      </c>
      <c r="J2506" t="s">
        <v>924</v>
      </c>
      <c r="K2506">
        <f>Pqp_supermarket_data[[#This Row],[Unit_Price]]*Pqp_supermarket_data[[#This Row],[Quantity]]</f>
        <v>6</v>
      </c>
      <c r="L2506" t="str">
        <f>TEXT(Pqp_supermarket_data[[#This Row],[DateTime]],"ddd")</f>
        <v>Tue</v>
      </c>
      <c r="M2506" t="str">
        <f>TEXT(Pqp_supermarket_data[[#This Row],[DateTime]],"mmm")</f>
        <v>Aug</v>
      </c>
      <c r="N2506" t="str">
        <f>TEXT(Pqp_supermarket_data[[#This Row],[DateTime]],"yyy")</f>
        <v>2021</v>
      </c>
    </row>
    <row r="2507" spans="1:14" x14ac:dyDescent="0.35">
      <c r="A2507" t="s">
        <v>5116</v>
      </c>
      <c r="B2507" s="1">
        <v>44808.441716608795</v>
      </c>
      <c r="C2507" t="s">
        <v>5117</v>
      </c>
      <c r="D2507" t="s">
        <v>30</v>
      </c>
      <c r="E2507" t="s">
        <v>94</v>
      </c>
      <c r="F2507">
        <v>0.8</v>
      </c>
      <c r="G2507">
        <v>10</v>
      </c>
      <c r="H2507" t="s">
        <v>14</v>
      </c>
      <c r="I2507" t="s">
        <v>86</v>
      </c>
      <c r="J2507" t="s">
        <v>233</v>
      </c>
      <c r="K2507">
        <f>Pqp_supermarket_data[[#This Row],[Unit_Price]]*Pqp_supermarket_data[[#This Row],[Quantity]]</f>
        <v>8</v>
      </c>
      <c r="L2507" t="str">
        <f>TEXT(Pqp_supermarket_data[[#This Row],[DateTime]],"ddd")</f>
        <v>Sun</v>
      </c>
      <c r="M2507" t="str">
        <f>TEXT(Pqp_supermarket_data[[#This Row],[DateTime]],"mmm")</f>
        <v>Sep</v>
      </c>
      <c r="N2507" t="str">
        <f>TEXT(Pqp_supermarket_data[[#This Row],[DateTime]],"yyy")</f>
        <v>2022</v>
      </c>
    </row>
    <row r="2508" spans="1:14" x14ac:dyDescent="0.35">
      <c r="A2508" t="s">
        <v>5118</v>
      </c>
      <c r="B2508" s="1">
        <v>44640.508383275461</v>
      </c>
      <c r="C2508" t="s">
        <v>5119</v>
      </c>
      <c r="D2508" t="s">
        <v>25</v>
      </c>
      <c r="E2508" t="s">
        <v>111</v>
      </c>
      <c r="F2508">
        <v>2.2000000000000002</v>
      </c>
      <c r="G2508">
        <v>5</v>
      </c>
      <c r="H2508" t="s">
        <v>14</v>
      </c>
      <c r="I2508" t="s">
        <v>15</v>
      </c>
      <c r="J2508" t="s">
        <v>314</v>
      </c>
      <c r="K2508">
        <f>Pqp_supermarket_data[[#This Row],[Unit_Price]]*Pqp_supermarket_data[[#This Row],[Quantity]]</f>
        <v>11</v>
      </c>
      <c r="L2508" t="str">
        <f>TEXT(Pqp_supermarket_data[[#This Row],[DateTime]],"ddd")</f>
        <v>Sun</v>
      </c>
      <c r="M2508" t="str">
        <f>TEXT(Pqp_supermarket_data[[#This Row],[DateTime]],"mmm")</f>
        <v>Mar</v>
      </c>
      <c r="N2508" t="str">
        <f>TEXT(Pqp_supermarket_data[[#This Row],[DateTime]],"yyy")</f>
        <v>2022</v>
      </c>
    </row>
    <row r="2509" spans="1:14" x14ac:dyDescent="0.35">
      <c r="A2509" t="s">
        <v>5120</v>
      </c>
      <c r="B2509" s="1">
        <v>44350.05977216435</v>
      </c>
      <c r="C2509" t="s">
        <v>5121</v>
      </c>
      <c r="D2509" t="s">
        <v>44</v>
      </c>
      <c r="E2509" t="s">
        <v>137</v>
      </c>
      <c r="F2509">
        <v>2.5</v>
      </c>
      <c r="G2509">
        <v>9</v>
      </c>
      <c r="H2509" t="s">
        <v>14</v>
      </c>
      <c r="I2509" t="s">
        <v>40</v>
      </c>
      <c r="J2509" t="s">
        <v>233</v>
      </c>
      <c r="K2509">
        <f>Pqp_supermarket_data[[#This Row],[Unit_Price]]*Pqp_supermarket_data[[#This Row],[Quantity]]</f>
        <v>22.5</v>
      </c>
      <c r="L2509" t="str">
        <f>TEXT(Pqp_supermarket_data[[#This Row],[DateTime]],"ddd")</f>
        <v>Thu</v>
      </c>
      <c r="M2509" t="str">
        <f>TEXT(Pqp_supermarket_data[[#This Row],[DateTime]],"mmm")</f>
        <v>Jun</v>
      </c>
      <c r="N2509" t="str">
        <f>TEXT(Pqp_supermarket_data[[#This Row],[DateTime]],"yyy")</f>
        <v>2021</v>
      </c>
    </row>
    <row r="2510" spans="1:14" x14ac:dyDescent="0.35">
      <c r="A2510" t="s">
        <v>5122</v>
      </c>
      <c r="B2510" s="1">
        <v>44711.672966608799</v>
      </c>
      <c r="C2510" t="s">
        <v>5123</v>
      </c>
      <c r="D2510" t="s">
        <v>171</v>
      </c>
      <c r="E2510" t="s">
        <v>90</v>
      </c>
      <c r="F2510">
        <v>1.8</v>
      </c>
      <c r="G2510">
        <v>1</v>
      </c>
      <c r="H2510" t="s">
        <v>14</v>
      </c>
      <c r="I2510" t="s">
        <v>61</v>
      </c>
      <c r="J2510" t="s">
        <v>16</v>
      </c>
      <c r="K2510">
        <f>Pqp_supermarket_data[[#This Row],[Unit_Price]]*Pqp_supermarket_data[[#This Row],[Quantity]]</f>
        <v>1.8</v>
      </c>
      <c r="L2510" t="str">
        <f>TEXT(Pqp_supermarket_data[[#This Row],[DateTime]],"ddd")</f>
        <v>Mon</v>
      </c>
      <c r="M2510" t="str">
        <f>TEXT(Pqp_supermarket_data[[#This Row],[DateTime]],"mmm")</f>
        <v>May</v>
      </c>
      <c r="N2510" t="str">
        <f>TEXT(Pqp_supermarket_data[[#This Row],[DateTime]],"yyy")</f>
        <v>2022</v>
      </c>
    </row>
    <row r="2511" spans="1:14" x14ac:dyDescent="0.35">
      <c r="A2511" t="s">
        <v>5124</v>
      </c>
      <c r="B2511" s="1">
        <v>45132.229911064816</v>
      </c>
      <c r="C2511" t="s">
        <v>5125</v>
      </c>
      <c r="D2511" t="s">
        <v>98</v>
      </c>
      <c r="E2511" t="s">
        <v>78</v>
      </c>
      <c r="F2511">
        <v>4</v>
      </c>
      <c r="G2511">
        <v>4</v>
      </c>
      <c r="H2511" t="s">
        <v>14</v>
      </c>
      <c r="I2511" t="s">
        <v>36</v>
      </c>
      <c r="J2511" t="s">
        <v>122</v>
      </c>
      <c r="K2511">
        <f>Pqp_supermarket_data[[#This Row],[Unit_Price]]*Pqp_supermarket_data[[#This Row],[Quantity]]</f>
        <v>16</v>
      </c>
      <c r="L2511" t="str">
        <f>TEXT(Pqp_supermarket_data[[#This Row],[DateTime]],"ddd")</f>
        <v>Tue</v>
      </c>
      <c r="M2511" t="str">
        <f>TEXT(Pqp_supermarket_data[[#This Row],[DateTime]],"mmm")</f>
        <v>Jul</v>
      </c>
      <c r="N2511" t="str">
        <f>TEXT(Pqp_supermarket_data[[#This Row],[DateTime]],"yyy")</f>
        <v>2023</v>
      </c>
    </row>
    <row r="2512" spans="1:14" x14ac:dyDescent="0.35">
      <c r="A2512" t="s">
        <v>5126</v>
      </c>
      <c r="B2512" s="1">
        <v>44806.925744398148</v>
      </c>
      <c r="C2512" t="s">
        <v>5127</v>
      </c>
      <c r="D2512" t="s">
        <v>77</v>
      </c>
      <c r="E2512" t="s">
        <v>94</v>
      </c>
      <c r="F2512">
        <v>0.8</v>
      </c>
      <c r="G2512">
        <v>7</v>
      </c>
      <c r="H2512" t="s">
        <v>14</v>
      </c>
      <c r="I2512" t="s">
        <v>21</v>
      </c>
      <c r="J2512" t="s">
        <v>71</v>
      </c>
      <c r="K2512">
        <f>Pqp_supermarket_data[[#This Row],[Unit_Price]]*Pqp_supermarket_data[[#This Row],[Quantity]]</f>
        <v>5.6000000000000005</v>
      </c>
      <c r="L2512" t="str">
        <f>TEXT(Pqp_supermarket_data[[#This Row],[DateTime]],"ddd")</f>
        <v>Fri</v>
      </c>
      <c r="M2512" t="str">
        <f>TEXT(Pqp_supermarket_data[[#This Row],[DateTime]],"mmm")</f>
        <v>Sep</v>
      </c>
      <c r="N2512" t="str">
        <f>TEXT(Pqp_supermarket_data[[#This Row],[DateTime]],"yyy")</f>
        <v>2022</v>
      </c>
    </row>
    <row r="2513" spans="1:14" x14ac:dyDescent="0.35">
      <c r="A2513" t="s">
        <v>5128</v>
      </c>
      <c r="B2513" s="1">
        <v>44501.813938854168</v>
      </c>
      <c r="C2513" t="s">
        <v>5129</v>
      </c>
      <c r="D2513" t="s">
        <v>226</v>
      </c>
      <c r="E2513" t="s">
        <v>65</v>
      </c>
      <c r="F2513">
        <v>3</v>
      </c>
      <c r="G2513">
        <v>3</v>
      </c>
      <c r="H2513" t="s">
        <v>14</v>
      </c>
      <c r="I2513" t="s">
        <v>36</v>
      </c>
      <c r="J2513" t="s">
        <v>295</v>
      </c>
      <c r="K2513">
        <f>Pqp_supermarket_data[[#This Row],[Unit_Price]]*Pqp_supermarket_data[[#This Row],[Quantity]]</f>
        <v>9</v>
      </c>
      <c r="L2513" t="str">
        <f>TEXT(Pqp_supermarket_data[[#This Row],[DateTime]],"ddd")</f>
        <v>Mon</v>
      </c>
      <c r="M2513" t="str">
        <f>TEXT(Pqp_supermarket_data[[#This Row],[DateTime]],"mmm")</f>
        <v>Nov</v>
      </c>
      <c r="N2513" t="str">
        <f>TEXT(Pqp_supermarket_data[[#This Row],[DateTime]],"yyy")</f>
        <v>2021</v>
      </c>
    </row>
    <row r="2514" spans="1:14" x14ac:dyDescent="0.35">
      <c r="A2514" t="s">
        <v>5130</v>
      </c>
      <c r="B2514" s="1">
        <v>44742.354911076392</v>
      </c>
      <c r="C2514" t="s">
        <v>5131</v>
      </c>
      <c r="D2514" t="s">
        <v>226</v>
      </c>
      <c r="E2514" t="s">
        <v>65</v>
      </c>
      <c r="F2514">
        <v>3</v>
      </c>
      <c r="G2514">
        <v>8</v>
      </c>
      <c r="H2514" t="s">
        <v>14</v>
      </c>
      <c r="I2514" t="s">
        <v>21</v>
      </c>
      <c r="J2514" t="s">
        <v>205</v>
      </c>
      <c r="K2514">
        <f>Pqp_supermarket_data[[#This Row],[Unit_Price]]*Pqp_supermarket_data[[#This Row],[Quantity]]</f>
        <v>24</v>
      </c>
      <c r="L2514" t="str">
        <f>TEXT(Pqp_supermarket_data[[#This Row],[DateTime]],"ddd")</f>
        <v>Thu</v>
      </c>
      <c r="M2514" t="str">
        <f>TEXT(Pqp_supermarket_data[[#This Row],[DateTime]],"mmm")</f>
        <v>Jun</v>
      </c>
      <c r="N2514" t="str">
        <f>TEXT(Pqp_supermarket_data[[#This Row],[DateTime]],"yyy")</f>
        <v>2022</v>
      </c>
    </row>
    <row r="2515" spans="1:14" x14ac:dyDescent="0.35">
      <c r="A2515" t="s">
        <v>5132</v>
      </c>
      <c r="B2515" s="1">
        <v>44627.341022187502</v>
      </c>
      <c r="C2515" t="s">
        <v>5133</v>
      </c>
      <c r="D2515" t="s">
        <v>30</v>
      </c>
      <c r="E2515" t="s">
        <v>145</v>
      </c>
      <c r="F2515">
        <v>1.7</v>
      </c>
      <c r="G2515">
        <v>6</v>
      </c>
      <c r="H2515" t="s">
        <v>14</v>
      </c>
      <c r="I2515" t="s">
        <v>15</v>
      </c>
      <c r="J2515" t="s">
        <v>924</v>
      </c>
      <c r="K2515">
        <f>Pqp_supermarket_data[[#This Row],[Unit_Price]]*Pqp_supermarket_data[[#This Row],[Quantity]]</f>
        <v>10.199999999999999</v>
      </c>
      <c r="L2515" t="str">
        <f>TEXT(Pqp_supermarket_data[[#This Row],[DateTime]],"ddd")</f>
        <v>Mon</v>
      </c>
      <c r="M2515" t="str">
        <f>TEXT(Pqp_supermarket_data[[#This Row],[DateTime]],"mmm")</f>
        <v>Mar</v>
      </c>
      <c r="N2515" t="str">
        <f>TEXT(Pqp_supermarket_data[[#This Row],[DateTime]],"yyy")</f>
        <v>2022</v>
      </c>
    </row>
    <row r="2516" spans="1:14" x14ac:dyDescent="0.35">
      <c r="A2516" t="s">
        <v>5134</v>
      </c>
      <c r="B2516" s="1">
        <v>44954.484772199074</v>
      </c>
      <c r="C2516" t="s">
        <v>5135</v>
      </c>
      <c r="D2516" t="s">
        <v>82</v>
      </c>
      <c r="E2516" t="s">
        <v>137</v>
      </c>
      <c r="F2516">
        <v>2.5</v>
      </c>
      <c r="G2516">
        <v>6</v>
      </c>
      <c r="H2516" t="s">
        <v>14</v>
      </c>
      <c r="I2516" t="s">
        <v>86</v>
      </c>
      <c r="J2516" t="s">
        <v>27</v>
      </c>
      <c r="K2516">
        <f>Pqp_supermarket_data[[#This Row],[Unit_Price]]*Pqp_supermarket_data[[#This Row],[Quantity]]</f>
        <v>15</v>
      </c>
      <c r="L2516" t="str">
        <f>TEXT(Pqp_supermarket_data[[#This Row],[DateTime]],"ddd")</f>
        <v>Sat</v>
      </c>
      <c r="M2516" t="str">
        <f>TEXT(Pqp_supermarket_data[[#This Row],[DateTime]],"mmm")</f>
        <v>Jan</v>
      </c>
      <c r="N2516" t="str">
        <f>TEXT(Pqp_supermarket_data[[#This Row],[DateTime]],"yyy")</f>
        <v>2023</v>
      </c>
    </row>
    <row r="2517" spans="1:14" x14ac:dyDescent="0.35">
      <c r="A2517" t="s">
        <v>5136</v>
      </c>
      <c r="B2517" s="1">
        <v>45391.652827754631</v>
      </c>
      <c r="C2517" t="s">
        <v>5137</v>
      </c>
      <c r="D2517" t="s">
        <v>19</v>
      </c>
      <c r="E2517" t="s">
        <v>53</v>
      </c>
      <c r="F2517">
        <v>2.8</v>
      </c>
      <c r="G2517">
        <v>7</v>
      </c>
      <c r="H2517" t="s">
        <v>14</v>
      </c>
      <c r="I2517" t="s">
        <v>86</v>
      </c>
      <c r="J2517" t="s">
        <v>538</v>
      </c>
      <c r="K2517">
        <f>Pqp_supermarket_data[[#This Row],[Unit_Price]]*Pqp_supermarket_data[[#This Row],[Quantity]]</f>
        <v>19.599999999999998</v>
      </c>
      <c r="L2517" t="str">
        <f>TEXT(Pqp_supermarket_data[[#This Row],[DateTime]],"ddd")</f>
        <v>Tue</v>
      </c>
      <c r="M2517" t="str">
        <f>TEXT(Pqp_supermarket_data[[#This Row],[DateTime]],"mmm")</f>
        <v>Apr</v>
      </c>
      <c r="N2517" t="str">
        <f>TEXT(Pqp_supermarket_data[[#This Row],[DateTime]],"yyy")</f>
        <v>2024</v>
      </c>
    </row>
    <row r="2518" spans="1:14" x14ac:dyDescent="0.35">
      <c r="A2518" t="s">
        <v>5138</v>
      </c>
      <c r="B2518" s="1">
        <v>45325.56116109954</v>
      </c>
      <c r="C2518" t="s">
        <v>5139</v>
      </c>
      <c r="D2518" t="s">
        <v>69</v>
      </c>
      <c r="E2518" t="s">
        <v>115</v>
      </c>
      <c r="F2518">
        <v>1.5</v>
      </c>
      <c r="G2518">
        <v>10</v>
      </c>
      <c r="H2518" t="s">
        <v>14</v>
      </c>
      <c r="I2518" t="s">
        <v>21</v>
      </c>
      <c r="J2518" t="s">
        <v>404</v>
      </c>
      <c r="K2518">
        <f>Pqp_supermarket_data[[#This Row],[Unit_Price]]*Pqp_supermarket_data[[#This Row],[Quantity]]</f>
        <v>15</v>
      </c>
      <c r="L2518" t="str">
        <f>TEXT(Pqp_supermarket_data[[#This Row],[DateTime]],"ddd")</f>
        <v>Sat</v>
      </c>
      <c r="M2518" t="str">
        <f>TEXT(Pqp_supermarket_data[[#This Row],[DateTime]],"mmm")</f>
        <v>Feb</v>
      </c>
      <c r="N2518" t="str">
        <f>TEXT(Pqp_supermarket_data[[#This Row],[DateTime]],"yyy")</f>
        <v>2024</v>
      </c>
    </row>
    <row r="2519" spans="1:14" x14ac:dyDescent="0.35">
      <c r="A2519" t="s">
        <v>5140</v>
      </c>
      <c r="B2519" s="1">
        <v>44462.719494432873</v>
      </c>
      <c r="C2519" t="s">
        <v>5141</v>
      </c>
      <c r="D2519" t="s">
        <v>25</v>
      </c>
      <c r="E2519" t="s">
        <v>45</v>
      </c>
      <c r="F2519">
        <v>1</v>
      </c>
      <c r="G2519">
        <v>9</v>
      </c>
      <c r="H2519" t="s">
        <v>14</v>
      </c>
      <c r="I2519" t="s">
        <v>61</v>
      </c>
      <c r="J2519" t="s">
        <v>336</v>
      </c>
      <c r="K2519">
        <f>Pqp_supermarket_data[[#This Row],[Unit_Price]]*Pqp_supermarket_data[[#This Row],[Quantity]]</f>
        <v>9</v>
      </c>
      <c r="L2519" t="str">
        <f>TEXT(Pqp_supermarket_data[[#This Row],[DateTime]],"ddd")</f>
        <v>Thu</v>
      </c>
      <c r="M2519" t="str">
        <f>TEXT(Pqp_supermarket_data[[#This Row],[DateTime]],"mmm")</f>
        <v>Sep</v>
      </c>
      <c r="N2519" t="str">
        <f>TEXT(Pqp_supermarket_data[[#This Row],[DateTime]],"yyy")</f>
        <v>2021</v>
      </c>
    </row>
    <row r="2520" spans="1:14" x14ac:dyDescent="0.35">
      <c r="A2520" t="s">
        <v>5142</v>
      </c>
      <c r="B2520" s="1">
        <v>45632.991716666664</v>
      </c>
      <c r="C2520" t="s">
        <v>5143</v>
      </c>
      <c r="D2520" t="s">
        <v>208</v>
      </c>
      <c r="E2520" t="s">
        <v>145</v>
      </c>
      <c r="F2520">
        <v>1.7</v>
      </c>
      <c r="G2520">
        <v>2</v>
      </c>
      <c r="H2520" t="s">
        <v>14</v>
      </c>
      <c r="I2520" t="s">
        <v>21</v>
      </c>
      <c r="J2520" t="s">
        <v>369</v>
      </c>
      <c r="K2520">
        <f>Pqp_supermarket_data[[#This Row],[Unit_Price]]*Pqp_supermarket_data[[#This Row],[Quantity]]</f>
        <v>3.4</v>
      </c>
      <c r="L2520" t="str">
        <f>TEXT(Pqp_supermarket_data[[#This Row],[DateTime]],"ddd")</f>
        <v>Fri</v>
      </c>
      <c r="M2520" t="str">
        <f>TEXT(Pqp_supermarket_data[[#This Row],[DateTime]],"mmm")</f>
        <v>Dec</v>
      </c>
      <c r="N2520" t="str">
        <f>TEXT(Pqp_supermarket_data[[#This Row],[DateTime]],"yyy")</f>
        <v>2024</v>
      </c>
    </row>
    <row r="2521" spans="1:14" x14ac:dyDescent="0.35">
      <c r="A2521" t="s">
        <v>5144</v>
      </c>
      <c r="B2521" s="1">
        <v>44344.359077777779</v>
      </c>
      <c r="C2521" t="s">
        <v>5145</v>
      </c>
      <c r="D2521" t="s">
        <v>30</v>
      </c>
      <c r="E2521" t="s">
        <v>137</v>
      </c>
      <c r="F2521">
        <v>2.5</v>
      </c>
      <c r="G2521">
        <v>6</v>
      </c>
      <c r="H2521" t="s">
        <v>14</v>
      </c>
      <c r="I2521" t="s">
        <v>61</v>
      </c>
      <c r="J2521" t="s">
        <v>662</v>
      </c>
      <c r="K2521">
        <f>Pqp_supermarket_data[[#This Row],[Unit_Price]]*Pqp_supermarket_data[[#This Row],[Quantity]]</f>
        <v>15</v>
      </c>
      <c r="L2521" t="str">
        <f>TEXT(Pqp_supermarket_data[[#This Row],[DateTime]],"ddd")</f>
        <v>Fri</v>
      </c>
      <c r="M2521" t="str">
        <f>TEXT(Pqp_supermarket_data[[#This Row],[DateTime]],"mmm")</f>
        <v>May</v>
      </c>
      <c r="N2521" t="str">
        <f>TEXT(Pqp_supermarket_data[[#This Row],[DateTime]],"yyy")</f>
        <v>2021</v>
      </c>
    </row>
    <row r="2522" spans="1:14" x14ac:dyDescent="0.35">
      <c r="A2522" t="s">
        <v>5146</v>
      </c>
      <c r="B2522" s="1">
        <v>45210.947966678243</v>
      </c>
      <c r="C2522" t="s">
        <v>5147</v>
      </c>
      <c r="D2522" t="s">
        <v>226</v>
      </c>
      <c r="E2522" t="s">
        <v>39</v>
      </c>
      <c r="F2522">
        <v>3.2</v>
      </c>
      <c r="G2522">
        <v>5</v>
      </c>
      <c r="H2522" t="s">
        <v>14</v>
      </c>
      <c r="I2522" t="s">
        <v>21</v>
      </c>
      <c r="J2522" t="s">
        <v>538</v>
      </c>
      <c r="K2522">
        <f>Pqp_supermarket_data[[#This Row],[Unit_Price]]*Pqp_supermarket_data[[#This Row],[Quantity]]</f>
        <v>16</v>
      </c>
      <c r="L2522" t="str">
        <f>TEXT(Pqp_supermarket_data[[#This Row],[DateTime]],"ddd")</f>
        <v>Wed</v>
      </c>
      <c r="M2522" t="str">
        <f>TEXT(Pqp_supermarket_data[[#This Row],[DateTime]],"mmm")</f>
        <v>Oct</v>
      </c>
      <c r="N2522" t="str">
        <f>TEXT(Pqp_supermarket_data[[#This Row],[DateTime]],"yyy")</f>
        <v>2023</v>
      </c>
    </row>
    <row r="2523" spans="1:14" x14ac:dyDescent="0.35">
      <c r="A2523" t="s">
        <v>5148</v>
      </c>
      <c r="B2523" s="1">
        <v>45117.147272233793</v>
      </c>
      <c r="C2523" t="s">
        <v>5149</v>
      </c>
      <c r="D2523" t="s">
        <v>98</v>
      </c>
      <c r="E2523" t="s">
        <v>90</v>
      </c>
      <c r="F2523">
        <v>1.8</v>
      </c>
      <c r="G2523">
        <v>8</v>
      </c>
      <c r="H2523" t="s">
        <v>14</v>
      </c>
      <c r="I2523" t="s">
        <v>86</v>
      </c>
      <c r="J2523" t="s">
        <v>91</v>
      </c>
      <c r="K2523">
        <f>Pqp_supermarket_data[[#This Row],[Unit_Price]]*Pqp_supermarket_data[[#This Row],[Quantity]]</f>
        <v>14.4</v>
      </c>
      <c r="L2523" t="str">
        <f>TEXT(Pqp_supermarket_data[[#This Row],[DateTime]],"ddd")</f>
        <v>Mon</v>
      </c>
      <c r="M2523" t="str">
        <f>TEXT(Pqp_supermarket_data[[#This Row],[DateTime]],"mmm")</f>
        <v>Jul</v>
      </c>
      <c r="N2523" t="str">
        <f>TEXT(Pqp_supermarket_data[[#This Row],[DateTime]],"yyy")</f>
        <v>2023</v>
      </c>
    </row>
    <row r="2524" spans="1:14" x14ac:dyDescent="0.35">
      <c r="A2524" t="s">
        <v>5150</v>
      </c>
      <c r="B2524" s="1">
        <v>44376.779216678238</v>
      </c>
      <c r="C2524" t="s">
        <v>5151</v>
      </c>
      <c r="D2524" t="s">
        <v>85</v>
      </c>
      <c r="E2524" t="s">
        <v>45</v>
      </c>
      <c r="F2524">
        <v>1</v>
      </c>
      <c r="G2524">
        <v>10</v>
      </c>
      <c r="H2524" t="s">
        <v>14</v>
      </c>
      <c r="I2524" t="s">
        <v>36</v>
      </c>
      <c r="J2524" t="s">
        <v>317</v>
      </c>
      <c r="K2524">
        <f>Pqp_supermarket_data[[#This Row],[Unit_Price]]*Pqp_supermarket_data[[#This Row],[Quantity]]</f>
        <v>10</v>
      </c>
      <c r="L2524" t="str">
        <f>TEXT(Pqp_supermarket_data[[#This Row],[DateTime]],"ddd")</f>
        <v>Tue</v>
      </c>
      <c r="M2524" t="str">
        <f>TEXT(Pqp_supermarket_data[[#This Row],[DateTime]],"mmm")</f>
        <v>Jun</v>
      </c>
      <c r="N2524" t="str">
        <f>TEXT(Pqp_supermarket_data[[#This Row],[DateTime]],"yyy")</f>
        <v>2021</v>
      </c>
    </row>
    <row r="2525" spans="1:14" x14ac:dyDescent="0.35">
      <c r="A2525" t="s">
        <v>5152</v>
      </c>
      <c r="B2525" s="1">
        <v>45504.920188923614</v>
      </c>
      <c r="C2525" t="s">
        <v>5153</v>
      </c>
      <c r="D2525" t="s">
        <v>77</v>
      </c>
      <c r="E2525" t="s">
        <v>115</v>
      </c>
      <c r="F2525">
        <v>1.5</v>
      </c>
      <c r="G2525">
        <v>6</v>
      </c>
      <c r="H2525" t="s">
        <v>14</v>
      </c>
      <c r="I2525" t="s">
        <v>21</v>
      </c>
      <c r="J2525" t="s">
        <v>128</v>
      </c>
      <c r="K2525">
        <f>Pqp_supermarket_data[[#This Row],[Unit_Price]]*Pqp_supermarket_data[[#This Row],[Quantity]]</f>
        <v>9</v>
      </c>
      <c r="L2525" t="str">
        <f>TEXT(Pqp_supermarket_data[[#This Row],[DateTime]],"ddd")</f>
        <v>Wed</v>
      </c>
      <c r="M2525" t="str">
        <f>TEXT(Pqp_supermarket_data[[#This Row],[DateTime]],"mmm")</f>
        <v>Jul</v>
      </c>
      <c r="N2525" t="str">
        <f>TEXT(Pqp_supermarket_data[[#This Row],[DateTime]],"yyy")</f>
        <v>2024</v>
      </c>
    </row>
    <row r="2526" spans="1:14" x14ac:dyDescent="0.35">
      <c r="A2526" t="s">
        <v>5154</v>
      </c>
      <c r="B2526" s="1">
        <v>44523.723661145836</v>
      </c>
      <c r="C2526" t="s">
        <v>5155</v>
      </c>
      <c r="D2526" t="s">
        <v>127</v>
      </c>
      <c r="E2526" t="s">
        <v>13</v>
      </c>
      <c r="F2526">
        <v>3.1</v>
      </c>
      <c r="G2526">
        <v>5</v>
      </c>
      <c r="H2526" t="s">
        <v>14</v>
      </c>
      <c r="I2526" t="s">
        <v>61</v>
      </c>
      <c r="J2526" t="s">
        <v>273</v>
      </c>
      <c r="K2526">
        <f>Pqp_supermarket_data[[#This Row],[Unit_Price]]*Pqp_supermarket_data[[#This Row],[Quantity]]</f>
        <v>15.5</v>
      </c>
      <c r="L2526" t="str">
        <f>TEXT(Pqp_supermarket_data[[#This Row],[DateTime]],"ddd")</f>
        <v>Tue</v>
      </c>
      <c r="M2526" t="str">
        <f>TEXT(Pqp_supermarket_data[[#This Row],[DateTime]],"mmm")</f>
        <v>Nov</v>
      </c>
      <c r="N2526" t="str">
        <f>TEXT(Pqp_supermarket_data[[#This Row],[DateTime]],"yyy")</f>
        <v>2021</v>
      </c>
    </row>
    <row r="2527" spans="1:14" x14ac:dyDescent="0.35">
      <c r="A2527" t="s">
        <v>5156</v>
      </c>
      <c r="B2527" s="1">
        <v>44735.254216712965</v>
      </c>
      <c r="C2527" t="s">
        <v>5157</v>
      </c>
      <c r="D2527" t="s">
        <v>19</v>
      </c>
      <c r="E2527" t="s">
        <v>39</v>
      </c>
      <c r="F2527">
        <v>3.2</v>
      </c>
      <c r="G2527">
        <v>4</v>
      </c>
      <c r="H2527" t="s">
        <v>14</v>
      </c>
      <c r="I2527" t="s">
        <v>21</v>
      </c>
      <c r="J2527" t="s">
        <v>248</v>
      </c>
      <c r="K2527">
        <f>Pqp_supermarket_data[[#This Row],[Unit_Price]]*Pqp_supermarket_data[[#This Row],[Quantity]]</f>
        <v>12.8</v>
      </c>
      <c r="L2527" t="str">
        <f>TEXT(Pqp_supermarket_data[[#This Row],[DateTime]],"ddd")</f>
        <v>Thu</v>
      </c>
      <c r="M2527" t="str">
        <f>TEXT(Pqp_supermarket_data[[#This Row],[DateTime]],"mmm")</f>
        <v>Jun</v>
      </c>
      <c r="N2527" t="str">
        <f>TEXT(Pqp_supermarket_data[[#This Row],[DateTime]],"yyy")</f>
        <v>2022</v>
      </c>
    </row>
    <row r="2528" spans="1:14" x14ac:dyDescent="0.35">
      <c r="A2528" t="s">
        <v>5158</v>
      </c>
      <c r="B2528" s="1">
        <v>45073.176438946757</v>
      </c>
      <c r="C2528" t="s">
        <v>5159</v>
      </c>
      <c r="D2528" t="s">
        <v>34</v>
      </c>
      <c r="E2528" t="s">
        <v>39</v>
      </c>
      <c r="F2528">
        <v>3.2</v>
      </c>
      <c r="G2528">
        <v>9</v>
      </c>
      <c r="H2528" t="s">
        <v>14</v>
      </c>
      <c r="I2528" t="s">
        <v>36</v>
      </c>
      <c r="J2528" t="s">
        <v>404</v>
      </c>
      <c r="K2528">
        <f>Pqp_supermarket_data[[#This Row],[Unit_Price]]*Pqp_supermarket_data[[#This Row],[Quantity]]</f>
        <v>28.8</v>
      </c>
      <c r="L2528" t="str">
        <f>TEXT(Pqp_supermarket_data[[#This Row],[DateTime]],"ddd")</f>
        <v>Sat</v>
      </c>
      <c r="M2528" t="str">
        <f>TEXT(Pqp_supermarket_data[[#This Row],[DateTime]],"mmm")</f>
        <v>May</v>
      </c>
      <c r="N2528" t="str">
        <f>TEXT(Pqp_supermarket_data[[#This Row],[DateTime]],"yyy")</f>
        <v>2023</v>
      </c>
    </row>
    <row r="2529" spans="1:14" x14ac:dyDescent="0.35">
      <c r="A2529" t="s">
        <v>5160</v>
      </c>
      <c r="B2529" s="1">
        <v>45216.200050081017</v>
      </c>
      <c r="C2529" t="s">
        <v>5161</v>
      </c>
      <c r="D2529" t="s">
        <v>82</v>
      </c>
      <c r="E2529" t="s">
        <v>78</v>
      </c>
      <c r="F2529">
        <v>4</v>
      </c>
      <c r="G2529">
        <v>10</v>
      </c>
      <c r="H2529" t="s">
        <v>14</v>
      </c>
      <c r="I2529" t="s">
        <v>15</v>
      </c>
      <c r="J2529" t="s">
        <v>426</v>
      </c>
      <c r="K2529">
        <f>Pqp_supermarket_data[[#This Row],[Unit_Price]]*Pqp_supermarket_data[[#This Row],[Quantity]]</f>
        <v>40</v>
      </c>
      <c r="L2529" t="str">
        <f>TEXT(Pqp_supermarket_data[[#This Row],[DateTime]],"ddd")</f>
        <v>Tue</v>
      </c>
      <c r="M2529" t="str">
        <f>TEXT(Pqp_supermarket_data[[#This Row],[DateTime]],"mmm")</f>
        <v>Oct</v>
      </c>
      <c r="N2529" t="str">
        <f>TEXT(Pqp_supermarket_data[[#This Row],[DateTime]],"yyy")</f>
        <v>2023</v>
      </c>
    </row>
    <row r="2530" spans="1:14" x14ac:dyDescent="0.35">
      <c r="A2530" t="s">
        <v>5162</v>
      </c>
      <c r="B2530" s="1">
        <v>44377.176438969909</v>
      </c>
      <c r="C2530" t="s">
        <v>5163</v>
      </c>
      <c r="D2530" t="s">
        <v>30</v>
      </c>
      <c r="E2530" t="s">
        <v>53</v>
      </c>
      <c r="F2530">
        <v>2.8</v>
      </c>
      <c r="G2530">
        <v>9</v>
      </c>
      <c r="H2530" t="s">
        <v>14</v>
      </c>
      <c r="I2530" t="s">
        <v>21</v>
      </c>
      <c r="J2530" t="s">
        <v>394</v>
      </c>
      <c r="K2530">
        <f>Pqp_supermarket_data[[#This Row],[Unit_Price]]*Pqp_supermarket_data[[#This Row],[Quantity]]</f>
        <v>25.2</v>
      </c>
      <c r="L2530" t="str">
        <f>TEXT(Pqp_supermarket_data[[#This Row],[DateTime]],"ddd")</f>
        <v>Wed</v>
      </c>
      <c r="M2530" t="str">
        <f>TEXT(Pqp_supermarket_data[[#This Row],[DateTime]],"mmm")</f>
        <v>Jun</v>
      </c>
      <c r="N2530" t="str">
        <f>TEXT(Pqp_supermarket_data[[#This Row],[DateTime]],"yyy")</f>
        <v>2021</v>
      </c>
    </row>
    <row r="2531" spans="1:14" x14ac:dyDescent="0.35">
      <c r="A2531" t="s">
        <v>5164</v>
      </c>
      <c r="B2531" s="1">
        <v>45367.950744560185</v>
      </c>
      <c r="C2531" t="s">
        <v>5165</v>
      </c>
      <c r="D2531" t="s">
        <v>85</v>
      </c>
      <c r="E2531" t="s">
        <v>94</v>
      </c>
      <c r="F2531">
        <v>0.8</v>
      </c>
      <c r="G2531">
        <v>2</v>
      </c>
      <c r="H2531" t="s">
        <v>14</v>
      </c>
      <c r="I2531" t="s">
        <v>36</v>
      </c>
      <c r="J2531" t="s">
        <v>105</v>
      </c>
      <c r="K2531">
        <f>Pqp_supermarket_data[[#This Row],[Unit_Price]]*Pqp_supermarket_data[[#This Row],[Quantity]]</f>
        <v>1.6</v>
      </c>
      <c r="L2531" t="str">
        <f>TEXT(Pqp_supermarket_data[[#This Row],[DateTime]],"ddd")</f>
        <v>Sat</v>
      </c>
      <c r="M2531" t="str">
        <f>TEXT(Pqp_supermarket_data[[#This Row],[DateTime]],"mmm")</f>
        <v>Mar</v>
      </c>
      <c r="N2531" t="str">
        <f>TEXT(Pqp_supermarket_data[[#This Row],[DateTime]],"yyy")</f>
        <v>2024</v>
      </c>
    </row>
    <row r="2532" spans="1:14" x14ac:dyDescent="0.35">
      <c r="A2532" t="s">
        <v>5166</v>
      </c>
      <c r="B2532" s="1">
        <v>45189.716022337961</v>
      </c>
      <c r="C2532" t="s">
        <v>5167</v>
      </c>
      <c r="D2532" t="s">
        <v>25</v>
      </c>
      <c r="E2532" t="s">
        <v>45</v>
      </c>
      <c r="F2532">
        <v>1</v>
      </c>
      <c r="G2532">
        <v>6</v>
      </c>
      <c r="H2532" t="s">
        <v>14</v>
      </c>
      <c r="I2532" t="s">
        <v>15</v>
      </c>
      <c r="J2532" t="s">
        <v>230</v>
      </c>
      <c r="K2532">
        <f>Pqp_supermarket_data[[#This Row],[Unit_Price]]*Pqp_supermarket_data[[#This Row],[Quantity]]</f>
        <v>6</v>
      </c>
      <c r="L2532" t="str">
        <f>TEXT(Pqp_supermarket_data[[#This Row],[DateTime]],"ddd")</f>
        <v>Wed</v>
      </c>
      <c r="M2532" t="str">
        <f>TEXT(Pqp_supermarket_data[[#This Row],[DateTime]],"mmm")</f>
        <v>Sep</v>
      </c>
      <c r="N2532" t="str">
        <f>TEXT(Pqp_supermarket_data[[#This Row],[DateTime]],"yyy")</f>
        <v>2023</v>
      </c>
    </row>
    <row r="2533" spans="1:14" x14ac:dyDescent="0.35">
      <c r="A2533" t="s">
        <v>5168</v>
      </c>
      <c r="B2533" s="1">
        <v>44769.091022337961</v>
      </c>
      <c r="C2533" t="s">
        <v>5169</v>
      </c>
      <c r="D2533" t="s">
        <v>82</v>
      </c>
      <c r="E2533" t="s">
        <v>115</v>
      </c>
      <c r="F2533">
        <v>1.5</v>
      </c>
      <c r="G2533">
        <v>5</v>
      </c>
      <c r="H2533" t="s">
        <v>14</v>
      </c>
      <c r="I2533" t="s">
        <v>21</v>
      </c>
      <c r="J2533" t="s">
        <v>223</v>
      </c>
      <c r="K2533">
        <f>Pqp_supermarket_data[[#This Row],[Unit_Price]]*Pqp_supermarket_data[[#This Row],[Quantity]]</f>
        <v>7.5</v>
      </c>
      <c r="L2533" t="str">
        <f>TEXT(Pqp_supermarket_data[[#This Row],[DateTime]],"ddd")</f>
        <v>Wed</v>
      </c>
      <c r="M2533" t="str">
        <f>TEXT(Pqp_supermarket_data[[#This Row],[DateTime]],"mmm")</f>
        <v>Jul</v>
      </c>
      <c r="N2533" t="str">
        <f>TEXT(Pqp_supermarket_data[[#This Row],[DateTime]],"yyy")</f>
        <v>2022</v>
      </c>
    </row>
    <row r="2534" spans="1:14" x14ac:dyDescent="0.35">
      <c r="A2534" t="s">
        <v>5170</v>
      </c>
      <c r="B2534" s="1">
        <v>44686.136855694444</v>
      </c>
      <c r="C2534" t="s">
        <v>5171</v>
      </c>
      <c r="D2534" t="s">
        <v>127</v>
      </c>
      <c r="E2534" t="s">
        <v>45</v>
      </c>
      <c r="F2534">
        <v>1</v>
      </c>
      <c r="G2534">
        <v>2</v>
      </c>
      <c r="H2534" t="s">
        <v>14</v>
      </c>
      <c r="I2534" t="s">
        <v>61</v>
      </c>
      <c r="J2534" t="s">
        <v>172</v>
      </c>
      <c r="K2534">
        <f>Pqp_supermarket_data[[#This Row],[Unit_Price]]*Pqp_supermarket_data[[#This Row],[Quantity]]</f>
        <v>2</v>
      </c>
      <c r="L2534" t="str">
        <f>TEXT(Pqp_supermarket_data[[#This Row],[DateTime]],"ddd")</f>
        <v>Thu</v>
      </c>
      <c r="M2534" t="str">
        <f>TEXT(Pqp_supermarket_data[[#This Row],[DateTime]],"mmm")</f>
        <v>May</v>
      </c>
      <c r="N2534" t="str">
        <f>TEXT(Pqp_supermarket_data[[#This Row],[DateTime]],"yyy")</f>
        <v>2022</v>
      </c>
    </row>
    <row r="2535" spans="1:14" x14ac:dyDescent="0.35">
      <c r="A2535" t="s">
        <v>5172</v>
      </c>
      <c r="B2535" s="1">
        <v>45014.834077916668</v>
      </c>
      <c r="C2535" t="s">
        <v>5173</v>
      </c>
      <c r="D2535" t="s">
        <v>208</v>
      </c>
      <c r="E2535" t="s">
        <v>65</v>
      </c>
      <c r="F2535">
        <v>3</v>
      </c>
      <c r="G2535">
        <v>4</v>
      </c>
      <c r="H2535" t="s">
        <v>14</v>
      </c>
      <c r="I2535" t="s">
        <v>61</v>
      </c>
      <c r="J2535" t="s">
        <v>336</v>
      </c>
      <c r="K2535">
        <f>Pqp_supermarket_data[[#This Row],[Unit_Price]]*Pqp_supermarket_data[[#This Row],[Quantity]]</f>
        <v>12</v>
      </c>
      <c r="L2535" t="str">
        <f>TEXT(Pqp_supermarket_data[[#This Row],[DateTime]],"ddd")</f>
        <v>Wed</v>
      </c>
      <c r="M2535" t="str">
        <f>TEXT(Pqp_supermarket_data[[#This Row],[DateTime]],"mmm")</f>
        <v>Mar</v>
      </c>
      <c r="N2535" t="str">
        <f>TEXT(Pqp_supermarket_data[[#This Row],[DateTime]],"yyy")</f>
        <v>2023</v>
      </c>
    </row>
    <row r="2536" spans="1:14" x14ac:dyDescent="0.35">
      <c r="A2536" t="s">
        <v>5174</v>
      </c>
      <c r="B2536" s="1">
        <v>44854.825744583337</v>
      </c>
      <c r="C2536" t="s">
        <v>5175</v>
      </c>
      <c r="D2536" t="s">
        <v>34</v>
      </c>
      <c r="E2536" t="s">
        <v>13</v>
      </c>
      <c r="F2536">
        <v>3.1</v>
      </c>
      <c r="G2536">
        <v>9</v>
      </c>
      <c r="H2536" t="s">
        <v>14</v>
      </c>
      <c r="I2536" t="s">
        <v>21</v>
      </c>
      <c r="J2536" t="s">
        <v>175</v>
      </c>
      <c r="K2536">
        <f>Pqp_supermarket_data[[#This Row],[Unit_Price]]*Pqp_supermarket_data[[#This Row],[Quantity]]</f>
        <v>27.900000000000002</v>
      </c>
      <c r="L2536" t="str">
        <f>TEXT(Pqp_supermarket_data[[#This Row],[DateTime]],"ddd")</f>
        <v>Thu</v>
      </c>
      <c r="M2536" t="str">
        <f>TEXT(Pqp_supermarket_data[[#This Row],[DateTime]],"mmm")</f>
        <v>Oct</v>
      </c>
      <c r="N2536" t="str">
        <f>TEXT(Pqp_supermarket_data[[#This Row],[DateTime]],"yyy")</f>
        <v>2022</v>
      </c>
    </row>
    <row r="2537" spans="1:14" x14ac:dyDescent="0.35">
      <c r="A2537" t="s">
        <v>5176</v>
      </c>
      <c r="B2537" s="1">
        <v>45379.224355706021</v>
      </c>
      <c r="C2537" t="s">
        <v>5177</v>
      </c>
      <c r="D2537" t="s">
        <v>82</v>
      </c>
      <c r="E2537" t="s">
        <v>115</v>
      </c>
      <c r="F2537">
        <v>1.5</v>
      </c>
      <c r="G2537">
        <v>10</v>
      </c>
      <c r="H2537" t="s">
        <v>14</v>
      </c>
      <c r="I2537" t="s">
        <v>40</v>
      </c>
      <c r="J2537" t="s">
        <v>122</v>
      </c>
      <c r="K2537">
        <f>Pqp_supermarket_data[[#This Row],[Unit_Price]]*Pqp_supermarket_data[[#This Row],[Quantity]]</f>
        <v>15</v>
      </c>
      <c r="L2537" t="str">
        <f>TEXT(Pqp_supermarket_data[[#This Row],[DateTime]],"ddd")</f>
        <v>Thu</v>
      </c>
      <c r="M2537" t="str">
        <f>TEXT(Pqp_supermarket_data[[#This Row],[DateTime]],"mmm")</f>
        <v>Mar</v>
      </c>
      <c r="N2537" t="str">
        <f>TEXT(Pqp_supermarket_data[[#This Row],[DateTime]],"yyy")</f>
        <v>2024</v>
      </c>
    </row>
    <row r="2538" spans="1:14" x14ac:dyDescent="0.35">
      <c r="A2538" t="s">
        <v>5178</v>
      </c>
      <c r="B2538" s="1">
        <v>44891.045883483799</v>
      </c>
      <c r="C2538" t="s">
        <v>5179</v>
      </c>
      <c r="D2538" t="s">
        <v>77</v>
      </c>
      <c r="E2538" t="s">
        <v>111</v>
      </c>
      <c r="F2538">
        <v>2.2000000000000002</v>
      </c>
      <c r="G2538">
        <v>3</v>
      </c>
      <c r="H2538" t="s">
        <v>14</v>
      </c>
      <c r="I2538" t="s">
        <v>40</v>
      </c>
      <c r="J2538" t="s">
        <v>116</v>
      </c>
      <c r="K2538">
        <f>Pqp_supermarket_data[[#This Row],[Unit_Price]]*Pqp_supermarket_data[[#This Row],[Quantity]]</f>
        <v>6.6000000000000005</v>
      </c>
      <c r="L2538" t="str">
        <f>TEXT(Pqp_supermarket_data[[#This Row],[DateTime]],"ddd")</f>
        <v>Sat</v>
      </c>
      <c r="M2538" t="str">
        <f>TEXT(Pqp_supermarket_data[[#This Row],[DateTime]],"mmm")</f>
        <v>Nov</v>
      </c>
      <c r="N2538" t="str">
        <f>TEXT(Pqp_supermarket_data[[#This Row],[DateTime]],"yyy")</f>
        <v>2022</v>
      </c>
    </row>
    <row r="2539" spans="1:14" x14ac:dyDescent="0.35">
      <c r="A2539" t="s">
        <v>5180</v>
      </c>
      <c r="B2539" s="1">
        <v>45675.480605717596</v>
      </c>
      <c r="C2539" t="s">
        <v>5181</v>
      </c>
      <c r="D2539" t="s">
        <v>77</v>
      </c>
      <c r="E2539" t="s">
        <v>13</v>
      </c>
      <c r="F2539">
        <v>3.1</v>
      </c>
      <c r="G2539">
        <v>2</v>
      </c>
      <c r="H2539" t="s">
        <v>14</v>
      </c>
      <c r="I2539" t="s">
        <v>21</v>
      </c>
      <c r="J2539" t="s">
        <v>183</v>
      </c>
      <c r="K2539">
        <f>Pqp_supermarket_data[[#This Row],[Unit_Price]]*Pqp_supermarket_data[[#This Row],[Quantity]]</f>
        <v>6.2</v>
      </c>
      <c r="L2539" t="str">
        <f>TEXT(Pqp_supermarket_data[[#This Row],[DateTime]],"ddd")</f>
        <v>Sat</v>
      </c>
      <c r="M2539" t="str">
        <f>TEXT(Pqp_supermarket_data[[#This Row],[DateTime]],"mmm")</f>
        <v>Jan</v>
      </c>
      <c r="N2539" t="str">
        <f>TEXT(Pqp_supermarket_data[[#This Row],[DateTime]],"yyy")</f>
        <v>2025</v>
      </c>
    </row>
    <row r="2540" spans="1:14" x14ac:dyDescent="0.35">
      <c r="A2540" t="s">
        <v>5182</v>
      </c>
      <c r="B2540" s="1">
        <v>45237.358383495368</v>
      </c>
      <c r="C2540" t="s">
        <v>5183</v>
      </c>
      <c r="D2540" t="s">
        <v>77</v>
      </c>
      <c r="E2540" t="s">
        <v>145</v>
      </c>
      <c r="F2540">
        <v>1.7</v>
      </c>
      <c r="G2540">
        <v>4</v>
      </c>
      <c r="H2540" t="s">
        <v>14</v>
      </c>
      <c r="I2540" t="s">
        <v>40</v>
      </c>
      <c r="J2540" t="s">
        <v>227</v>
      </c>
      <c r="K2540">
        <f>Pqp_supermarket_data[[#This Row],[Unit_Price]]*Pqp_supermarket_data[[#This Row],[Quantity]]</f>
        <v>6.8</v>
      </c>
      <c r="L2540" t="str">
        <f>TEXT(Pqp_supermarket_data[[#This Row],[DateTime]],"ddd")</f>
        <v>Tue</v>
      </c>
      <c r="M2540" t="str">
        <f>TEXT(Pqp_supermarket_data[[#This Row],[DateTime]],"mmm")</f>
        <v>Nov</v>
      </c>
      <c r="N2540" t="str">
        <f>TEXT(Pqp_supermarket_data[[#This Row],[DateTime]],"yyy")</f>
        <v>2023</v>
      </c>
    </row>
    <row r="2541" spans="1:14" x14ac:dyDescent="0.35">
      <c r="A2541" t="s">
        <v>5184</v>
      </c>
      <c r="B2541" s="1">
        <v>44626.51810572917</v>
      </c>
      <c r="C2541" t="s">
        <v>5185</v>
      </c>
      <c r="D2541" t="s">
        <v>77</v>
      </c>
      <c r="E2541" t="s">
        <v>39</v>
      </c>
      <c r="F2541">
        <v>3.2</v>
      </c>
      <c r="G2541">
        <v>10</v>
      </c>
      <c r="H2541" t="s">
        <v>14</v>
      </c>
      <c r="I2541" t="s">
        <v>36</v>
      </c>
      <c r="J2541" t="s">
        <v>339</v>
      </c>
      <c r="K2541">
        <f>Pqp_supermarket_data[[#This Row],[Unit_Price]]*Pqp_supermarket_data[[#This Row],[Quantity]]</f>
        <v>32</v>
      </c>
      <c r="L2541" t="str">
        <f>TEXT(Pqp_supermarket_data[[#This Row],[DateTime]],"ddd")</f>
        <v>Sun</v>
      </c>
      <c r="M2541" t="str">
        <f>TEXT(Pqp_supermarket_data[[#This Row],[DateTime]],"mmm")</f>
        <v>Mar</v>
      </c>
      <c r="N2541" t="str">
        <f>TEXT(Pqp_supermarket_data[[#This Row],[DateTime]],"yyy")</f>
        <v>2022</v>
      </c>
    </row>
    <row r="2542" spans="1:14" x14ac:dyDescent="0.35">
      <c r="A2542" t="s">
        <v>5186</v>
      </c>
      <c r="B2542" s="1">
        <v>45204.007689062499</v>
      </c>
      <c r="C2542" t="s">
        <v>5187</v>
      </c>
      <c r="D2542" t="s">
        <v>25</v>
      </c>
      <c r="E2542" t="s">
        <v>26</v>
      </c>
      <c r="F2542">
        <v>2.5</v>
      </c>
      <c r="G2542">
        <v>10</v>
      </c>
      <c r="H2542" t="s">
        <v>14</v>
      </c>
      <c r="I2542" t="s">
        <v>21</v>
      </c>
      <c r="J2542" t="s">
        <v>317</v>
      </c>
      <c r="K2542">
        <f>Pqp_supermarket_data[[#This Row],[Unit_Price]]*Pqp_supermarket_data[[#This Row],[Quantity]]</f>
        <v>25</v>
      </c>
      <c r="L2542" t="str">
        <f>TEXT(Pqp_supermarket_data[[#This Row],[DateTime]],"ddd")</f>
        <v>Thu</v>
      </c>
      <c r="M2542" t="str">
        <f>TEXT(Pqp_supermarket_data[[#This Row],[DateTime]],"mmm")</f>
        <v>Oct</v>
      </c>
      <c r="N2542" t="str">
        <f>TEXT(Pqp_supermarket_data[[#This Row],[DateTime]],"yyy")</f>
        <v>2023</v>
      </c>
    </row>
    <row r="2543" spans="1:14" x14ac:dyDescent="0.35">
      <c r="A2543" t="s">
        <v>5188</v>
      </c>
      <c r="B2543" s="1">
        <v>45239.836161284722</v>
      </c>
      <c r="C2543" t="s">
        <v>5189</v>
      </c>
      <c r="D2543" t="s">
        <v>34</v>
      </c>
      <c r="E2543" t="s">
        <v>26</v>
      </c>
      <c r="F2543">
        <v>2.5</v>
      </c>
      <c r="G2543">
        <v>3</v>
      </c>
      <c r="H2543" t="s">
        <v>14</v>
      </c>
      <c r="I2543" t="s">
        <v>40</v>
      </c>
      <c r="J2543" t="s">
        <v>153</v>
      </c>
      <c r="K2543">
        <f>Pqp_supermarket_data[[#This Row],[Unit_Price]]*Pqp_supermarket_data[[#This Row],[Quantity]]</f>
        <v>7.5</v>
      </c>
      <c r="L2543" t="str">
        <f>TEXT(Pqp_supermarket_data[[#This Row],[DateTime]],"ddd")</f>
        <v>Thu</v>
      </c>
      <c r="M2543" t="str">
        <f>TEXT(Pqp_supermarket_data[[#This Row],[DateTime]],"mmm")</f>
        <v>Nov</v>
      </c>
      <c r="N2543" t="str">
        <f>TEXT(Pqp_supermarket_data[[#This Row],[DateTime]],"yyy")</f>
        <v>2023</v>
      </c>
    </row>
    <row r="2544" spans="1:14" x14ac:dyDescent="0.35">
      <c r="A2544" t="s">
        <v>5190</v>
      </c>
      <c r="B2544" s="1">
        <v>44590.109772407406</v>
      </c>
      <c r="C2544" t="s">
        <v>1074</v>
      </c>
      <c r="D2544" t="s">
        <v>25</v>
      </c>
      <c r="E2544" t="s">
        <v>94</v>
      </c>
      <c r="F2544">
        <v>0.8</v>
      </c>
      <c r="G2544">
        <v>7</v>
      </c>
      <c r="H2544" t="s">
        <v>14</v>
      </c>
      <c r="I2544" t="s">
        <v>15</v>
      </c>
      <c r="J2544" t="s">
        <v>112</v>
      </c>
      <c r="K2544">
        <f>Pqp_supermarket_data[[#This Row],[Unit_Price]]*Pqp_supermarket_data[[#This Row],[Quantity]]</f>
        <v>5.6000000000000005</v>
      </c>
      <c r="L2544" t="str">
        <f>TEXT(Pqp_supermarket_data[[#This Row],[DateTime]],"ddd")</f>
        <v>Sat</v>
      </c>
      <c r="M2544" t="str">
        <f>TEXT(Pqp_supermarket_data[[#This Row],[DateTime]],"mmm")</f>
        <v>Jan</v>
      </c>
      <c r="N2544" t="str">
        <f>TEXT(Pqp_supermarket_data[[#This Row],[DateTime]],"yyy")</f>
        <v>2022</v>
      </c>
    </row>
    <row r="2545" spans="1:14" x14ac:dyDescent="0.35">
      <c r="A2545" t="s">
        <v>5191</v>
      </c>
      <c r="B2545" s="1">
        <v>44524.552827962965</v>
      </c>
      <c r="C2545" t="s">
        <v>5192</v>
      </c>
      <c r="D2545" t="s">
        <v>77</v>
      </c>
      <c r="E2545" t="s">
        <v>119</v>
      </c>
      <c r="F2545">
        <v>4</v>
      </c>
      <c r="G2545">
        <v>10</v>
      </c>
      <c r="H2545" t="s">
        <v>14</v>
      </c>
      <c r="I2545" t="s">
        <v>61</v>
      </c>
      <c r="J2545" t="s">
        <v>723</v>
      </c>
      <c r="K2545">
        <f>Pqp_supermarket_data[[#This Row],[Unit_Price]]*Pqp_supermarket_data[[#This Row],[Quantity]]</f>
        <v>40</v>
      </c>
      <c r="L2545" t="str">
        <f>TEXT(Pqp_supermarket_data[[#This Row],[DateTime]],"ddd")</f>
        <v>Wed</v>
      </c>
      <c r="M2545" t="str">
        <f>TEXT(Pqp_supermarket_data[[#This Row],[DateTime]],"mmm")</f>
        <v>Nov</v>
      </c>
      <c r="N2545" t="str">
        <f>TEXT(Pqp_supermarket_data[[#This Row],[DateTime]],"yyy")</f>
        <v>2021</v>
      </c>
    </row>
    <row r="2546" spans="1:14" x14ac:dyDescent="0.35">
      <c r="A2546" t="s">
        <v>5193</v>
      </c>
      <c r="B2546" s="1">
        <v>45531.424355740739</v>
      </c>
      <c r="C2546" t="s">
        <v>5194</v>
      </c>
      <c r="D2546" t="s">
        <v>34</v>
      </c>
      <c r="E2546" t="s">
        <v>145</v>
      </c>
      <c r="F2546">
        <v>1.7</v>
      </c>
      <c r="G2546">
        <v>4</v>
      </c>
      <c r="H2546" t="s">
        <v>14</v>
      </c>
      <c r="I2546" t="s">
        <v>15</v>
      </c>
      <c r="J2546" t="s">
        <v>223</v>
      </c>
      <c r="K2546">
        <f>Pqp_supermarket_data[[#This Row],[Unit_Price]]*Pqp_supermarket_data[[#This Row],[Quantity]]</f>
        <v>6.8</v>
      </c>
      <c r="L2546" t="str">
        <f>TEXT(Pqp_supermarket_data[[#This Row],[DateTime]],"ddd")</f>
        <v>Tue</v>
      </c>
      <c r="M2546" t="str">
        <f>TEXT(Pqp_supermarket_data[[#This Row],[DateTime]],"mmm")</f>
        <v>Aug</v>
      </c>
      <c r="N2546" t="str">
        <f>TEXT(Pqp_supermarket_data[[#This Row],[DateTime]],"yyy")</f>
        <v>2024</v>
      </c>
    </row>
    <row r="2547" spans="1:14" x14ac:dyDescent="0.35">
      <c r="A2547" t="s">
        <v>5195</v>
      </c>
      <c r="B2547" s="1">
        <v>44538.311855752312</v>
      </c>
      <c r="C2547" t="s">
        <v>5196</v>
      </c>
      <c r="D2547" t="s">
        <v>69</v>
      </c>
      <c r="E2547" t="s">
        <v>26</v>
      </c>
      <c r="F2547">
        <v>2.5</v>
      </c>
      <c r="G2547">
        <v>5</v>
      </c>
      <c r="H2547" t="s">
        <v>14</v>
      </c>
      <c r="I2547" t="s">
        <v>40</v>
      </c>
      <c r="J2547" t="s">
        <v>288</v>
      </c>
      <c r="K2547">
        <f>Pqp_supermarket_data[[#This Row],[Unit_Price]]*Pqp_supermarket_data[[#This Row],[Quantity]]</f>
        <v>12.5</v>
      </c>
      <c r="L2547" t="str">
        <f>TEXT(Pqp_supermarket_data[[#This Row],[DateTime]],"ddd")</f>
        <v>Wed</v>
      </c>
      <c r="M2547" t="str">
        <f>TEXT(Pqp_supermarket_data[[#This Row],[DateTime]],"mmm")</f>
        <v>Dec</v>
      </c>
      <c r="N2547" t="str">
        <f>TEXT(Pqp_supermarket_data[[#This Row],[DateTime]],"yyy")</f>
        <v>2021</v>
      </c>
    </row>
    <row r="2548" spans="1:14" x14ac:dyDescent="0.35">
      <c r="A2548" t="s">
        <v>5197</v>
      </c>
      <c r="B2548" s="1">
        <v>45296.671577974535</v>
      </c>
      <c r="C2548" t="s">
        <v>5198</v>
      </c>
      <c r="D2548" t="s">
        <v>82</v>
      </c>
      <c r="E2548" t="s">
        <v>119</v>
      </c>
      <c r="F2548">
        <v>4</v>
      </c>
      <c r="G2548">
        <v>10</v>
      </c>
      <c r="H2548" t="s">
        <v>14</v>
      </c>
      <c r="I2548" t="s">
        <v>86</v>
      </c>
      <c r="J2548" t="s">
        <v>31</v>
      </c>
      <c r="K2548">
        <f>Pqp_supermarket_data[[#This Row],[Unit_Price]]*Pqp_supermarket_data[[#This Row],[Quantity]]</f>
        <v>40</v>
      </c>
      <c r="L2548" t="str">
        <f>TEXT(Pqp_supermarket_data[[#This Row],[DateTime]],"ddd")</f>
        <v>Fri</v>
      </c>
      <c r="M2548" t="str">
        <f>TEXT(Pqp_supermarket_data[[#This Row],[DateTime]],"mmm")</f>
        <v>Jan</v>
      </c>
      <c r="N2548" t="str">
        <f>TEXT(Pqp_supermarket_data[[#This Row],[DateTime]],"yyy")</f>
        <v>2024</v>
      </c>
    </row>
    <row r="2549" spans="1:14" x14ac:dyDescent="0.35">
      <c r="A2549" t="s">
        <v>5199</v>
      </c>
      <c r="B2549" s="1">
        <v>45349.263939097225</v>
      </c>
      <c r="C2549" t="s">
        <v>5200</v>
      </c>
      <c r="D2549" t="s">
        <v>34</v>
      </c>
      <c r="E2549" t="s">
        <v>65</v>
      </c>
      <c r="F2549">
        <v>3</v>
      </c>
      <c r="G2549">
        <v>7</v>
      </c>
      <c r="H2549" t="s">
        <v>14</v>
      </c>
      <c r="I2549" t="s">
        <v>36</v>
      </c>
      <c r="J2549" t="s">
        <v>510</v>
      </c>
      <c r="K2549">
        <f>Pqp_supermarket_data[[#This Row],[Unit_Price]]*Pqp_supermarket_data[[#This Row],[Quantity]]</f>
        <v>21</v>
      </c>
      <c r="L2549" t="str">
        <f>TEXT(Pqp_supermarket_data[[#This Row],[DateTime]],"ddd")</f>
        <v>Tue</v>
      </c>
      <c r="M2549" t="str">
        <f>TEXT(Pqp_supermarket_data[[#This Row],[DateTime]],"mmm")</f>
        <v>Feb</v>
      </c>
      <c r="N2549" t="str">
        <f>TEXT(Pqp_supermarket_data[[#This Row],[DateTime]],"yyy")</f>
        <v>2024</v>
      </c>
    </row>
    <row r="2550" spans="1:14" x14ac:dyDescent="0.35">
      <c r="A2550" t="s">
        <v>5201</v>
      </c>
      <c r="B2550" s="1">
        <v>44880.360466874998</v>
      </c>
      <c r="C2550" t="s">
        <v>5202</v>
      </c>
      <c r="D2550" t="s">
        <v>19</v>
      </c>
      <c r="E2550" t="s">
        <v>49</v>
      </c>
      <c r="F2550">
        <v>7</v>
      </c>
      <c r="G2550">
        <v>10</v>
      </c>
      <c r="H2550" t="s">
        <v>14</v>
      </c>
      <c r="I2550" t="s">
        <v>86</v>
      </c>
      <c r="J2550" t="s">
        <v>397</v>
      </c>
      <c r="K2550">
        <f>Pqp_supermarket_data[[#This Row],[Unit_Price]]*Pqp_supermarket_data[[#This Row],[Quantity]]</f>
        <v>70</v>
      </c>
      <c r="L2550" t="str">
        <f>TEXT(Pqp_supermarket_data[[#This Row],[DateTime]],"ddd")</f>
        <v>Tue</v>
      </c>
      <c r="M2550" t="str">
        <f>TEXT(Pqp_supermarket_data[[#This Row],[DateTime]],"mmm")</f>
        <v>Nov</v>
      </c>
      <c r="N2550" t="str">
        <f>TEXT(Pqp_supermarket_data[[#This Row],[DateTime]],"yyy")</f>
        <v>2022</v>
      </c>
    </row>
    <row r="2551" spans="1:14" x14ac:dyDescent="0.35">
      <c r="A2551" t="s">
        <v>5203</v>
      </c>
      <c r="B2551" s="1">
        <v>44678.217411342594</v>
      </c>
      <c r="C2551" t="s">
        <v>5204</v>
      </c>
      <c r="D2551" t="s">
        <v>19</v>
      </c>
      <c r="E2551" t="s">
        <v>115</v>
      </c>
      <c r="F2551">
        <v>1.5</v>
      </c>
      <c r="G2551">
        <v>7</v>
      </c>
      <c r="H2551" t="s">
        <v>14</v>
      </c>
      <c r="I2551" t="s">
        <v>21</v>
      </c>
      <c r="J2551" t="s">
        <v>102</v>
      </c>
      <c r="K2551">
        <f>Pqp_supermarket_data[[#This Row],[Unit_Price]]*Pqp_supermarket_data[[#This Row],[Quantity]]</f>
        <v>10.5</v>
      </c>
      <c r="L2551" t="str">
        <f>TEXT(Pqp_supermarket_data[[#This Row],[DateTime]],"ddd")</f>
        <v>Wed</v>
      </c>
      <c r="M2551" t="str">
        <f>TEXT(Pqp_supermarket_data[[#This Row],[DateTime]],"mmm")</f>
        <v>Apr</v>
      </c>
      <c r="N2551" t="str">
        <f>TEXT(Pqp_supermarket_data[[#This Row],[DateTime]],"yyy")</f>
        <v>2022</v>
      </c>
    </row>
    <row r="2552" spans="1:14" x14ac:dyDescent="0.35">
      <c r="A2552" t="s">
        <v>5205</v>
      </c>
      <c r="B2552" s="1">
        <v>45127.538244675925</v>
      </c>
      <c r="C2552" t="s">
        <v>5206</v>
      </c>
      <c r="D2552" t="s">
        <v>85</v>
      </c>
      <c r="E2552" t="s">
        <v>45</v>
      </c>
      <c r="F2552">
        <v>1</v>
      </c>
      <c r="G2552">
        <v>7</v>
      </c>
      <c r="H2552" t="s">
        <v>14</v>
      </c>
      <c r="I2552" t="s">
        <v>86</v>
      </c>
      <c r="J2552" t="s">
        <v>538</v>
      </c>
      <c r="K2552">
        <f>Pqp_supermarket_data[[#This Row],[Unit_Price]]*Pqp_supermarket_data[[#This Row],[Quantity]]</f>
        <v>7</v>
      </c>
      <c r="L2552" t="str">
        <f>TEXT(Pqp_supermarket_data[[#This Row],[DateTime]],"ddd")</f>
        <v>Thu</v>
      </c>
      <c r="M2552" t="str">
        <f>TEXT(Pqp_supermarket_data[[#This Row],[DateTime]],"mmm")</f>
        <v>Jul</v>
      </c>
      <c r="N2552" t="str">
        <f>TEXT(Pqp_supermarket_data[[#This Row],[DateTime]],"yyy")</f>
        <v>2023</v>
      </c>
    </row>
    <row r="2553" spans="1:14" x14ac:dyDescent="0.35">
      <c r="A2553" t="s">
        <v>5207</v>
      </c>
      <c r="B2553" s="1">
        <v>45366.095189120373</v>
      </c>
      <c r="C2553" t="s">
        <v>5208</v>
      </c>
      <c r="D2553" t="s">
        <v>12</v>
      </c>
      <c r="E2553" t="s">
        <v>65</v>
      </c>
      <c r="F2553">
        <v>3</v>
      </c>
      <c r="G2553">
        <v>10</v>
      </c>
      <c r="H2553" t="s">
        <v>14</v>
      </c>
      <c r="I2553" t="s">
        <v>36</v>
      </c>
      <c r="J2553" t="s">
        <v>382</v>
      </c>
      <c r="K2553">
        <f>Pqp_supermarket_data[[#This Row],[Unit_Price]]*Pqp_supermarket_data[[#This Row],[Quantity]]</f>
        <v>30</v>
      </c>
      <c r="L2553" t="str">
        <f>TEXT(Pqp_supermarket_data[[#This Row],[DateTime]],"ddd")</f>
        <v>Fri</v>
      </c>
      <c r="M2553" t="str">
        <f>TEXT(Pqp_supermarket_data[[#This Row],[DateTime]],"mmm")</f>
        <v>Mar</v>
      </c>
      <c r="N2553" t="str">
        <f>TEXT(Pqp_supermarket_data[[#This Row],[DateTime]],"yyy")</f>
        <v>2024</v>
      </c>
    </row>
    <row r="2554" spans="1:14" x14ac:dyDescent="0.35">
      <c r="A2554" t="s">
        <v>5209</v>
      </c>
      <c r="B2554" s="1">
        <v>45013.316716909721</v>
      </c>
      <c r="C2554" t="s">
        <v>5210</v>
      </c>
      <c r="D2554" t="s">
        <v>82</v>
      </c>
      <c r="E2554" t="s">
        <v>78</v>
      </c>
      <c r="F2554">
        <v>4</v>
      </c>
      <c r="G2554">
        <v>4</v>
      </c>
      <c r="H2554" t="s">
        <v>14</v>
      </c>
      <c r="I2554" t="s">
        <v>61</v>
      </c>
      <c r="J2554" t="s">
        <v>62</v>
      </c>
      <c r="K2554">
        <f>Pqp_supermarket_data[[#This Row],[Unit_Price]]*Pqp_supermarket_data[[#This Row],[Quantity]]</f>
        <v>16</v>
      </c>
      <c r="L2554" t="str">
        <f>TEXT(Pqp_supermarket_data[[#This Row],[DateTime]],"ddd")</f>
        <v>Tue</v>
      </c>
      <c r="M2554" t="str">
        <f>TEXT(Pqp_supermarket_data[[#This Row],[DateTime]],"mmm")</f>
        <v>Mar</v>
      </c>
      <c r="N2554" t="str">
        <f>TEXT(Pqp_supermarket_data[[#This Row],[DateTime]],"yyy")</f>
        <v>2023</v>
      </c>
    </row>
    <row r="2555" spans="1:14" x14ac:dyDescent="0.35">
      <c r="A2555" t="s">
        <v>5211</v>
      </c>
      <c r="B2555" s="1">
        <v>44957.216022465276</v>
      </c>
      <c r="C2555" t="s">
        <v>5212</v>
      </c>
      <c r="D2555" t="s">
        <v>12</v>
      </c>
      <c r="E2555" t="s">
        <v>57</v>
      </c>
      <c r="F2555">
        <v>4.5</v>
      </c>
      <c r="G2555">
        <v>4</v>
      </c>
      <c r="H2555" t="s">
        <v>14</v>
      </c>
      <c r="I2555" t="s">
        <v>86</v>
      </c>
      <c r="J2555" t="s">
        <v>273</v>
      </c>
      <c r="K2555">
        <f>Pqp_supermarket_data[[#This Row],[Unit_Price]]*Pqp_supermarket_data[[#This Row],[Quantity]]</f>
        <v>18</v>
      </c>
      <c r="L2555" t="str">
        <f>TEXT(Pqp_supermarket_data[[#This Row],[DateTime]],"ddd")</f>
        <v>Tue</v>
      </c>
      <c r="M2555" t="str">
        <f>TEXT(Pqp_supermarket_data[[#This Row],[DateTime]],"mmm")</f>
        <v>Jan</v>
      </c>
      <c r="N2555" t="str">
        <f>TEXT(Pqp_supermarket_data[[#This Row],[DateTime]],"yyy")</f>
        <v>2023</v>
      </c>
    </row>
    <row r="2556" spans="1:14" x14ac:dyDescent="0.35">
      <c r="A2556" t="s">
        <v>5213</v>
      </c>
      <c r="B2556" s="1">
        <v>44825.529911365738</v>
      </c>
      <c r="C2556" t="s">
        <v>5214</v>
      </c>
      <c r="D2556" t="s">
        <v>19</v>
      </c>
      <c r="E2556" t="s">
        <v>119</v>
      </c>
      <c r="F2556">
        <v>4</v>
      </c>
      <c r="G2556">
        <v>4</v>
      </c>
      <c r="H2556" t="s">
        <v>14</v>
      </c>
      <c r="I2556" t="s">
        <v>36</v>
      </c>
      <c r="J2556" t="s">
        <v>160</v>
      </c>
      <c r="K2556">
        <f>Pqp_supermarket_data[[#This Row],[Unit_Price]]*Pqp_supermarket_data[[#This Row],[Quantity]]</f>
        <v>16</v>
      </c>
      <c r="L2556" t="str">
        <f>TEXT(Pqp_supermarket_data[[#This Row],[DateTime]],"ddd")</f>
        <v>Wed</v>
      </c>
      <c r="M2556" t="str">
        <f>TEXT(Pqp_supermarket_data[[#This Row],[DateTime]],"mmm")</f>
        <v>Sep</v>
      </c>
      <c r="N2556" t="str">
        <f>TEXT(Pqp_supermarket_data[[#This Row],[DateTime]],"yyy")</f>
        <v>2022</v>
      </c>
    </row>
    <row r="2557" spans="1:14" x14ac:dyDescent="0.35">
      <c r="A2557" t="s">
        <v>5215</v>
      </c>
      <c r="B2557" s="1">
        <v>45653.945189143516</v>
      </c>
      <c r="C2557" t="s">
        <v>5216</v>
      </c>
      <c r="D2557" t="s">
        <v>226</v>
      </c>
      <c r="E2557" t="s">
        <v>35</v>
      </c>
      <c r="F2557">
        <v>1.2</v>
      </c>
      <c r="G2557">
        <v>7</v>
      </c>
      <c r="H2557" t="s">
        <v>14</v>
      </c>
      <c r="I2557" t="s">
        <v>21</v>
      </c>
      <c r="J2557" t="s">
        <v>561</v>
      </c>
      <c r="K2557">
        <f>Pqp_supermarket_data[[#This Row],[Unit_Price]]*Pqp_supermarket_data[[#This Row],[Quantity]]</f>
        <v>8.4</v>
      </c>
      <c r="L2557" t="str">
        <f>TEXT(Pqp_supermarket_data[[#This Row],[DateTime]],"ddd")</f>
        <v>Fri</v>
      </c>
      <c r="M2557" t="str">
        <f>TEXT(Pqp_supermarket_data[[#This Row],[DateTime]],"mmm")</f>
        <v>Dec</v>
      </c>
      <c r="N2557" t="str">
        <f>TEXT(Pqp_supermarket_data[[#This Row],[DateTime]],"yyy")</f>
        <v>2024</v>
      </c>
    </row>
    <row r="2558" spans="1:14" x14ac:dyDescent="0.35">
      <c r="A2558" t="s">
        <v>5217</v>
      </c>
      <c r="B2558" s="1">
        <v>45050.059078043982</v>
      </c>
      <c r="C2558" t="s">
        <v>5218</v>
      </c>
      <c r="D2558" t="s">
        <v>98</v>
      </c>
      <c r="E2558" t="s">
        <v>145</v>
      </c>
      <c r="F2558">
        <v>1.7</v>
      </c>
      <c r="G2558">
        <v>8</v>
      </c>
      <c r="H2558" t="s">
        <v>14</v>
      </c>
      <c r="I2558" t="s">
        <v>86</v>
      </c>
      <c r="J2558" t="s">
        <v>451</v>
      </c>
      <c r="K2558">
        <f>Pqp_supermarket_data[[#This Row],[Unit_Price]]*Pqp_supermarket_data[[#This Row],[Quantity]]</f>
        <v>13.6</v>
      </c>
      <c r="L2558" t="str">
        <f>TEXT(Pqp_supermarket_data[[#This Row],[DateTime]],"ddd")</f>
        <v>Thu</v>
      </c>
      <c r="M2558" t="str">
        <f>TEXT(Pqp_supermarket_data[[#This Row],[DateTime]],"mmm")</f>
        <v>May</v>
      </c>
      <c r="N2558" t="str">
        <f>TEXT(Pqp_supermarket_data[[#This Row],[DateTime]],"yyy")</f>
        <v>2023</v>
      </c>
    </row>
    <row r="2559" spans="1:14" x14ac:dyDescent="0.35">
      <c r="A2559" t="s">
        <v>5219</v>
      </c>
      <c r="B2559" s="1">
        <v>44891.211161400461</v>
      </c>
      <c r="C2559" t="s">
        <v>5220</v>
      </c>
      <c r="D2559" t="s">
        <v>25</v>
      </c>
      <c r="E2559" t="s">
        <v>13</v>
      </c>
      <c r="F2559">
        <v>3.1</v>
      </c>
      <c r="G2559">
        <v>6</v>
      </c>
      <c r="H2559" t="s">
        <v>14</v>
      </c>
      <c r="I2559" t="s">
        <v>61</v>
      </c>
      <c r="J2559" t="s">
        <v>470</v>
      </c>
      <c r="K2559">
        <f>Pqp_supermarket_data[[#This Row],[Unit_Price]]*Pqp_supermarket_data[[#This Row],[Quantity]]</f>
        <v>18.600000000000001</v>
      </c>
      <c r="L2559" t="str">
        <f>TEXT(Pqp_supermarket_data[[#This Row],[DateTime]],"ddd")</f>
        <v>Sat</v>
      </c>
      <c r="M2559" t="str">
        <f>TEXT(Pqp_supermarket_data[[#This Row],[DateTime]],"mmm")</f>
        <v>Nov</v>
      </c>
      <c r="N2559" t="str">
        <f>TEXT(Pqp_supermarket_data[[#This Row],[DateTime]],"yyy")</f>
        <v>2022</v>
      </c>
    </row>
    <row r="2560" spans="1:14" x14ac:dyDescent="0.35">
      <c r="A2560" t="s">
        <v>5221</v>
      </c>
      <c r="B2560" s="1">
        <v>45463.341716967596</v>
      </c>
      <c r="C2560" t="s">
        <v>5222</v>
      </c>
      <c r="D2560" t="s">
        <v>34</v>
      </c>
      <c r="E2560" t="s">
        <v>119</v>
      </c>
      <c r="F2560">
        <v>4</v>
      </c>
      <c r="G2560">
        <v>9</v>
      </c>
      <c r="H2560" t="s">
        <v>14</v>
      </c>
      <c r="I2560" t="s">
        <v>21</v>
      </c>
      <c r="J2560" t="s">
        <v>716</v>
      </c>
      <c r="K2560">
        <f>Pqp_supermarket_data[[#This Row],[Unit_Price]]*Pqp_supermarket_data[[#This Row],[Quantity]]</f>
        <v>36</v>
      </c>
      <c r="L2560" t="str">
        <f>TEXT(Pqp_supermarket_data[[#This Row],[DateTime]],"ddd")</f>
        <v>Thu</v>
      </c>
      <c r="M2560" t="str">
        <f>TEXT(Pqp_supermarket_data[[#This Row],[DateTime]],"mmm")</f>
        <v>Jun</v>
      </c>
      <c r="N2560" t="str">
        <f>TEXT(Pqp_supermarket_data[[#This Row],[DateTime]],"yyy")</f>
        <v>2024</v>
      </c>
    </row>
    <row r="2561" spans="1:14" x14ac:dyDescent="0.35">
      <c r="A2561" t="s">
        <v>5223</v>
      </c>
      <c r="B2561" s="1">
        <v>45386.501439201391</v>
      </c>
      <c r="C2561" t="s">
        <v>5224</v>
      </c>
      <c r="D2561" t="s">
        <v>44</v>
      </c>
      <c r="E2561" t="s">
        <v>137</v>
      </c>
      <c r="F2561">
        <v>2.5</v>
      </c>
      <c r="G2561">
        <v>4</v>
      </c>
      <c r="H2561" t="s">
        <v>14</v>
      </c>
      <c r="I2561" t="s">
        <v>40</v>
      </c>
      <c r="J2561" t="s">
        <v>54</v>
      </c>
      <c r="K2561">
        <f>Pqp_supermarket_data[[#This Row],[Unit_Price]]*Pqp_supermarket_data[[#This Row],[Quantity]]</f>
        <v>10</v>
      </c>
      <c r="L2561" t="str">
        <f>TEXT(Pqp_supermarket_data[[#This Row],[DateTime]],"ddd")</f>
        <v>Thu</v>
      </c>
      <c r="M2561" t="str">
        <f>TEXT(Pqp_supermarket_data[[#This Row],[DateTime]],"mmm")</f>
        <v>Apr</v>
      </c>
      <c r="N2561" t="str">
        <f>TEXT(Pqp_supermarket_data[[#This Row],[DateTime]],"yyy")</f>
        <v>2024</v>
      </c>
    </row>
    <row r="2562" spans="1:14" x14ac:dyDescent="0.35">
      <c r="A2562" t="s">
        <v>5225</v>
      </c>
      <c r="B2562" s="1">
        <v>45461.449355891207</v>
      </c>
      <c r="C2562" t="s">
        <v>5226</v>
      </c>
      <c r="D2562" t="s">
        <v>12</v>
      </c>
      <c r="E2562" t="s">
        <v>20</v>
      </c>
      <c r="F2562">
        <v>1</v>
      </c>
      <c r="G2562">
        <v>1</v>
      </c>
      <c r="H2562" t="s">
        <v>14</v>
      </c>
      <c r="I2562" t="s">
        <v>61</v>
      </c>
      <c r="J2562" t="s">
        <v>369</v>
      </c>
      <c r="K2562">
        <f>Pqp_supermarket_data[[#This Row],[Unit_Price]]*Pqp_supermarket_data[[#This Row],[Quantity]]</f>
        <v>1</v>
      </c>
      <c r="L2562" t="str">
        <f>TEXT(Pqp_supermarket_data[[#This Row],[DateTime]],"ddd")</f>
        <v>Tue</v>
      </c>
      <c r="M2562" t="str">
        <f>TEXT(Pqp_supermarket_data[[#This Row],[DateTime]],"mmm")</f>
        <v>Jun</v>
      </c>
      <c r="N2562" t="str">
        <f>TEXT(Pqp_supermarket_data[[#This Row],[DateTime]],"yyy")</f>
        <v>2024</v>
      </c>
    </row>
    <row r="2563" spans="1:14" x14ac:dyDescent="0.35">
      <c r="A2563" t="s">
        <v>5227</v>
      </c>
      <c r="B2563" s="1">
        <v>44711.206994791668</v>
      </c>
      <c r="C2563" t="s">
        <v>5228</v>
      </c>
      <c r="D2563" t="s">
        <v>69</v>
      </c>
      <c r="E2563" t="s">
        <v>57</v>
      </c>
      <c r="F2563">
        <v>4.5</v>
      </c>
      <c r="G2563">
        <v>3</v>
      </c>
      <c r="H2563" t="s">
        <v>14</v>
      </c>
      <c r="I2563" t="s">
        <v>86</v>
      </c>
      <c r="J2563" t="s">
        <v>339</v>
      </c>
      <c r="K2563">
        <f>Pqp_supermarket_data[[#This Row],[Unit_Price]]*Pqp_supermarket_data[[#This Row],[Quantity]]</f>
        <v>13.5</v>
      </c>
      <c r="L2563" t="str">
        <f>TEXT(Pqp_supermarket_data[[#This Row],[DateTime]],"ddd")</f>
        <v>Mon</v>
      </c>
      <c r="M2563" t="str">
        <f>TEXT(Pqp_supermarket_data[[#This Row],[DateTime]],"mmm")</f>
        <v>May</v>
      </c>
      <c r="N2563" t="str">
        <f>TEXT(Pqp_supermarket_data[[#This Row],[DateTime]],"yyy")</f>
        <v>2022</v>
      </c>
    </row>
    <row r="2564" spans="1:14" x14ac:dyDescent="0.35">
      <c r="A2564" t="s">
        <v>5229</v>
      </c>
      <c r="B2564" s="1">
        <v>45406.250050347226</v>
      </c>
      <c r="C2564" t="s">
        <v>5230</v>
      </c>
      <c r="D2564" t="s">
        <v>127</v>
      </c>
      <c r="E2564" t="s">
        <v>94</v>
      </c>
      <c r="F2564">
        <v>0.8</v>
      </c>
      <c r="G2564">
        <v>9</v>
      </c>
      <c r="H2564" t="s">
        <v>14</v>
      </c>
      <c r="I2564" t="s">
        <v>40</v>
      </c>
      <c r="J2564" t="s">
        <v>496</v>
      </c>
      <c r="K2564">
        <f>Pqp_supermarket_data[[#This Row],[Unit_Price]]*Pqp_supermarket_data[[#This Row],[Quantity]]</f>
        <v>7.2</v>
      </c>
      <c r="L2564" t="str">
        <f>TEXT(Pqp_supermarket_data[[#This Row],[DateTime]],"ddd")</f>
        <v>Wed</v>
      </c>
      <c r="M2564" t="str">
        <f>TEXT(Pqp_supermarket_data[[#This Row],[DateTime]],"mmm")</f>
        <v>Apr</v>
      </c>
      <c r="N2564" t="str">
        <f>TEXT(Pqp_supermarket_data[[#This Row],[DateTime]],"yyy")</f>
        <v>2024</v>
      </c>
    </row>
    <row r="2565" spans="1:14" x14ac:dyDescent="0.35">
      <c r="A2565" t="s">
        <v>5231</v>
      </c>
      <c r="B2565" s="1">
        <v>45597.766022581018</v>
      </c>
      <c r="C2565" t="s">
        <v>5232</v>
      </c>
      <c r="D2565" t="s">
        <v>171</v>
      </c>
      <c r="E2565" t="s">
        <v>94</v>
      </c>
      <c r="F2565">
        <v>0.8</v>
      </c>
      <c r="G2565">
        <v>5</v>
      </c>
      <c r="H2565" t="s">
        <v>14</v>
      </c>
      <c r="I2565" t="s">
        <v>21</v>
      </c>
      <c r="J2565" t="s">
        <v>122</v>
      </c>
      <c r="K2565">
        <f>Pqp_supermarket_data[[#This Row],[Unit_Price]]*Pqp_supermarket_data[[#This Row],[Quantity]]</f>
        <v>4</v>
      </c>
      <c r="L2565" t="str">
        <f>TEXT(Pqp_supermarket_data[[#This Row],[DateTime]],"ddd")</f>
        <v>Fri</v>
      </c>
      <c r="M2565" t="str">
        <f>TEXT(Pqp_supermarket_data[[#This Row],[DateTime]],"mmm")</f>
        <v>Nov</v>
      </c>
      <c r="N2565" t="str">
        <f>TEXT(Pqp_supermarket_data[[#This Row],[DateTime]],"yyy")</f>
        <v>2024</v>
      </c>
    </row>
    <row r="2566" spans="1:14" x14ac:dyDescent="0.35">
      <c r="A2566" t="s">
        <v>5233</v>
      </c>
      <c r="B2566" s="1">
        <v>44920.341022581022</v>
      </c>
      <c r="C2566" t="s">
        <v>5234</v>
      </c>
      <c r="D2566" t="s">
        <v>208</v>
      </c>
      <c r="E2566" t="s">
        <v>78</v>
      </c>
      <c r="F2566">
        <v>4</v>
      </c>
      <c r="G2566">
        <v>10</v>
      </c>
      <c r="H2566" t="s">
        <v>14</v>
      </c>
      <c r="I2566" t="s">
        <v>36</v>
      </c>
      <c r="J2566" t="s">
        <v>205</v>
      </c>
      <c r="K2566">
        <f>Pqp_supermarket_data[[#This Row],[Unit_Price]]*Pqp_supermarket_data[[#This Row],[Quantity]]</f>
        <v>40</v>
      </c>
      <c r="L2566" t="str">
        <f>TEXT(Pqp_supermarket_data[[#This Row],[DateTime]],"ddd")</f>
        <v>Sun</v>
      </c>
      <c r="M2566" t="str">
        <f>TEXT(Pqp_supermarket_data[[#This Row],[DateTime]],"mmm")</f>
        <v>Dec</v>
      </c>
      <c r="N2566" t="str">
        <f>TEXT(Pqp_supermarket_data[[#This Row],[DateTime]],"yyy")</f>
        <v>2022</v>
      </c>
    </row>
    <row r="2567" spans="1:14" x14ac:dyDescent="0.35">
      <c r="A2567" t="s">
        <v>5235</v>
      </c>
      <c r="B2567" s="1">
        <v>45649.422967025464</v>
      </c>
      <c r="C2567" t="s">
        <v>5236</v>
      </c>
      <c r="D2567" t="s">
        <v>34</v>
      </c>
      <c r="E2567" t="s">
        <v>94</v>
      </c>
      <c r="F2567">
        <v>0.8</v>
      </c>
      <c r="G2567">
        <v>9</v>
      </c>
      <c r="H2567" t="s">
        <v>14</v>
      </c>
      <c r="I2567" t="s">
        <v>40</v>
      </c>
      <c r="J2567" t="s">
        <v>267</v>
      </c>
      <c r="K2567">
        <f>Pqp_supermarket_data[[#This Row],[Unit_Price]]*Pqp_supermarket_data[[#This Row],[Quantity]]</f>
        <v>7.2</v>
      </c>
      <c r="L2567" t="str">
        <f>TEXT(Pqp_supermarket_data[[#This Row],[DateTime]],"ddd")</f>
        <v>Mon</v>
      </c>
      <c r="M2567" t="str">
        <f>TEXT(Pqp_supermarket_data[[#This Row],[DateTime]],"mmm")</f>
        <v>Dec</v>
      </c>
      <c r="N2567" t="str">
        <f>TEXT(Pqp_supermarket_data[[#This Row],[DateTime]],"yyy")</f>
        <v>2024</v>
      </c>
    </row>
    <row r="2568" spans="1:14" x14ac:dyDescent="0.35">
      <c r="A2568" t="s">
        <v>5237</v>
      </c>
      <c r="B2568" s="1">
        <v>44838.81810592593</v>
      </c>
      <c r="C2568" t="s">
        <v>5238</v>
      </c>
      <c r="D2568" t="s">
        <v>44</v>
      </c>
      <c r="E2568" t="s">
        <v>94</v>
      </c>
      <c r="F2568">
        <v>0.8</v>
      </c>
      <c r="G2568">
        <v>3</v>
      </c>
      <c r="H2568" t="s">
        <v>14</v>
      </c>
      <c r="I2568" t="s">
        <v>21</v>
      </c>
      <c r="J2568" t="s">
        <v>458</v>
      </c>
      <c r="K2568">
        <f>Pqp_supermarket_data[[#This Row],[Unit_Price]]*Pqp_supermarket_data[[#This Row],[Quantity]]</f>
        <v>2.4000000000000004</v>
      </c>
      <c r="L2568" t="str">
        <f>TEXT(Pqp_supermarket_data[[#This Row],[DateTime]],"ddd")</f>
        <v>Tue</v>
      </c>
      <c r="M2568" t="str">
        <f>TEXT(Pqp_supermarket_data[[#This Row],[DateTime]],"mmm")</f>
        <v>Oct</v>
      </c>
      <c r="N2568" t="str">
        <f>TEXT(Pqp_supermarket_data[[#This Row],[DateTime]],"yyy")</f>
        <v>2022</v>
      </c>
    </row>
    <row r="2569" spans="1:14" x14ac:dyDescent="0.35">
      <c r="A2569" t="s">
        <v>5239</v>
      </c>
      <c r="B2569" s="1">
        <v>45283.545883715276</v>
      </c>
      <c r="C2569" t="s">
        <v>5240</v>
      </c>
      <c r="D2569" t="s">
        <v>34</v>
      </c>
      <c r="E2569" t="s">
        <v>94</v>
      </c>
      <c r="F2569">
        <v>0.8</v>
      </c>
      <c r="G2569">
        <v>5</v>
      </c>
      <c r="H2569" t="s">
        <v>14</v>
      </c>
      <c r="I2569" t="s">
        <v>21</v>
      </c>
      <c r="J2569" t="s">
        <v>397</v>
      </c>
      <c r="K2569">
        <f>Pqp_supermarket_data[[#This Row],[Unit_Price]]*Pqp_supermarket_data[[#This Row],[Quantity]]</f>
        <v>4</v>
      </c>
      <c r="L2569" t="str">
        <f>TEXT(Pqp_supermarket_data[[#This Row],[DateTime]],"ddd")</f>
        <v>Sat</v>
      </c>
      <c r="M2569" t="str">
        <f>TEXT(Pqp_supermarket_data[[#This Row],[DateTime]],"mmm")</f>
        <v>Dec</v>
      </c>
      <c r="N2569" t="str">
        <f>TEXT(Pqp_supermarket_data[[#This Row],[DateTime]],"yyy")</f>
        <v>2023</v>
      </c>
    </row>
    <row r="2570" spans="1:14" x14ac:dyDescent="0.35">
      <c r="A2570" t="s">
        <v>5241</v>
      </c>
      <c r="B2570" s="1">
        <v>44760.853522604164</v>
      </c>
      <c r="C2570" t="s">
        <v>5242</v>
      </c>
      <c r="D2570" t="s">
        <v>208</v>
      </c>
      <c r="E2570" t="s">
        <v>49</v>
      </c>
      <c r="F2570">
        <v>7</v>
      </c>
      <c r="G2570">
        <v>3</v>
      </c>
      <c r="H2570" t="s">
        <v>14</v>
      </c>
      <c r="I2570" t="s">
        <v>15</v>
      </c>
      <c r="J2570" t="s">
        <v>166</v>
      </c>
      <c r="K2570">
        <f>Pqp_supermarket_data[[#This Row],[Unit_Price]]*Pqp_supermarket_data[[#This Row],[Quantity]]</f>
        <v>21</v>
      </c>
      <c r="L2570" t="str">
        <f>TEXT(Pqp_supermarket_data[[#This Row],[DateTime]],"ddd")</f>
        <v>Mon</v>
      </c>
      <c r="M2570" t="str">
        <f>TEXT(Pqp_supermarket_data[[#This Row],[DateTime]],"mmm")</f>
        <v>Jul</v>
      </c>
      <c r="N2570" t="str">
        <f>TEXT(Pqp_supermarket_data[[#This Row],[DateTime]],"yyy")</f>
        <v>2022</v>
      </c>
    </row>
    <row r="2571" spans="1:14" x14ac:dyDescent="0.35">
      <c r="A2571" t="s">
        <v>5243</v>
      </c>
      <c r="B2571" s="1">
        <v>44826.355605949073</v>
      </c>
      <c r="C2571" t="s">
        <v>5244</v>
      </c>
      <c r="D2571" t="s">
        <v>69</v>
      </c>
      <c r="E2571" t="s">
        <v>26</v>
      </c>
      <c r="F2571">
        <v>2.5</v>
      </c>
      <c r="G2571">
        <v>10</v>
      </c>
      <c r="H2571" t="s">
        <v>14</v>
      </c>
      <c r="I2571" t="s">
        <v>61</v>
      </c>
      <c r="J2571" t="s">
        <v>317</v>
      </c>
      <c r="K2571">
        <f>Pqp_supermarket_data[[#This Row],[Unit_Price]]*Pqp_supermarket_data[[#This Row],[Quantity]]</f>
        <v>25</v>
      </c>
      <c r="L2571" t="str">
        <f>TEXT(Pqp_supermarket_data[[#This Row],[DateTime]],"ddd")</f>
        <v>Thu</v>
      </c>
      <c r="M2571" t="str">
        <f>TEXT(Pqp_supermarket_data[[#This Row],[DateTime]],"mmm")</f>
        <v>Sep</v>
      </c>
      <c r="N2571" t="str">
        <f>TEXT(Pqp_supermarket_data[[#This Row],[DateTime]],"yyy")</f>
        <v>2022</v>
      </c>
    </row>
    <row r="2572" spans="1:14" x14ac:dyDescent="0.35">
      <c r="A2572" t="s">
        <v>5245</v>
      </c>
      <c r="B2572" s="1">
        <v>45214.966022615743</v>
      </c>
      <c r="C2572" t="s">
        <v>5246</v>
      </c>
      <c r="D2572" t="s">
        <v>98</v>
      </c>
      <c r="E2572" t="s">
        <v>94</v>
      </c>
      <c r="F2572">
        <v>0.8</v>
      </c>
      <c r="G2572">
        <v>2</v>
      </c>
      <c r="H2572" t="s">
        <v>14</v>
      </c>
      <c r="I2572" t="s">
        <v>36</v>
      </c>
      <c r="J2572" t="s">
        <v>623</v>
      </c>
      <c r="K2572">
        <f>Pqp_supermarket_data[[#This Row],[Unit_Price]]*Pqp_supermarket_data[[#This Row],[Quantity]]</f>
        <v>1.6</v>
      </c>
      <c r="L2572" t="str">
        <f>TEXT(Pqp_supermarket_data[[#This Row],[DateTime]],"ddd")</f>
        <v>Sun</v>
      </c>
      <c r="M2572" t="str">
        <f>TEXT(Pqp_supermarket_data[[#This Row],[DateTime]],"mmm")</f>
        <v>Oct</v>
      </c>
      <c r="N2572" t="str">
        <f>TEXT(Pqp_supermarket_data[[#This Row],[DateTime]],"yyy")</f>
        <v>2023</v>
      </c>
    </row>
    <row r="2573" spans="1:14" x14ac:dyDescent="0.35">
      <c r="A2573" t="s">
        <v>5247</v>
      </c>
      <c r="B2573" s="1">
        <v>45454.700050405096</v>
      </c>
      <c r="C2573" t="s">
        <v>5248</v>
      </c>
      <c r="D2573" t="s">
        <v>226</v>
      </c>
      <c r="E2573" t="s">
        <v>137</v>
      </c>
      <c r="F2573">
        <v>2.5</v>
      </c>
      <c r="G2573">
        <v>2</v>
      </c>
      <c r="H2573" t="s">
        <v>14</v>
      </c>
      <c r="I2573" t="s">
        <v>86</v>
      </c>
      <c r="J2573" t="s">
        <v>16</v>
      </c>
      <c r="K2573">
        <f>Pqp_supermarket_data[[#This Row],[Unit_Price]]*Pqp_supermarket_data[[#This Row],[Quantity]]</f>
        <v>5</v>
      </c>
      <c r="L2573" t="str">
        <f>TEXT(Pqp_supermarket_data[[#This Row],[DateTime]],"ddd")</f>
        <v>Tue</v>
      </c>
      <c r="M2573" t="str">
        <f>TEXT(Pqp_supermarket_data[[#This Row],[DateTime]],"mmm")</f>
        <v>Jun</v>
      </c>
      <c r="N2573" t="str">
        <f>TEXT(Pqp_supermarket_data[[#This Row],[DateTime]],"yyy")</f>
        <v>2024</v>
      </c>
    </row>
    <row r="2574" spans="1:14" x14ac:dyDescent="0.35">
      <c r="A2574" t="s">
        <v>5249</v>
      </c>
      <c r="B2574" s="1">
        <v>45785.164633738423</v>
      </c>
      <c r="C2574" t="s">
        <v>5250</v>
      </c>
      <c r="D2574" t="s">
        <v>85</v>
      </c>
      <c r="E2574" t="s">
        <v>115</v>
      </c>
      <c r="F2574">
        <v>1.5</v>
      </c>
      <c r="G2574">
        <v>7</v>
      </c>
      <c r="H2574" t="s">
        <v>14</v>
      </c>
      <c r="I2574" t="s">
        <v>21</v>
      </c>
      <c r="J2574" t="s">
        <v>112</v>
      </c>
      <c r="K2574">
        <f>Pqp_supermarket_data[[#This Row],[Unit_Price]]*Pqp_supermarket_data[[#This Row],[Quantity]]</f>
        <v>10.5</v>
      </c>
      <c r="L2574" t="str">
        <f>TEXT(Pqp_supermarket_data[[#This Row],[DateTime]],"ddd")</f>
        <v>Thu</v>
      </c>
      <c r="M2574" t="str">
        <f>TEXT(Pqp_supermarket_data[[#This Row],[DateTime]],"mmm")</f>
        <v>May</v>
      </c>
      <c r="N2574" t="str">
        <f>TEXT(Pqp_supermarket_data[[#This Row],[DateTime]],"yyy")</f>
        <v>2025</v>
      </c>
    </row>
    <row r="2575" spans="1:14" x14ac:dyDescent="0.35">
      <c r="A2575" t="s">
        <v>5251</v>
      </c>
      <c r="B2575" s="1">
        <v>44958.872967083335</v>
      </c>
      <c r="C2575" t="s">
        <v>5252</v>
      </c>
      <c r="D2575" t="s">
        <v>30</v>
      </c>
      <c r="E2575" t="s">
        <v>90</v>
      </c>
      <c r="F2575">
        <v>1.8</v>
      </c>
      <c r="G2575">
        <v>6</v>
      </c>
      <c r="H2575" t="s">
        <v>14</v>
      </c>
      <c r="I2575" t="s">
        <v>21</v>
      </c>
      <c r="J2575" t="s">
        <v>317</v>
      </c>
      <c r="K2575">
        <f>Pqp_supermarket_data[[#This Row],[Unit_Price]]*Pqp_supermarket_data[[#This Row],[Quantity]]</f>
        <v>10.8</v>
      </c>
      <c r="L2575" t="str">
        <f>TEXT(Pqp_supermarket_data[[#This Row],[DateTime]],"ddd")</f>
        <v>Wed</v>
      </c>
      <c r="M2575" t="str">
        <f>TEXT(Pqp_supermarket_data[[#This Row],[DateTime]],"mmm")</f>
        <v>Feb</v>
      </c>
      <c r="N2575" t="str">
        <f>TEXT(Pqp_supermarket_data[[#This Row],[DateTime]],"yyy")</f>
        <v>2023</v>
      </c>
    </row>
    <row r="2576" spans="1:14" x14ac:dyDescent="0.35">
      <c r="A2576" t="s">
        <v>5253</v>
      </c>
      <c r="B2576" s="1">
        <v>44957.203522662036</v>
      </c>
      <c r="C2576" t="s">
        <v>5254</v>
      </c>
      <c r="D2576" t="s">
        <v>19</v>
      </c>
      <c r="E2576" t="s">
        <v>145</v>
      </c>
      <c r="F2576">
        <v>1.7</v>
      </c>
      <c r="G2576">
        <v>3</v>
      </c>
      <c r="H2576" t="s">
        <v>14</v>
      </c>
      <c r="I2576" t="s">
        <v>21</v>
      </c>
      <c r="J2576" t="s">
        <v>336</v>
      </c>
      <c r="K2576">
        <f>Pqp_supermarket_data[[#This Row],[Unit_Price]]*Pqp_supermarket_data[[#This Row],[Quantity]]</f>
        <v>5.0999999999999996</v>
      </c>
      <c r="L2576" t="str">
        <f>TEXT(Pqp_supermarket_data[[#This Row],[DateTime]],"ddd")</f>
        <v>Tue</v>
      </c>
      <c r="M2576" t="str">
        <f>TEXT(Pqp_supermarket_data[[#This Row],[DateTime]],"mmm")</f>
        <v>Jan</v>
      </c>
      <c r="N2576" t="str">
        <f>TEXT(Pqp_supermarket_data[[#This Row],[DateTime]],"yyy")</f>
        <v>2023</v>
      </c>
    </row>
    <row r="2577" spans="1:14" x14ac:dyDescent="0.35">
      <c r="A2577" t="s">
        <v>5255</v>
      </c>
      <c r="B2577" s="1">
        <v>45528.509078240742</v>
      </c>
      <c r="C2577" t="s">
        <v>5256</v>
      </c>
      <c r="D2577" t="s">
        <v>77</v>
      </c>
      <c r="E2577" t="s">
        <v>45</v>
      </c>
      <c r="F2577">
        <v>1</v>
      </c>
      <c r="G2577">
        <v>6</v>
      </c>
      <c r="H2577" t="s">
        <v>14</v>
      </c>
      <c r="I2577" t="s">
        <v>61</v>
      </c>
      <c r="J2577" t="s">
        <v>233</v>
      </c>
      <c r="K2577">
        <f>Pqp_supermarket_data[[#This Row],[Unit_Price]]*Pqp_supermarket_data[[#This Row],[Quantity]]</f>
        <v>6</v>
      </c>
      <c r="L2577" t="str">
        <f>TEXT(Pqp_supermarket_data[[#This Row],[DateTime]],"ddd")</f>
        <v>Sat</v>
      </c>
      <c r="M2577" t="str">
        <f>TEXT(Pqp_supermarket_data[[#This Row],[DateTime]],"mmm")</f>
        <v>Aug</v>
      </c>
      <c r="N2577" t="str">
        <f>TEXT(Pqp_supermarket_data[[#This Row],[DateTime]],"yyy")</f>
        <v>2024</v>
      </c>
    </row>
    <row r="2578" spans="1:14" x14ac:dyDescent="0.35">
      <c r="A2578" t="s">
        <v>5257</v>
      </c>
      <c r="B2578" s="1">
        <v>44549.001439375003</v>
      </c>
      <c r="C2578" t="s">
        <v>5258</v>
      </c>
      <c r="D2578" t="s">
        <v>82</v>
      </c>
      <c r="E2578" t="s">
        <v>57</v>
      </c>
      <c r="F2578">
        <v>4.5</v>
      </c>
      <c r="G2578">
        <v>6</v>
      </c>
      <c r="H2578" t="s">
        <v>14</v>
      </c>
      <c r="I2578" t="s">
        <v>40</v>
      </c>
      <c r="J2578" t="s">
        <v>79</v>
      </c>
      <c r="K2578">
        <f>Pqp_supermarket_data[[#This Row],[Unit_Price]]*Pqp_supermarket_data[[#This Row],[Quantity]]</f>
        <v>27</v>
      </c>
      <c r="L2578" t="str">
        <f>TEXT(Pqp_supermarket_data[[#This Row],[DateTime]],"ddd")</f>
        <v>Sun</v>
      </c>
      <c r="M2578" t="str">
        <f>TEXT(Pqp_supermarket_data[[#This Row],[DateTime]],"mmm")</f>
        <v>Dec</v>
      </c>
      <c r="N2578" t="str">
        <f>TEXT(Pqp_supermarket_data[[#This Row],[DateTime]],"yyy")</f>
        <v>2021</v>
      </c>
    </row>
    <row r="2579" spans="1:14" x14ac:dyDescent="0.35">
      <c r="A2579" t="s">
        <v>5259</v>
      </c>
      <c r="B2579" s="1">
        <v>44789.276439386573</v>
      </c>
      <c r="C2579" t="s">
        <v>5260</v>
      </c>
      <c r="D2579" t="s">
        <v>208</v>
      </c>
      <c r="E2579" t="s">
        <v>78</v>
      </c>
      <c r="F2579">
        <v>4</v>
      </c>
      <c r="G2579">
        <v>7</v>
      </c>
      <c r="H2579" t="s">
        <v>14</v>
      </c>
      <c r="I2579" t="s">
        <v>36</v>
      </c>
      <c r="J2579" t="s">
        <v>91</v>
      </c>
      <c r="K2579">
        <f>Pqp_supermarket_data[[#This Row],[Unit_Price]]*Pqp_supermarket_data[[#This Row],[Quantity]]</f>
        <v>28</v>
      </c>
      <c r="L2579" t="str">
        <f>TEXT(Pqp_supermarket_data[[#This Row],[DateTime]],"ddd")</f>
        <v>Tue</v>
      </c>
      <c r="M2579" t="str">
        <f>TEXT(Pqp_supermarket_data[[#This Row],[DateTime]],"mmm")</f>
        <v>Aug</v>
      </c>
      <c r="N2579" t="str">
        <f>TEXT(Pqp_supermarket_data[[#This Row],[DateTime]],"yyy")</f>
        <v>2022</v>
      </c>
    </row>
    <row r="2580" spans="1:14" x14ac:dyDescent="0.35">
      <c r="A2580" t="s">
        <v>5261</v>
      </c>
      <c r="B2580" s="1">
        <v>45484.938244953701</v>
      </c>
      <c r="C2580" t="s">
        <v>5262</v>
      </c>
      <c r="D2580" t="s">
        <v>171</v>
      </c>
      <c r="E2580" t="s">
        <v>111</v>
      </c>
      <c r="F2580">
        <v>2.2000000000000002</v>
      </c>
      <c r="G2580">
        <v>5</v>
      </c>
      <c r="H2580" t="s">
        <v>14</v>
      </c>
      <c r="I2580" t="s">
        <v>86</v>
      </c>
      <c r="J2580" t="s">
        <v>623</v>
      </c>
      <c r="K2580">
        <f>Pqp_supermarket_data[[#This Row],[Unit_Price]]*Pqp_supermarket_data[[#This Row],[Quantity]]</f>
        <v>11</v>
      </c>
      <c r="L2580" t="str">
        <f>TEXT(Pqp_supermarket_data[[#This Row],[DateTime]],"ddd")</f>
        <v>Thu</v>
      </c>
      <c r="M2580" t="str">
        <f>TEXT(Pqp_supermarket_data[[#This Row],[DateTime]],"mmm")</f>
        <v>Jul</v>
      </c>
      <c r="N2580" t="str">
        <f>TEXT(Pqp_supermarket_data[[#This Row],[DateTime]],"yyy")</f>
        <v>2024</v>
      </c>
    </row>
    <row r="2581" spans="1:14" x14ac:dyDescent="0.35">
      <c r="A2581" t="s">
        <v>5263</v>
      </c>
      <c r="B2581" s="1">
        <v>45495.52018939815</v>
      </c>
      <c r="C2581" t="s">
        <v>5264</v>
      </c>
      <c r="D2581" t="s">
        <v>25</v>
      </c>
      <c r="E2581" t="s">
        <v>70</v>
      </c>
      <c r="F2581">
        <v>5</v>
      </c>
      <c r="G2581">
        <v>5</v>
      </c>
      <c r="H2581" t="s">
        <v>14</v>
      </c>
      <c r="I2581" t="s">
        <v>86</v>
      </c>
      <c r="J2581" t="s">
        <v>548</v>
      </c>
      <c r="K2581">
        <f>Pqp_supermarket_data[[#This Row],[Unit_Price]]*Pqp_supermarket_data[[#This Row],[Quantity]]</f>
        <v>25</v>
      </c>
      <c r="L2581" t="str">
        <f>TEXT(Pqp_supermarket_data[[#This Row],[DateTime]],"ddd")</f>
        <v>Mon</v>
      </c>
      <c r="M2581" t="str">
        <f>TEXT(Pqp_supermarket_data[[#This Row],[DateTime]],"mmm")</f>
        <v>Jul</v>
      </c>
      <c r="N2581" t="str">
        <f>TEXT(Pqp_supermarket_data[[#This Row],[DateTime]],"yyy")</f>
        <v>2024</v>
      </c>
    </row>
    <row r="2582" spans="1:14" x14ac:dyDescent="0.35">
      <c r="A2582" t="s">
        <v>5265</v>
      </c>
      <c r="B2582" s="1">
        <v>44830.622967175928</v>
      </c>
      <c r="C2582" t="s">
        <v>5266</v>
      </c>
      <c r="D2582" t="s">
        <v>44</v>
      </c>
      <c r="E2582" t="s">
        <v>78</v>
      </c>
      <c r="F2582">
        <v>4</v>
      </c>
      <c r="G2582">
        <v>8</v>
      </c>
      <c r="H2582" t="s">
        <v>14</v>
      </c>
      <c r="I2582" t="s">
        <v>15</v>
      </c>
      <c r="J2582" t="s">
        <v>175</v>
      </c>
      <c r="K2582">
        <f>Pqp_supermarket_data[[#This Row],[Unit_Price]]*Pqp_supermarket_data[[#This Row],[Quantity]]</f>
        <v>32</v>
      </c>
      <c r="L2582" t="str">
        <f>TEXT(Pqp_supermarket_data[[#This Row],[DateTime]],"ddd")</f>
        <v>Mon</v>
      </c>
      <c r="M2582" t="str">
        <f>TEXT(Pqp_supermarket_data[[#This Row],[DateTime]],"mmm")</f>
        <v>Sep</v>
      </c>
      <c r="N2582" t="str">
        <f>TEXT(Pqp_supermarket_data[[#This Row],[DateTime]],"yyy")</f>
        <v>2022</v>
      </c>
    </row>
    <row r="2583" spans="1:14" x14ac:dyDescent="0.35">
      <c r="A2583" t="s">
        <v>5267</v>
      </c>
      <c r="B2583" s="1">
        <v>45681.261856064812</v>
      </c>
      <c r="C2583" t="s">
        <v>5268</v>
      </c>
      <c r="D2583" t="s">
        <v>19</v>
      </c>
      <c r="E2583" t="s">
        <v>148</v>
      </c>
      <c r="F2583">
        <v>5.5</v>
      </c>
      <c r="G2583">
        <v>5</v>
      </c>
      <c r="H2583" t="s">
        <v>14</v>
      </c>
      <c r="I2583" t="s">
        <v>61</v>
      </c>
      <c r="J2583" t="s">
        <v>166</v>
      </c>
      <c r="K2583">
        <f>Pqp_supermarket_data[[#This Row],[Unit_Price]]*Pqp_supermarket_data[[#This Row],[Quantity]]</f>
        <v>27.5</v>
      </c>
      <c r="L2583" t="str">
        <f>TEXT(Pqp_supermarket_data[[#This Row],[DateTime]],"ddd")</f>
        <v>Fri</v>
      </c>
      <c r="M2583" t="str">
        <f>TEXT(Pqp_supermarket_data[[#This Row],[DateTime]],"mmm")</f>
        <v>Jan</v>
      </c>
      <c r="N2583" t="str">
        <f>TEXT(Pqp_supermarket_data[[#This Row],[DateTime]],"yyy")</f>
        <v>2025</v>
      </c>
    </row>
    <row r="2584" spans="1:14" x14ac:dyDescent="0.35">
      <c r="A2584" t="s">
        <v>5269</v>
      </c>
      <c r="B2584" s="1">
        <v>45068.936161620368</v>
      </c>
      <c r="C2584" t="s">
        <v>5270</v>
      </c>
      <c r="D2584" t="s">
        <v>82</v>
      </c>
      <c r="E2584" t="s">
        <v>145</v>
      </c>
      <c r="F2584">
        <v>1.7</v>
      </c>
      <c r="G2584">
        <v>2</v>
      </c>
      <c r="H2584" t="s">
        <v>14</v>
      </c>
      <c r="I2584" t="s">
        <v>21</v>
      </c>
      <c r="J2584" t="s">
        <v>50</v>
      </c>
      <c r="K2584">
        <f>Pqp_supermarket_data[[#This Row],[Unit_Price]]*Pqp_supermarket_data[[#This Row],[Quantity]]</f>
        <v>3.4</v>
      </c>
      <c r="L2584" t="str">
        <f>TEXT(Pqp_supermarket_data[[#This Row],[DateTime]],"ddd")</f>
        <v>Mon</v>
      </c>
      <c r="M2584" t="str">
        <f>TEXT(Pqp_supermarket_data[[#This Row],[DateTime]],"mmm")</f>
        <v>May</v>
      </c>
      <c r="N2584" t="str">
        <f>TEXT(Pqp_supermarket_data[[#This Row],[DateTime]],"yyy")</f>
        <v>2023</v>
      </c>
    </row>
    <row r="2585" spans="1:14" x14ac:dyDescent="0.35">
      <c r="A2585" t="s">
        <v>5271</v>
      </c>
      <c r="B2585" s="1">
        <v>45059.868800509263</v>
      </c>
      <c r="C2585" t="s">
        <v>5272</v>
      </c>
      <c r="D2585" t="s">
        <v>98</v>
      </c>
      <c r="E2585" t="s">
        <v>137</v>
      </c>
      <c r="F2585">
        <v>2.5</v>
      </c>
      <c r="G2585">
        <v>8</v>
      </c>
      <c r="H2585" t="s">
        <v>14</v>
      </c>
      <c r="I2585" t="s">
        <v>40</v>
      </c>
      <c r="J2585" t="s">
        <v>62</v>
      </c>
      <c r="K2585">
        <f>Pqp_supermarket_data[[#This Row],[Unit_Price]]*Pqp_supermarket_data[[#This Row],[Quantity]]</f>
        <v>20</v>
      </c>
      <c r="L2585" t="str">
        <f>TEXT(Pqp_supermarket_data[[#This Row],[DateTime]],"ddd")</f>
        <v>Sat</v>
      </c>
      <c r="M2585" t="str">
        <f>TEXT(Pqp_supermarket_data[[#This Row],[DateTime]],"mmm")</f>
        <v>May</v>
      </c>
      <c r="N2585" t="str">
        <f>TEXT(Pqp_supermarket_data[[#This Row],[DateTime]],"yyy")</f>
        <v>2023</v>
      </c>
    </row>
    <row r="2586" spans="1:14" x14ac:dyDescent="0.35">
      <c r="A2586" t="s">
        <v>5273</v>
      </c>
      <c r="B2586" s="1">
        <v>45108.296578287038</v>
      </c>
      <c r="C2586" t="s">
        <v>5274</v>
      </c>
      <c r="D2586" t="s">
        <v>19</v>
      </c>
      <c r="E2586" t="s">
        <v>90</v>
      </c>
      <c r="F2586">
        <v>1.8</v>
      </c>
      <c r="G2586">
        <v>3</v>
      </c>
      <c r="H2586" t="s">
        <v>14</v>
      </c>
      <c r="I2586" t="s">
        <v>40</v>
      </c>
      <c r="J2586" t="s">
        <v>58</v>
      </c>
      <c r="K2586">
        <f>Pqp_supermarket_data[[#This Row],[Unit_Price]]*Pqp_supermarket_data[[#This Row],[Quantity]]</f>
        <v>5.4</v>
      </c>
      <c r="L2586" t="str">
        <f>TEXT(Pqp_supermarket_data[[#This Row],[DateTime]],"ddd")</f>
        <v>Sat</v>
      </c>
      <c r="M2586" t="str">
        <f>TEXT(Pqp_supermarket_data[[#This Row],[DateTime]],"mmm")</f>
        <v>Jul</v>
      </c>
      <c r="N2586" t="str">
        <f>TEXT(Pqp_supermarket_data[[#This Row],[DateTime]],"yyy")</f>
        <v>2023</v>
      </c>
    </row>
    <row r="2587" spans="1:14" x14ac:dyDescent="0.35">
      <c r="A2587" t="s">
        <v>5275</v>
      </c>
      <c r="B2587" s="1">
        <v>45487.570189398146</v>
      </c>
      <c r="C2587" t="s">
        <v>5276</v>
      </c>
      <c r="D2587" t="s">
        <v>85</v>
      </c>
      <c r="E2587" t="s">
        <v>13</v>
      </c>
      <c r="F2587">
        <v>3.1</v>
      </c>
      <c r="G2587">
        <v>1</v>
      </c>
      <c r="H2587" t="s">
        <v>14</v>
      </c>
      <c r="I2587" t="s">
        <v>40</v>
      </c>
      <c r="J2587" t="s">
        <v>138</v>
      </c>
      <c r="K2587">
        <f>Pqp_supermarket_data[[#This Row],[Unit_Price]]*Pqp_supermarket_data[[#This Row],[Quantity]]</f>
        <v>3.1</v>
      </c>
      <c r="L2587" t="str">
        <f>TEXT(Pqp_supermarket_data[[#This Row],[DateTime]],"ddd")</f>
        <v>Sun</v>
      </c>
      <c r="M2587" t="str">
        <f>TEXT(Pqp_supermarket_data[[#This Row],[DateTime]],"mmm")</f>
        <v>Jul</v>
      </c>
      <c r="N2587" t="str">
        <f>TEXT(Pqp_supermarket_data[[#This Row],[DateTime]],"yyy")</f>
        <v>2024</v>
      </c>
    </row>
    <row r="2588" spans="1:14" x14ac:dyDescent="0.35">
      <c r="A2588" t="s">
        <v>5277</v>
      </c>
      <c r="B2588" s="1">
        <v>45338.703522731485</v>
      </c>
      <c r="C2588" t="s">
        <v>5278</v>
      </c>
      <c r="D2588" t="s">
        <v>44</v>
      </c>
      <c r="E2588" t="s">
        <v>35</v>
      </c>
      <c r="F2588">
        <v>1.2</v>
      </c>
      <c r="G2588">
        <v>8</v>
      </c>
      <c r="H2588" t="s">
        <v>14</v>
      </c>
      <c r="I2588" t="s">
        <v>86</v>
      </c>
      <c r="J2588" t="s">
        <v>517</v>
      </c>
      <c r="K2588">
        <f>Pqp_supermarket_data[[#This Row],[Unit_Price]]*Pqp_supermarket_data[[#This Row],[Quantity]]</f>
        <v>9.6</v>
      </c>
      <c r="L2588" t="str">
        <f>TEXT(Pqp_supermarket_data[[#This Row],[DateTime]],"ddd")</f>
        <v>Fri</v>
      </c>
      <c r="M2588" t="str">
        <f>TEXT(Pqp_supermarket_data[[#This Row],[DateTime]],"mmm")</f>
        <v>Feb</v>
      </c>
      <c r="N2588" t="str">
        <f>TEXT(Pqp_supermarket_data[[#This Row],[DateTime]],"yyy")</f>
        <v>2024</v>
      </c>
    </row>
    <row r="2589" spans="1:14" x14ac:dyDescent="0.35">
      <c r="A2589" t="s">
        <v>5279</v>
      </c>
      <c r="B2589" s="1">
        <v>44530.961161620369</v>
      </c>
      <c r="C2589" t="s">
        <v>5280</v>
      </c>
      <c r="D2589" t="s">
        <v>171</v>
      </c>
      <c r="E2589" t="s">
        <v>39</v>
      </c>
      <c r="F2589">
        <v>3.2</v>
      </c>
      <c r="G2589">
        <v>5</v>
      </c>
      <c r="H2589" t="s">
        <v>14</v>
      </c>
      <c r="I2589" t="s">
        <v>61</v>
      </c>
      <c r="J2589" t="s">
        <v>166</v>
      </c>
      <c r="K2589">
        <f>Pqp_supermarket_data[[#This Row],[Unit_Price]]*Pqp_supermarket_data[[#This Row],[Quantity]]</f>
        <v>16</v>
      </c>
      <c r="L2589" t="str">
        <f>TEXT(Pqp_supermarket_data[[#This Row],[DateTime]],"ddd")</f>
        <v>Tue</v>
      </c>
      <c r="M2589" t="str">
        <f>TEXT(Pqp_supermarket_data[[#This Row],[DateTime]],"mmm")</f>
        <v>Nov</v>
      </c>
      <c r="N2589" t="str">
        <f>TEXT(Pqp_supermarket_data[[#This Row],[DateTime]],"yyy")</f>
        <v>2021</v>
      </c>
    </row>
    <row r="2590" spans="1:14" x14ac:dyDescent="0.35">
      <c r="A2590" t="s">
        <v>5281</v>
      </c>
      <c r="B2590" s="1">
        <v>44727.804911620369</v>
      </c>
      <c r="C2590" t="s">
        <v>5282</v>
      </c>
      <c r="D2590" t="s">
        <v>19</v>
      </c>
      <c r="E2590" t="s">
        <v>70</v>
      </c>
      <c r="F2590">
        <v>5</v>
      </c>
      <c r="G2590">
        <v>8</v>
      </c>
      <c r="H2590" t="s">
        <v>14</v>
      </c>
      <c r="I2590" t="s">
        <v>86</v>
      </c>
      <c r="J2590" t="s">
        <v>302</v>
      </c>
      <c r="K2590">
        <f>Pqp_supermarket_data[[#This Row],[Unit_Price]]*Pqp_supermarket_data[[#This Row],[Quantity]]</f>
        <v>40</v>
      </c>
      <c r="L2590" t="str">
        <f>TEXT(Pqp_supermarket_data[[#This Row],[DateTime]],"ddd")</f>
        <v>Wed</v>
      </c>
      <c r="M2590" t="str">
        <f>TEXT(Pqp_supermarket_data[[#This Row],[DateTime]],"mmm")</f>
        <v>Jun</v>
      </c>
      <c r="N2590" t="str">
        <f>TEXT(Pqp_supermarket_data[[#This Row],[DateTime]],"yyy")</f>
        <v>2022</v>
      </c>
    </row>
    <row r="2591" spans="1:14" x14ac:dyDescent="0.35">
      <c r="A2591" t="s">
        <v>5283</v>
      </c>
      <c r="B2591" s="1">
        <v>44734.48893939815</v>
      </c>
      <c r="C2591" t="s">
        <v>5284</v>
      </c>
      <c r="D2591" t="s">
        <v>226</v>
      </c>
      <c r="E2591" t="s">
        <v>20</v>
      </c>
      <c r="F2591">
        <v>1</v>
      </c>
      <c r="G2591">
        <v>10</v>
      </c>
      <c r="H2591" t="s">
        <v>14</v>
      </c>
      <c r="I2591" t="s">
        <v>21</v>
      </c>
      <c r="J2591" t="s">
        <v>95</v>
      </c>
      <c r="K2591">
        <f>Pqp_supermarket_data[[#This Row],[Unit_Price]]*Pqp_supermarket_data[[#This Row],[Quantity]]</f>
        <v>10</v>
      </c>
      <c r="L2591" t="str">
        <f>TEXT(Pqp_supermarket_data[[#This Row],[DateTime]],"ddd")</f>
        <v>Wed</v>
      </c>
      <c r="M2591" t="str">
        <f>TEXT(Pqp_supermarket_data[[#This Row],[DateTime]],"mmm")</f>
        <v>Jun</v>
      </c>
      <c r="N2591" t="str">
        <f>TEXT(Pqp_supermarket_data[[#This Row],[DateTime]],"yyy")</f>
        <v>2022</v>
      </c>
    </row>
    <row r="2592" spans="1:14" x14ac:dyDescent="0.35">
      <c r="A2592" t="s">
        <v>5285</v>
      </c>
      <c r="B2592" s="1">
        <v>45472.045189467593</v>
      </c>
      <c r="C2592" t="s">
        <v>5286</v>
      </c>
      <c r="D2592" t="s">
        <v>30</v>
      </c>
      <c r="E2592" t="s">
        <v>70</v>
      </c>
      <c r="F2592">
        <v>5</v>
      </c>
      <c r="G2592">
        <v>5</v>
      </c>
      <c r="H2592" t="s">
        <v>14</v>
      </c>
      <c r="I2592" t="s">
        <v>15</v>
      </c>
      <c r="J2592" t="s">
        <v>209</v>
      </c>
      <c r="K2592">
        <f>Pqp_supermarket_data[[#This Row],[Unit_Price]]*Pqp_supermarket_data[[#This Row],[Quantity]]</f>
        <v>25</v>
      </c>
      <c r="L2592" t="str">
        <f>TEXT(Pqp_supermarket_data[[#This Row],[DateTime]],"ddd")</f>
        <v>Sat</v>
      </c>
      <c r="M2592" t="str">
        <f>TEXT(Pqp_supermarket_data[[#This Row],[DateTime]],"mmm")</f>
        <v>Jun</v>
      </c>
      <c r="N2592" t="str">
        <f>TEXT(Pqp_supermarket_data[[#This Row],[DateTime]],"yyy")</f>
        <v>2024</v>
      </c>
    </row>
    <row r="2593" spans="1:14" x14ac:dyDescent="0.35">
      <c r="A2593" t="s">
        <v>5287</v>
      </c>
      <c r="B2593" s="1">
        <v>45384.449356134261</v>
      </c>
      <c r="C2593" t="s">
        <v>5288</v>
      </c>
      <c r="D2593" t="s">
        <v>82</v>
      </c>
      <c r="E2593" t="s">
        <v>13</v>
      </c>
      <c r="F2593">
        <v>3.1</v>
      </c>
      <c r="G2593">
        <v>7</v>
      </c>
      <c r="H2593" t="s">
        <v>14</v>
      </c>
      <c r="I2593" t="s">
        <v>15</v>
      </c>
      <c r="J2593" t="s">
        <v>436</v>
      </c>
      <c r="K2593">
        <f>Pqp_supermarket_data[[#This Row],[Unit_Price]]*Pqp_supermarket_data[[#This Row],[Quantity]]</f>
        <v>21.7</v>
      </c>
      <c r="L2593" t="str">
        <f>TEXT(Pqp_supermarket_data[[#This Row],[DateTime]],"ddd")</f>
        <v>Tue</v>
      </c>
      <c r="M2593" t="str">
        <f>TEXT(Pqp_supermarket_data[[#This Row],[DateTime]],"mmm")</f>
        <v>Apr</v>
      </c>
      <c r="N2593" t="str">
        <f>TEXT(Pqp_supermarket_data[[#This Row],[DateTime]],"yyy")</f>
        <v>2024</v>
      </c>
    </row>
    <row r="2594" spans="1:14" x14ac:dyDescent="0.35">
      <c r="A2594" t="s">
        <v>5289</v>
      </c>
      <c r="B2594" s="1">
        <v>45696.184772800923</v>
      </c>
      <c r="C2594" t="s">
        <v>5290</v>
      </c>
      <c r="D2594" t="s">
        <v>69</v>
      </c>
      <c r="E2594" t="s">
        <v>78</v>
      </c>
      <c r="F2594">
        <v>4</v>
      </c>
      <c r="G2594">
        <v>7</v>
      </c>
      <c r="H2594" t="s">
        <v>14</v>
      </c>
      <c r="I2594" t="s">
        <v>21</v>
      </c>
      <c r="J2594" t="s">
        <v>248</v>
      </c>
      <c r="K2594">
        <f>Pqp_supermarket_data[[#This Row],[Unit_Price]]*Pqp_supermarket_data[[#This Row],[Quantity]]</f>
        <v>28</v>
      </c>
      <c r="L2594" t="str">
        <f>TEXT(Pqp_supermarket_data[[#This Row],[DateTime]],"ddd")</f>
        <v>Sat</v>
      </c>
      <c r="M2594" t="str">
        <f>TEXT(Pqp_supermarket_data[[#This Row],[DateTime]],"mmm")</f>
        <v>Feb</v>
      </c>
      <c r="N2594" t="str">
        <f>TEXT(Pqp_supermarket_data[[#This Row],[DateTime]],"yyy")</f>
        <v>2025</v>
      </c>
    </row>
    <row r="2595" spans="1:14" x14ac:dyDescent="0.35">
      <c r="A2595" t="s">
        <v>5291</v>
      </c>
      <c r="B2595" s="1">
        <v>44931.374356157408</v>
      </c>
      <c r="C2595" t="s">
        <v>5292</v>
      </c>
      <c r="D2595" t="s">
        <v>85</v>
      </c>
      <c r="E2595" t="s">
        <v>119</v>
      </c>
      <c r="F2595">
        <v>4</v>
      </c>
      <c r="G2595">
        <v>5</v>
      </c>
      <c r="H2595" t="s">
        <v>14</v>
      </c>
      <c r="I2595" t="s">
        <v>15</v>
      </c>
      <c r="J2595" t="s">
        <v>288</v>
      </c>
      <c r="K2595">
        <f>Pqp_supermarket_data[[#This Row],[Unit_Price]]*Pqp_supermarket_data[[#This Row],[Quantity]]</f>
        <v>20</v>
      </c>
      <c r="L2595" t="str">
        <f>TEXT(Pqp_supermarket_data[[#This Row],[DateTime]],"ddd")</f>
        <v>Thu</v>
      </c>
      <c r="M2595" t="str">
        <f>TEXT(Pqp_supermarket_data[[#This Row],[DateTime]],"mmm")</f>
        <v>Jan</v>
      </c>
      <c r="N2595" t="str">
        <f>TEXT(Pqp_supermarket_data[[#This Row],[DateTime]],"yyy")</f>
        <v>2023</v>
      </c>
    </row>
    <row r="2596" spans="1:14" x14ac:dyDescent="0.35">
      <c r="A2596" t="s">
        <v>5293</v>
      </c>
      <c r="B2596" s="1">
        <v>45651.313939490741</v>
      </c>
      <c r="C2596" t="s">
        <v>5294</v>
      </c>
      <c r="D2596" t="s">
        <v>208</v>
      </c>
      <c r="E2596" t="s">
        <v>13</v>
      </c>
      <c r="F2596">
        <v>3.1</v>
      </c>
      <c r="G2596">
        <v>8</v>
      </c>
      <c r="H2596" t="s">
        <v>14</v>
      </c>
      <c r="I2596" t="s">
        <v>40</v>
      </c>
      <c r="J2596" t="s">
        <v>499</v>
      </c>
      <c r="K2596">
        <f>Pqp_supermarket_data[[#This Row],[Unit_Price]]*Pqp_supermarket_data[[#This Row],[Quantity]]</f>
        <v>24.8</v>
      </c>
      <c r="L2596" t="str">
        <f>TEXT(Pqp_supermarket_data[[#This Row],[DateTime]],"ddd")</f>
        <v>Wed</v>
      </c>
      <c r="M2596" t="str">
        <f>TEXT(Pqp_supermarket_data[[#This Row],[DateTime]],"mmm")</f>
        <v>Dec</v>
      </c>
      <c r="N2596" t="str">
        <f>TEXT(Pqp_supermarket_data[[#This Row],[DateTime]],"yyy")</f>
        <v>2024</v>
      </c>
    </row>
    <row r="2597" spans="1:14" x14ac:dyDescent="0.35">
      <c r="A2597" t="s">
        <v>5295</v>
      </c>
      <c r="B2597" s="1">
        <v>44827.310467268515</v>
      </c>
      <c r="C2597" t="s">
        <v>5296</v>
      </c>
      <c r="D2597" t="s">
        <v>30</v>
      </c>
      <c r="E2597" t="s">
        <v>115</v>
      </c>
      <c r="F2597">
        <v>1.5</v>
      </c>
      <c r="G2597">
        <v>2</v>
      </c>
      <c r="H2597" t="s">
        <v>14</v>
      </c>
      <c r="I2597" t="s">
        <v>40</v>
      </c>
      <c r="J2597" t="s">
        <v>178</v>
      </c>
      <c r="K2597">
        <f>Pqp_supermarket_data[[#This Row],[Unit_Price]]*Pqp_supermarket_data[[#This Row],[Quantity]]</f>
        <v>3</v>
      </c>
      <c r="L2597" t="str">
        <f>TEXT(Pqp_supermarket_data[[#This Row],[DateTime]],"ddd")</f>
        <v>Fri</v>
      </c>
      <c r="M2597" t="str">
        <f>TEXT(Pqp_supermarket_data[[#This Row],[DateTime]],"mmm")</f>
        <v>Sep</v>
      </c>
      <c r="N2597" t="str">
        <f>TEXT(Pqp_supermarket_data[[#This Row],[DateTime]],"yyy")</f>
        <v>2022</v>
      </c>
    </row>
    <row r="2598" spans="1:14" x14ac:dyDescent="0.35">
      <c r="A2598" t="s">
        <v>5297</v>
      </c>
      <c r="B2598" s="1">
        <v>44845.116022847222</v>
      </c>
      <c r="C2598" t="s">
        <v>5298</v>
      </c>
      <c r="D2598" t="s">
        <v>12</v>
      </c>
      <c r="E2598" t="s">
        <v>53</v>
      </c>
      <c r="F2598">
        <v>2.8</v>
      </c>
      <c r="G2598">
        <v>8</v>
      </c>
      <c r="H2598" t="s">
        <v>14</v>
      </c>
      <c r="I2598" t="s">
        <v>61</v>
      </c>
      <c r="J2598" t="s">
        <v>317</v>
      </c>
      <c r="K2598">
        <f>Pqp_supermarket_data[[#This Row],[Unit_Price]]*Pqp_supermarket_data[[#This Row],[Quantity]]</f>
        <v>22.4</v>
      </c>
      <c r="L2598" t="str">
        <f>TEXT(Pqp_supermarket_data[[#This Row],[DateTime]],"ddd")</f>
        <v>Tue</v>
      </c>
      <c r="M2598" t="str">
        <f>TEXT(Pqp_supermarket_data[[#This Row],[DateTime]],"mmm")</f>
        <v>Oct</v>
      </c>
      <c r="N2598" t="str">
        <f>TEXT(Pqp_supermarket_data[[#This Row],[DateTime]],"yyy")</f>
        <v>2022</v>
      </c>
    </row>
    <row r="2599" spans="1:14" x14ac:dyDescent="0.35">
      <c r="A2599" t="s">
        <v>5299</v>
      </c>
      <c r="B2599" s="1">
        <v>44642.812550625</v>
      </c>
      <c r="C2599" t="s">
        <v>5300</v>
      </c>
      <c r="D2599" t="s">
        <v>19</v>
      </c>
      <c r="E2599" t="s">
        <v>39</v>
      </c>
      <c r="F2599">
        <v>3.2</v>
      </c>
      <c r="G2599">
        <v>6</v>
      </c>
      <c r="H2599" t="s">
        <v>14</v>
      </c>
      <c r="I2599" t="s">
        <v>21</v>
      </c>
      <c r="J2599" t="s">
        <v>744</v>
      </c>
      <c r="K2599">
        <f>Pqp_supermarket_data[[#This Row],[Unit_Price]]*Pqp_supermarket_data[[#This Row],[Quantity]]</f>
        <v>19.200000000000003</v>
      </c>
      <c r="L2599" t="str">
        <f>TEXT(Pqp_supermarket_data[[#This Row],[DateTime]],"ddd")</f>
        <v>Tue</v>
      </c>
      <c r="M2599" t="str">
        <f>TEXT(Pqp_supermarket_data[[#This Row],[DateTime]],"mmm")</f>
        <v>Mar</v>
      </c>
      <c r="N2599" t="str">
        <f>TEXT(Pqp_supermarket_data[[#This Row],[DateTime]],"yyy")</f>
        <v>2022</v>
      </c>
    </row>
    <row r="2600" spans="1:14" x14ac:dyDescent="0.35">
      <c r="A2600" t="s">
        <v>5301</v>
      </c>
      <c r="B2600" s="1">
        <v>44418.647967326389</v>
      </c>
      <c r="C2600" t="s">
        <v>5302</v>
      </c>
      <c r="D2600" t="s">
        <v>12</v>
      </c>
      <c r="E2600" t="s">
        <v>119</v>
      </c>
      <c r="F2600">
        <v>4</v>
      </c>
      <c r="G2600">
        <v>9</v>
      </c>
      <c r="H2600" t="s">
        <v>14</v>
      </c>
      <c r="I2600" t="s">
        <v>36</v>
      </c>
      <c r="J2600" t="s">
        <v>339</v>
      </c>
      <c r="K2600">
        <f>Pqp_supermarket_data[[#This Row],[Unit_Price]]*Pqp_supermarket_data[[#This Row],[Quantity]]</f>
        <v>36</v>
      </c>
      <c r="L2600" t="str">
        <f>TEXT(Pqp_supermarket_data[[#This Row],[DateTime]],"ddd")</f>
        <v>Tue</v>
      </c>
      <c r="M2600" t="str">
        <f>TEXT(Pqp_supermarket_data[[#This Row],[DateTime]],"mmm")</f>
        <v>Aug</v>
      </c>
      <c r="N2600" t="str">
        <f>TEXT(Pqp_supermarket_data[[#This Row],[DateTime]],"yyy")</f>
        <v>2021</v>
      </c>
    </row>
    <row r="2601" spans="1:14" x14ac:dyDescent="0.35">
      <c r="A2601" t="s">
        <v>5303</v>
      </c>
      <c r="B2601" s="1">
        <v>44570.258383993052</v>
      </c>
      <c r="C2601" t="s">
        <v>4775</v>
      </c>
      <c r="D2601" t="s">
        <v>34</v>
      </c>
      <c r="E2601" t="s">
        <v>35</v>
      </c>
      <c r="F2601">
        <v>1.2</v>
      </c>
      <c r="G2601">
        <v>7</v>
      </c>
      <c r="H2601" t="s">
        <v>14</v>
      </c>
      <c r="I2601" t="s">
        <v>86</v>
      </c>
      <c r="J2601" t="s">
        <v>195</v>
      </c>
      <c r="K2601">
        <f>Pqp_supermarket_data[[#This Row],[Unit_Price]]*Pqp_supermarket_data[[#This Row],[Quantity]]</f>
        <v>8.4</v>
      </c>
      <c r="L2601" t="str">
        <f>TEXT(Pqp_supermarket_data[[#This Row],[DateTime]],"ddd")</f>
        <v>Sun</v>
      </c>
      <c r="M2601" t="str">
        <f>TEXT(Pqp_supermarket_data[[#This Row],[DateTime]],"mmm")</f>
        <v>Jan</v>
      </c>
      <c r="N2601" t="str">
        <f>TEXT(Pqp_supermarket_data[[#This Row],[DateTime]],"yyy")</f>
        <v>2022</v>
      </c>
    </row>
    <row r="2602" spans="1:14" x14ac:dyDescent="0.35">
      <c r="A2602" t="s">
        <v>5304</v>
      </c>
      <c r="B2602" s="1">
        <v>45113.879911782409</v>
      </c>
      <c r="C2602" t="s">
        <v>5305</v>
      </c>
      <c r="D2602" t="s">
        <v>98</v>
      </c>
      <c r="E2602" t="s">
        <v>49</v>
      </c>
      <c r="F2602">
        <v>7</v>
      </c>
      <c r="G2602">
        <v>1</v>
      </c>
      <c r="H2602" t="s">
        <v>14</v>
      </c>
      <c r="I2602" t="s">
        <v>21</v>
      </c>
      <c r="J2602" t="s">
        <v>108</v>
      </c>
      <c r="K2602">
        <f>Pqp_supermarket_data[[#This Row],[Unit_Price]]*Pqp_supermarket_data[[#This Row],[Quantity]]</f>
        <v>7</v>
      </c>
      <c r="L2602" t="str">
        <f>TEXT(Pqp_supermarket_data[[#This Row],[DateTime]],"ddd")</f>
        <v>Thu</v>
      </c>
      <c r="M2602" t="str">
        <f>TEXT(Pqp_supermarket_data[[#This Row],[DateTime]],"mmm")</f>
        <v>Jul</v>
      </c>
      <c r="N2602" t="str">
        <f>TEXT(Pqp_supermarket_data[[#This Row],[DateTime]],"yyy")</f>
        <v>2023</v>
      </c>
    </row>
    <row r="2603" spans="1:14" x14ac:dyDescent="0.35">
      <c r="A2603" t="s">
        <v>5306</v>
      </c>
      <c r="B2603" s="1">
        <v>45259.398661793981</v>
      </c>
      <c r="C2603" t="s">
        <v>5307</v>
      </c>
      <c r="D2603" t="s">
        <v>69</v>
      </c>
      <c r="E2603" t="s">
        <v>20</v>
      </c>
      <c r="F2603">
        <v>1</v>
      </c>
      <c r="G2603">
        <v>4</v>
      </c>
      <c r="H2603" t="s">
        <v>14</v>
      </c>
      <c r="I2603" t="s">
        <v>15</v>
      </c>
      <c r="J2603" t="s">
        <v>623</v>
      </c>
      <c r="K2603">
        <f>Pqp_supermarket_data[[#This Row],[Unit_Price]]*Pqp_supermarket_data[[#This Row],[Quantity]]</f>
        <v>4</v>
      </c>
      <c r="L2603" t="str">
        <f>TEXT(Pqp_supermarket_data[[#This Row],[DateTime]],"ddd")</f>
        <v>Wed</v>
      </c>
      <c r="M2603" t="str">
        <f>TEXT(Pqp_supermarket_data[[#This Row],[DateTime]],"mmm")</f>
        <v>Nov</v>
      </c>
      <c r="N2603" t="str">
        <f>TEXT(Pqp_supermarket_data[[#This Row],[DateTime]],"yyy")</f>
        <v>2023</v>
      </c>
    </row>
    <row r="2604" spans="1:14" x14ac:dyDescent="0.35">
      <c r="A2604" t="s">
        <v>5308</v>
      </c>
      <c r="B2604" s="1">
        <v>44836.35213402778</v>
      </c>
      <c r="C2604" t="s">
        <v>5309</v>
      </c>
      <c r="D2604" t="s">
        <v>77</v>
      </c>
      <c r="E2604" t="s">
        <v>20</v>
      </c>
      <c r="F2604">
        <v>1</v>
      </c>
      <c r="G2604">
        <v>9</v>
      </c>
      <c r="H2604" t="s">
        <v>14</v>
      </c>
      <c r="I2604" t="s">
        <v>61</v>
      </c>
      <c r="J2604" t="s">
        <v>404</v>
      </c>
      <c r="K2604">
        <f>Pqp_supermarket_data[[#This Row],[Unit_Price]]*Pqp_supermarket_data[[#This Row],[Quantity]]</f>
        <v>9</v>
      </c>
      <c r="L2604" t="str">
        <f>TEXT(Pqp_supermarket_data[[#This Row],[DateTime]],"ddd")</f>
        <v>Sun</v>
      </c>
      <c r="M2604" t="str">
        <f>TEXT(Pqp_supermarket_data[[#This Row],[DateTime]],"mmm")</f>
        <v>Oct</v>
      </c>
      <c r="N2604" t="str">
        <f>TEXT(Pqp_supermarket_data[[#This Row],[DateTime]],"yyy")</f>
        <v>2022</v>
      </c>
    </row>
    <row r="2605" spans="1:14" x14ac:dyDescent="0.35">
      <c r="A2605" t="s">
        <v>5310</v>
      </c>
      <c r="B2605" s="1">
        <v>44967.993106250004</v>
      </c>
      <c r="C2605" t="s">
        <v>5311</v>
      </c>
      <c r="D2605" t="s">
        <v>44</v>
      </c>
      <c r="E2605" t="s">
        <v>57</v>
      </c>
      <c r="F2605">
        <v>4.5</v>
      </c>
      <c r="G2605">
        <v>2</v>
      </c>
      <c r="H2605" t="s">
        <v>14</v>
      </c>
      <c r="I2605" t="s">
        <v>15</v>
      </c>
      <c r="J2605" t="s">
        <v>769</v>
      </c>
      <c r="K2605">
        <f>Pqp_supermarket_data[[#This Row],[Unit_Price]]*Pqp_supermarket_data[[#This Row],[Quantity]]</f>
        <v>9</v>
      </c>
      <c r="L2605" t="str">
        <f>TEXT(Pqp_supermarket_data[[#This Row],[DateTime]],"ddd")</f>
        <v>Fri</v>
      </c>
      <c r="M2605" t="str">
        <f>TEXT(Pqp_supermarket_data[[#This Row],[DateTime]],"mmm")</f>
        <v>Feb</v>
      </c>
      <c r="N2605" t="str">
        <f>TEXT(Pqp_supermarket_data[[#This Row],[DateTime]],"yyy")</f>
        <v>2023</v>
      </c>
    </row>
    <row r="2606" spans="1:14" x14ac:dyDescent="0.35">
      <c r="A2606" t="s">
        <v>5312</v>
      </c>
      <c r="B2606" s="1">
        <v>44509.893800694445</v>
      </c>
      <c r="C2606" t="s">
        <v>5313</v>
      </c>
      <c r="D2606" t="s">
        <v>30</v>
      </c>
      <c r="E2606" t="s">
        <v>65</v>
      </c>
      <c r="F2606">
        <v>3</v>
      </c>
      <c r="G2606">
        <v>6</v>
      </c>
      <c r="H2606" t="s">
        <v>14</v>
      </c>
      <c r="I2606" t="s">
        <v>40</v>
      </c>
      <c r="J2606" t="s">
        <v>236</v>
      </c>
      <c r="K2606">
        <f>Pqp_supermarket_data[[#This Row],[Unit_Price]]*Pqp_supermarket_data[[#This Row],[Quantity]]</f>
        <v>18</v>
      </c>
      <c r="L2606" t="str">
        <f>TEXT(Pqp_supermarket_data[[#This Row],[DateTime]],"ddd")</f>
        <v>Tue</v>
      </c>
      <c r="M2606" t="str">
        <f>TEXT(Pqp_supermarket_data[[#This Row],[DateTime]],"mmm")</f>
        <v>Nov</v>
      </c>
      <c r="N2606" t="str">
        <f>TEXT(Pqp_supermarket_data[[#This Row],[DateTime]],"yyy")</f>
        <v>2021</v>
      </c>
    </row>
    <row r="2607" spans="1:14" x14ac:dyDescent="0.35">
      <c r="A2607" t="s">
        <v>5314</v>
      </c>
      <c r="B2607" s="1">
        <v>44955.011856249999</v>
      </c>
      <c r="C2607" t="s">
        <v>5315</v>
      </c>
      <c r="D2607" t="s">
        <v>82</v>
      </c>
      <c r="E2607" t="s">
        <v>115</v>
      </c>
      <c r="F2607">
        <v>1.5</v>
      </c>
      <c r="G2607">
        <v>1</v>
      </c>
      <c r="H2607" t="s">
        <v>14</v>
      </c>
      <c r="I2607" t="s">
        <v>61</v>
      </c>
      <c r="J2607" t="s">
        <v>186</v>
      </c>
      <c r="K2607">
        <f>Pqp_supermarket_data[[#This Row],[Unit_Price]]*Pqp_supermarket_data[[#This Row],[Quantity]]</f>
        <v>1.5</v>
      </c>
      <c r="L2607" t="str">
        <f>TEXT(Pqp_supermarket_data[[#This Row],[DateTime]],"ddd")</f>
        <v>Sun</v>
      </c>
      <c r="M2607" t="str">
        <f>TEXT(Pqp_supermarket_data[[#This Row],[DateTime]],"mmm")</f>
        <v>Jan</v>
      </c>
      <c r="N2607" t="str">
        <f>TEXT(Pqp_supermarket_data[[#This Row],[DateTime]],"yyy")</f>
        <v>2023</v>
      </c>
    </row>
    <row r="2608" spans="1:14" x14ac:dyDescent="0.35">
      <c r="A2608" t="s">
        <v>5316</v>
      </c>
      <c r="B2608" s="1">
        <v>45544.174356249998</v>
      </c>
      <c r="C2608" t="s">
        <v>543</v>
      </c>
      <c r="D2608" t="s">
        <v>98</v>
      </c>
      <c r="E2608" t="s">
        <v>115</v>
      </c>
      <c r="F2608">
        <v>1.5</v>
      </c>
      <c r="G2608">
        <v>7</v>
      </c>
      <c r="H2608" t="s">
        <v>14</v>
      </c>
      <c r="I2608" t="s">
        <v>21</v>
      </c>
      <c r="J2608" t="s">
        <v>163</v>
      </c>
      <c r="K2608">
        <f>Pqp_supermarket_data[[#This Row],[Unit_Price]]*Pqp_supermarket_data[[#This Row],[Quantity]]</f>
        <v>10.5</v>
      </c>
      <c r="L2608" t="str">
        <f>TEXT(Pqp_supermarket_data[[#This Row],[DateTime]],"ddd")</f>
        <v>Mon</v>
      </c>
      <c r="M2608" t="str">
        <f>TEXT(Pqp_supermarket_data[[#This Row],[DateTime]],"mmm")</f>
        <v>Sep</v>
      </c>
      <c r="N2608" t="str">
        <f>TEXT(Pqp_supermarket_data[[#This Row],[DateTime]],"yyy")</f>
        <v>2024</v>
      </c>
    </row>
    <row r="2609" spans="1:14" x14ac:dyDescent="0.35">
      <c r="A2609" t="s">
        <v>5317</v>
      </c>
      <c r="B2609" s="1">
        <v>44955.980606249999</v>
      </c>
      <c r="C2609" t="s">
        <v>5318</v>
      </c>
      <c r="D2609" t="s">
        <v>25</v>
      </c>
      <c r="E2609" t="s">
        <v>57</v>
      </c>
      <c r="F2609">
        <v>4.5</v>
      </c>
      <c r="G2609">
        <v>4</v>
      </c>
      <c r="H2609" t="s">
        <v>14</v>
      </c>
      <c r="I2609" t="s">
        <v>21</v>
      </c>
      <c r="J2609" t="s">
        <v>66</v>
      </c>
      <c r="K2609">
        <f>Pqp_supermarket_data[[#This Row],[Unit_Price]]*Pqp_supermarket_data[[#This Row],[Quantity]]</f>
        <v>18</v>
      </c>
      <c r="L2609" t="str">
        <f>TEXT(Pqp_supermarket_data[[#This Row],[DateTime]],"ddd")</f>
        <v>Sun</v>
      </c>
      <c r="M2609" t="str">
        <f>TEXT(Pqp_supermarket_data[[#This Row],[DateTime]],"mmm")</f>
        <v>Jan</v>
      </c>
      <c r="N2609" t="str">
        <f>TEXT(Pqp_supermarket_data[[#This Row],[DateTime]],"yyy")</f>
        <v>2023</v>
      </c>
    </row>
    <row r="2610" spans="1:14" x14ac:dyDescent="0.35">
      <c r="A2610" t="s">
        <v>5319</v>
      </c>
      <c r="B2610" s="1">
        <v>45098.325050694446</v>
      </c>
      <c r="C2610" t="s">
        <v>5320</v>
      </c>
      <c r="D2610" t="s">
        <v>44</v>
      </c>
      <c r="E2610" t="s">
        <v>119</v>
      </c>
      <c r="F2610">
        <v>4</v>
      </c>
      <c r="G2610">
        <v>7</v>
      </c>
      <c r="H2610" t="s">
        <v>14</v>
      </c>
      <c r="I2610" t="s">
        <v>40</v>
      </c>
      <c r="J2610" t="s">
        <v>58</v>
      </c>
      <c r="K2610">
        <f>Pqp_supermarket_data[[#This Row],[Unit_Price]]*Pqp_supermarket_data[[#This Row],[Quantity]]</f>
        <v>28</v>
      </c>
      <c r="L2610" t="str">
        <f>TEXT(Pqp_supermarket_data[[#This Row],[DateTime]],"ddd")</f>
        <v>Wed</v>
      </c>
      <c r="M2610" t="str">
        <f>TEXT(Pqp_supermarket_data[[#This Row],[DateTime]],"mmm")</f>
        <v>Jun</v>
      </c>
      <c r="N2610" t="str">
        <f>TEXT(Pqp_supermarket_data[[#This Row],[DateTime]],"yyy")</f>
        <v>2023</v>
      </c>
    </row>
    <row r="2611" spans="1:14" x14ac:dyDescent="0.35">
      <c r="A2611" t="s">
        <v>5321</v>
      </c>
      <c r="B2611" s="1">
        <v>45618.441717361115</v>
      </c>
      <c r="C2611" t="s">
        <v>5322</v>
      </c>
      <c r="D2611" t="s">
        <v>12</v>
      </c>
      <c r="E2611" t="s">
        <v>35</v>
      </c>
      <c r="F2611">
        <v>1.2</v>
      </c>
      <c r="G2611">
        <v>3</v>
      </c>
      <c r="H2611" t="s">
        <v>14</v>
      </c>
      <c r="I2611" t="s">
        <v>21</v>
      </c>
      <c r="J2611" t="s">
        <v>22</v>
      </c>
      <c r="K2611">
        <f>Pqp_supermarket_data[[#This Row],[Unit_Price]]*Pqp_supermarket_data[[#This Row],[Quantity]]</f>
        <v>3.5999999999999996</v>
      </c>
      <c r="L2611" t="str">
        <f>TEXT(Pqp_supermarket_data[[#This Row],[DateTime]],"ddd")</f>
        <v>Fri</v>
      </c>
      <c r="M2611" t="str">
        <f>TEXT(Pqp_supermarket_data[[#This Row],[DateTime]],"mmm")</f>
        <v>Nov</v>
      </c>
      <c r="N2611" t="str">
        <f>TEXT(Pqp_supermarket_data[[#This Row],[DateTime]],"yyy")</f>
        <v>2024</v>
      </c>
    </row>
    <row r="2612" spans="1:14" x14ac:dyDescent="0.35">
      <c r="A2612" t="s">
        <v>5323</v>
      </c>
      <c r="B2612" s="1">
        <v>44778.435467361109</v>
      </c>
      <c r="C2612" t="s">
        <v>5324</v>
      </c>
      <c r="D2612" t="s">
        <v>226</v>
      </c>
      <c r="E2612" t="s">
        <v>111</v>
      </c>
      <c r="F2612">
        <v>2.2000000000000002</v>
      </c>
      <c r="G2612">
        <v>1</v>
      </c>
      <c r="H2612" t="s">
        <v>14</v>
      </c>
      <c r="I2612" t="s">
        <v>40</v>
      </c>
      <c r="J2612" t="s">
        <v>122</v>
      </c>
      <c r="K2612">
        <f>Pqp_supermarket_data[[#This Row],[Unit_Price]]*Pqp_supermarket_data[[#This Row],[Quantity]]</f>
        <v>2.2000000000000002</v>
      </c>
      <c r="L2612" t="str">
        <f>TEXT(Pqp_supermarket_data[[#This Row],[DateTime]],"ddd")</f>
        <v>Fri</v>
      </c>
      <c r="M2612" t="str">
        <f>TEXT(Pqp_supermarket_data[[#This Row],[DateTime]],"mmm")</f>
        <v>Aug</v>
      </c>
      <c r="N2612" t="str">
        <f>TEXT(Pqp_supermarket_data[[#This Row],[DateTime]],"yyy")</f>
        <v>2022</v>
      </c>
    </row>
    <row r="2613" spans="1:14" x14ac:dyDescent="0.35">
      <c r="A2613" t="s">
        <v>5325</v>
      </c>
      <c r="B2613" s="1">
        <v>45423.512550694446</v>
      </c>
      <c r="C2613" t="s">
        <v>5326</v>
      </c>
      <c r="D2613" t="s">
        <v>127</v>
      </c>
      <c r="E2613" t="s">
        <v>53</v>
      </c>
      <c r="F2613">
        <v>2.8</v>
      </c>
      <c r="G2613">
        <v>6</v>
      </c>
      <c r="H2613" t="s">
        <v>14</v>
      </c>
      <c r="I2613" t="s">
        <v>36</v>
      </c>
      <c r="J2613" t="s">
        <v>317</v>
      </c>
      <c r="K2613">
        <f>Pqp_supermarket_data[[#This Row],[Unit_Price]]*Pqp_supermarket_data[[#This Row],[Quantity]]</f>
        <v>16.799999999999997</v>
      </c>
      <c r="L2613" t="str">
        <f>TEXT(Pqp_supermarket_data[[#This Row],[DateTime]],"ddd")</f>
        <v>Sat</v>
      </c>
      <c r="M2613" t="str">
        <f>TEXT(Pqp_supermarket_data[[#This Row],[DateTime]],"mmm")</f>
        <v>May</v>
      </c>
      <c r="N2613" t="str">
        <f>TEXT(Pqp_supermarket_data[[#This Row],[DateTime]],"yyy")</f>
        <v>2024</v>
      </c>
    </row>
    <row r="2614" spans="1:14" x14ac:dyDescent="0.35">
      <c r="A2614" t="s">
        <v>5327</v>
      </c>
      <c r="B2614" s="1">
        <v>45607.511161805553</v>
      </c>
      <c r="C2614" t="s">
        <v>5328</v>
      </c>
      <c r="D2614" t="s">
        <v>19</v>
      </c>
      <c r="E2614" t="s">
        <v>57</v>
      </c>
      <c r="F2614">
        <v>4.5</v>
      </c>
      <c r="G2614">
        <v>6</v>
      </c>
      <c r="H2614" t="s">
        <v>14</v>
      </c>
      <c r="I2614" t="s">
        <v>40</v>
      </c>
      <c r="J2614" t="s">
        <v>74</v>
      </c>
      <c r="K2614">
        <f>Pqp_supermarket_data[[#This Row],[Unit_Price]]*Pqp_supermarket_data[[#This Row],[Quantity]]</f>
        <v>27</v>
      </c>
      <c r="L2614" t="str">
        <f>TEXT(Pqp_supermarket_data[[#This Row],[DateTime]],"ddd")</f>
        <v>Mon</v>
      </c>
      <c r="M2614" t="str">
        <f>TEXT(Pqp_supermarket_data[[#This Row],[DateTime]],"mmm")</f>
        <v>Nov</v>
      </c>
      <c r="N2614" t="str">
        <f>TEXT(Pqp_supermarket_data[[#This Row],[DateTime]],"yyy")</f>
        <v>2024</v>
      </c>
    </row>
    <row r="2615" spans="1:14" x14ac:dyDescent="0.35">
      <c r="A2615" t="s">
        <v>5329</v>
      </c>
      <c r="B2615" s="1">
        <v>44593.475050694447</v>
      </c>
      <c r="C2615" t="s">
        <v>5330</v>
      </c>
      <c r="D2615" t="s">
        <v>171</v>
      </c>
      <c r="E2615" t="s">
        <v>35</v>
      </c>
      <c r="F2615">
        <v>1.2</v>
      </c>
      <c r="G2615">
        <v>4</v>
      </c>
      <c r="H2615" t="s">
        <v>14</v>
      </c>
      <c r="I2615" t="s">
        <v>15</v>
      </c>
      <c r="J2615" t="s">
        <v>662</v>
      </c>
      <c r="K2615">
        <f>Pqp_supermarket_data[[#This Row],[Unit_Price]]*Pqp_supermarket_data[[#This Row],[Quantity]]</f>
        <v>4.8</v>
      </c>
      <c r="L2615" t="str">
        <f>TEXT(Pqp_supermarket_data[[#This Row],[DateTime]],"ddd")</f>
        <v>Tue</v>
      </c>
      <c r="M2615" t="str">
        <f>TEXT(Pqp_supermarket_data[[#This Row],[DateTime]],"mmm")</f>
        <v>Feb</v>
      </c>
      <c r="N2615" t="str">
        <f>TEXT(Pqp_supermarket_data[[#This Row],[DateTime]],"yyy")</f>
        <v>2022</v>
      </c>
    </row>
    <row r="2616" spans="1:14" x14ac:dyDescent="0.35">
      <c r="A2616" t="s">
        <v>5331</v>
      </c>
      <c r="B2616" s="1">
        <v>44782.422967361112</v>
      </c>
      <c r="C2616" t="s">
        <v>5332</v>
      </c>
      <c r="D2616" t="s">
        <v>171</v>
      </c>
      <c r="E2616" t="s">
        <v>57</v>
      </c>
      <c r="F2616">
        <v>4.5</v>
      </c>
      <c r="G2616">
        <v>10</v>
      </c>
      <c r="H2616" t="s">
        <v>14</v>
      </c>
      <c r="I2616" t="s">
        <v>21</v>
      </c>
      <c r="J2616" t="s">
        <v>205</v>
      </c>
      <c r="K2616">
        <f>Pqp_supermarket_data[[#This Row],[Unit_Price]]*Pqp_supermarket_data[[#This Row],[Quantity]]</f>
        <v>45</v>
      </c>
      <c r="L2616" t="str">
        <f>TEXT(Pqp_supermarket_data[[#This Row],[DateTime]],"ddd")</f>
        <v>Tue</v>
      </c>
      <c r="M2616" t="str">
        <f>TEXT(Pqp_supermarket_data[[#This Row],[DateTime]],"mmm")</f>
        <v>Aug</v>
      </c>
      <c r="N2616" t="str">
        <f>TEXT(Pqp_supermarket_data[[#This Row],[DateTime]],"yyy")</f>
        <v>2022</v>
      </c>
    </row>
    <row r="2617" spans="1:14" x14ac:dyDescent="0.35">
      <c r="A2617" t="s">
        <v>5333</v>
      </c>
      <c r="B2617" s="1">
        <v>44532.17921736111</v>
      </c>
      <c r="C2617" t="s">
        <v>5334</v>
      </c>
      <c r="D2617" t="s">
        <v>77</v>
      </c>
      <c r="E2617" t="s">
        <v>70</v>
      </c>
      <c r="F2617">
        <v>5</v>
      </c>
      <c r="G2617">
        <v>10</v>
      </c>
      <c r="H2617" t="s">
        <v>14</v>
      </c>
      <c r="I2617" t="s">
        <v>61</v>
      </c>
      <c r="J2617" t="s">
        <v>769</v>
      </c>
      <c r="K2617">
        <f>Pqp_supermarket_data[[#This Row],[Unit_Price]]*Pqp_supermarket_data[[#This Row],[Quantity]]</f>
        <v>50</v>
      </c>
      <c r="L2617" t="str">
        <f>TEXT(Pqp_supermarket_data[[#This Row],[DateTime]],"ddd")</f>
        <v>Thu</v>
      </c>
      <c r="M2617" t="str">
        <f>TEXT(Pqp_supermarket_data[[#This Row],[DateTime]],"mmm")</f>
        <v>Dec</v>
      </c>
      <c r="N2617" t="str">
        <f>TEXT(Pqp_supermarket_data[[#This Row],[DateTime]],"yyy")</f>
        <v>2021</v>
      </c>
    </row>
    <row r="2618" spans="1:14" x14ac:dyDescent="0.35">
      <c r="A2618" t="s">
        <v>5335</v>
      </c>
      <c r="B2618" s="1">
        <v>44468.620884027776</v>
      </c>
      <c r="C2618" t="s">
        <v>5336</v>
      </c>
      <c r="D2618" t="s">
        <v>77</v>
      </c>
      <c r="E2618" t="s">
        <v>115</v>
      </c>
      <c r="F2618">
        <v>1.5</v>
      </c>
      <c r="G2618">
        <v>10</v>
      </c>
      <c r="H2618" t="s">
        <v>14</v>
      </c>
      <c r="I2618" t="s">
        <v>15</v>
      </c>
      <c r="J2618" t="s">
        <v>320</v>
      </c>
      <c r="K2618">
        <f>Pqp_supermarket_data[[#This Row],[Unit_Price]]*Pqp_supermarket_data[[#This Row],[Quantity]]</f>
        <v>15</v>
      </c>
      <c r="L2618" t="str">
        <f>TEXT(Pqp_supermarket_data[[#This Row],[DateTime]],"ddd")</f>
        <v>Wed</v>
      </c>
      <c r="M2618" t="str">
        <f>TEXT(Pqp_supermarket_data[[#This Row],[DateTime]],"mmm")</f>
        <v>Sep</v>
      </c>
      <c r="N2618" t="str">
        <f>TEXT(Pqp_supermarket_data[[#This Row],[DateTime]],"yyy")</f>
        <v>2021</v>
      </c>
    </row>
    <row r="2619" spans="1:14" x14ac:dyDescent="0.35">
      <c r="A2619" t="s">
        <v>5337</v>
      </c>
      <c r="B2619" s="1">
        <v>45205.500745138888</v>
      </c>
      <c r="C2619" t="s">
        <v>5338</v>
      </c>
      <c r="D2619" t="s">
        <v>34</v>
      </c>
      <c r="E2619" t="s">
        <v>39</v>
      </c>
      <c r="F2619">
        <v>3.2</v>
      </c>
      <c r="G2619">
        <v>3</v>
      </c>
      <c r="H2619" t="s">
        <v>14</v>
      </c>
      <c r="I2619" t="s">
        <v>36</v>
      </c>
      <c r="J2619" t="s">
        <v>122</v>
      </c>
      <c r="K2619">
        <f>Pqp_supermarket_data[[#This Row],[Unit_Price]]*Pqp_supermarket_data[[#This Row],[Quantity]]</f>
        <v>9.6000000000000014</v>
      </c>
      <c r="L2619" t="str">
        <f>TEXT(Pqp_supermarket_data[[#This Row],[DateTime]],"ddd")</f>
        <v>Fri</v>
      </c>
      <c r="M2619" t="str">
        <f>TEXT(Pqp_supermarket_data[[#This Row],[DateTime]],"mmm")</f>
        <v>Oct</v>
      </c>
      <c r="N2619" t="str">
        <f>TEXT(Pqp_supermarket_data[[#This Row],[DateTime]],"yyy")</f>
        <v>2023</v>
      </c>
    </row>
    <row r="2620" spans="1:14" x14ac:dyDescent="0.35">
      <c r="A2620" t="s">
        <v>5339</v>
      </c>
      <c r="B2620" s="1">
        <v>44860.079217361112</v>
      </c>
      <c r="C2620" t="s">
        <v>5340</v>
      </c>
      <c r="D2620" t="s">
        <v>127</v>
      </c>
      <c r="E2620" t="s">
        <v>57</v>
      </c>
      <c r="F2620">
        <v>4.5</v>
      </c>
      <c r="G2620">
        <v>7</v>
      </c>
      <c r="H2620" t="s">
        <v>14</v>
      </c>
      <c r="I2620" t="s">
        <v>86</v>
      </c>
      <c r="J2620" t="s">
        <v>461</v>
      </c>
      <c r="K2620">
        <f>Pqp_supermarket_data[[#This Row],[Unit_Price]]*Pqp_supermarket_data[[#This Row],[Quantity]]</f>
        <v>31.5</v>
      </c>
      <c r="L2620" t="str">
        <f>TEXT(Pqp_supermarket_data[[#This Row],[DateTime]],"ddd")</f>
        <v>Wed</v>
      </c>
      <c r="M2620" t="str">
        <f>TEXT(Pqp_supermarket_data[[#This Row],[DateTime]],"mmm")</f>
        <v>Oct</v>
      </c>
      <c r="N2620" t="str">
        <f>TEXT(Pqp_supermarket_data[[#This Row],[DateTime]],"yyy")</f>
        <v>2022</v>
      </c>
    </row>
    <row r="2621" spans="1:14" x14ac:dyDescent="0.35">
      <c r="A2621" t="s">
        <v>5341</v>
      </c>
      <c r="B2621" s="1">
        <v>45152.670884027779</v>
      </c>
      <c r="C2621" t="s">
        <v>5342</v>
      </c>
      <c r="D2621" t="s">
        <v>25</v>
      </c>
      <c r="E2621" t="s">
        <v>26</v>
      </c>
      <c r="F2621">
        <v>2.5</v>
      </c>
      <c r="G2621">
        <v>8</v>
      </c>
      <c r="H2621" t="s">
        <v>14</v>
      </c>
      <c r="I2621" t="s">
        <v>15</v>
      </c>
      <c r="J2621" t="s">
        <v>54</v>
      </c>
      <c r="K2621">
        <f>Pqp_supermarket_data[[#This Row],[Unit_Price]]*Pqp_supermarket_data[[#This Row],[Quantity]]</f>
        <v>20</v>
      </c>
      <c r="L2621" t="str">
        <f>TEXT(Pqp_supermarket_data[[#This Row],[DateTime]],"ddd")</f>
        <v>Mon</v>
      </c>
      <c r="M2621" t="str">
        <f>TEXT(Pqp_supermarket_data[[#This Row],[DateTime]],"mmm")</f>
        <v>Aug</v>
      </c>
      <c r="N2621" t="str">
        <f>TEXT(Pqp_supermarket_data[[#This Row],[DateTime]],"yyy")</f>
        <v>2023</v>
      </c>
    </row>
    <row r="2622" spans="1:14" x14ac:dyDescent="0.35">
      <c r="A2622" t="s">
        <v>5343</v>
      </c>
      <c r="B2622" s="1">
        <v>45469.514634027779</v>
      </c>
      <c r="C2622" t="s">
        <v>5344</v>
      </c>
      <c r="D2622" t="s">
        <v>208</v>
      </c>
      <c r="E2622" t="s">
        <v>119</v>
      </c>
      <c r="F2622">
        <v>4</v>
      </c>
      <c r="G2622">
        <v>2</v>
      </c>
      <c r="H2622" t="s">
        <v>14</v>
      </c>
      <c r="I2622" t="s">
        <v>15</v>
      </c>
      <c r="J2622" t="s">
        <v>192</v>
      </c>
      <c r="K2622">
        <f>Pqp_supermarket_data[[#This Row],[Unit_Price]]*Pqp_supermarket_data[[#This Row],[Quantity]]</f>
        <v>8</v>
      </c>
      <c r="L2622" t="str">
        <f>TEXT(Pqp_supermarket_data[[#This Row],[DateTime]],"ddd")</f>
        <v>Wed</v>
      </c>
      <c r="M2622" t="str">
        <f>TEXT(Pqp_supermarket_data[[#This Row],[DateTime]],"mmm")</f>
        <v>Jun</v>
      </c>
      <c r="N2622" t="str">
        <f>TEXT(Pqp_supermarket_data[[#This Row],[DateTime]],"yyy")</f>
        <v>2024</v>
      </c>
    </row>
    <row r="2623" spans="1:14" x14ac:dyDescent="0.35">
      <c r="A2623" t="s">
        <v>5345</v>
      </c>
      <c r="B2623" s="1">
        <v>44867.386856249999</v>
      </c>
      <c r="C2623" t="s">
        <v>5346</v>
      </c>
      <c r="D2623" t="s">
        <v>12</v>
      </c>
      <c r="E2623" t="s">
        <v>65</v>
      </c>
      <c r="F2623">
        <v>3</v>
      </c>
      <c r="G2623">
        <v>5</v>
      </c>
      <c r="H2623" t="s">
        <v>14</v>
      </c>
      <c r="I2623" t="s">
        <v>61</v>
      </c>
      <c r="J2623" t="s">
        <v>320</v>
      </c>
      <c r="K2623">
        <f>Pqp_supermarket_data[[#This Row],[Unit_Price]]*Pqp_supermarket_data[[#This Row],[Quantity]]</f>
        <v>15</v>
      </c>
      <c r="L2623" t="str">
        <f>TEXT(Pqp_supermarket_data[[#This Row],[DateTime]],"ddd")</f>
        <v>Wed</v>
      </c>
      <c r="M2623" t="str">
        <f>TEXT(Pqp_supermarket_data[[#This Row],[DateTime]],"mmm")</f>
        <v>Nov</v>
      </c>
      <c r="N2623" t="str">
        <f>TEXT(Pqp_supermarket_data[[#This Row],[DateTime]],"yyy")</f>
        <v>2022</v>
      </c>
    </row>
    <row r="2624" spans="1:14" x14ac:dyDescent="0.35">
      <c r="A2624" t="s">
        <v>5347</v>
      </c>
      <c r="B2624" s="1">
        <v>45130.799356249998</v>
      </c>
      <c r="C2624" t="s">
        <v>5348</v>
      </c>
      <c r="D2624" t="s">
        <v>12</v>
      </c>
      <c r="E2624" t="s">
        <v>115</v>
      </c>
      <c r="F2624">
        <v>1.5</v>
      </c>
      <c r="G2624">
        <v>7</v>
      </c>
      <c r="H2624" t="s">
        <v>14</v>
      </c>
      <c r="I2624" t="s">
        <v>86</v>
      </c>
      <c r="J2624" t="s">
        <v>172</v>
      </c>
      <c r="K2624">
        <f>Pqp_supermarket_data[[#This Row],[Unit_Price]]*Pqp_supermarket_data[[#This Row],[Quantity]]</f>
        <v>10.5</v>
      </c>
      <c r="L2624" t="str">
        <f>TEXT(Pqp_supermarket_data[[#This Row],[DateTime]],"ddd")</f>
        <v>Sun</v>
      </c>
      <c r="M2624" t="str">
        <f>TEXT(Pqp_supermarket_data[[#This Row],[DateTime]],"mmm")</f>
        <v>Jul</v>
      </c>
      <c r="N2624" t="str">
        <f>TEXT(Pqp_supermarket_data[[#This Row],[DateTime]],"yyy")</f>
        <v>2023</v>
      </c>
    </row>
    <row r="2625" spans="1:14" x14ac:dyDescent="0.35">
      <c r="A2625" t="s">
        <v>5349</v>
      </c>
      <c r="B2625" s="1">
        <v>44466.655606250002</v>
      </c>
      <c r="C2625" t="s">
        <v>5350</v>
      </c>
      <c r="D2625" t="s">
        <v>85</v>
      </c>
      <c r="E2625" t="s">
        <v>119</v>
      </c>
      <c r="F2625">
        <v>4</v>
      </c>
      <c r="G2625">
        <v>5</v>
      </c>
      <c r="H2625" t="s">
        <v>14</v>
      </c>
      <c r="I2625" t="s">
        <v>36</v>
      </c>
      <c r="J2625" t="s">
        <v>212</v>
      </c>
      <c r="K2625">
        <f>Pqp_supermarket_data[[#This Row],[Unit_Price]]*Pqp_supermarket_data[[#This Row],[Quantity]]</f>
        <v>20</v>
      </c>
      <c r="L2625" t="str">
        <f>TEXT(Pqp_supermarket_data[[#This Row],[DateTime]],"ddd")</f>
        <v>Mon</v>
      </c>
      <c r="M2625" t="str">
        <f>TEXT(Pqp_supermarket_data[[#This Row],[DateTime]],"mmm")</f>
        <v>Sep</v>
      </c>
      <c r="N2625" t="str">
        <f>TEXT(Pqp_supermarket_data[[#This Row],[DateTime]],"yyy")</f>
        <v>2021</v>
      </c>
    </row>
    <row r="2626" spans="1:14" x14ac:dyDescent="0.35">
      <c r="A2626" t="s">
        <v>5351</v>
      </c>
      <c r="B2626" s="1">
        <v>44816.725050694447</v>
      </c>
      <c r="C2626" t="s">
        <v>5352</v>
      </c>
      <c r="D2626" t="s">
        <v>44</v>
      </c>
      <c r="E2626" t="s">
        <v>94</v>
      </c>
      <c r="F2626">
        <v>0.8</v>
      </c>
      <c r="G2626">
        <v>7</v>
      </c>
      <c r="H2626" t="s">
        <v>14</v>
      </c>
      <c r="I2626" t="s">
        <v>15</v>
      </c>
      <c r="J2626" t="s">
        <v>561</v>
      </c>
      <c r="K2626">
        <f>Pqp_supermarket_data[[#This Row],[Unit_Price]]*Pqp_supermarket_data[[#This Row],[Quantity]]</f>
        <v>5.6000000000000005</v>
      </c>
      <c r="L2626" t="str">
        <f>TEXT(Pqp_supermarket_data[[#This Row],[DateTime]],"ddd")</f>
        <v>Mon</v>
      </c>
      <c r="M2626" t="str">
        <f>TEXT(Pqp_supermarket_data[[#This Row],[DateTime]],"mmm")</f>
        <v>Sep</v>
      </c>
      <c r="N2626" t="str">
        <f>TEXT(Pqp_supermarket_data[[#This Row],[DateTime]],"yyy")</f>
        <v>2022</v>
      </c>
    </row>
    <row r="2627" spans="1:14" x14ac:dyDescent="0.35">
      <c r="A2627" t="s">
        <v>5353</v>
      </c>
      <c r="B2627" s="1">
        <v>45651.516717361112</v>
      </c>
      <c r="C2627" t="s">
        <v>5354</v>
      </c>
      <c r="D2627" t="s">
        <v>34</v>
      </c>
      <c r="E2627" t="s">
        <v>13</v>
      </c>
      <c r="F2627">
        <v>3.1</v>
      </c>
      <c r="G2627">
        <v>7</v>
      </c>
      <c r="H2627" t="s">
        <v>14</v>
      </c>
      <c r="I2627" t="s">
        <v>15</v>
      </c>
      <c r="J2627" t="s">
        <v>336</v>
      </c>
      <c r="K2627">
        <f>Pqp_supermarket_data[[#This Row],[Unit_Price]]*Pqp_supermarket_data[[#This Row],[Quantity]]</f>
        <v>21.7</v>
      </c>
      <c r="L2627" t="str">
        <f>TEXT(Pqp_supermarket_data[[#This Row],[DateTime]],"ddd")</f>
        <v>Wed</v>
      </c>
      <c r="M2627" t="str">
        <f>TEXT(Pqp_supermarket_data[[#This Row],[DateTime]],"mmm")</f>
        <v>Dec</v>
      </c>
      <c r="N2627" t="str">
        <f>TEXT(Pqp_supermarket_data[[#This Row],[DateTime]],"yyy")</f>
        <v>2024</v>
      </c>
    </row>
    <row r="2628" spans="1:14" x14ac:dyDescent="0.35">
      <c r="A2628" t="s">
        <v>5355</v>
      </c>
      <c r="B2628" s="1">
        <v>44836.667411805553</v>
      </c>
      <c r="C2628" t="s">
        <v>5356</v>
      </c>
      <c r="D2628" t="s">
        <v>226</v>
      </c>
      <c r="E2628" t="s">
        <v>39</v>
      </c>
      <c r="F2628">
        <v>3.2</v>
      </c>
      <c r="G2628">
        <v>8</v>
      </c>
      <c r="H2628" t="s">
        <v>14</v>
      </c>
      <c r="I2628" t="s">
        <v>15</v>
      </c>
      <c r="J2628" t="s">
        <v>394</v>
      </c>
      <c r="K2628">
        <f>Pqp_supermarket_data[[#This Row],[Unit_Price]]*Pqp_supermarket_data[[#This Row],[Quantity]]</f>
        <v>25.6</v>
      </c>
      <c r="L2628" t="str">
        <f>TEXT(Pqp_supermarket_data[[#This Row],[DateTime]],"ddd")</f>
        <v>Sun</v>
      </c>
      <c r="M2628" t="str">
        <f>TEXT(Pqp_supermarket_data[[#This Row],[DateTime]],"mmm")</f>
        <v>Oct</v>
      </c>
      <c r="N2628" t="str">
        <f>TEXT(Pqp_supermarket_data[[#This Row],[DateTime]],"yyy")</f>
        <v>2022</v>
      </c>
    </row>
    <row r="2629" spans="1:14" x14ac:dyDescent="0.35">
      <c r="A2629" t="s">
        <v>5357</v>
      </c>
      <c r="B2629" s="1">
        <v>44337.988939699077</v>
      </c>
      <c r="C2629" t="s">
        <v>5358</v>
      </c>
      <c r="D2629" t="s">
        <v>44</v>
      </c>
      <c r="E2629" t="s">
        <v>119</v>
      </c>
      <c r="F2629">
        <v>4</v>
      </c>
      <c r="G2629">
        <v>3</v>
      </c>
      <c r="H2629" t="s">
        <v>14</v>
      </c>
      <c r="I2629" t="s">
        <v>40</v>
      </c>
      <c r="J2629" t="s">
        <v>66</v>
      </c>
      <c r="K2629">
        <f>Pqp_supermarket_data[[#This Row],[Unit_Price]]*Pqp_supermarket_data[[#This Row],[Quantity]]</f>
        <v>12</v>
      </c>
      <c r="L2629" t="str">
        <f>TEXT(Pqp_supermarket_data[[#This Row],[DateTime]],"ddd")</f>
        <v>Fri</v>
      </c>
      <c r="M2629" t="str">
        <f>TEXT(Pqp_supermarket_data[[#This Row],[DateTime]],"mmm")</f>
        <v>May</v>
      </c>
      <c r="N2629" t="str">
        <f>TEXT(Pqp_supermarket_data[[#This Row],[DateTime]],"yyy")</f>
        <v>2021</v>
      </c>
    </row>
    <row r="2630" spans="1:14" x14ac:dyDescent="0.35">
      <c r="A2630" t="s">
        <v>5359</v>
      </c>
      <c r="B2630" s="1">
        <v>45273.014634143517</v>
      </c>
      <c r="C2630" t="s">
        <v>5360</v>
      </c>
      <c r="D2630" t="s">
        <v>98</v>
      </c>
      <c r="E2630" t="s">
        <v>39</v>
      </c>
      <c r="F2630">
        <v>3.2</v>
      </c>
      <c r="G2630">
        <v>3</v>
      </c>
      <c r="H2630" t="s">
        <v>14</v>
      </c>
      <c r="I2630" t="s">
        <v>40</v>
      </c>
      <c r="J2630" t="s">
        <v>16</v>
      </c>
      <c r="K2630">
        <f>Pqp_supermarket_data[[#This Row],[Unit_Price]]*Pqp_supermarket_data[[#This Row],[Quantity]]</f>
        <v>9.6000000000000014</v>
      </c>
      <c r="L2630" t="str">
        <f>TEXT(Pqp_supermarket_data[[#This Row],[DateTime]],"ddd")</f>
        <v>Wed</v>
      </c>
      <c r="M2630" t="str">
        <f>TEXT(Pqp_supermarket_data[[#This Row],[DateTime]],"mmm")</f>
        <v>Dec</v>
      </c>
      <c r="N2630" t="str">
        <f>TEXT(Pqp_supermarket_data[[#This Row],[DateTime]],"yyy")</f>
        <v>2023</v>
      </c>
    </row>
    <row r="2631" spans="1:14" x14ac:dyDescent="0.35">
      <c r="A2631" t="s">
        <v>5361</v>
      </c>
      <c r="B2631" s="1">
        <v>45294.866717476849</v>
      </c>
      <c r="C2631" t="s">
        <v>5362</v>
      </c>
      <c r="D2631" t="s">
        <v>98</v>
      </c>
      <c r="E2631" t="s">
        <v>13</v>
      </c>
      <c r="F2631">
        <v>3.1</v>
      </c>
      <c r="G2631">
        <v>4</v>
      </c>
      <c r="H2631" t="s">
        <v>14</v>
      </c>
      <c r="I2631" t="s">
        <v>36</v>
      </c>
      <c r="J2631" t="s">
        <v>458</v>
      </c>
      <c r="K2631">
        <f>Pqp_supermarket_data[[#This Row],[Unit_Price]]*Pqp_supermarket_data[[#This Row],[Quantity]]</f>
        <v>12.4</v>
      </c>
      <c r="L2631" t="str">
        <f>TEXT(Pqp_supermarket_data[[#This Row],[DateTime]],"ddd")</f>
        <v>Wed</v>
      </c>
      <c r="M2631" t="str">
        <f>TEXT(Pqp_supermarket_data[[#This Row],[DateTime]],"mmm")</f>
        <v>Jan</v>
      </c>
      <c r="N2631" t="str">
        <f>TEXT(Pqp_supermarket_data[[#This Row],[DateTime]],"yyy")</f>
        <v>2024</v>
      </c>
    </row>
    <row r="2632" spans="1:14" x14ac:dyDescent="0.35">
      <c r="A2632" t="s">
        <v>5363</v>
      </c>
      <c r="B2632" s="1">
        <v>44931.484078611109</v>
      </c>
      <c r="C2632" t="s">
        <v>5364</v>
      </c>
      <c r="D2632" t="s">
        <v>208</v>
      </c>
      <c r="E2632" t="s">
        <v>53</v>
      </c>
      <c r="F2632">
        <v>2.8</v>
      </c>
      <c r="G2632">
        <v>6</v>
      </c>
      <c r="H2632" t="s">
        <v>14</v>
      </c>
      <c r="I2632" t="s">
        <v>21</v>
      </c>
      <c r="J2632" t="s">
        <v>186</v>
      </c>
      <c r="K2632">
        <f>Pqp_supermarket_data[[#This Row],[Unit_Price]]*Pqp_supermarket_data[[#This Row],[Quantity]]</f>
        <v>16.799999999999997</v>
      </c>
      <c r="L2632" t="str">
        <f>TEXT(Pqp_supermarket_data[[#This Row],[DateTime]],"ddd")</f>
        <v>Thu</v>
      </c>
      <c r="M2632" t="str">
        <f>TEXT(Pqp_supermarket_data[[#This Row],[DateTime]],"mmm")</f>
        <v>Jan</v>
      </c>
      <c r="N2632" t="str">
        <f>TEXT(Pqp_supermarket_data[[#This Row],[DateTime]],"yyy")</f>
        <v>2023</v>
      </c>
    </row>
    <row r="2633" spans="1:14" x14ac:dyDescent="0.35">
      <c r="A2633" t="s">
        <v>5365</v>
      </c>
      <c r="B2633" s="1">
        <v>45096.555606388887</v>
      </c>
      <c r="C2633" t="s">
        <v>5366</v>
      </c>
      <c r="D2633" t="s">
        <v>98</v>
      </c>
      <c r="E2633" t="s">
        <v>90</v>
      </c>
      <c r="F2633">
        <v>1.8</v>
      </c>
      <c r="G2633">
        <v>4</v>
      </c>
      <c r="H2633" t="s">
        <v>14</v>
      </c>
      <c r="I2633" t="s">
        <v>15</v>
      </c>
      <c r="J2633" t="s">
        <v>209</v>
      </c>
      <c r="K2633">
        <f>Pqp_supermarket_data[[#This Row],[Unit_Price]]*Pqp_supermarket_data[[#This Row],[Quantity]]</f>
        <v>7.2</v>
      </c>
      <c r="L2633" t="str">
        <f>TEXT(Pqp_supermarket_data[[#This Row],[DateTime]],"ddd")</f>
        <v>Mon</v>
      </c>
      <c r="M2633" t="str">
        <f>TEXT(Pqp_supermarket_data[[#This Row],[DateTime]],"mmm")</f>
        <v>Jun</v>
      </c>
      <c r="N2633" t="str">
        <f>TEXT(Pqp_supermarket_data[[#This Row],[DateTime]],"yyy")</f>
        <v>2023</v>
      </c>
    </row>
    <row r="2634" spans="1:14" x14ac:dyDescent="0.35">
      <c r="A2634" t="s">
        <v>5367</v>
      </c>
      <c r="B2634" s="1">
        <v>45105.655606388886</v>
      </c>
      <c r="C2634" t="s">
        <v>1843</v>
      </c>
      <c r="D2634" t="s">
        <v>34</v>
      </c>
      <c r="E2634" t="s">
        <v>90</v>
      </c>
      <c r="F2634">
        <v>1.8</v>
      </c>
      <c r="G2634">
        <v>5</v>
      </c>
      <c r="H2634" t="s">
        <v>14</v>
      </c>
      <c r="I2634" t="s">
        <v>21</v>
      </c>
      <c r="J2634" t="s">
        <v>662</v>
      </c>
      <c r="K2634">
        <f>Pqp_supermarket_data[[#This Row],[Unit_Price]]*Pqp_supermarket_data[[#This Row],[Quantity]]</f>
        <v>9</v>
      </c>
      <c r="L2634" t="str">
        <f>TEXT(Pqp_supermarket_data[[#This Row],[DateTime]],"ddd")</f>
        <v>Wed</v>
      </c>
      <c r="M2634" t="str">
        <f>TEXT(Pqp_supermarket_data[[#This Row],[DateTime]],"mmm")</f>
        <v>Jun</v>
      </c>
      <c r="N2634" t="str">
        <f>TEXT(Pqp_supermarket_data[[#This Row],[DateTime]],"yyy")</f>
        <v>2023</v>
      </c>
    </row>
    <row r="2635" spans="1:14" x14ac:dyDescent="0.35">
      <c r="A2635" t="s">
        <v>5368</v>
      </c>
      <c r="B2635" s="1">
        <v>44703.782689722226</v>
      </c>
      <c r="C2635" t="s">
        <v>5369</v>
      </c>
      <c r="D2635" t="s">
        <v>19</v>
      </c>
      <c r="E2635" t="s">
        <v>45</v>
      </c>
      <c r="F2635">
        <v>1</v>
      </c>
      <c r="G2635">
        <v>4</v>
      </c>
      <c r="H2635" t="s">
        <v>14</v>
      </c>
      <c r="I2635" t="s">
        <v>86</v>
      </c>
      <c r="J2635" t="s">
        <v>426</v>
      </c>
      <c r="K2635">
        <f>Pqp_supermarket_data[[#This Row],[Unit_Price]]*Pqp_supermarket_data[[#This Row],[Quantity]]</f>
        <v>4</v>
      </c>
      <c r="L2635" t="str">
        <f>TEXT(Pqp_supermarket_data[[#This Row],[DateTime]],"ddd")</f>
        <v>Sun</v>
      </c>
      <c r="M2635" t="str">
        <f>TEXT(Pqp_supermarket_data[[#This Row],[DateTime]],"mmm")</f>
        <v>May</v>
      </c>
      <c r="N2635" t="str">
        <f>TEXT(Pqp_supermarket_data[[#This Row],[DateTime]],"yyy")</f>
        <v>2022</v>
      </c>
    </row>
    <row r="2636" spans="1:14" x14ac:dyDescent="0.35">
      <c r="A2636" t="s">
        <v>5370</v>
      </c>
      <c r="B2636" s="1">
        <v>45705.944495277778</v>
      </c>
      <c r="C2636" t="s">
        <v>5371</v>
      </c>
      <c r="D2636" t="s">
        <v>171</v>
      </c>
      <c r="E2636" t="s">
        <v>20</v>
      </c>
      <c r="F2636">
        <v>1</v>
      </c>
      <c r="G2636">
        <v>5</v>
      </c>
      <c r="H2636" t="s">
        <v>14</v>
      </c>
      <c r="I2636" t="s">
        <v>21</v>
      </c>
      <c r="J2636" t="s">
        <v>91</v>
      </c>
      <c r="K2636">
        <f>Pqp_supermarket_data[[#This Row],[Unit_Price]]*Pqp_supermarket_data[[#This Row],[Quantity]]</f>
        <v>5</v>
      </c>
      <c r="L2636" t="str">
        <f>TEXT(Pqp_supermarket_data[[#This Row],[DateTime]],"ddd")</f>
        <v>Mon</v>
      </c>
      <c r="M2636" t="str">
        <f>TEXT(Pqp_supermarket_data[[#This Row],[DateTime]],"mmm")</f>
        <v>Feb</v>
      </c>
      <c r="N2636" t="str">
        <f>TEXT(Pqp_supermarket_data[[#This Row],[DateTime]],"yyy")</f>
        <v>2025</v>
      </c>
    </row>
    <row r="2637" spans="1:14" x14ac:dyDescent="0.35">
      <c r="A2637" t="s">
        <v>5372</v>
      </c>
      <c r="B2637" s="1">
        <v>44852.505606388891</v>
      </c>
      <c r="C2637" t="s">
        <v>5373</v>
      </c>
      <c r="D2637" t="s">
        <v>44</v>
      </c>
      <c r="E2637" t="s">
        <v>35</v>
      </c>
      <c r="F2637">
        <v>1.2</v>
      </c>
      <c r="G2637">
        <v>7</v>
      </c>
      <c r="H2637" t="s">
        <v>14</v>
      </c>
      <c r="I2637" t="s">
        <v>21</v>
      </c>
      <c r="J2637" t="s">
        <v>134</v>
      </c>
      <c r="K2637">
        <f>Pqp_supermarket_data[[#This Row],[Unit_Price]]*Pqp_supermarket_data[[#This Row],[Quantity]]</f>
        <v>8.4</v>
      </c>
      <c r="L2637" t="str">
        <f>TEXT(Pqp_supermarket_data[[#This Row],[DateTime]],"ddd")</f>
        <v>Tue</v>
      </c>
      <c r="M2637" t="str">
        <f>TEXT(Pqp_supermarket_data[[#This Row],[DateTime]],"mmm")</f>
        <v>Oct</v>
      </c>
      <c r="N2637" t="str">
        <f>TEXT(Pqp_supermarket_data[[#This Row],[DateTime]],"yyy")</f>
        <v>2022</v>
      </c>
    </row>
    <row r="2638" spans="1:14" x14ac:dyDescent="0.35">
      <c r="A2638" t="s">
        <v>5374</v>
      </c>
      <c r="B2638" s="1">
        <v>45657.897967500001</v>
      </c>
      <c r="C2638" t="s">
        <v>5375</v>
      </c>
      <c r="D2638" t="s">
        <v>19</v>
      </c>
      <c r="E2638" t="s">
        <v>145</v>
      </c>
      <c r="F2638">
        <v>1.7</v>
      </c>
      <c r="G2638">
        <v>8</v>
      </c>
      <c r="H2638" t="s">
        <v>14</v>
      </c>
      <c r="I2638" t="s">
        <v>21</v>
      </c>
      <c r="J2638" t="s">
        <v>317</v>
      </c>
      <c r="K2638">
        <f>Pqp_supermarket_data[[#This Row],[Unit_Price]]*Pqp_supermarket_data[[#This Row],[Quantity]]</f>
        <v>13.6</v>
      </c>
      <c r="L2638" t="str">
        <f>TEXT(Pqp_supermarket_data[[#This Row],[DateTime]],"ddd")</f>
        <v>Tue</v>
      </c>
      <c r="M2638" t="str">
        <f>TEXT(Pqp_supermarket_data[[#This Row],[DateTime]],"mmm")</f>
        <v>Dec</v>
      </c>
      <c r="N2638" t="str">
        <f>TEXT(Pqp_supermarket_data[[#This Row],[DateTime]],"yyy")</f>
        <v>2024</v>
      </c>
    </row>
    <row r="2639" spans="1:14" x14ac:dyDescent="0.35">
      <c r="A2639" t="s">
        <v>5376</v>
      </c>
      <c r="B2639" s="1">
        <v>45314.106300833337</v>
      </c>
      <c r="C2639" t="s">
        <v>5377</v>
      </c>
      <c r="D2639" t="s">
        <v>171</v>
      </c>
      <c r="E2639" t="s">
        <v>26</v>
      </c>
      <c r="F2639">
        <v>2.5</v>
      </c>
      <c r="G2639">
        <v>8</v>
      </c>
      <c r="H2639" t="s">
        <v>14</v>
      </c>
      <c r="I2639" t="s">
        <v>61</v>
      </c>
      <c r="J2639" t="s">
        <v>108</v>
      </c>
      <c r="K2639">
        <f>Pqp_supermarket_data[[#This Row],[Unit_Price]]*Pqp_supermarket_data[[#This Row],[Quantity]]</f>
        <v>20</v>
      </c>
      <c r="L2639" t="str">
        <f>TEXT(Pqp_supermarket_data[[#This Row],[DateTime]],"ddd")</f>
        <v>Tue</v>
      </c>
      <c r="M2639" t="str">
        <f>TEXT(Pqp_supermarket_data[[#This Row],[DateTime]],"mmm")</f>
        <v>Jan</v>
      </c>
      <c r="N2639" t="str">
        <f>TEXT(Pqp_supermarket_data[[#This Row],[DateTime]],"yyy")</f>
        <v>2024</v>
      </c>
    </row>
    <row r="2640" spans="1:14" x14ac:dyDescent="0.35">
      <c r="A2640" t="s">
        <v>5378</v>
      </c>
      <c r="B2640" s="1">
        <v>44451.481995277776</v>
      </c>
      <c r="C2640" t="s">
        <v>5379</v>
      </c>
      <c r="D2640" t="s">
        <v>25</v>
      </c>
      <c r="E2640" t="s">
        <v>119</v>
      </c>
      <c r="F2640">
        <v>4</v>
      </c>
      <c r="G2640">
        <v>5</v>
      </c>
      <c r="H2640" t="s">
        <v>14</v>
      </c>
      <c r="I2640" t="s">
        <v>86</v>
      </c>
      <c r="J2640" t="s">
        <v>924</v>
      </c>
      <c r="K2640">
        <f>Pqp_supermarket_data[[#This Row],[Unit_Price]]*Pqp_supermarket_data[[#This Row],[Quantity]]</f>
        <v>20</v>
      </c>
      <c r="L2640" t="str">
        <f>TEXT(Pqp_supermarket_data[[#This Row],[DateTime]],"ddd")</f>
        <v>Sun</v>
      </c>
      <c r="M2640" t="str">
        <f>TEXT(Pqp_supermarket_data[[#This Row],[DateTime]],"mmm")</f>
        <v>Sep</v>
      </c>
      <c r="N2640" t="str">
        <f>TEXT(Pqp_supermarket_data[[#This Row],[DateTime]],"yyy")</f>
        <v>2021</v>
      </c>
    </row>
    <row r="2641" spans="1:14" x14ac:dyDescent="0.35">
      <c r="A2641" t="s">
        <v>5380</v>
      </c>
      <c r="B2641" s="1">
        <v>45777.883384166664</v>
      </c>
      <c r="C2641" t="s">
        <v>5381</v>
      </c>
      <c r="D2641" t="s">
        <v>208</v>
      </c>
      <c r="E2641" t="s">
        <v>26</v>
      </c>
      <c r="F2641">
        <v>2.5</v>
      </c>
      <c r="G2641">
        <v>8</v>
      </c>
      <c r="H2641" t="s">
        <v>14</v>
      </c>
      <c r="I2641" t="s">
        <v>15</v>
      </c>
      <c r="J2641" t="s">
        <v>662</v>
      </c>
      <c r="K2641">
        <f>Pqp_supermarket_data[[#This Row],[Unit_Price]]*Pqp_supermarket_data[[#This Row],[Quantity]]</f>
        <v>20</v>
      </c>
      <c r="L2641" t="str">
        <f>TEXT(Pqp_supermarket_data[[#This Row],[DateTime]],"ddd")</f>
        <v>Wed</v>
      </c>
      <c r="M2641" t="str">
        <f>TEXT(Pqp_supermarket_data[[#This Row],[DateTime]],"mmm")</f>
        <v>Apr</v>
      </c>
      <c r="N2641" t="str">
        <f>TEXT(Pqp_supermarket_data[[#This Row],[DateTime]],"yyy")</f>
        <v>2025</v>
      </c>
    </row>
    <row r="2642" spans="1:14" x14ac:dyDescent="0.35">
      <c r="A2642" t="s">
        <v>5382</v>
      </c>
      <c r="B2642" s="1">
        <v>45782.016023055556</v>
      </c>
      <c r="C2642" t="s">
        <v>5383</v>
      </c>
      <c r="D2642" t="s">
        <v>77</v>
      </c>
      <c r="E2642" t="s">
        <v>13</v>
      </c>
      <c r="F2642">
        <v>3.1</v>
      </c>
      <c r="G2642">
        <v>9</v>
      </c>
      <c r="H2642" t="s">
        <v>14</v>
      </c>
      <c r="I2642" t="s">
        <v>21</v>
      </c>
      <c r="J2642" t="s">
        <v>175</v>
      </c>
      <c r="K2642">
        <f>Pqp_supermarket_data[[#This Row],[Unit_Price]]*Pqp_supermarket_data[[#This Row],[Quantity]]</f>
        <v>27.900000000000002</v>
      </c>
      <c r="L2642" t="str">
        <f>TEXT(Pqp_supermarket_data[[#This Row],[DateTime]],"ddd")</f>
        <v>Mon</v>
      </c>
      <c r="M2642" t="str">
        <f>TEXT(Pqp_supermarket_data[[#This Row],[DateTime]],"mmm")</f>
        <v>May</v>
      </c>
      <c r="N2642" t="str">
        <f>TEXT(Pqp_supermarket_data[[#This Row],[DateTime]],"yyy")</f>
        <v>2025</v>
      </c>
    </row>
    <row r="2643" spans="1:14" x14ac:dyDescent="0.35">
      <c r="A2643" t="s">
        <v>5384</v>
      </c>
      <c r="B2643" s="1">
        <v>45752.854911944443</v>
      </c>
      <c r="C2643" t="s">
        <v>5385</v>
      </c>
      <c r="D2643" t="s">
        <v>12</v>
      </c>
      <c r="E2643" t="s">
        <v>57</v>
      </c>
      <c r="F2643">
        <v>4.5</v>
      </c>
      <c r="G2643">
        <v>10</v>
      </c>
      <c r="H2643" t="s">
        <v>14</v>
      </c>
      <c r="I2643" t="s">
        <v>36</v>
      </c>
      <c r="J2643" t="s">
        <v>166</v>
      </c>
      <c r="K2643">
        <f>Pqp_supermarket_data[[#This Row],[Unit_Price]]*Pqp_supermarket_data[[#This Row],[Quantity]]</f>
        <v>45</v>
      </c>
      <c r="L2643" t="str">
        <f>TEXT(Pqp_supermarket_data[[#This Row],[DateTime]],"ddd")</f>
        <v>Sat</v>
      </c>
      <c r="M2643" t="str">
        <f>TEXT(Pqp_supermarket_data[[#This Row],[DateTime]],"mmm")</f>
        <v>Apr</v>
      </c>
      <c r="N2643" t="str">
        <f>TEXT(Pqp_supermarket_data[[#This Row],[DateTime]],"yyy")</f>
        <v>2025</v>
      </c>
    </row>
    <row r="2644" spans="1:14" x14ac:dyDescent="0.35">
      <c r="A2644" t="s">
        <v>5386</v>
      </c>
      <c r="B2644" s="1">
        <v>44768.800745277775</v>
      </c>
      <c r="C2644" t="s">
        <v>5387</v>
      </c>
      <c r="D2644" t="s">
        <v>85</v>
      </c>
      <c r="E2644" t="s">
        <v>20</v>
      </c>
      <c r="F2644">
        <v>1</v>
      </c>
      <c r="G2644">
        <v>5</v>
      </c>
      <c r="H2644" t="s">
        <v>14</v>
      </c>
      <c r="I2644" t="s">
        <v>40</v>
      </c>
      <c r="J2644" t="s">
        <v>461</v>
      </c>
      <c r="K2644">
        <f>Pqp_supermarket_data[[#This Row],[Unit_Price]]*Pqp_supermarket_data[[#This Row],[Quantity]]</f>
        <v>5</v>
      </c>
      <c r="L2644" t="str">
        <f>TEXT(Pqp_supermarket_data[[#This Row],[DateTime]],"ddd")</f>
        <v>Tue</v>
      </c>
      <c r="M2644" t="str">
        <f>TEXT(Pqp_supermarket_data[[#This Row],[DateTime]],"mmm")</f>
        <v>Jul</v>
      </c>
      <c r="N2644" t="str">
        <f>TEXT(Pqp_supermarket_data[[#This Row],[DateTime]],"yyy")</f>
        <v>2022</v>
      </c>
    </row>
    <row r="2645" spans="1:14" x14ac:dyDescent="0.35">
      <c r="A2645" t="s">
        <v>5388</v>
      </c>
      <c r="B2645" s="1">
        <v>44989.819495277778</v>
      </c>
      <c r="C2645" t="s">
        <v>5389</v>
      </c>
      <c r="D2645" t="s">
        <v>44</v>
      </c>
      <c r="E2645" t="s">
        <v>94</v>
      </c>
      <c r="F2645">
        <v>0.8</v>
      </c>
      <c r="G2645">
        <v>9</v>
      </c>
      <c r="H2645" t="s">
        <v>14</v>
      </c>
      <c r="I2645" t="s">
        <v>36</v>
      </c>
      <c r="J2645" t="s">
        <v>485</v>
      </c>
      <c r="K2645">
        <f>Pqp_supermarket_data[[#This Row],[Unit_Price]]*Pqp_supermarket_data[[#This Row],[Quantity]]</f>
        <v>7.2</v>
      </c>
      <c r="L2645" t="str">
        <f>TEXT(Pqp_supermarket_data[[#This Row],[DateTime]],"ddd")</f>
        <v>Sat</v>
      </c>
      <c r="M2645" t="str">
        <f>TEXT(Pqp_supermarket_data[[#This Row],[DateTime]],"mmm")</f>
        <v>Mar</v>
      </c>
      <c r="N2645" t="str">
        <f>TEXT(Pqp_supermarket_data[[#This Row],[DateTime]],"yyy")</f>
        <v>2023</v>
      </c>
    </row>
    <row r="2646" spans="1:14" x14ac:dyDescent="0.35">
      <c r="A2646" t="s">
        <v>5390</v>
      </c>
      <c r="B2646" s="1">
        <v>45756.666023055557</v>
      </c>
      <c r="C2646" t="s">
        <v>5391</v>
      </c>
      <c r="D2646" t="s">
        <v>77</v>
      </c>
      <c r="E2646" t="s">
        <v>39</v>
      </c>
      <c r="F2646">
        <v>3.2</v>
      </c>
      <c r="G2646">
        <v>4</v>
      </c>
      <c r="H2646" t="s">
        <v>14</v>
      </c>
      <c r="I2646" t="s">
        <v>86</v>
      </c>
      <c r="J2646" t="s">
        <v>397</v>
      </c>
      <c r="K2646">
        <f>Pqp_supermarket_data[[#This Row],[Unit_Price]]*Pqp_supermarket_data[[#This Row],[Quantity]]</f>
        <v>12.8</v>
      </c>
      <c r="L2646" t="str">
        <f>TEXT(Pqp_supermarket_data[[#This Row],[DateTime]],"ddd")</f>
        <v>Wed</v>
      </c>
      <c r="M2646" t="str">
        <f>TEXT(Pqp_supermarket_data[[#This Row],[DateTime]],"mmm")</f>
        <v>Apr</v>
      </c>
      <c r="N2646" t="str">
        <f>TEXT(Pqp_supermarket_data[[#This Row],[DateTime]],"yyy")</f>
        <v>2025</v>
      </c>
    </row>
    <row r="2647" spans="1:14" x14ac:dyDescent="0.35">
      <c r="A2647" t="s">
        <v>5392</v>
      </c>
      <c r="B2647" s="1">
        <v>45583.352134166664</v>
      </c>
      <c r="C2647" t="s">
        <v>5393</v>
      </c>
      <c r="D2647" t="s">
        <v>12</v>
      </c>
      <c r="E2647" t="s">
        <v>13</v>
      </c>
      <c r="F2647">
        <v>3.1</v>
      </c>
      <c r="G2647">
        <v>3</v>
      </c>
      <c r="H2647" t="s">
        <v>14</v>
      </c>
      <c r="I2647" t="s">
        <v>36</v>
      </c>
      <c r="J2647" t="s">
        <v>50</v>
      </c>
      <c r="K2647">
        <f>Pqp_supermarket_data[[#This Row],[Unit_Price]]*Pqp_supermarket_data[[#This Row],[Quantity]]</f>
        <v>9.3000000000000007</v>
      </c>
      <c r="L2647" t="str">
        <f>TEXT(Pqp_supermarket_data[[#This Row],[DateTime]],"ddd")</f>
        <v>Fri</v>
      </c>
      <c r="M2647" t="str">
        <f>TEXT(Pqp_supermarket_data[[#This Row],[DateTime]],"mmm")</f>
        <v>Oct</v>
      </c>
      <c r="N2647" t="str">
        <f>TEXT(Pqp_supermarket_data[[#This Row],[DateTime]],"yyy")</f>
        <v>2024</v>
      </c>
    </row>
    <row r="2648" spans="1:14" x14ac:dyDescent="0.35">
      <c r="A2648" t="s">
        <v>5394</v>
      </c>
      <c r="B2648" s="1">
        <v>44411.20838423611</v>
      </c>
      <c r="C2648" t="s">
        <v>5395</v>
      </c>
      <c r="D2648" t="s">
        <v>69</v>
      </c>
      <c r="E2648" t="s">
        <v>145</v>
      </c>
      <c r="F2648">
        <v>1.7</v>
      </c>
      <c r="G2648">
        <v>4</v>
      </c>
      <c r="H2648" t="s">
        <v>14</v>
      </c>
      <c r="I2648" t="s">
        <v>36</v>
      </c>
      <c r="J2648" t="s">
        <v>769</v>
      </c>
      <c r="K2648">
        <f>Pqp_supermarket_data[[#This Row],[Unit_Price]]*Pqp_supermarket_data[[#This Row],[Quantity]]</f>
        <v>6.8</v>
      </c>
      <c r="L2648" t="str">
        <f>TEXT(Pqp_supermarket_data[[#This Row],[DateTime]],"ddd")</f>
        <v>Tue</v>
      </c>
      <c r="M2648" t="str">
        <f>TEXT(Pqp_supermarket_data[[#This Row],[DateTime]],"mmm")</f>
        <v>Aug</v>
      </c>
      <c r="N2648" t="str">
        <f>TEXT(Pqp_supermarket_data[[#This Row],[DateTime]],"yyy")</f>
        <v>2021</v>
      </c>
    </row>
    <row r="2649" spans="1:14" x14ac:dyDescent="0.35">
      <c r="A2649" t="s">
        <v>5396</v>
      </c>
      <c r="B2649" s="1">
        <v>45046.401439791669</v>
      </c>
      <c r="C2649" t="s">
        <v>5397</v>
      </c>
      <c r="D2649" t="s">
        <v>19</v>
      </c>
      <c r="E2649" t="s">
        <v>57</v>
      </c>
      <c r="F2649">
        <v>4.5</v>
      </c>
      <c r="G2649">
        <v>5</v>
      </c>
      <c r="H2649" t="s">
        <v>14</v>
      </c>
      <c r="I2649" t="s">
        <v>21</v>
      </c>
      <c r="J2649" t="s">
        <v>320</v>
      </c>
      <c r="K2649">
        <f>Pqp_supermarket_data[[#This Row],[Unit_Price]]*Pqp_supermarket_data[[#This Row],[Quantity]]</f>
        <v>22.5</v>
      </c>
      <c r="L2649" t="str">
        <f>TEXT(Pqp_supermarket_data[[#This Row],[DateTime]],"ddd")</f>
        <v>Sun</v>
      </c>
      <c r="M2649" t="str">
        <f>TEXT(Pqp_supermarket_data[[#This Row],[DateTime]],"mmm")</f>
        <v>Apr</v>
      </c>
      <c r="N2649" t="str">
        <f>TEXT(Pqp_supermarket_data[[#This Row],[DateTime]],"yyy")</f>
        <v>2023</v>
      </c>
    </row>
    <row r="2650" spans="1:14" x14ac:dyDescent="0.35">
      <c r="A2650" t="s">
        <v>5398</v>
      </c>
      <c r="B2650" s="1">
        <v>44662.723662013886</v>
      </c>
      <c r="C2650" t="s">
        <v>5399</v>
      </c>
      <c r="D2650" t="s">
        <v>77</v>
      </c>
      <c r="E2650" t="s">
        <v>111</v>
      </c>
      <c r="F2650">
        <v>2.2000000000000002</v>
      </c>
      <c r="G2650">
        <v>2</v>
      </c>
      <c r="H2650" t="s">
        <v>14</v>
      </c>
      <c r="I2650" t="s">
        <v>40</v>
      </c>
      <c r="J2650" t="s">
        <v>461</v>
      </c>
      <c r="K2650">
        <f>Pqp_supermarket_data[[#This Row],[Unit_Price]]*Pqp_supermarket_data[[#This Row],[Quantity]]</f>
        <v>4.4000000000000004</v>
      </c>
      <c r="L2650" t="str">
        <f>TEXT(Pqp_supermarket_data[[#This Row],[DateTime]],"ddd")</f>
        <v>Mon</v>
      </c>
      <c r="M2650" t="str">
        <f>TEXT(Pqp_supermarket_data[[#This Row],[DateTime]],"mmm")</f>
        <v>Apr</v>
      </c>
      <c r="N2650" t="str">
        <f>TEXT(Pqp_supermarket_data[[#This Row],[DateTime]],"yyy")</f>
        <v>2022</v>
      </c>
    </row>
    <row r="2651" spans="1:14" x14ac:dyDescent="0.35">
      <c r="A2651" t="s">
        <v>5400</v>
      </c>
      <c r="B2651" s="1">
        <v>45651.218800902781</v>
      </c>
      <c r="C2651" t="s">
        <v>5401</v>
      </c>
      <c r="D2651" t="s">
        <v>77</v>
      </c>
      <c r="E2651" t="s">
        <v>70</v>
      </c>
      <c r="F2651">
        <v>5</v>
      </c>
      <c r="G2651">
        <v>6</v>
      </c>
      <c r="H2651" t="s">
        <v>14</v>
      </c>
      <c r="I2651" t="s">
        <v>40</v>
      </c>
      <c r="J2651" t="s">
        <v>616</v>
      </c>
      <c r="K2651">
        <f>Pqp_supermarket_data[[#This Row],[Unit_Price]]*Pqp_supermarket_data[[#This Row],[Quantity]]</f>
        <v>30</v>
      </c>
      <c r="L2651" t="str">
        <f>TEXT(Pqp_supermarket_data[[#This Row],[DateTime]],"ddd")</f>
        <v>Wed</v>
      </c>
      <c r="M2651" t="str">
        <f>TEXT(Pqp_supermarket_data[[#This Row],[DateTime]],"mmm")</f>
        <v>Dec</v>
      </c>
      <c r="N2651" t="str">
        <f>TEXT(Pqp_supermarket_data[[#This Row],[DateTime]],"yyy")</f>
        <v>2024</v>
      </c>
    </row>
    <row r="2652" spans="1:14" x14ac:dyDescent="0.35">
      <c r="A2652" t="s">
        <v>5402</v>
      </c>
      <c r="B2652" s="1">
        <v>44691.954217569444</v>
      </c>
      <c r="C2652" t="s">
        <v>5403</v>
      </c>
      <c r="D2652" t="s">
        <v>77</v>
      </c>
      <c r="E2652" t="s">
        <v>115</v>
      </c>
      <c r="F2652">
        <v>1.5</v>
      </c>
      <c r="G2652">
        <v>10</v>
      </c>
      <c r="H2652" t="s">
        <v>14</v>
      </c>
      <c r="I2652" t="s">
        <v>61</v>
      </c>
      <c r="J2652" t="s">
        <v>369</v>
      </c>
      <c r="K2652">
        <f>Pqp_supermarket_data[[#This Row],[Unit_Price]]*Pqp_supermarket_data[[#This Row],[Quantity]]</f>
        <v>15</v>
      </c>
      <c r="L2652" t="str">
        <f>TEXT(Pqp_supermarket_data[[#This Row],[DateTime]],"ddd")</f>
        <v>Tue</v>
      </c>
      <c r="M2652" t="str">
        <f>TEXT(Pqp_supermarket_data[[#This Row],[DateTime]],"mmm")</f>
        <v>May</v>
      </c>
      <c r="N2652" t="str">
        <f>TEXT(Pqp_supermarket_data[[#This Row],[DateTime]],"yyy")</f>
        <v>2022</v>
      </c>
    </row>
    <row r="2653" spans="1:14" x14ac:dyDescent="0.35">
      <c r="A2653" t="s">
        <v>5404</v>
      </c>
      <c r="B2653" s="1">
        <v>45057.461162013889</v>
      </c>
      <c r="C2653" t="s">
        <v>5405</v>
      </c>
      <c r="D2653" t="s">
        <v>69</v>
      </c>
      <c r="E2653" t="s">
        <v>49</v>
      </c>
      <c r="F2653">
        <v>7</v>
      </c>
      <c r="G2653">
        <v>4</v>
      </c>
      <c r="H2653" t="s">
        <v>14</v>
      </c>
      <c r="I2653" t="s">
        <v>21</v>
      </c>
      <c r="J2653" t="s">
        <v>364</v>
      </c>
      <c r="K2653">
        <f>Pqp_supermarket_data[[#This Row],[Unit_Price]]*Pqp_supermarket_data[[#This Row],[Quantity]]</f>
        <v>28</v>
      </c>
      <c r="L2653" t="str">
        <f>TEXT(Pqp_supermarket_data[[#This Row],[DateTime]],"ddd")</f>
        <v>Thu</v>
      </c>
      <c r="M2653" t="str">
        <f>TEXT(Pqp_supermarket_data[[#This Row],[DateTime]],"mmm")</f>
        <v>May</v>
      </c>
      <c r="N2653" t="str">
        <f>TEXT(Pqp_supermarket_data[[#This Row],[DateTime]],"yyy")</f>
        <v>2023</v>
      </c>
    </row>
    <row r="2654" spans="1:14" x14ac:dyDescent="0.35">
      <c r="A2654" t="s">
        <v>5406</v>
      </c>
      <c r="B2654" s="1">
        <v>45748.732689791665</v>
      </c>
      <c r="C2654" t="s">
        <v>5407</v>
      </c>
      <c r="D2654" t="s">
        <v>226</v>
      </c>
      <c r="E2654" t="s">
        <v>65</v>
      </c>
      <c r="F2654">
        <v>3</v>
      </c>
      <c r="G2654">
        <v>2</v>
      </c>
      <c r="H2654" t="s">
        <v>14</v>
      </c>
      <c r="I2654" t="s">
        <v>15</v>
      </c>
      <c r="J2654" t="s">
        <v>209</v>
      </c>
      <c r="K2654">
        <f>Pqp_supermarket_data[[#This Row],[Unit_Price]]*Pqp_supermarket_data[[#This Row],[Quantity]]</f>
        <v>6</v>
      </c>
      <c r="L2654" t="str">
        <f>TEXT(Pqp_supermarket_data[[#This Row],[DateTime]],"ddd")</f>
        <v>Tue</v>
      </c>
      <c r="M2654" t="str">
        <f>TEXT(Pqp_supermarket_data[[#This Row],[DateTime]],"mmm")</f>
        <v>Apr</v>
      </c>
      <c r="N2654" t="str">
        <f>TEXT(Pqp_supermarket_data[[#This Row],[DateTime]],"yyy")</f>
        <v>2025</v>
      </c>
    </row>
    <row r="2655" spans="1:14" x14ac:dyDescent="0.35">
      <c r="A2655" t="s">
        <v>5408</v>
      </c>
      <c r="B2655" s="1">
        <v>45086.328523124997</v>
      </c>
      <c r="C2655" t="s">
        <v>5409</v>
      </c>
      <c r="D2655" t="s">
        <v>34</v>
      </c>
      <c r="E2655" t="s">
        <v>20</v>
      </c>
      <c r="F2655">
        <v>1</v>
      </c>
      <c r="G2655">
        <v>4</v>
      </c>
      <c r="H2655" t="s">
        <v>14</v>
      </c>
      <c r="I2655" t="s">
        <v>86</v>
      </c>
      <c r="J2655" t="s">
        <v>91</v>
      </c>
      <c r="K2655">
        <f>Pqp_supermarket_data[[#This Row],[Unit_Price]]*Pqp_supermarket_data[[#This Row],[Quantity]]</f>
        <v>4</v>
      </c>
      <c r="L2655" t="str">
        <f>TEXT(Pqp_supermarket_data[[#This Row],[DateTime]],"ddd")</f>
        <v>Fri</v>
      </c>
      <c r="M2655" t="str">
        <f>TEXT(Pqp_supermarket_data[[#This Row],[DateTime]],"mmm")</f>
        <v>Jun</v>
      </c>
      <c r="N2655" t="str">
        <f>TEXT(Pqp_supermarket_data[[#This Row],[DateTime]],"yyy")</f>
        <v>2023</v>
      </c>
    </row>
    <row r="2656" spans="1:14" x14ac:dyDescent="0.35">
      <c r="A2656" t="s">
        <v>5410</v>
      </c>
      <c r="B2656" s="1">
        <v>44493.100745347219</v>
      </c>
      <c r="C2656" t="s">
        <v>5411</v>
      </c>
      <c r="D2656" t="s">
        <v>44</v>
      </c>
      <c r="E2656" t="s">
        <v>49</v>
      </c>
      <c r="F2656">
        <v>7</v>
      </c>
      <c r="G2656">
        <v>7</v>
      </c>
      <c r="H2656" t="s">
        <v>14</v>
      </c>
      <c r="I2656" t="s">
        <v>40</v>
      </c>
      <c r="J2656" t="s">
        <v>138</v>
      </c>
      <c r="K2656">
        <f>Pqp_supermarket_data[[#This Row],[Unit_Price]]*Pqp_supermarket_data[[#This Row],[Quantity]]</f>
        <v>49</v>
      </c>
      <c r="L2656" t="str">
        <f>TEXT(Pqp_supermarket_data[[#This Row],[DateTime]],"ddd")</f>
        <v>Sun</v>
      </c>
      <c r="M2656" t="str">
        <f>TEXT(Pqp_supermarket_data[[#This Row],[DateTime]],"mmm")</f>
        <v>Oct</v>
      </c>
      <c r="N2656" t="str">
        <f>TEXT(Pqp_supermarket_data[[#This Row],[DateTime]],"yyy")</f>
        <v>2021</v>
      </c>
    </row>
    <row r="2657" spans="1:14" x14ac:dyDescent="0.35">
      <c r="A2657" t="s">
        <v>5412</v>
      </c>
      <c r="B2657" s="1">
        <v>44962.302828680557</v>
      </c>
      <c r="C2657" t="s">
        <v>5413</v>
      </c>
      <c r="D2657" t="s">
        <v>25</v>
      </c>
      <c r="E2657" t="s">
        <v>45</v>
      </c>
      <c r="F2657">
        <v>1</v>
      </c>
      <c r="G2657">
        <v>8</v>
      </c>
      <c r="H2657" t="s">
        <v>14</v>
      </c>
      <c r="I2657" t="s">
        <v>21</v>
      </c>
      <c r="J2657" t="s">
        <v>314</v>
      </c>
      <c r="K2657">
        <f>Pqp_supermarket_data[[#This Row],[Unit_Price]]*Pqp_supermarket_data[[#This Row],[Quantity]]</f>
        <v>8</v>
      </c>
      <c r="L2657" t="str">
        <f>TEXT(Pqp_supermarket_data[[#This Row],[DateTime]],"ddd")</f>
        <v>Sun</v>
      </c>
      <c r="M2657" t="str">
        <f>TEXT(Pqp_supermarket_data[[#This Row],[DateTime]],"mmm")</f>
        <v>Feb</v>
      </c>
      <c r="N2657" t="str">
        <f>TEXT(Pqp_supermarket_data[[#This Row],[DateTime]],"yyy")</f>
        <v>2023</v>
      </c>
    </row>
    <row r="2658" spans="1:14" x14ac:dyDescent="0.35">
      <c r="A2658" t="s">
        <v>5414</v>
      </c>
      <c r="B2658" s="1">
        <v>44358.44380090278</v>
      </c>
      <c r="C2658" t="s">
        <v>5415</v>
      </c>
      <c r="D2658" t="s">
        <v>25</v>
      </c>
      <c r="E2658" t="s">
        <v>115</v>
      </c>
      <c r="F2658">
        <v>1.5</v>
      </c>
      <c r="G2658">
        <v>9</v>
      </c>
      <c r="H2658" t="s">
        <v>14</v>
      </c>
      <c r="I2658" t="s">
        <v>86</v>
      </c>
      <c r="J2658" t="s">
        <v>423</v>
      </c>
      <c r="K2658">
        <f>Pqp_supermarket_data[[#This Row],[Unit_Price]]*Pqp_supermarket_data[[#This Row],[Quantity]]</f>
        <v>13.5</v>
      </c>
      <c r="L2658" t="str">
        <f>TEXT(Pqp_supermarket_data[[#This Row],[DateTime]],"ddd")</f>
        <v>Fri</v>
      </c>
      <c r="M2658" t="str">
        <f>TEXT(Pqp_supermarket_data[[#This Row],[DateTime]],"mmm")</f>
        <v>Jun</v>
      </c>
      <c r="N2658" t="str">
        <f>TEXT(Pqp_supermarket_data[[#This Row],[DateTime]],"yyy")</f>
        <v>2021</v>
      </c>
    </row>
    <row r="2659" spans="1:14" x14ac:dyDescent="0.35">
      <c r="A2659" t="s">
        <v>5416</v>
      </c>
      <c r="B2659" s="1">
        <v>45126.710467569443</v>
      </c>
      <c r="C2659" t="s">
        <v>5417</v>
      </c>
      <c r="D2659" t="s">
        <v>25</v>
      </c>
      <c r="E2659" t="s">
        <v>137</v>
      </c>
      <c r="F2659">
        <v>2.5</v>
      </c>
      <c r="G2659">
        <v>1</v>
      </c>
      <c r="H2659" t="s">
        <v>14</v>
      </c>
      <c r="I2659" t="s">
        <v>86</v>
      </c>
      <c r="J2659" t="s">
        <v>248</v>
      </c>
      <c r="K2659">
        <f>Pqp_supermarket_data[[#This Row],[Unit_Price]]*Pqp_supermarket_data[[#This Row],[Quantity]]</f>
        <v>2.5</v>
      </c>
      <c r="L2659" t="str">
        <f>TEXT(Pqp_supermarket_data[[#This Row],[DateTime]],"ddd")</f>
        <v>Wed</v>
      </c>
      <c r="M2659" t="str">
        <f>TEXT(Pqp_supermarket_data[[#This Row],[DateTime]],"mmm")</f>
        <v>Jul</v>
      </c>
      <c r="N2659" t="str">
        <f>TEXT(Pqp_supermarket_data[[#This Row],[DateTime]],"yyy")</f>
        <v>2023</v>
      </c>
    </row>
    <row r="2660" spans="1:14" x14ac:dyDescent="0.35">
      <c r="A2660" t="s">
        <v>5418</v>
      </c>
      <c r="B2660" s="1">
        <v>45778.794495347225</v>
      </c>
      <c r="C2660" t="s">
        <v>5419</v>
      </c>
      <c r="D2660" t="s">
        <v>208</v>
      </c>
      <c r="E2660" t="s">
        <v>53</v>
      </c>
      <c r="F2660">
        <v>2.8</v>
      </c>
      <c r="G2660">
        <v>6</v>
      </c>
      <c r="H2660" t="s">
        <v>14</v>
      </c>
      <c r="I2660" t="s">
        <v>86</v>
      </c>
      <c r="J2660" t="s">
        <v>314</v>
      </c>
      <c r="K2660">
        <f>Pqp_supermarket_data[[#This Row],[Unit_Price]]*Pqp_supermarket_data[[#This Row],[Quantity]]</f>
        <v>16.799999999999997</v>
      </c>
      <c r="L2660" t="str">
        <f>TEXT(Pqp_supermarket_data[[#This Row],[DateTime]],"ddd")</f>
        <v>Thu</v>
      </c>
      <c r="M2660" t="str">
        <f>TEXT(Pqp_supermarket_data[[#This Row],[DateTime]],"mmm")</f>
        <v>May</v>
      </c>
      <c r="N2660" t="str">
        <f>TEXT(Pqp_supermarket_data[[#This Row],[DateTime]],"yyy")</f>
        <v>2025</v>
      </c>
    </row>
    <row r="2661" spans="1:14" x14ac:dyDescent="0.35">
      <c r="A2661" t="s">
        <v>5420</v>
      </c>
      <c r="B2661" s="1">
        <v>45771.104912013892</v>
      </c>
      <c r="C2661" t="s">
        <v>5421</v>
      </c>
      <c r="D2661" t="s">
        <v>98</v>
      </c>
      <c r="E2661" t="s">
        <v>65</v>
      </c>
      <c r="F2661">
        <v>3</v>
      </c>
      <c r="G2661">
        <v>3</v>
      </c>
      <c r="H2661" t="s">
        <v>14</v>
      </c>
      <c r="I2661" t="s">
        <v>40</v>
      </c>
      <c r="J2661" t="s">
        <v>273</v>
      </c>
      <c r="K2661">
        <f>Pqp_supermarket_data[[#This Row],[Unit_Price]]*Pqp_supermarket_data[[#This Row],[Quantity]]</f>
        <v>9</v>
      </c>
      <c r="L2661" t="str">
        <f>TEXT(Pqp_supermarket_data[[#This Row],[DateTime]],"ddd")</f>
        <v>Thu</v>
      </c>
      <c r="M2661" t="str">
        <f>TEXT(Pqp_supermarket_data[[#This Row],[DateTime]],"mmm")</f>
        <v>Apr</v>
      </c>
      <c r="N2661" t="str">
        <f>TEXT(Pqp_supermarket_data[[#This Row],[DateTime]],"yyy")</f>
        <v>2025</v>
      </c>
    </row>
    <row r="2662" spans="1:14" x14ac:dyDescent="0.35">
      <c r="A2662" t="s">
        <v>5422</v>
      </c>
      <c r="B2662" s="1">
        <v>44719.817412013886</v>
      </c>
      <c r="C2662" t="s">
        <v>4768</v>
      </c>
      <c r="D2662" t="s">
        <v>77</v>
      </c>
      <c r="E2662" t="s">
        <v>119</v>
      </c>
      <c r="F2662">
        <v>4</v>
      </c>
      <c r="G2662">
        <v>3</v>
      </c>
      <c r="H2662" t="s">
        <v>14</v>
      </c>
      <c r="I2662" t="s">
        <v>86</v>
      </c>
      <c r="J2662" t="s">
        <v>336</v>
      </c>
      <c r="K2662">
        <f>Pqp_supermarket_data[[#This Row],[Unit_Price]]*Pqp_supermarket_data[[#This Row],[Quantity]]</f>
        <v>12</v>
      </c>
      <c r="L2662" t="str">
        <f>TEXT(Pqp_supermarket_data[[#This Row],[DateTime]],"ddd")</f>
        <v>Tue</v>
      </c>
      <c r="M2662" t="str">
        <f>TEXT(Pqp_supermarket_data[[#This Row],[DateTime]],"mmm")</f>
        <v>Jun</v>
      </c>
      <c r="N2662" t="str">
        <f>TEXT(Pqp_supermarket_data[[#This Row],[DateTime]],"yyy")</f>
        <v>2022</v>
      </c>
    </row>
    <row r="2663" spans="1:14" x14ac:dyDescent="0.35">
      <c r="A2663" t="s">
        <v>5423</v>
      </c>
      <c r="B2663" s="1">
        <v>44652.819495347219</v>
      </c>
      <c r="C2663" t="s">
        <v>5424</v>
      </c>
      <c r="D2663" t="s">
        <v>226</v>
      </c>
      <c r="E2663" t="s">
        <v>39</v>
      </c>
      <c r="F2663">
        <v>3.2</v>
      </c>
      <c r="G2663">
        <v>2</v>
      </c>
      <c r="H2663" t="s">
        <v>14</v>
      </c>
      <c r="I2663" t="s">
        <v>21</v>
      </c>
      <c r="J2663" t="s">
        <v>74</v>
      </c>
      <c r="K2663">
        <f>Pqp_supermarket_data[[#This Row],[Unit_Price]]*Pqp_supermarket_data[[#This Row],[Quantity]]</f>
        <v>6.4</v>
      </c>
      <c r="L2663" t="str">
        <f>TEXT(Pqp_supermarket_data[[#This Row],[DateTime]],"ddd")</f>
        <v>Fri</v>
      </c>
      <c r="M2663" t="str">
        <f>TEXT(Pqp_supermarket_data[[#This Row],[DateTime]],"mmm")</f>
        <v>Apr</v>
      </c>
      <c r="N2663" t="str">
        <f>TEXT(Pqp_supermarket_data[[#This Row],[DateTime]],"yyy")</f>
        <v>2022</v>
      </c>
    </row>
    <row r="2664" spans="1:14" x14ac:dyDescent="0.35">
      <c r="A2664" t="s">
        <v>5425</v>
      </c>
      <c r="B2664" s="1">
        <v>44480.132689791666</v>
      </c>
      <c r="C2664" t="s">
        <v>5426</v>
      </c>
      <c r="D2664" t="s">
        <v>127</v>
      </c>
      <c r="E2664" t="s">
        <v>20</v>
      </c>
      <c r="F2664">
        <v>1</v>
      </c>
      <c r="G2664">
        <v>7</v>
      </c>
      <c r="H2664" t="s">
        <v>14</v>
      </c>
      <c r="I2664" t="s">
        <v>61</v>
      </c>
      <c r="J2664" t="s">
        <v>74</v>
      </c>
      <c r="K2664">
        <f>Pqp_supermarket_data[[#This Row],[Unit_Price]]*Pqp_supermarket_data[[#This Row],[Quantity]]</f>
        <v>7</v>
      </c>
      <c r="L2664" t="str">
        <f>TEXT(Pqp_supermarket_data[[#This Row],[DateTime]],"ddd")</f>
        <v>Mon</v>
      </c>
      <c r="M2664" t="str">
        <f>TEXT(Pqp_supermarket_data[[#This Row],[DateTime]],"mmm")</f>
        <v>Oct</v>
      </c>
      <c r="N2664" t="str">
        <f>TEXT(Pqp_supermarket_data[[#This Row],[DateTime]],"yyy")</f>
        <v>2021</v>
      </c>
    </row>
    <row r="2665" spans="1:14" x14ac:dyDescent="0.35">
      <c r="A2665" t="s">
        <v>5427</v>
      </c>
      <c r="B2665" s="1">
        <v>45568.504912013886</v>
      </c>
      <c r="C2665" t="s">
        <v>5428</v>
      </c>
      <c r="D2665" t="s">
        <v>30</v>
      </c>
      <c r="E2665" t="s">
        <v>111</v>
      </c>
      <c r="F2665">
        <v>2.2000000000000002</v>
      </c>
      <c r="G2665">
        <v>5</v>
      </c>
      <c r="H2665" t="s">
        <v>14</v>
      </c>
      <c r="I2665" t="s">
        <v>86</v>
      </c>
      <c r="J2665" t="s">
        <v>744</v>
      </c>
      <c r="K2665">
        <f>Pqp_supermarket_data[[#This Row],[Unit_Price]]*Pqp_supermarket_data[[#This Row],[Quantity]]</f>
        <v>11</v>
      </c>
      <c r="L2665" t="str">
        <f>TEXT(Pqp_supermarket_data[[#This Row],[DateTime]],"ddd")</f>
        <v>Thu</v>
      </c>
      <c r="M2665" t="str">
        <f>TEXT(Pqp_supermarket_data[[#This Row],[DateTime]],"mmm")</f>
        <v>Oct</v>
      </c>
      <c r="N2665" t="str">
        <f>TEXT(Pqp_supermarket_data[[#This Row],[DateTime]],"yyy")</f>
        <v>2024</v>
      </c>
    </row>
    <row r="2666" spans="1:14" x14ac:dyDescent="0.35">
      <c r="A2666" t="s">
        <v>5429</v>
      </c>
      <c r="B2666" s="1">
        <v>45212.105606458332</v>
      </c>
      <c r="C2666" t="s">
        <v>5430</v>
      </c>
      <c r="D2666" t="s">
        <v>82</v>
      </c>
      <c r="E2666" t="s">
        <v>65</v>
      </c>
      <c r="F2666">
        <v>3</v>
      </c>
      <c r="G2666">
        <v>9</v>
      </c>
      <c r="H2666" t="s">
        <v>14</v>
      </c>
      <c r="I2666" t="s">
        <v>61</v>
      </c>
      <c r="J2666" t="s">
        <v>205</v>
      </c>
      <c r="K2666">
        <f>Pqp_supermarket_data[[#This Row],[Unit_Price]]*Pqp_supermarket_data[[#This Row],[Quantity]]</f>
        <v>27</v>
      </c>
      <c r="L2666" t="str">
        <f>TEXT(Pqp_supermarket_data[[#This Row],[DateTime]],"ddd")</f>
        <v>Fri</v>
      </c>
      <c r="M2666" t="str">
        <f>TEXT(Pqp_supermarket_data[[#This Row],[DateTime]],"mmm")</f>
        <v>Oct</v>
      </c>
      <c r="N2666" t="str">
        <f>TEXT(Pqp_supermarket_data[[#This Row],[DateTime]],"yyy")</f>
        <v>2023</v>
      </c>
    </row>
    <row r="2667" spans="1:14" x14ac:dyDescent="0.35">
      <c r="A2667" t="s">
        <v>5431</v>
      </c>
      <c r="B2667" s="1">
        <v>44766.152134236108</v>
      </c>
      <c r="C2667" t="s">
        <v>5432</v>
      </c>
      <c r="D2667" t="s">
        <v>127</v>
      </c>
      <c r="E2667" t="s">
        <v>145</v>
      </c>
      <c r="F2667">
        <v>1.7</v>
      </c>
      <c r="G2667">
        <v>1</v>
      </c>
      <c r="H2667" t="s">
        <v>14</v>
      </c>
      <c r="I2667" t="s">
        <v>40</v>
      </c>
      <c r="J2667" t="s">
        <v>429</v>
      </c>
      <c r="K2667">
        <f>Pqp_supermarket_data[[#This Row],[Unit_Price]]*Pqp_supermarket_data[[#This Row],[Quantity]]</f>
        <v>1.7</v>
      </c>
      <c r="L2667" t="str">
        <f>TEXT(Pqp_supermarket_data[[#This Row],[DateTime]],"ddd")</f>
        <v>Sun</v>
      </c>
      <c r="M2667" t="str">
        <f>TEXT(Pqp_supermarket_data[[#This Row],[DateTime]],"mmm")</f>
        <v>Jul</v>
      </c>
      <c r="N2667" t="str">
        <f>TEXT(Pqp_supermarket_data[[#This Row],[DateTime]],"yyy")</f>
        <v>2022</v>
      </c>
    </row>
    <row r="2668" spans="1:14" x14ac:dyDescent="0.35">
      <c r="A2668" t="s">
        <v>5433</v>
      </c>
      <c r="B2668" s="1">
        <v>45115.32018988426</v>
      </c>
      <c r="C2668" t="s">
        <v>5434</v>
      </c>
      <c r="D2668" t="s">
        <v>77</v>
      </c>
      <c r="E2668" t="s">
        <v>111</v>
      </c>
      <c r="F2668">
        <v>2.2000000000000002</v>
      </c>
      <c r="G2668">
        <v>9</v>
      </c>
      <c r="H2668" t="s">
        <v>14</v>
      </c>
      <c r="I2668" t="s">
        <v>21</v>
      </c>
      <c r="J2668" t="s">
        <v>273</v>
      </c>
      <c r="K2668">
        <f>Pqp_supermarket_data[[#This Row],[Unit_Price]]*Pqp_supermarket_data[[#This Row],[Quantity]]</f>
        <v>19.8</v>
      </c>
      <c r="L2668" t="str">
        <f>TEXT(Pqp_supermarket_data[[#This Row],[DateTime]],"ddd")</f>
        <v>Sat</v>
      </c>
      <c r="M2668" t="str">
        <f>TEXT(Pqp_supermarket_data[[#This Row],[DateTime]],"mmm")</f>
        <v>Jul</v>
      </c>
      <c r="N2668" t="str">
        <f>TEXT(Pqp_supermarket_data[[#This Row],[DateTime]],"yyy")</f>
        <v>2023</v>
      </c>
    </row>
    <row r="2669" spans="1:14" x14ac:dyDescent="0.35">
      <c r="A2669" t="s">
        <v>5435</v>
      </c>
      <c r="B2669" s="1">
        <v>45581.096578773147</v>
      </c>
      <c r="C2669" t="s">
        <v>5436</v>
      </c>
      <c r="D2669" t="s">
        <v>77</v>
      </c>
      <c r="E2669" t="s">
        <v>13</v>
      </c>
      <c r="F2669">
        <v>3.1</v>
      </c>
      <c r="G2669">
        <v>6</v>
      </c>
      <c r="H2669" t="s">
        <v>14</v>
      </c>
      <c r="I2669" t="s">
        <v>61</v>
      </c>
      <c r="J2669" t="s">
        <v>172</v>
      </c>
      <c r="K2669">
        <f>Pqp_supermarket_data[[#This Row],[Unit_Price]]*Pqp_supermarket_data[[#This Row],[Quantity]]</f>
        <v>18.600000000000001</v>
      </c>
      <c r="L2669" t="str">
        <f>TEXT(Pqp_supermarket_data[[#This Row],[DateTime]],"ddd")</f>
        <v>Wed</v>
      </c>
      <c r="M2669" t="str">
        <f>TEXT(Pqp_supermarket_data[[#This Row],[DateTime]],"mmm")</f>
        <v>Oct</v>
      </c>
      <c r="N2669" t="str">
        <f>TEXT(Pqp_supermarket_data[[#This Row],[DateTime]],"yyy")</f>
        <v>2024</v>
      </c>
    </row>
    <row r="2670" spans="1:14" x14ac:dyDescent="0.35">
      <c r="A2670" t="s">
        <v>5437</v>
      </c>
      <c r="B2670" s="1">
        <v>45411.800745462962</v>
      </c>
      <c r="C2670" t="s">
        <v>5438</v>
      </c>
      <c r="D2670" t="s">
        <v>171</v>
      </c>
      <c r="E2670" t="s">
        <v>65</v>
      </c>
      <c r="F2670">
        <v>3</v>
      </c>
      <c r="G2670">
        <v>4</v>
      </c>
      <c r="H2670" t="s">
        <v>14</v>
      </c>
      <c r="I2670" t="s">
        <v>40</v>
      </c>
      <c r="J2670" t="s">
        <v>339</v>
      </c>
      <c r="K2670">
        <f>Pqp_supermarket_data[[#This Row],[Unit_Price]]*Pqp_supermarket_data[[#This Row],[Quantity]]</f>
        <v>12</v>
      </c>
      <c r="L2670" t="str">
        <f>TEXT(Pqp_supermarket_data[[#This Row],[DateTime]],"ddd")</f>
        <v>Mon</v>
      </c>
      <c r="M2670" t="str">
        <f>TEXT(Pqp_supermarket_data[[#This Row],[DateTime]],"mmm")</f>
        <v>Apr</v>
      </c>
      <c r="N2670" t="str">
        <f>TEXT(Pqp_supermarket_data[[#This Row],[DateTime]],"yyy")</f>
        <v>2024</v>
      </c>
    </row>
    <row r="2671" spans="1:14" x14ac:dyDescent="0.35">
      <c r="A2671" t="s">
        <v>5439</v>
      </c>
      <c r="B2671" s="1">
        <v>45148.818106574072</v>
      </c>
      <c r="C2671" t="s">
        <v>5440</v>
      </c>
      <c r="D2671" t="s">
        <v>85</v>
      </c>
      <c r="E2671" t="s">
        <v>65</v>
      </c>
      <c r="F2671">
        <v>3</v>
      </c>
      <c r="G2671">
        <v>9</v>
      </c>
      <c r="H2671" t="s">
        <v>14</v>
      </c>
      <c r="I2671" t="s">
        <v>21</v>
      </c>
      <c r="J2671" t="s">
        <v>320</v>
      </c>
      <c r="K2671">
        <f>Pqp_supermarket_data[[#This Row],[Unit_Price]]*Pqp_supermarket_data[[#This Row],[Quantity]]</f>
        <v>27</v>
      </c>
      <c r="L2671" t="str">
        <f>TEXT(Pqp_supermarket_data[[#This Row],[DateTime]],"ddd")</f>
        <v>Thu</v>
      </c>
      <c r="M2671" t="str">
        <f>TEXT(Pqp_supermarket_data[[#This Row],[DateTime]],"mmm")</f>
        <v>Aug</v>
      </c>
      <c r="N2671" t="str">
        <f>TEXT(Pqp_supermarket_data[[#This Row],[DateTime]],"yyy")</f>
        <v>2023</v>
      </c>
    </row>
    <row r="2672" spans="1:14" x14ac:dyDescent="0.35">
      <c r="A2672" t="s">
        <v>5441</v>
      </c>
      <c r="B2672" s="1">
        <v>44668.144495486114</v>
      </c>
      <c r="C2672" t="s">
        <v>5442</v>
      </c>
      <c r="D2672" t="s">
        <v>85</v>
      </c>
      <c r="E2672" t="s">
        <v>57</v>
      </c>
      <c r="F2672">
        <v>4.5</v>
      </c>
      <c r="G2672">
        <v>2</v>
      </c>
      <c r="H2672" t="s">
        <v>14</v>
      </c>
      <c r="I2672" t="s">
        <v>86</v>
      </c>
      <c r="J2672" t="s">
        <v>91</v>
      </c>
      <c r="K2672">
        <f>Pqp_supermarket_data[[#This Row],[Unit_Price]]*Pqp_supermarket_data[[#This Row],[Quantity]]</f>
        <v>9</v>
      </c>
      <c r="L2672" t="str">
        <f>TEXT(Pqp_supermarket_data[[#This Row],[DateTime]],"ddd")</f>
        <v>Sun</v>
      </c>
      <c r="M2672" t="str">
        <f>TEXT(Pqp_supermarket_data[[#This Row],[DateTime]],"mmm")</f>
        <v>Apr</v>
      </c>
      <c r="N2672" t="str">
        <f>TEXT(Pqp_supermarket_data[[#This Row],[DateTime]],"yyy")</f>
        <v>2022</v>
      </c>
    </row>
    <row r="2673" spans="1:14" x14ac:dyDescent="0.35">
      <c r="A2673" t="s">
        <v>5443</v>
      </c>
      <c r="B2673" s="1">
        <v>45703.144495486114</v>
      </c>
      <c r="C2673" t="s">
        <v>5444</v>
      </c>
      <c r="D2673" t="s">
        <v>19</v>
      </c>
      <c r="E2673" t="s">
        <v>145</v>
      </c>
      <c r="F2673">
        <v>1.7</v>
      </c>
      <c r="G2673">
        <v>2</v>
      </c>
      <c r="H2673" t="s">
        <v>14</v>
      </c>
      <c r="I2673" t="s">
        <v>36</v>
      </c>
      <c r="J2673" t="s">
        <v>517</v>
      </c>
      <c r="K2673">
        <f>Pqp_supermarket_data[[#This Row],[Unit_Price]]*Pqp_supermarket_data[[#This Row],[Quantity]]</f>
        <v>3.4</v>
      </c>
      <c r="L2673" t="str">
        <f>TEXT(Pqp_supermarket_data[[#This Row],[DateTime]],"ddd")</f>
        <v>Sat</v>
      </c>
      <c r="M2673" t="str">
        <f>TEXT(Pqp_supermarket_data[[#This Row],[DateTime]],"mmm")</f>
        <v>Feb</v>
      </c>
      <c r="N2673" t="str">
        <f>TEXT(Pqp_supermarket_data[[#This Row],[DateTime]],"yyy")</f>
        <v>2025</v>
      </c>
    </row>
    <row r="2674" spans="1:14" x14ac:dyDescent="0.35">
      <c r="A2674" t="s">
        <v>5445</v>
      </c>
      <c r="B2674" s="1">
        <v>45234.599356597224</v>
      </c>
      <c r="C2674" t="s">
        <v>5446</v>
      </c>
      <c r="D2674" t="s">
        <v>69</v>
      </c>
      <c r="E2674" t="s">
        <v>65</v>
      </c>
      <c r="F2674">
        <v>3</v>
      </c>
      <c r="G2674">
        <v>2</v>
      </c>
      <c r="H2674" t="s">
        <v>14</v>
      </c>
      <c r="I2674" t="s">
        <v>21</v>
      </c>
      <c r="J2674" t="s">
        <v>288</v>
      </c>
      <c r="K2674">
        <f>Pqp_supermarket_data[[#This Row],[Unit_Price]]*Pqp_supermarket_data[[#This Row],[Quantity]]</f>
        <v>6</v>
      </c>
      <c r="L2674" t="str">
        <f>TEXT(Pqp_supermarket_data[[#This Row],[DateTime]],"ddd")</f>
        <v>Sat</v>
      </c>
      <c r="M2674" t="str">
        <f>TEXT(Pqp_supermarket_data[[#This Row],[DateTime]],"mmm")</f>
        <v>Nov</v>
      </c>
      <c r="N2674" t="str">
        <f>TEXT(Pqp_supermarket_data[[#This Row],[DateTime]],"yyy")</f>
        <v>2023</v>
      </c>
    </row>
    <row r="2675" spans="1:14" x14ac:dyDescent="0.35">
      <c r="A2675" t="s">
        <v>5447</v>
      </c>
      <c r="B2675" s="1">
        <v>45567.933384374999</v>
      </c>
      <c r="C2675" t="s">
        <v>5448</v>
      </c>
      <c r="D2675" t="s">
        <v>98</v>
      </c>
      <c r="E2675" t="s">
        <v>53</v>
      </c>
      <c r="F2675">
        <v>2.8</v>
      </c>
      <c r="G2675">
        <v>7</v>
      </c>
      <c r="H2675" t="s">
        <v>14</v>
      </c>
      <c r="I2675" t="s">
        <v>21</v>
      </c>
      <c r="J2675" t="s">
        <v>192</v>
      </c>
      <c r="K2675">
        <f>Pqp_supermarket_data[[#This Row],[Unit_Price]]*Pqp_supermarket_data[[#This Row],[Quantity]]</f>
        <v>19.599999999999998</v>
      </c>
      <c r="L2675" t="str">
        <f>TEXT(Pqp_supermarket_data[[#This Row],[DateTime]],"ddd")</f>
        <v>Wed</v>
      </c>
      <c r="M2675" t="str">
        <f>TEXT(Pqp_supermarket_data[[#This Row],[DateTime]],"mmm")</f>
        <v>Oct</v>
      </c>
      <c r="N2675" t="str">
        <f>TEXT(Pqp_supermarket_data[[#This Row],[DateTime]],"yyy")</f>
        <v>2024</v>
      </c>
    </row>
    <row r="2676" spans="1:14" x14ac:dyDescent="0.35">
      <c r="A2676" t="s">
        <v>5449</v>
      </c>
      <c r="B2676" s="1">
        <v>45245.325745486109</v>
      </c>
      <c r="C2676" t="s">
        <v>5450</v>
      </c>
      <c r="D2676" t="s">
        <v>85</v>
      </c>
      <c r="E2676" t="s">
        <v>26</v>
      </c>
      <c r="F2676">
        <v>2.5</v>
      </c>
      <c r="G2676">
        <v>2</v>
      </c>
      <c r="H2676" t="s">
        <v>14</v>
      </c>
      <c r="I2676" t="s">
        <v>61</v>
      </c>
      <c r="J2676" t="s">
        <v>66</v>
      </c>
      <c r="K2676">
        <f>Pqp_supermarket_data[[#This Row],[Unit_Price]]*Pqp_supermarket_data[[#This Row],[Quantity]]</f>
        <v>5</v>
      </c>
      <c r="L2676" t="str">
        <f>TEXT(Pqp_supermarket_data[[#This Row],[DateTime]],"ddd")</f>
        <v>Wed</v>
      </c>
      <c r="M2676" t="str">
        <f>TEXT(Pqp_supermarket_data[[#This Row],[DateTime]],"mmm")</f>
        <v>Nov</v>
      </c>
      <c r="N2676" t="str">
        <f>TEXT(Pqp_supermarket_data[[#This Row],[DateTime]],"yyy")</f>
        <v>2023</v>
      </c>
    </row>
    <row r="2677" spans="1:14" x14ac:dyDescent="0.35">
      <c r="A2677" t="s">
        <v>5451</v>
      </c>
      <c r="B2677" s="1">
        <v>45406.686162152779</v>
      </c>
      <c r="C2677" t="s">
        <v>5452</v>
      </c>
      <c r="D2677" t="s">
        <v>171</v>
      </c>
      <c r="E2677" t="s">
        <v>148</v>
      </c>
      <c r="F2677">
        <v>5.5</v>
      </c>
      <c r="G2677">
        <v>1</v>
      </c>
      <c r="H2677" t="s">
        <v>14</v>
      </c>
      <c r="I2677" t="s">
        <v>86</v>
      </c>
      <c r="J2677" t="s">
        <v>163</v>
      </c>
      <c r="K2677">
        <f>Pqp_supermarket_data[[#This Row],[Unit_Price]]*Pqp_supermarket_data[[#This Row],[Quantity]]</f>
        <v>5.5</v>
      </c>
      <c r="L2677" t="str">
        <f>TEXT(Pqp_supermarket_data[[#This Row],[DateTime]],"ddd")</f>
        <v>Wed</v>
      </c>
      <c r="M2677" t="str">
        <f>TEXT(Pqp_supermarket_data[[#This Row],[DateTime]],"mmm")</f>
        <v>Apr</v>
      </c>
      <c r="N2677" t="str">
        <f>TEXT(Pqp_supermarket_data[[#This Row],[DateTime]],"yyy")</f>
        <v>2024</v>
      </c>
    </row>
    <row r="2678" spans="1:14" x14ac:dyDescent="0.35">
      <c r="A2678" t="s">
        <v>5453</v>
      </c>
      <c r="B2678" s="1">
        <v>44336.386162152776</v>
      </c>
      <c r="C2678" t="s">
        <v>5454</v>
      </c>
      <c r="D2678" t="s">
        <v>12</v>
      </c>
      <c r="E2678" t="s">
        <v>90</v>
      </c>
      <c r="F2678">
        <v>1.8</v>
      </c>
      <c r="G2678">
        <v>4</v>
      </c>
      <c r="H2678" t="s">
        <v>14</v>
      </c>
      <c r="I2678" t="s">
        <v>86</v>
      </c>
      <c r="J2678" t="s">
        <v>288</v>
      </c>
      <c r="K2678">
        <f>Pqp_supermarket_data[[#This Row],[Unit_Price]]*Pqp_supermarket_data[[#This Row],[Quantity]]</f>
        <v>7.2</v>
      </c>
      <c r="L2678" t="str">
        <f>TEXT(Pqp_supermarket_data[[#This Row],[DateTime]],"ddd")</f>
        <v>Thu</v>
      </c>
      <c r="M2678" t="str">
        <f>TEXT(Pqp_supermarket_data[[#This Row],[DateTime]],"mmm")</f>
        <v>May</v>
      </c>
      <c r="N2678" t="str">
        <f>TEXT(Pqp_supermarket_data[[#This Row],[DateTime]],"yyy")</f>
        <v>2021</v>
      </c>
    </row>
    <row r="2679" spans="1:14" x14ac:dyDescent="0.35">
      <c r="A2679" t="s">
        <v>5455</v>
      </c>
      <c r="B2679" s="1">
        <v>44390.854217708336</v>
      </c>
      <c r="C2679" t="s">
        <v>5456</v>
      </c>
      <c r="D2679" t="s">
        <v>127</v>
      </c>
      <c r="E2679" t="s">
        <v>119</v>
      </c>
      <c r="F2679">
        <v>4</v>
      </c>
      <c r="G2679">
        <v>4</v>
      </c>
      <c r="H2679" t="s">
        <v>14</v>
      </c>
      <c r="I2679" t="s">
        <v>86</v>
      </c>
      <c r="J2679" t="s">
        <v>153</v>
      </c>
      <c r="K2679">
        <f>Pqp_supermarket_data[[#This Row],[Unit_Price]]*Pqp_supermarket_data[[#This Row],[Quantity]]</f>
        <v>16</v>
      </c>
      <c r="L2679" t="str">
        <f>TEXT(Pqp_supermarket_data[[#This Row],[DateTime]],"ddd")</f>
        <v>Tue</v>
      </c>
      <c r="M2679" t="str">
        <f>TEXT(Pqp_supermarket_data[[#This Row],[DateTime]],"mmm")</f>
        <v>Jul</v>
      </c>
      <c r="N2679" t="str">
        <f>TEXT(Pqp_supermarket_data[[#This Row],[DateTime]],"yyy")</f>
        <v>2021</v>
      </c>
    </row>
    <row r="2680" spans="1:14" x14ac:dyDescent="0.35">
      <c r="A2680" t="s">
        <v>5457</v>
      </c>
      <c r="B2680" s="1">
        <v>45299.499356597225</v>
      </c>
      <c r="C2680" t="s">
        <v>5458</v>
      </c>
      <c r="D2680" t="s">
        <v>25</v>
      </c>
      <c r="E2680" t="s">
        <v>45</v>
      </c>
      <c r="F2680">
        <v>1</v>
      </c>
      <c r="G2680">
        <v>7</v>
      </c>
      <c r="H2680" t="s">
        <v>14</v>
      </c>
      <c r="I2680" t="s">
        <v>15</v>
      </c>
      <c r="J2680" t="s">
        <v>716</v>
      </c>
      <c r="K2680">
        <f>Pqp_supermarket_data[[#This Row],[Unit_Price]]*Pqp_supermarket_data[[#This Row],[Quantity]]</f>
        <v>7</v>
      </c>
      <c r="L2680" t="str">
        <f>TEXT(Pqp_supermarket_data[[#This Row],[DateTime]],"ddd")</f>
        <v>Mon</v>
      </c>
      <c r="M2680" t="str">
        <f>TEXT(Pqp_supermarket_data[[#This Row],[DateTime]],"mmm")</f>
        <v>Jan</v>
      </c>
      <c r="N2680" t="str">
        <f>TEXT(Pqp_supermarket_data[[#This Row],[DateTime]],"yyy")</f>
        <v>2024</v>
      </c>
    </row>
    <row r="2681" spans="1:14" x14ac:dyDescent="0.35">
      <c r="A2681" t="s">
        <v>5459</v>
      </c>
      <c r="B2681" s="1">
        <v>45187.095884374998</v>
      </c>
      <c r="C2681" t="s">
        <v>5460</v>
      </c>
      <c r="D2681" t="s">
        <v>82</v>
      </c>
      <c r="E2681" t="s">
        <v>119</v>
      </c>
      <c r="F2681">
        <v>4</v>
      </c>
      <c r="G2681">
        <v>7</v>
      </c>
      <c r="H2681" t="s">
        <v>14</v>
      </c>
      <c r="I2681" t="s">
        <v>21</v>
      </c>
      <c r="J2681" t="s">
        <v>429</v>
      </c>
      <c r="K2681">
        <f>Pqp_supermarket_data[[#This Row],[Unit_Price]]*Pqp_supermarket_data[[#This Row],[Quantity]]</f>
        <v>28</v>
      </c>
      <c r="L2681" t="str">
        <f>TEXT(Pqp_supermarket_data[[#This Row],[DateTime]],"ddd")</f>
        <v>Mon</v>
      </c>
      <c r="M2681" t="str">
        <f>TEXT(Pqp_supermarket_data[[#This Row],[DateTime]],"mmm")</f>
        <v>Sep</v>
      </c>
      <c r="N2681" t="str">
        <f>TEXT(Pqp_supermarket_data[[#This Row],[DateTime]],"yyy")</f>
        <v>2023</v>
      </c>
    </row>
    <row r="2682" spans="1:14" x14ac:dyDescent="0.35">
      <c r="A2682" t="s">
        <v>5461</v>
      </c>
      <c r="B2682" s="1">
        <v>45235.241023263887</v>
      </c>
      <c r="C2682" t="s">
        <v>5462</v>
      </c>
      <c r="D2682" t="s">
        <v>34</v>
      </c>
      <c r="E2682" t="s">
        <v>148</v>
      </c>
      <c r="F2682">
        <v>5.5</v>
      </c>
      <c r="G2682">
        <v>7</v>
      </c>
      <c r="H2682" t="s">
        <v>14</v>
      </c>
      <c r="I2682" t="s">
        <v>61</v>
      </c>
      <c r="J2682" t="s">
        <v>230</v>
      </c>
      <c r="K2682">
        <f>Pqp_supermarket_data[[#This Row],[Unit_Price]]*Pqp_supermarket_data[[#This Row],[Quantity]]</f>
        <v>38.5</v>
      </c>
      <c r="L2682" t="str">
        <f>TEXT(Pqp_supermarket_data[[#This Row],[DateTime]],"ddd")</f>
        <v>Sun</v>
      </c>
      <c r="M2682" t="str">
        <f>TEXT(Pqp_supermarket_data[[#This Row],[DateTime]],"mmm")</f>
        <v>Nov</v>
      </c>
      <c r="N2682" t="str">
        <f>TEXT(Pqp_supermarket_data[[#This Row],[DateTime]],"yyy")</f>
        <v>2023</v>
      </c>
    </row>
    <row r="2683" spans="1:14" x14ac:dyDescent="0.35">
      <c r="A2683" t="s">
        <v>5463</v>
      </c>
      <c r="B2683" s="1">
        <v>44546.934773321758</v>
      </c>
      <c r="C2683" t="s">
        <v>5464</v>
      </c>
      <c r="D2683" t="s">
        <v>77</v>
      </c>
      <c r="E2683" t="s">
        <v>49</v>
      </c>
      <c r="F2683">
        <v>7</v>
      </c>
      <c r="G2683">
        <v>10</v>
      </c>
      <c r="H2683" t="s">
        <v>14</v>
      </c>
      <c r="I2683" t="s">
        <v>15</v>
      </c>
      <c r="J2683" t="s">
        <v>314</v>
      </c>
      <c r="K2683">
        <f>Pqp_supermarket_data[[#This Row],[Unit_Price]]*Pqp_supermarket_data[[#This Row],[Quantity]]</f>
        <v>70</v>
      </c>
      <c r="L2683" t="str">
        <f>TEXT(Pqp_supermarket_data[[#This Row],[DateTime]],"ddd")</f>
        <v>Thu</v>
      </c>
      <c r="M2683" t="str">
        <f>TEXT(Pqp_supermarket_data[[#This Row],[DateTime]],"mmm")</f>
        <v>Dec</v>
      </c>
      <c r="N2683" t="str">
        <f>TEXT(Pqp_supermarket_data[[#This Row],[DateTime]],"yyy")</f>
        <v>2021</v>
      </c>
    </row>
    <row r="2684" spans="1:14" x14ac:dyDescent="0.35">
      <c r="A2684" t="s">
        <v>5465</v>
      </c>
      <c r="B2684" s="1">
        <v>45267.637551099535</v>
      </c>
      <c r="C2684" t="s">
        <v>5466</v>
      </c>
      <c r="D2684" t="s">
        <v>171</v>
      </c>
      <c r="E2684" t="s">
        <v>94</v>
      </c>
      <c r="F2684">
        <v>0.8</v>
      </c>
      <c r="G2684">
        <v>10</v>
      </c>
      <c r="H2684" t="s">
        <v>14</v>
      </c>
      <c r="I2684" t="s">
        <v>40</v>
      </c>
      <c r="J2684" t="s">
        <v>178</v>
      </c>
      <c r="K2684">
        <f>Pqp_supermarket_data[[#This Row],[Unit_Price]]*Pqp_supermarket_data[[#This Row],[Quantity]]</f>
        <v>8</v>
      </c>
      <c r="L2684" t="str">
        <f>TEXT(Pqp_supermarket_data[[#This Row],[DateTime]],"ddd")</f>
        <v>Thu</v>
      </c>
      <c r="M2684" t="str">
        <f>TEXT(Pqp_supermarket_data[[#This Row],[DateTime]],"mmm")</f>
        <v>Dec</v>
      </c>
      <c r="N2684" t="str">
        <f>TEXT(Pqp_supermarket_data[[#This Row],[DateTime]],"yyy")</f>
        <v>2023</v>
      </c>
    </row>
    <row r="2685" spans="1:14" x14ac:dyDescent="0.35">
      <c r="A2685" t="s">
        <v>5467</v>
      </c>
      <c r="B2685" s="1">
        <v>45277.361856655094</v>
      </c>
      <c r="C2685" t="s">
        <v>5468</v>
      </c>
      <c r="D2685" t="s">
        <v>208</v>
      </c>
      <c r="E2685" t="s">
        <v>26</v>
      </c>
      <c r="F2685">
        <v>2.5</v>
      </c>
      <c r="G2685">
        <v>4</v>
      </c>
      <c r="H2685" t="s">
        <v>14</v>
      </c>
      <c r="I2685" t="s">
        <v>36</v>
      </c>
      <c r="J2685" t="s">
        <v>436</v>
      </c>
      <c r="K2685">
        <f>Pqp_supermarket_data[[#This Row],[Unit_Price]]*Pqp_supermarket_data[[#This Row],[Quantity]]</f>
        <v>10</v>
      </c>
      <c r="L2685" t="str">
        <f>TEXT(Pqp_supermarket_data[[#This Row],[DateTime]],"ddd")</f>
        <v>Sun</v>
      </c>
      <c r="M2685" t="str">
        <f>TEXT(Pqp_supermarket_data[[#This Row],[DateTime]],"mmm")</f>
        <v>Dec</v>
      </c>
      <c r="N2685" t="str">
        <f>TEXT(Pqp_supermarket_data[[#This Row],[DateTime]],"yyy")</f>
        <v>2023</v>
      </c>
    </row>
    <row r="2686" spans="1:14" x14ac:dyDescent="0.35">
      <c r="A2686" t="s">
        <v>5469</v>
      </c>
      <c r="B2686" s="1">
        <v>45638.667412210649</v>
      </c>
      <c r="C2686" t="s">
        <v>4451</v>
      </c>
      <c r="D2686" t="s">
        <v>69</v>
      </c>
      <c r="E2686" t="s">
        <v>78</v>
      </c>
      <c r="F2686">
        <v>4</v>
      </c>
      <c r="G2686">
        <v>5</v>
      </c>
      <c r="H2686" t="s">
        <v>14</v>
      </c>
      <c r="I2686" t="s">
        <v>40</v>
      </c>
      <c r="J2686" t="s">
        <v>317</v>
      </c>
      <c r="K2686">
        <f>Pqp_supermarket_data[[#This Row],[Unit_Price]]*Pqp_supermarket_data[[#This Row],[Quantity]]</f>
        <v>20</v>
      </c>
      <c r="L2686" t="str">
        <f>TEXT(Pqp_supermarket_data[[#This Row],[DateTime]],"ddd")</f>
        <v>Thu</v>
      </c>
      <c r="M2686" t="str">
        <f>TEXT(Pqp_supermarket_data[[#This Row],[DateTime]],"mmm")</f>
        <v>Dec</v>
      </c>
      <c r="N2686" t="str">
        <f>TEXT(Pqp_supermarket_data[[#This Row],[DateTime]],"yyy")</f>
        <v>2024</v>
      </c>
    </row>
    <row r="2687" spans="1:14" x14ac:dyDescent="0.35">
      <c r="A2687" t="s">
        <v>5470</v>
      </c>
      <c r="B2687" s="1">
        <v>45780.717412210652</v>
      </c>
      <c r="C2687" t="s">
        <v>5471</v>
      </c>
      <c r="D2687" t="s">
        <v>12</v>
      </c>
      <c r="E2687" t="s">
        <v>148</v>
      </c>
      <c r="F2687">
        <v>5.5</v>
      </c>
      <c r="G2687">
        <v>1</v>
      </c>
      <c r="H2687" t="s">
        <v>14</v>
      </c>
      <c r="I2687" t="s">
        <v>86</v>
      </c>
      <c r="J2687" t="s">
        <v>192</v>
      </c>
      <c r="K2687">
        <f>Pqp_supermarket_data[[#This Row],[Unit_Price]]*Pqp_supermarket_data[[#This Row],[Quantity]]</f>
        <v>5.5</v>
      </c>
      <c r="L2687" t="str">
        <f>TEXT(Pqp_supermarket_data[[#This Row],[DateTime]],"ddd")</f>
        <v>Sat</v>
      </c>
      <c r="M2687" t="str">
        <f>TEXT(Pqp_supermarket_data[[#This Row],[DateTime]],"mmm")</f>
        <v>May</v>
      </c>
      <c r="N2687" t="str">
        <f>TEXT(Pqp_supermarket_data[[#This Row],[DateTime]],"yyy")</f>
        <v>2025</v>
      </c>
    </row>
    <row r="2688" spans="1:14" x14ac:dyDescent="0.35">
      <c r="A2688" t="s">
        <v>5472</v>
      </c>
      <c r="B2688" s="1">
        <v>45087.290328877316</v>
      </c>
      <c r="C2688" t="s">
        <v>5473</v>
      </c>
      <c r="D2688" t="s">
        <v>69</v>
      </c>
      <c r="E2688" t="s">
        <v>111</v>
      </c>
      <c r="F2688">
        <v>2.2000000000000002</v>
      </c>
      <c r="G2688">
        <v>2</v>
      </c>
      <c r="H2688" t="s">
        <v>14</v>
      </c>
      <c r="I2688" t="s">
        <v>61</v>
      </c>
      <c r="J2688" t="s">
        <v>394</v>
      </c>
      <c r="K2688">
        <f>Pqp_supermarket_data[[#This Row],[Unit_Price]]*Pqp_supermarket_data[[#This Row],[Quantity]]</f>
        <v>4.4000000000000004</v>
      </c>
      <c r="L2688" t="str">
        <f>TEXT(Pqp_supermarket_data[[#This Row],[DateTime]],"ddd")</f>
        <v>Sat</v>
      </c>
      <c r="M2688" t="str">
        <f>TEXT(Pqp_supermarket_data[[#This Row],[DateTime]],"mmm")</f>
        <v>Jun</v>
      </c>
      <c r="N2688" t="str">
        <f>TEXT(Pqp_supermarket_data[[#This Row],[DateTime]],"yyy")</f>
        <v>2023</v>
      </c>
    </row>
    <row r="2689" spans="1:14" x14ac:dyDescent="0.35">
      <c r="A2689" t="s">
        <v>5474</v>
      </c>
      <c r="B2689" s="1">
        <v>44945.030606655091</v>
      </c>
      <c r="C2689" t="s">
        <v>5475</v>
      </c>
      <c r="D2689" t="s">
        <v>85</v>
      </c>
      <c r="E2689" t="s">
        <v>13</v>
      </c>
      <c r="F2689">
        <v>3.1</v>
      </c>
      <c r="G2689">
        <v>8</v>
      </c>
      <c r="H2689" t="s">
        <v>14</v>
      </c>
      <c r="I2689" t="s">
        <v>36</v>
      </c>
      <c r="J2689" t="s">
        <v>485</v>
      </c>
      <c r="K2689">
        <f>Pqp_supermarket_data[[#This Row],[Unit_Price]]*Pqp_supermarket_data[[#This Row],[Quantity]]</f>
        <v>24.8</v>
      </c>
      <c r="L2689" t="str">
        <f>TEXT(Pqp_supermarket_data[[#This Row],[DateTime]],"ddd")</f>
        <v>Thu</v>
      </c>
      <c r="M2689" t="str">
        <f>TEXT(Pqp_supermarket_data[[#This Row],[DateTime]],"mmm")</f>
        <v>Jan</v>
      </c>
      <c r="N2689" t="str">
        <f>TEXT(Pqp_supermarket_data[[#This Row],[DateTime]],"yyy")</f>
        <v>2023</v>
      </c>
    </row>
    <row r="2690" spans="1:14" x14ac:dyDescent="0.35">
      <c r="A2690" t="s">
        <v>5476</v>
      </c>
      <c r="B2690" s="1">
        <v>44486.384078877316</v>
      </c>
      <c r="C2690" t="s">
        <v>5477</v>
      </c>
      <c r="D2690" t="s">
        <v>82</v>
      </c>
      <c r="E2690" t="s">
        <v>53</v>
      </c>
      <c r="F2690">
        <v>2.8</v>
      </c>
      <c r="G2690">
        <v>4</v>
      </c>
      <c r="H2690" t="s">
        <v>14</v>
      </c>
      <c r="I2690" t="s">
        <v>36</v>
      </c>
      <c r="J2690" t="s">
        <v>227</v>
      </c>
      <c r="K2690">
        <f>Pqp_supermarket_data[[#This Row],[Unit_Price]]*Pqp_supermarket_data[[#This Row],[Quantity]]</f>
        <v>11.2</v>
      </c>
      <c r="L2690" t="str">
        <f>TEXT(Pqp_supermarket_data[[#This Row],[DateTime]],"ddd")</f>
        <v>Sun</v>
      </c>
      <c r="M2690" t="str">
        <f>TEXT(Pqp_supermarket_data[[#This Row],[DateTime]],"mmm")</f>
        <v>Oct</v>
      </c>
      <c r="N2690" t="str">
        <f>TEXT(Pqp_supermarket_data[[#This Row],[DateTime]],"yyy")</f>
        <v>2021</v>
      </c>
    </row>
    <row r="2691" spans="1:14" x14ac:dyDescent="0.35">
      <c r="A2691" t="s">
        <v>5478</v>
      </c>
      <c r="B2691" s="1">
        <v>45288.913245543983</v>
      </c>
      <c r="C2691" t="s">
        <v>5479</v>
      </c>
      <c r="D2691" t="s">
        <v>127</v>
      </c>
      <c r="E2691" t="s">
        <v>145</v>
      </c>
      <c r="F2691">
        <v>1.7</v>
      </c>
      <c r="G2691">
        <v>1</v>
      </c>
      <c r="H2691" t="s">
        <v>14</v>
      </c>
      <c r="I2691" t="s">
        <v>61</v>
      </c>
      <c r="J2691" t="s">
        <v>288</v>
      </c>
      <c r="K2691">
        <f>Pqp_supermarket_data[[#This Row],[Unit_Price]]*Pqp_supermarket_data[[#This Row],[Quantity]]</f>
        <v>1.7</v>
      </c>
      <c r="L2691" t="str">
        <f>TEXT(Pqp_supermarket_data[[#This Row],[DateTime]],"ddd")</f>
        <v>Thu</v>
      </c>
      <c r="M2691" t="str">
        <f>TEXT(Pqp_supermarket_data[[#This Row],[DateTime]],"mmm")</f>
        <v>Dec</v>
      </c>
      <c r="N2691" t="str">
        <f>TEXT(Pqp_supermarket_data[[#This Row],[DateTime]],"yyy")</f>
        <v>2023</v>
      </c>
    </row>
    <row r="2692" spans="1:14" x14ac:dyDescent="0.35">
      <c r="A2692" t="s">
        <v>5480</v>
      </c>
      <c r="B2692" s="1">
        <v>44898.969495543985</v>
      </c>
      <c r="C2692" t="s">
        <v>5481</v>
      </c>
      <c r="D2692" t="s">
        <v>208</v>
      </c>
      <c r="E2692" t="s">
        <v>137</v>
      </c>
      <c r="F2692">
        <v>2.5</v>
      </c>
      <c r="G2692">
        <v>8</v>
      </c>
      <c r="H2692" t="s">
        <v>14</v>
      </c>
      <c r="I2692" t="s">
        <v>21</v>
      </c>
      <c r="J2692" t="s">
        <v>50</v>
      </c>
      <c r="K2692">
        <f>Pqp_supermarket_data[[#This Row],[Unit_Price]]*Pqp_supermarket_data[[#This Row],[Quantity]]</f>
        <v>20</v>
      </c>
      <c r="L2692" t="str">
        <f>TEXT(Pqp_supermarket_data[[#This Row],[DateTime]],"ddd")</f>
        <v>Sat</v>
      </c>
      <c r="M2692" t="str">
        <f>TEXT(Pqp_supermarket_data[[#This Row],[DateTime]],"mmm")</f>
        <v>Dec</v>
      </c>
      <c r="N2692" t="str">
        <f>TEXT(Pqp_supermarket_data[[#This Row],[DateTime]],"yyy")</f>
        <v>2022</v>
      </c>
    </row>
    <row r="2693" spans="1:14" x14ac:dyDescent="0.35">
      <c r="A2693" t="s">
        <v>5482</v>
      </c>
      <c r="B2693" s="1">
        <v>45369.013245543982</v>
      </c>
      <c r="C2693" t="s">
        <v>5483</v>
      </c>
      <c r="D2693" t="s">
        <v>19</v>
      </c>
      <c r="E2693" t="s">
        <v>57</v>
      </c>
      <c r="F2693">
        <v>4.5</v>
      </c>
      <c r="G2693">
        <v>3</v>
      </c>
      <c r="H2693" t="s">
        <v>14</v>
      </c>
      <c r="I2693" t="s">
        <v>61</v>
      </c>
      <c r="J2693" t="s">
        <v>339</v>
      </c>
      <c r="K2693">
        <f>Pqp_supermarket_data[[#This Row],[Unit_Price]]*Pqp_supermarket_data[[#This Row],[Quantity]]</f>
        <v>13.5</v>
      </c>
      <c r="L2693" t="str">
        <f>TEXT(Pqp_supermarket_data[[#This Row],[DateTime]],"ddd")</f>
        <v>Mon</v>
      </c>
      <c r="M2693" t="str">
        <f>TEXT(Pqp_supermarket_data[[#This Row],[DateTime]],"mmm")</f>
        <v>Mar</v>
      </c>
      <c r="N2693" t="str">
        <f>TEXT(Pqp_supermarket_data[[#This Row],[DateTime]],"yyy")</f>
        <v>2024</v>
      </c>
    </row>
    <row r="2694" spans="1:14" x14ac:dyDescent="0.35">
      <c r="A2694" t="s">
        <v>5484</v>
      </c>
      <c r="B2694" s="1">
        <v>45423.984078877314</v>
      </c>
      <c r="C2694" t="s">
        <v>5485</v>
      </c>
      <c r="D2694" t="s">
        <v>208</v>
      </c>
      <c r="E2694" t="s">
        <v>115</v>
      </c>
      <c r="F2694">
        <v>1.5</v>
      </c>
      <c r="G2694">
        <v>9</v>
      </c>
      <c r="H2694" t="s">
        <v>14</v>
      </c>
      <c r="I2694" t="s">
        <v>40</v>
      </c>
      <c r="J2694" t="s">
        <v>131</v>
      </c>
      <c r="K2694">
        <f>Pqp_supermarket_data[[#This Row],[Unit_Price]]*Pqp_supermarket_data[[#This Row],[Quantity]]</f>
        <v>13.5</v>
      </c>
      <c r="L2694" t="str">
        <f>TEXT(Pqp_supermarket_data[[#This Row],[DateTime]],"ddd")</f>
        <v>Sat</v>
      </c>
      <c r="M2694" t="str">
        <f>TEXT(Pqp_supermarket_data[[#This Row],[DateTime]],"mmm")</f>
        <v>May</v>
      </c>
      <c r="N2694" t="str">
        <f>TEXT(Pqp_supermarket_data[[#This Row],[DateTime]],"yyy")</f>
        <v>2024</v>
      </c>
    </row>
    <row r="2695" spans="1:14" x14ac:dyDescent="0.35">
      <c r="A2695" t="s">
        <v>5486</v>
      </c>
      <c r="B2695" s="1">
        <v>44856.088245543979</v>
      </c>
      <c r="C2695" t="s">
        <v>5487</v>
      </c>
      <c r="D2695" t="s">
        <v>30</v>
      </c>
      <c r="E2695" t="s">
        <v>26</v>
      </c>
      <c r="F2695">
        <v>2.5</v>
      </c>
      <c r="G2695">
        <v>8</v>
      </c>
      <c r="H2695" t="s">
        <v>14</v>
      </c>
      <c r="I2695" t="s">
        <v>15</v>
      </c>
      <c r="J2695" t="s">
        <v>320</v>
      </c>
      <c r="K2695">
        <f>Pqp_supermarket_data[[#This Row],[Unit_Price]]*Pqp_supermarket_data[[#This Row],[Quantity]]</f>
        <v>20</v>
      </c>
      <c r="L2695" t="str">
        <f>TEXT(Pqp_supermarket_data[[#This Row],[DateTime]],"ddd")</f>
        <v>Sat</v>
      </c>
      <c r="M2695" t="str">
        <f>TEXT(Pqp_supermarket_data[[#This Row],[DateTime]],"mmm")</f>
        <v>Oct</v>
      </c>
      <c r="N2695" t="str">
        <f>TEXT(Pqp_supermarket_data[[#This Row],[DateTime]],"yyy")</f>
        <v>2022</v>
      </c>
    </row>
    <row r="2696" spans="1:14" x14ac:dyDescent="0.35">
      <c r="A2696" t="s">
        <v>5488</v>
      </c>
      <c r="B2696" s="1">
        <v>45221.918106655095</v>
      </c>
      <c r="C2696" t="s">
        <v>5489</v>
      </c>
      <c r="D2696" t="s">
        <v>127</v>
      </c>
      <c r="E2696" t="s">
        <v>94</v>
      </c>
      <c r="F2696">
        <v>0.8</v>
      </c>
      <c r="G2696">
        <v>8</v>
      </c>
      <c r="H2696" t="s">
        <v>14</v>
      </c>
      <c r="I2696" t="s">
        <v>15</v>
      </c>
      <c r="J2696" t="s">
        <v>510</v>
      </c>
      <c r="K2696">
        <f>Pqp_supermarket_data[[#This Row],[Unit_Price]]*Pqp_supermarket_data[[#This Row],[Quantity]]</f>
        <v>6.4</v>
      </c>
      <c r="L2696" t="str">
        <f>TEXT(Pqp_supermarket_data[[#This Row],[DateTime]],"ddd")</f>
        <v>Sun</v>
      </c>
      <c r="M2696" t="str">
        <f>TEXT(Pqp_supermarket_data[[#This Row],[DateTime]],"mmm")</f>
        <v>Oct</v>
      </c>
      <c r="N2696" t="str">
        <f>TEXT(Pqp_supermarket_data[[#This Row],[DateTime]],"yyy")</f>
        <v>2023</v>
      </c>
    </row>
    <row r="2697" spans="1:14" x14ac:dyDescent="0.35">
      <c r="A2697" t="s">
        <v>5490</v>
      </c>
      <c r="B2697" s="1">
        <v>45513.525745543979</v>
      </c>
      <c r="C2697" t="s">
        <v>5491</v>
      </c>
      <c r="D2697" t="s">
        <v>25</v>
      </c>
      <c r="E2697" t="s">
        <v>115</v>
      </c>
      <c r="F2697">
        <v>1.5</v>
      </c>
      <c r="G2697">
        <v>7</v>
      </c>
      <c r="H2697" t="s">
        <v>14</v>
      </c>
      <c r="I2697" t="s">
        <v>15</v>
      </c>
      <c r="J2697" t="s">
        <v>153</v>
      </c>
      <c r="K2697">
        <f>Pqp_supermarket_data[[#This Row],[Unit_Price]]*Pqp_supermarket_data[[#This Row],[Quantity]]</f>
        <v>10.5</v>
      </c>
      <c r="L2697" t="str">
        <f>TEXT(Pqp_supermarket_data[[#This Row],[DateTime]],"ddd")</f>
        <v>Fri</v>
      </c>
      <c r="M2697" t="str">
        <f>TEXT(Pqp_supermarket_data[[#This Row],[DateTime]],"mmm")</f>
        <v>Aug</v>
      </c>
      <c r="N2697" t="str">
        <f>TEXT(Pqp_supermarket_data[[#This Row],[DateTime]],"yyy")</f>
        <v>2024</v>
      </c>
    </row>
    <row r="2698" spans="1:14" x14ac:dyDescent="0.35">
      <c r="A2698" t="s">
        <v>5492</v>
      </c>
      <c r="B2698" s="1">
        <v>44742.685467766205</v>
      </c>
      <c r="C2698" t="s">
        <v>5493</v>
      </c>
      <c r="D2698" t="s">
        <v>69</v>
      </c>
      <c r="E2698" t="s">
        <v>148</v>
      </c>
      <c r="F2698">
        <v>5.5</v>
      </c>
      <c r="G2698">
        <v>5</v>
      </c>
      <c r="H2698" t="s">
        <v>14</v>
      </c>
      <c r="I2698" t="s">
        <v>36</v>
      </c>
      <c r="J2698" t="s">
        <v>186</v>
      </c>
      <c r="K2698">
        <f>Pqp_supermarket_data[[#This Row],[Unit_Price]]*Pqp_supermarket_data[[#This Row],[Quantity]]</f>
        <v>27.5</v>
      </c>
      <c r="L2698" t="str">
        <f>TEXT(Pqp_supermarket_data[[#This Row],[DateTime]],"ddd")</f>
        <v>Thu</v>
      </c>
      <c r="M2698" t="str">
        <f>TEXT(Pqp_supermarket_data[[#This Row],[DateTime]],"mmm")</f>
        <v>Jun</v>
      </c>
      <c r="N2698" t="str">
        <f>TEXT(Pqp_supermarket_data[[#This Row],[DateTime]],"yyy")</f>
        <v>2022</v>
      </c>
    </row>
    <row r="2699" spans="1:14" x14ac:dyDescent="0.35">
      <c r="A2699" t="s">
        <v>5494</v>
      </c>
      <c r="B2699" s="1">
        <v>44717.195884432869</v>
      </c>
      <c r="C2699" t="s">
        <v>5495</v>
      </c>
      <c r="D2699" t="s">
        <v>77</v>
      </c>
      <c r="E2699" t="s">
        <v>13</v>
      </c>
      <c r="F2699">
        <v>3.1</v>
      </c>
      <c r="G2699">
        <v>9</v>
      </c>
      <c r="H2699" t="s">
        <v>14</v>
      </c>
      <c r="I2699" t="s">
        <v>61</v>
      </c>
      <c r="J2699" t="s">
        <v>314</v>
      </c>
      <c r="K2699">
        <f>Pqp_supermarket_data[[#This Row],[Unit_Price]]*Pqp_supermarket_data[[#This Row],[Quantity]]</f>
        <v>27.900000000000002</v>
      </c>
      <c r="L2699" t="str">
        <f>TEXT(Pqp_supermarket_data[[#This Row],[DateTime]],"ddd")</f>
        <v>Sun</v>
      </c>
      <c r="M2699" t="str">
        <f>TEXT(Pqp_supermarket_data[[#This Row],[DateTime]],"mmm")</f>
        <v>Jun</v>
      </c>
      <c r="N2699" t="str">
        <f>TEXT(Pqp_supermarket_data[[#This Row],[DateTime]],"yyy")</f>
        <v>2022</v>
      </c>
    </row>
    <row r="2700" spans="1:14" x14ac:dyDescent="0.35">
      <c r="A2700" t="s">
        <v>5496</v>
      </c>
      <c r="B2700" s="1">
        <v>44960.556995543979</v>
      </c>
      <c r="C2700" t="s">
        <v>5497</v>
      </c>
      <c r="D2700" t="s">
        <v>171</v>
      </c>
      <c r="E2700" t="s">
        <v>148</v>
      </c>
      <c r="F2700">
        <v>5.5</v>
      </c>
      <c r="G2700">
        <v>4</v>
      </c>
      <c r="H2700" t="s">
        <v>14</v>
      </c>
      <c r="I2700" t="s">
        <v>61</v>
      </c>
      <c r="J2700" t="s">
        <v>364</v>
      </c>
      <c r="K2700">
        <f>Pqp_supermarket_data[[#This Row],[Unit_Price]]*Pqp_supermarket_data[[#This Row],[Quantity]]</f>
        <v>22</v>
      </c>
      <c r="L2700" t="str">
        <f>TEXT(Pqp_supermarket_data[[#This Row],[DateTime]],"ddd")</f>
        <v>Fri</v>
      </c>
      <c r="M2700" t="str">
        <f>TEXT(Pqp_supermarket_data[[#This Row],[DateTime]],"mmm")</f>
        <v>Feb</v>
      </c>
      <c r="N2700" t="str">
        <f>TEXT(Pqp_supermarket_data[[#This Row],[DateTime]],"yyy")</f>
        <v>2023</v>
      </c>
    </row>
    <row r="2701" spans="1:14" x14ac:dyDescent="0.35">
      <c r="A2701" t="s">
        <v>5498</v>
      </c>
      <c r="B2701" s="1">
        <v>45285.643801192127</v>
      </c>
      <c r="C2701" t="s">
        <v>5499</v>
      </c>
      <c r="D2701" t="s">
        <v>85</v>
      </c>
      <c r="E2701" t="s">
        <v>45</v>
      </c>
      <c r="F2701">
        <v>1</v>
      </c>
      <c r="G2701">
        <v>10</v>
      </c>
      <c r="H2701" t="s">
        <v>14</v>
      </c>
      <c r="I2701" t="s">
        <v>21</v>
      </c>
      <c r="J2701" t="s">
        <v>458</v>
      </c>
      <c r="K2701">
        <f>Pqp_supermarket_data[[#This Row],[Unit_Price]]*Pqp_supermarket_data[[#This Row],[Quantity]]</f>
        <v>10</v>
      </c>
      <c r="L2701" t="str">
        <f>TEXT(Pqp_supermarket_data[[#This Row],[DateTime]],"ddd")</f>
        <v>Mon</v>
      </c>
      <c r="M2701" t="str">
        <f>TEXT(Pqp_supermarket_data[[#This Row],[DateTime]],"mmm")</f>
        <v>Dec</v>
      </c>
      <c r="N2701" t="str">
        <f>TEXT(Pqp_supermarket_data[[#This Row],[DateTime]],"yyy")</f>
        <v>2023</v>
      </c>
    </row>
    <row r="2702" spans="1:14" x14ac:dyDescent="0.35">
      <c r="A2702" t="s">
        <v>5500</v>
      </c>
      <c r="B2702" s="1">
        <v>44500.911856770836</v>
      </c>
      <c r="C2702" t="s">
        <v>5501</v>
      </c>
      <c r="D2702" t="s">
        <v>208</v>
      </c>
      <c r="E2702" t="s">
        <v>111</v>
      </c>
      <c r="F2702">
        <v>2.2000000000000002</v>
      </c>
      <c r="G2702">
        <v>1</v>
      </c>
      <c r="H2702" t="s">
        <v>14</v>
      </c>
      <c r="I2702" t="s">
        <v>61</v>
      </c>
      <c r="J2702" t="s">
        <v>426</v>
      </c>
      <c r="K2702">
        <f>Pqp_supermarket_data[[#This Row],[Unit_Price]]*Pqp_supermarket_data[[#This Row],[Quantity]]</f>
        <v>2.2000000000000002</v>
      </c>
      <c r="L2702" t="str">
        <f>TEXT(Pqp_supermarket_data[[#This Row],[DateTime]],"ddd")</f>
        <v>Sun</v>
      </c>
      <c r="M2702" t="str">
        <f>TEXT(Pqp_supermarket_data[[#This Row],[DateTime]],"mmm")</f>
        <v>Oct</v>
      </c>
      <c r="N2702" t="str">
        <f>TEXT(Pqp_supermarket_data[[#This Row],[DateTime]],"yyy")</f>
        <v>2021</v>
      </c>
    </row>
    <row r="2703" spans="1:14" x14ac:dyDescent="0.35">
      <c r="A2703" t="s">
        <v>5502</v>
      </c>
      <c r="B2703" s="1">
        <v>44373.833384583333</v>
      </c>
      <c r="C2703" t="s">
        <v>5503</v>
      </c>
      <c r="D2703" t="s">
        <v>171</v>
      </c>
      <c r="E2703" t="s">
        <v>39</v>
      </c>
      <c r="F2703">
        <v>3.2</v>
      </c>
      <c r="G2703">
        <v>1</v>
      </c>
      <c r="H2703" t="s">
        <v>14</v>
      </c>
      <c r="I2703" t="s">
        <v>86</v>
      </c>
      <c r="J2703" t="s">
        <v>248</v>
      </c>
      <c r="K2703">
        <f>Pqp_supermarket_data[[#This Row],[Unit_Price]]*Pqp_supermarket_data[[#This Row],[Quantity]]</f>
        <v>3.2</v>
      </c>
      <c r="L2703" t="str">
        <f>TEXT(Pqp_supermarket_data[[#This Row],[DateTime]],"ddd")</f>
        <v>Sat</v>
      </c>
      <c r="M2703" t="str">
        <f>TEXT(Pqp_supermarket_data[[#This Row],[DateTime]],"mmm")</f>
        <v>Jun</v>
      </c>
      <c r="N2703" t="str">
        <f>TEXT(Pqp_supermarket_data[[#This Row],[DateTime]],"yyy")</f>
        <v>2021</v>
      </c>
    </row>
    <row r="2704" spans="1:14" x14ac:dyDescent="0.35">
      <c r="A2704" t="s">
        <v>5504</v>
      </c>
      <c r="B2704" s="1">
        <v>45403.402829085651</v>
      </c>
      <c r="C2704" t="s">
        <v>5505</v>
      </c>
      <c r="D2704" t="s">
        <v>127</v>
      </c>
      <c r="E2704" t="s">
        <v>145</v>
      </c>
      <c r="F2704">
        <v>1.7</v>
      </c>
      <c r="G2704">
        <v>5</v>
      </c>
      <c r="H2704" t="s">
        <v>14</v>
      </c>
      <c r="I2704" t="s">
        <v>36</v>
      </c>
      <c r="J2704" t="s">
        <v>195</v>
      </c>
      <c r="K2704">
        <f>Pqp_supermarket_data[[#This Row],[Unit_Price]]*Pqp_supermarket_data[[#This Row],[Quantity]]</f>
        <v>8.5</v>
      </c>
      <c r="L2704" t="str">
        <f>TEXT(Pqp_supermarket_data[[#This Row],[DateTime]],"ddd")</f>
        <v>Sun</v>
      </c>
      <c r="M2704" t="str">
        <f>TEXT(Pqp_supermarket_data[[#This Row],[DateTime]],"mmm")</f>
        <v>Apr</v>
      </c>
      <c r="N2704" t="str">
        <f>TEXT(Pqp_supermarket_data[[#This Row],[DateTime]],"yyy")</f>
        <v>2024</v>
      </c>
    </row>
    <row r="2705" spans="1:14" x14ac:dyDescent="0.35">
      <c r="A2705" t="s">
        <v>5506</v>
      </c>
      <c r="B2705" s="1">
        <v>44586.281995752317</v>
      </c>
      <c r="C2705" t="s">
        <v>5507</v>
      </c>
      <c r="D2705" t="s">
        <v>82</v>
      </c>
      <c r="E2705" t="s">
        <v>45</v>
      </c>
      <c r="F2705">
        <v>1</v>
      </c>
      <c r="G2705">
        <v>10</v>
      </c>
      <c r="H2705" t="s">
        <v>14</v>
      </c>
      <c r="I2705" t="s">
        <v>21</v>
      </c>
      <c r="J2705" t="s">
        <v>62</v>
      </c>
      <c r="K2705">
        <f>Pqp_supermarket_data[[#This Row],[Unit_Price]]*Pqp_supermarket_data[[#This Row],[Quantity]]</f>
        <v>10</v>
      </c>
      <c r="L2705" t="str">
        <f>TEXT(Pqp_supermarket_data[[#This Row],[DateTime]],"ddd")</f>
        <v>Tue</v>
      </c>
      <c r="M2705" t="str">
        <f>TEXT(Pqp_supermarket_data[[#This Row],[DateTime]],"mmm")</f>
        <v>Jan</v>
      </c>
      <c r="N2705" t="str">
        <f>TEXT(Pqp_supermarket_data[[#This Row],[DateTime]],"yyy")</f>
        <v>2022</v>
      </c>
    </row>
    <row r="2706" spans="1:14" x14ac:dyDescent="0.35">
      <c r="A2706" t="s">
        <v>5508</v>
      </c>
      <c r="B2706" s="1">
        <v>45590.038940196762</v>
      </c>
      <c r="C2706" t="s">
        <v>5509</v>
      </c>
      <c r="D2706" t="s">
        <v>171</v>
      </c>
      <c r="E2706" t="s">
        <v>78</v>
      </c>
      <c r="F2706">
        <v>4</v>
      </c>
      <c r="G2706">
        <v>4</v>
      </c>
      <c r="H2706" t="s">
        <v>14</v>
      </c>
      <c r="I2706" t="s">
        <v>61</v>
      </c>
      <c r="J2706" t="s">
        <v>436</v>
      </c>
      <c r="K2706">
        <f>Pqp_supermarket_data[[#This Row],[Unit_Price]]*Pqp_supermarket_data[[#This Row],[Quantity]]</f>
        <v>16</v>
      </c>
      <c r="L2706" t="str">
        <f>TEXT(Pqp_supermarket_data[[#This Row],[DateTime]],"ddd")</f>
        <v>Fri</v>
      </c>
      <c r="M2706" t="str">
        <f>TEXT(Pqp_supermarket_data[[#This Row],[DateTime]],"mmm")</f>
        <v>Oct</v>
      </c>
      <c r="N2706" t="str">
        <f>TEXT(Pqp_supermarket_data[[#This Row],[DateTime]],"yyy")</f>
        <v>2024</v>
      </c>
    </row>
    <row r="2707" spans="1:14" x14ac:dyDescent="0.35">
      <c r="A2707" t="s">
        <v>5510</v>
      </c>
      <c r="B2707" s="1">
        <v>45098.080606863427</v>
      </c>
      <c r="C2707" t="s">
        <v>5511</v>
      </c>
      <c r="D2707" t="s">
        <v>226</v>
      </c>
      <c r="E2707" t="s">
        <v>26</v>
      </c>
      <c r="F2707">
        <v>2.5</v>
      </c>
      <c r="G2707">
        <v>9</v>
      </c>
      <c r="H2707" t="s">
        <v>14</v>
      </c>
      <c r="I2707" t="s">
        <v>61</v>
      </c>
      <c r="J2707" t="s">
        <v>336</v>
      </c>
      <c r="K2707">
        <f>Pqp_supermarket_data[[#This Row],[Unit_Price]]*Pqp_supermarket_data[[#This Row],[Quantity]]</f>
        <v>22.5</v>
      </c>
      <c r="L2707" t="str">
        <f>TEXT(Pqp_supermarket_data[[#This Row],[DateTime]],"ddd")</f>
        <v>Wed</v>
      </c>
      <c r="M2707" t="str">
        <f>TEXT(Pqp_supermarket_data[[#This Row],[DateTime]],"mmm")</f>
        <v>Jun</v>
      </c>
      <c r="N2707" t="str">
        <f>TEXT(Pqp_supermarket_data[[#This Row],[DateTime]],"yyy")</f>
        <v>2023</v>
      </c>
    </row>
    <row r="2708" spans="1:14" x14ac:dyDescent="0.35">
      <c r="A2708" t="s">
        <v>5512</v>
      </c>
      <c r="B2708" s="1">
        <v>45319.993801307872</v>
      </c>
      <c r="C2708" t="s">
        <v>5513</v>
      </c>
      <c r="D2708" t="s">
        <v>208</v>
      </c>
      <c r="E2708" t="s">
        <v>65</v>
      </c>
      <c r="F2708">
        <v>3</v>
      </c>
      <c r="G2708">
        <v>2</v>
      </c>
      <c r="H2708" t="s">
        <v>14</v>
      </c>
      <c r="I2708" t="s">
        <v>21</v>
      </c>
      <c r="J2708" t="s">
        <v>16</v>
      </c>
      <c r="K2708">
        <f>Pqp_supermarket_data[[#This Row],[Unit_Price]]*Pqp_supermarket_data[[#This Row],[Quantity]]</f>
        <v>6</v>
      </c>
      <c r="L2708" t="str">
        <f>TEXT(Pqp_supermarket_data[[#This Row],[DateTime]],"ddd")</f>
        <v>Sun</v>
      </c>
      <c r="M2708" t="str">
        <f>TEXT(Pqp_supermarket_data[[#This Row],[DateTime]],"mmm")</f>
        <v>Jan</v>
      </c>
      <c r="N2708" t="str">
        <f>TEXT(Pqp_supermarket_data[[#This Row],[DateTime]],"yyy")</f>
        <v>2024</v>
      </c>
    </row>
    <row r="2709" spans="1:14" x14ac:dyDescent="0.35">
      <c r="A2709" t="s">
        <v>5514</v>
      </c>
      <c r="B2709" s="1">
        <v>45312.979912418981</v>
      </c>
      <c r="C2709" t="s">
        <v>5515</v>
      </c>
      <c r="D2709" t="s">
        <v>208</v>
      </c>
      <c r="E2709" t="s">
        <v>78</v>
      </c>
      <c r="F2709">
        <v>4</v>
      </c>
      <c r="G2709">
        <v>8</v>
      </c>
      <c r="H2709" t="s">
        <v>14</v>
      </c>
      <c r="I2709" t="s">
        <v>86</v>
      </c>
      <c r="J2709" t="s">
        <v>183</v>
      </c>
      <c r="K2709">
        <f>Pqp_supermarket_data[[#This Row],[Unit_Price]]*Pqp_supermarket_data[[#This Row],[Quantity]]</f>
        <v>32</v>
      </c>
      <c r="L2709" t="str">
        <f>TEXT(Pqp_supermarket_data[[#This Row],[DateTime]],"ddd")</f>
        <v>Sun</v>
      </c>
      <c r="M2709" t="str">
        <f>TEXT(Pqp_supermarket_data[[#This Row],[DateTime]],"mmm")</f>
        <v>Jan</v>
      </c>
      <c r="N2709" t="str">
        <f>TEXT(Pqp_supermarket_data[[#This Row],[DateTime]],"yyy")</f>
        <v>2024</v>
      </c>
    </row>
    <row r="2710" spans="1:14" x14ac:dyDescent="0.35">
      <c r="A2710" t="s">
        <v>5516</v>
      </c>
      <c r="B2710" s="1">
        <v>45638.404912418984</v>
      </c>
      <c r="C2710" t="s">
        <v>5517</v>
      </c>
      <c r="D2710" t="s">
        <v>85</v>
      </c>
      <c r="E2710" t="s">
        <v>70</v>
      </c>
      <c r="F2710">
        <v>5</v>
      </c>
      <c r="G2710">
        <v>3</v>
      </c>
      <c r="H2710" t="s">
        <v>14</v>
      </c>
      <c r="I2710" t="s">
        <v>15</v>
      </c>
      <c r="J2710" t="s">
        <v>202</v>
      </c>
      <c r="K2710">
        <f>Pqp_supermarket_data[[#This Row],[Unit_Price]]*Pqp_supermarket_data[[#This Row],[Quantity]]</f>
        <v>15</v>
      </c>
      <c r="L2710" t="str">
        <f>TEXT(Pqp_supermarket_data[[#This Row],[DateTime]],"ddd")</f>
        <v>Thu</v>
      </c>
      <c r="M2710" t="str">
        <f>TEXT(Pqp_supermarket_data[[#This Row],[DateTime]],"mmm")</f>
        <v>Dec</v>
      </c>
      <c r="N2710" t="str">
        <f>TEXT(Pqp_supermarket_data[[#This Row],[DateTime]],"yyy")</f>
        <v>2024</v>
      </c>
    </row>
    <row r="2711" spans="1:14" x14ac:dyDescent="0.35">
      <c r="A2711" t="s">
        <v>5518</v>
      </c>
      <c r="B2711" s="1">
        <v>45347.293801307867</v>
      </c>
      <c r="C2711" t="s">
        <v>5519</v>
      </c>
      <c r="D2711" t="s">
        <v>77</v>
      </c>
      <c r="E2711" t="s">
        <v>137</v>
      </c>
      <c r="F2711">
        <v>2.5</v>
      </c>
      <c r="G2711">
        <v>5</v>
      </c>
      <c r="H2711" t="s">
        <v>14</v>
      </c>
      <c r="I2711" t="s">
        <v>40</v>
      </c>
      <c r="J2711" t="s">
        <v>131</v>
      </c>
      <c r="K2711">
        <f>Pqp_supermarket_data[[#This Row],[Unit_Price]]*Pqp_supermarket_data[[#This Row],[Quantity]]</f>
        <v>12.5</v>
      </c>
      <c r="L2711" t="str">
        <f>TEXT(Pqp_supermarket_data[[#This Row],[DateTime]],"ddd")</f>
        <v>Sun</v>
      </c>
      <c r="M2711" t="str">
        <f>TEXT(Pqp_supermarket_data[[#This Row],[DateTime]],"mmm")</f>
        <v>Feb</v>
      </c>
      <c r="N2711" t="str">
        <f>TEXT(Pqp_supermarket_data[[#This Row],[DateTime]],"yyy")</f>
        <v>2024</v>
      </c>
    </row>
    <row r="2712" spans="1:14" x14ac:dyDescent="0.35">
      <c r="A2712" t="s">
        <v>5520</v>
      </c>
      <c r="B2712" s="1">
        <v>44949.42296797454</v>
      </c>
      <c r="C2712" t="s">
        <v>5521</v>
      </c>
      <c r="D2712" t="s">
        <v>30</v>
      </c>
      <c r="E2712" t="s">
        <v>119</v>
      </c>
      <c r="F2712">
        <v>4</v>
      </c>
      <c r="G2712">
        <v>8</v>
      </c>
      <c r="H2712" t="s">
        <v>14</v>
      </c>
      <c r="I2712" t="s">
        <v>15</v>
      </c>
      <c r="J2712" t="s">
        <v>451</v>
      </c>
      <c r="K2712">
        <f>Pqp_supermarket_data[[#This Row],[Unit_Price]]*Pqp_supermarket_data[[#This Row],[Quantity]]</f>
        <v>32</v>
      </c>
      <c r="L2712" t="str">
        <f>TEXT(Pqp_supermarket_data[[#This Row],[DateTime]],"ddd")</f>
        <v>Mon</v>
      </c>
      <c r="M2712" t="str">
        <f>TEXT(Pqp_supermarket_data[[#This Row],[DateTime]],"mmm")</f>
        <v>Jan</v>
      </c>
      <c r="N2712" t="str">
        <f>TEXT(Pqp_supermarket_data[[#This Row],[DateTime]],"yyy")</f>
        <v>2023</v>
      </c>
    </row>
    <row r="2713" spans="1:14" x14ac:dyDescent="0.35">
      <c r="A2713" t="s">
        <v>5522</v>
      </c>
      <c r="B2713" s="1">
        <v>45089.241023530092</v>
      </c>
      <c r="C2713" t="s">
        <v>5523</v>
      </c>
      <c r="D2713" t="s">
        <v>77</v>
      </c>
      <c r="E2713" t="s">
        <v>65</v>
      </c>
      <c r="F2713">
        <v>3</v>
      </c>
      <c r="G2713">
        <v>5</v>
      </c>
      <c r="H2713" t="s">
        <v>14</v>
      </c>
      <c r="I2713" t="s">
        <v>21</v>
      </c>
      <c r="J2713" t="s">
        <v>183</v>
      </c>
      <c r="K2713">
        <f>Pqp_supermarket_data[[#This Row],[Unit_Price]]*Pqp_supermarket_data[[#This Row],[Quantity]]</f>
        <v>15</v>
      </c>
      <c r="L2713" t="str">
        <f>TEXT(Pqp_supermarket_data[[#This Row],[DateTime]],"ddd")</f>
        <v>Mon</v>
      </c>
      <c r="M2713" t="str">
        <f>TEXT(Pqp_supermarket_data[[#This Row],[DateTime]],"mmm")</f>
        <v>Jun</v>
      </c>
      <c r="N2713" t="str">
        <f>TEXT(Pqp_supermarket_data[[#This Row],[DateTime]],"yyy")</f>
        <v>2023</v>
      </c>
    </row>
    <row r="2714" spans="1:14" x14ac:dyDescent="0.35">
      <c r="A2714" t="s">
        <v>5524</v>
      </c>
      <c r="B2714" s="1">
        <v>44498.266718043982</v>
      </c>
      <c r="C2714" t="s">
        <v>5525</v>
      </c>
      <c r="D2714" t="s">
        <v>98</v>
      </c>
      <c r="E2714" t="s">
        <v>13</v>
      </c>
      <c r="F2714">
        <v>3.1</v>
      </c>
      <c r="G2714">
        <v>9</v>
      </c>
      <c r="H2714" t="s">
        <v>14</v>
      </c>
      <c r="I2714" t="s">
        <v>15</v>
      </c>
      <c r="J2714" t="s">
        <v>227</v>
      </c>
      <c r="K2714">
        <f>Pqp_supermarket_data[[#This Row],[Unit_Price]]*Pqp_supermarket_data[[#This Row],[Quantity]]</f>
        <v>27.900000000000002</v>
      </c>
      <c r="L2714" t="str">
        <f>TEXT(Pqp_supermarket_data[[#This Row],[DateTime]],"ddd")</f>
        <v>Fri</v>
      </c>
      <c r="M2714" t="str">
        <f>TEXT(Pqp_supermarket_data[[#This Row],[DateTime]],"mmm")</f>
        <v>Oct</v>
      </c>
      <c r="N2714" t="str">
        <f>TEXT(Pqp_supermarket_data[[#This Row],[DateTime]],"yyy")</f>
        <v>2021</v>
      </c>
    </row>
    <row r="2715" spans="1:14" x14ac:dyDescent="0.35">
      <c r="A2715" t="s">
        <v>5526</v>
      </c>
      <c r="B2715" s="1">
        <v>44360.601440266204</v>
      </c>
      <c r="C2715" t="s">
        <v>5527</v>
      </c>
      <c r="D2715" t="s">
        <v>19</v>
      </c>
      <c r="E2715" t="s">
        <v>115</v>
      </c>
      <c r="F2715">
        <v>1.5</v>
      </c>
      <c r="G2715">
        <v>4</v>
      </c>
      <c r="H2715" t="s">
        <v>14</v>
      </c>
      <c r="I2715" t="s">
        <v>86</v>
      </c>
      <c r="J2715" t="s">
        <v>517</v>
      </c>
      <c r="K2715">
        <f>Pqp_supermarket_data[[#This Row],[Unit_Price]]*Pqp_supermarket_data[[#This Row],[Quantity]]</f>
        <v>6</v>
      </c>
      <c r="L2715" t="str">
        <f>TEXT(Pqp_supermarket_data[[#This Row],[DateTime]],"ddd")</f>
        <v>Sun</v>
      </c>
      <c r="M2715" t="str">
        <f>TEXT(Pqp_supermarket_data[[#This Row],[DateTime]],"mmm")</f>
        <v>Jun</v>
      </c>
      <c r="N2715" t="str">
        <f>TEXT(Pqp_supermarket_data[[#This Row],[DateTime]],"yyy")</f>
        <v>2021</v>
      </c>
    </row>
    <row r="2716" spans="1:14" x14ac:dyDescent="0.35">
      <c r="A2716" t="s">
        <v>5528</v>
      </c>
      <c r="B2716" s="1">
        <v>45582.454218055558</v>
      </c>
      <c r="C2716" t="s">
        <v>5529</v>
      </c>
      <c r="D2716" t="s">
        <v>171</v>
      </c>
      <c r="E2716" t="s">
        <v>26</v>
      </c>
      <c r="F2716">
        <v>2.5</v>
      </c>
      <c r="G2716">
        <v>10</v>
      </c>
      <c r="H2716" t="s">
        <v>14</v>
      </c>
      <c r="I2716" t="s">
        <v>61</v>
      </c>
      <c r="J2716" t="s">
        <v>288</v>
      </c>
      <c r="K2716">
        <f>Pqp_supermarket_data[[#This Row],[Unit_Price]]*Pqp_supermarket_data[[#This Row],[Quantity]]</f>
        <v>25</v>
      </c>
      <c r="L2716" t="str">
        <f>TEXT(Pqp_supermarket_data[[#This Row],[DateTime]],"ddd")</f>
        <v>Thu</v>
      </c>
      <c r="M2716" t="str">
        <f>TEXT(Pqp_supermarket_data[[#This Row],[DateTime]],"mmm")</f>
        <v>Oct</v>
      </c>
      <c r="N2716" t="str">
        <f>TEXT(Pqp_supermarket_data[[#This Row],[DateTime]],"yyy")</f>
        <v>2024</v>
      </c>
    </row>
    <row r="2717" spans="1:14" x14ac:dyDescent="0.35">
      <c r="A2717" t="s">
        <v>5530</v>
      </c>
      <c r="B2717" s="1">
        <v>44911.627829178244</v>
      </c>
      <c r="C2717" t="s">
        <v>5531</v>
      </c>
      <c r="D2717" t="s">
        <v>19</v>
      </c>
      <c r="E2717" t="s">
        <v>53</v>
      </c>
      <c r="F2717">
        <v>2.8</v>
      </c>
      <c r="G2717">
        <v>8</v>
      </c>
      <c r="H2717" t="s">
        <v>14</v>
      </c>
      <c r="I2717" t="s">
        <v>21</v>
      </c>
      <c r="J2717" t="s">
        <v>160</v>
      </c>
      <c r="K2717">
        <f>Pqp_supermarket_data[[#This Row],[Unit_Price]]*Pqp_supermarket_data[[#This Row],[Quantity]]</f>
        <v>22.4</v>
      </c>
      <c r="L2717" t="str">
        <f>TEXT(Pqp_supermarket_data[[#This Row],[DateTime]],"ddd")</f>
        <v>Fri</v>
      </c>
      <c r="M2717" t="str">
        <f>TEXT(Pqp_supermarket_data[[#This Row],[DateTime]],"mmm")</f>
        <v>Dec</v>
      </c>
      <c r="N2717" t="str">
        <f>TEXT(Pqp_supermarket_data[[#This Row],[DateTime]],"yyy")</f>
        <v>2022</v>
      </c>
    </row>
    <row r="2718" spans="1:14" x14ac:dyDescent="0.35">
      <c r="A2718" t="s">
        <v>5532</v>
      </c>
      <c r="B2718" s="1">
        <v>45450.527134733798</v>
      </c>
      <c r="C2718" t="s">
        <v>5533</v>
      </c>
      <c r="D2718" t="s">
        <v>77</v>
      </c>
      <c r="E2718" t="s">
        <v>119</v>
      </c>
      <c r="F2718">
        <v>4</v>
      </c>
      <c r="G2718">
        <v>1</v>
      </c>
      <c r="H2718" t="s">
        <v>14</v>
      </c>
      <c r="I2718" t="s">
        <v>36</v>
      </c>
      <c r="J2718" t="s">
        <v>339</v>
      </c>
      <c r="K2718">
        <f>Pqp_supermarket_data[[#This Row],[Unit_Price]]*Pqp_supermarket_data[[#This Row],[Quantity]]</f>
        <v>4</v>
      </c>
      <c r="L2718" t="str">
        <f>TEXT(Pqp_supermarket_data[[#This Row],[DateTime]],"ddd")</f>
        <v>Fri</v>
      </c>
      <c r="M2718" t="str">
        <f>TEXT(Pqp_supermarket_data[[#This Row],[DateTime]],"mmm")</f>
        <v>Jun</v>
      </c>
      <c r="N2718" t="str">
        <f>TEXT(Pqp_supermarket_data[[#This Row],[DateTime]],"yyy")</f>
        <v>2024</v>
      </c>
    </row>
    <row r="2719" spans="1:14" x14ac:dyDescent="0.35">
      <c r="A2719" t="s">
        <v>5534</v>
      </c>
      <c r="B2719" s="1">
        <v>45392.315329224541</v>
      </c>
      <c r="C2719" t="s">
        <v>5535</v>
      </c>
      <c r="D2719" t="s">
        <v>69</v>
      </c>
      <c r="E2719" t="s">
        <v>26</v>
      </c>
      <c r="F2719">
        <v>2.5</v>
      </c>
      <c r="G2719">
        <v>1</v>
      </c>
      <c r="H2719" t="s">
        <v>14</v>
      </c>
      <c r="I2719" t="s">
        <v>36</v>
      </c>
      <c r="J2719" t="s">
        <v>218</v>
      </c>
      <c r="K2719">
        <f>Pqp_supermarket_data[[#This Row],[Unit_Price]]*Pqp_supermarket_data[[#This Row],[Quantity]]</f>
        <v>2.5</v>
      </c>
      <c r="L2719" t="str">
        <f>TEXT(Pqp_supermarket_data[[#This Row],[DateTime]],"ddd")</f>
        <v>Wed</v>
      </c>
      <c r="M2719" t="str">
        <f>TEXT(Pqp_supermarket_data[[#This Row],[DateTime]],"mmm")</f>
        <v>Apr</v>
      </c>
      <c r="N2719" t="str">
        <f>TEXT(Pqp_supermarket_data[[#This Row],[DateTime]],"yyy")</f>
        <v>2024</v>
      </c>
    </row>
    <row r="2720" spans="1:14" x14ac:dyDescent="0.35">
      <c r="A2720" t="s">
        <v>5536</v>
      </c>
      <c r="B2720" s="1">
        <v>45385.30144033565</v>
      </c>
      <c r="C2720" t="s">
        <v>5537</v>
      </c>
      <c r="D2720" t="s">
        <v>69</v>
      </c>
      <c r="E2720" t="s">
        <v>57</v>
      </c>
      <c r="F2720">
        <v>4.5</v>
      </c>
      <c r="G2720">
        <v>8</v>
      </c>
      <c r="H2720" t="s">
        <v>14</v>
      </c>
      <c r="I2720" t="s">
        <v>40</v>
      </c>
      <c r="J2720" t="s">
        <v>227</v>
      </c>
      <c r="K2720">
        <f>Pqp_supermarket_data[[#This Row],[Unit_Price]]*Pqp_supermarket_data[[#This Row],[Quantity]]</f>
        <v>36</v>
      </c>
      <c r="L2720" t="str">
        <f>TEXT(Pqp_supermarket_data[[#This Row],[DateTime]],"ddd")</f>
        <v>Wed</v>
      </c>
      <c r="M2720" t="str">
        <f>TEXT(Pqp_supermarket_data[[#This Row],[DateTime]],"mmm")</f>
        <v>Apr</v>
      </c>
      <c r="N2720" t="str">
        <f>TEXT(Pqp_supermarket_data[[#This Row],[DateTime]],"yyy")</f>
        <v>2024</v>
      </c>
    </row>
    <row r="2721" spans="1:14" x14ac:dyDescent="0.35">
      <c r="A2721" t="s">
        <v>5538</v>
      </c>
      <c r="B2721" s="1">
        <v>44866.241023692128</v>
      </c>
      <c r="C2721" t="s">
        <v>5539</v>
      </c>
      <c r="D2721" t="s">
        <v>69</v>
      </c>
      <c r="E2721" t="s">
        <v>137</v>
      </c>
      <c r="F2721">
        <v>2.5</v>
      </c>
      <c r="G2721">
        <v>2</v>
      </c>
      <c r="H2721" t="s">
        <v>14</v>
      </c>
      <c r="I2721" t="s">
        <v>36</v>
      </c>
      <c r="J2721" t="s">
        <v>105</v>
      </c>
      <c r="K2721">
        <f>Pqp_supermarket_data[[#This Row],[Unit_Price]]*Pqp_supermarket_data[[#This Row],[Quantity]]</f>
        <v>5</v>
      </c>
      <c r="L2721" t="str">
        <f>TEXT(Pqp_supermarket_data[[#This Row],[DateTime]],"ddd")</f>
        <v>Tue</v>
      </c>
      <c r="M2721" t="str">
        <f>TEXT(Pqp_supermarket_data[[#This Row],[DateTime]],"mmm")</f>
        <v>Nov</v>
      </c>
      <c r="N2721" t="str">
        <f>TEXT(Pqp_supermarket_data[[#This Row],[DateTime]],"yyy")</f>
        <v>2022</v>
      </c>
    </row>
    <row r="2722" spans="1:14" x14ac:dyDescent="0.35">
      <c r="A2722" t="s">
        <v>5540</v>
      </c>
      <c r="B2722" s="1">
        <v>45368.073662581017</v>
      </c>
      <c r="C2722" t="s">
        <v>5541</v>
      </c>
      <c r="D2722" t="s">
        <v>226</v>
      </c>
      <c r="E2722" t="s">
        <v>57</v>
      </c>
      <c r="F2722">
        <v>4.5</v>
      </c>
      <c r="G2722">
        <v>7</v>
      </c>
      <c r="H2722" t="s">
        <v>14</v>
      </c>
      <c r="I2722" t="s">
        <v>15</v>
      </c>
      <c r="J2722" t="s">
        <v>320</v>
      </c>
      <c r="K2722">
        <f>Pqp_supermarket_data[[#This Row],[Unit_Price]]*Pqp_supermarket_data[[#This Row],[Quantity]]</f>
        <v>31.5</v>
      </c>
      <c r="L2722" t="str">
        <f>TEXT(Pqp_supermarket_data[[#This Row],[DateTime]],"ddd")</f>
        <v>Sun</v>
      </c>
      <c r="M2722" t="str">
        <f>TEXT(Pqp_supermarket_data[[#This Row],[DateTime]],"mmm")</f>
        <v>Mar</v>
      </c>
      <c r="N2722" t="str">
        <f>TEXT(Pqp_supermarket_data[[#This Row],[DateTime]],"yyy")</f>
        <v>2024</v>
      </c>
    </row>
    <row r="2723" spans="1:14" x14ac:dyDescent="0.35">
      <c r="A2723" t="s">
        <v>5542</v>
      </c>
      <c r="B2723" s="1">
        <v>45657.330607025462</v>
      </c>
      <c r="C2723" t="s">
        <v>5543</v>
      </c>
      <c r="D2723" t="s">
        <v>82</v>
      </c>
      <c r="E2723" t="s">
        <v>35</v>
      </c>
      <c r="F2723">
        <v>1.2</v>
      </c>
      <c r="G2723">
        <v>3</v>
      </c>
      <c r="H2723" t="s">
        <v>14</v>
      </c>
      <c r="I2723" t="s">
        <v>61</v>
      </c>
      <c r="J2723" t="s">
        <v>74</v>
      </c>
      <c r="K2723">
        <f>Pqp_supermarket_data[[#This Row],[Unit_Price]]*Pqp_supermarket_data[[#This Row],[Quantity]]</f>
        <v>3.5999999999999996</v>
      </c>
      <c r="L2723" t="str">
        <f>TEXT(Pqp_supermarket_data[[#This Row],[DateTime]],"ddd")</f>
        <v>Tue</v>
      </c>
      <c r="M2723" t="str">
        <f>TEXT(Pqp_supermarket_data[[#This Row],[DateTime]],"mmm")</f>
        <v>Dec</v>
      </c>
      <c r="N2723" t="str">
        <f>TEXT(Pqp_supermarket_data[[#This Row],[DateTime]],"yyy")</f>
        <v>2024</v>
      </c>
    </row>
    <row r="2724" spans="1:14" x14ac:dyDescent="0.35">
      <c r="A2724" t="s">
        <v>5544</v>
      </c>
      <c r="B2724" s="1">
        <v>44695.321579270836</v>
      </c>
      <c r="C2724" t="s">
        <v>5545</v>
      </c>
      <c r="D2724" t="s">
        <v>34</v>
      </c>
      <c r="E2724" t="s">
        <v>145</v>
      </c>
      <c r="F2724">
        <v>1.7</v>
      </c>
      <c r="G2724">
        <v>2</v>
      </c>
      <c r="H2724" t="s">
        <v>14</v>
      </c>
      <c r="I2724" t="s">
        <v>40</v>
      </c>
      <c r="J2724" t="s">
        <v>302</v>
      </c>
      <c r="K2724">
        <f>Pqp_supermarket_data[[#This Row],[Unit_Price]]*Pqp_supermarket_data[[#This Row],[Quantity]]</f>
        <v>3.4</v>
      </c>
      <c r="L2724" t="str">
        <f>TEXT(Pqp_supermarket_data[[#This Row],[DateTime]],"ddd")</f>
        <v>Sat</v>
      </c>
      <c r="M2724" t="str">
        <f>TEXT(Pqp_supermarket_data[[#This Row],[DateTime]],"mmm")</f>
        <v>May</v>
      </c>
      <c r="N2724" t="str">
        <f>TEXT(Pqp_supermarket_data[[#This Row],[DateTime]],"yyy")</f>
        <v>2022</v>
      </c>
    </row>
    <row r="2725" spans="1:14" x14ac:dyDescent="0.35">
      <c r="A2725" t="s">
        <v>5546</v>
      </c>
      <c r="B2725" s="1">
        <v>45464.306995937499</v>
      </c>
      <c r="C2725" t="s">
        <v>5547</v>
      </c>
      <c r="D2725" t="s">
        <v>69</v>
      </c>
      <c r="E2725" t="s">
        <v>145</v>
      </c>
      <c r="F2725">
        <v>1.7</v>
      </c>
      <c r="G2725">
        <v>2</v>
      </c>
      <c r="H2725" t="s">
        <v>14</v>
      </c>
      <c r="I2725" t="s">
        <v>86</v>
      </c>
      <c r="J2725" t="s">
        <v>496</v>
      </c>
      <c r="K2725">
        <f>Pqp_supermarket_data[[#This Row],[Unit_Price]]*Pqp_supermarket_data[[#This Row],[Quantity]]</f>
        <v>3.4</v>
      </c>
      <c r="L2725" t="str">
        <f>TEXT(Pqp_supermarket_data[[#This Row],[DateTime]],"ddd")</f>
        <v>Fri</v>
      </c>
      <c r="M2725" t="str">
        <f>TEXT(Pqp_supermarket_data[[#This Row],[DateTime]],"mmm")</f>
        <v>Jun</v>
      </c>
      <c r="N2725" t="str">
        <f>TEXT(Pqp_supermarket_data[[#This Row],[DateTime]],"yyy")</f>
        <v>2024</v>
      </c>
    </row>
    <row r="2726" spans="1:14" x14ac:dyDescent="0.35">
      <c r="A2726" t="s">
        <v>5548</v>
      </c>
      <c r="B2726" s="1">
        <v>44354.339634826392</v>
      </c>
      <c r="C2726" t="s">
        <v>5549</v>
      </c>
      <c r="D2726" t="s">
        <v>12</v>
      </c>
      <c r="E2726" t="s">
        <v>90</v>
      </c>
      <c r="F2726">
        <v>1.8</v>
      </c>
      <c r="G2726">
        <v>9</v>
      </c>
      <c r="H2726" t="s">
        <v>14</v>
      </c>
      <c r="I2726" t="s">
        <v>36</v>
      </c>
      <c r="J2726" t="s">
        <v>716</v>
      </c>
      <c r="K2726">
        <f>Pqp_supermarket_data[[#This Row],[Unit_Price]]*Pqp_supermarket_data[[#This Row],[Quantity]]</f>
        <v>16.2</v>
      </c>
      <c r="L2726" t="str">
        <f>TEXT(Pqp_supermarket_data[[#This Row],[DateTime]],"ddd")</f>
        <v>Mon</v>
      </c>
      <c r="M2726" t="str">
        <f>TEXT(Pqp_supermarket_data[[#This Row],[DateTime]],"mmm")</f>
        <v>Jun</v>
      </c>
      <c r="N2726" t="str">
        <f>TEXT(Pqp_supermarket_data[[#This Row],[DateTime]],"yyy")</f>
        <v>2021</v>
      </c>
    </row>
    <row r="2727" spans="1:14" x14ac:dyDescent="0.35">
      <c r="A2727" t="s">
        <v>5550</v>
      </c>
      <c r="B2727" s="1">
        <v>44574.795190381941</v>
      </c>
      <c r="C2727" t="s">
        <v>5551</v>
      </c>
      <c r="D2727" t="s">
        <v>19</v>
      </c>
      <c r="E2727" t="s">
        <v>70</v>
      </c>
      <c r="F2727">
        <v>5</v>
      </c>
      <c r="G2727">
        <v>3</v>
      </c>
      <c r="H2727" t="s">
        <v>14</v>
      </c>
      <c r="I2727" t="s">
        <v>21</v>
      </c>
      <c r="J2727" t="s">
        <v>183</v>
      </c>
      <c r="K2727">
        <f>Pqp_supermarket_data[[#This Row],[Unit_Price]]*Pqp_supermarket_data[[#This Row],[Quantity]]</f>
        <v>15</v>
      </c>
      <c r="L2727" t="str">
        <f>TEXT(Pqp_supermarket_data[[#This Row],[DateTime]],"ddd")</f>
        <v>Thu</v>
      </c>
      <c r="M2727" t="str">
        <f>TEXT(Pqp_supermarket_data[[#This Row],[DateTime]],"mmm")</f>
        <v>Jan</v>
      </c>
      <c r="N2727" t="str">
        <f>TEXT(Pqp_supermarket_data[[#This Row],[DateTime]],"yyy")</f>
        <v>2022</v>
      </c>
    </row>
    <row r="2728" spans="1:14" x14ac:dyDescent="0.35">
      <c r="A2728" t="s">
        <v>5552</v>
      </c>
      <c r="B2728" s="1">
        <v>44433.8007459375</v>
      </c>
      <c r="C2728" t="s">
        <v>5553</v>
      </c>
      <c r="D2728" t="s">
        <v>98</v>
      </c>
      <c r="E2728" t="s">
        <v>145</v>
      </c>
      <c r="F2728">
        <v>1.7</v>
      </c>
      <c r="G2728">
        <v>3</v>
      </c>
      <c r="H2728" t="s">
        <v>14</v>
      </c>
      <c r="I2728" t="s">
        <v>21</v>
      </c>
      <c r="J2728" t="s">
        <v>510</v>
      </c>
      <c r="K2728">
        <f>Pqp_supermarket_data[[#This Row],[Unit_Price]]*Pqp_supermarket_data[[#This Row],[Quantity]]</f>
        <v>5.0999999999999996</v>
      </c>
      <c r="L2728" t="str">
        <f>TEXT(Pqp_supermarket_data[[#This Row],[DateTime]],"ddd")</f>
        <v>Wed</v>
      </c>
      <c r="M2728" t="str">
        <f>TEXT(Pqp_supermarket_data[[#This Row],[DateTime]],"mmm")</f>
        <v>Aug</v>
      </c>
      <c r="N2728" t="str">
        <f>TEXT(Pqp_supermarket_data[[#This Row],[DateTime]],"yyy")</f>
        <v>2021</v>
      </c>
    </row>
    <row r="2729" spans="1:14" x14ac:dyDescent="0.35">
      <c r="A2729" t="s">
        <v>5554</v>
      </c>
      <c r="B2729" s="1">
        <v>45215.131995937503</v>
      </c>
      <c r="C2729" t="s">
        <v>5555</v>
      </c>
      <c r="D2729" t="s">
        <v>171</v>
      </c>
      <c r="E2729" t="s">
        <v>78</v>
      </c>
      <c r="F2729">
        <v>4</v>
      </c>
      <c r="G2729">
        <v>1</v>
      </c>
      <c r="H2729" t="s">
        <v>14</v>
      </c>
      <c r="I2729" t="s">
        <v>15</v>
      </c>
      <c r="J2729" t="s">
        <v>548</v>
      </c>
      <c r="K2729">
        <f>Pqp_supermarket_data[[#This Row],[Unit_Price]]*Pqp_supermarket_data[[#This Row],[Quantity]]</f>
        <v>4</v>
      </c>
      <c r="L2729" t="str">
        <f>TEXT(Pqp_supermarket_data[[#This Row],[DateTime]],"ddd")</f>
        <v>Mon</v>
      </c>
      <c r="M2729" t="str">
        <f>TEXT(Pqp_supermarket_data[[#This Row],[DateTime]],"mmm")</f>
        <v>Oct</v>
      </c>
      <c r="N2729" t="str">
        <f>TEXT(Pqp_supermarket_data[[#This Row],[DateTime]],"yyy")</f>
        <v>2023</v>
      </c>
    </row>
    <row r="2730" spans="1:14" x14ac:dyDescent="0.35">
      <c r="A2730" t="s">
        <v>5556</v>
      </c>
      <c r="B2730" s="1">
        <v>45181.025745937499</v>
      </c>
      <c r="C2730" t="s">
        <v>3271</v>
      </c>
      <c r="D2730" t="s">
        <v>85</v>
      </c>
      <c r="E2730" t="s">
        <v>70</v>
      </c>
      <c r="F2730">
        <v>5</v>
      </c>
      <c r="G2730">
        <v>2</v>
      </c>
      <c r="H2730" t="s">
        <v>14</v>
      </c>
      <c r="I2730" t="s">
        <v>21</v>
      </c>
      <c r="J2730" t="s">
        <v>233</v>
      </c>
      <c r="K2730">
        <f>Pqp_supermarket_data[[#This Row],[Unit_Price]]*Pqp_supermarket_data[[#This Row],[Quantity]]</f>
        <v>10</v>
      </c>
      <c r="L2730" t="str">
        <f>TEXT(Pqp_supermarket_data[[#This Row],[DateTime]],"ddd")</f>
        <v>Tue</v>
      </c>
      <c r="M2730" t="str">
        <f>TEXT(Pqp_supermarket_data[[#This Row],[DateTime]],"mmm")</f>
        <v>Sep</v>
      </c>
      <c r="N2730" t="str">
        <f>TEXT(Pqp_supermarket_data[[#This Row],[DateTime]],"yyy")</f>
        <v>2023</v>
      </c>
    </row>
    <row r="2731" spans="1:14" x14ac:dyDescent="0.35">
      <c r="A2731" t="s">
        <v>5557</v>
      </c>
      <c r="B2731" s="1">
        <v>44364.353523715276</v>
      </c>
      <c r="C2731" t="s">
        <v>5558</v>
      </c>
      <c r="D2731" t="s">
        <v>208</v>
      </c>
      <c r="E2731" t="s">
        <v>26</v>
      </c>
      <c r="F2731">
        <v>2.5</v>
      </c>
      <c r="G2731">
        <v>9</v>
      </c>
      <c r="H2731" t="s">
        <v>14</v>
      </c>
      <c r="I2731" t="s">
        <v>40</v>
      </c>
      <c r="J2731" t="s">
        <v>270</v>
      </c>
      <c r="K2731">
        <f>Pqp_supermarket_data[[#This Row],[Unit_Price]]*Pqp_supermarket_data[[#This Row],[Quantity]]</f>
        <v>22.5</v>
      </c>
      <c r="L2731" t="str">
        <f>TEXT(Pqp_supermarket_data[[#This Row],[DateTime]],"ddd")</f>
        <v>Thu</v>
      </c>
      <c r="M2731" t="str">
        <f>TEXT(Pqp_supermarket_data[[#This Row],[DateTime]],"mmm")</f>
        <v>Jun</v>
      </c>
      <c r="N2731" t="str">
        <f>TEXT(Pqp_supermarket_data[[#This Row],[DateTime]],"yyy")</f>
        <v>2021</v>
      </c>
    </row>
    <row r="2732" spans="1:14" x14ac:dyDescent="0.35">
      <c r="A2732" t="s">
        <v>5559</v>
      </c>
      <c r="B2732" s="1">
        <v>44805.019496006942</v>
      </c>
      <c r="C2732" t="s">
        <v>5560</v>
      </c>
      <c r="D2732" t="s">
        <v>30</v>
      </c>
      <c r="E2732" t="s">
        <v>119</v>
      </c>
      <c r="F2732">
        <v>4</v>
      </c>
      <c r="G2732">
        <v>3</v>
      </c>
      <c r="H2732" t="s">
        <v>14</v>
      </c>
      <c r="I2732" t="s">
        <v>40</v>
      </c>
      <c r="J2732" t="s">
        <v>128</v>
      </c>
      <c r="K2732">
        <f>Pqp_supermarket_data[[#This Row],[Unit_Price]]*Pqp_supermarket_data[[#This Row],[Quantity]]</f>
        <v>12</v>
      </c>
      <c r="L2732" t="str">
        <f>TEXT(Pqp_supermarket_data[[#This Row],[DateTime]],"ddd")</f>
        <v>Thu</v>
      </c>
      <c r="M2732" t="str">
        <f>TEXT(Pqp_supermarket_data[[#This Row],[DateTime]],"mmm")</f>
        <v>Sep</v>
      </c>
      <c r="N2732" t="str">
        <f>TEXT(Pqp_supermarket_data[[#This Row],[DateTime]],"yyy")</f>
        <v>2022</v>
      </c>
    </row>
    <row r="2733" spans="1:14" x14ac:dyDescent="0.35">
      <c r="A2733" t="s">
        <v>5561</v>
      </c>
      <c r="B2733" s="1">
        <v>45417.812551574076</v>
      </c>
      <c r="C2733" t="s">
        <v>5562</v>
      </c>
      <c r="D2733" t="s">
        <v>25</v>
      </c>
      <c r="E2733" t="s">
        <v>111</v>
      </c>
      <c r="F2733">
        <v>2.2000000000000002</v>
      </c>
      <c r="G2733">
        <v>4</v>
      </c>
      <c r="H2733" t="s">
        <v>14</v>
      </c>
      <c r="I2733" t="s">
        <v>40</v>
      </c>
      <c r="J2733" t="s">
        <v>138</v>
      </c>
      <c r="K2733">
        <f>Pqp_supermarket_data[[#This Row],[Unit_Price]]*Pqp_supermarket_data[[#This Row],[Quantity]]</f>
        <v>8.8000000000000007</v>
      </c>
      <c r="L2733" t="str">
        <f>TEXT(Pqp_supermarket_data[[#This Row],[DateTime]],"ddd")</f>
        <v>Sun</v>
      </c>
      <c r="M2733" t="str">
        <f>TEXT(Pqp_supermarket_data[[#This Row],[DateTime]],"mmm")</f>
        <v>May</v>
      </c>
      <c r="N2733" t="str">
        <f>TEXT(Pqp_supermarket_data[[#This Row],[DateTime]],"yyy")</f>
        <v>2024</v>
      </c>
    </row>
    <row r="2734" spans="1:14" x14ac:dyDescent="0.35">
      <c r="A2734" t="s">
        <v>5563</v>
      </c>
      <c r="B2734" s="1">
        <v>44543.812551574076</v>
      </c>
      <c r="C2734" t="s">
        <v>5564</v>
      </c>
      <c r="D2734" t="s">
        <v>77</v>
      </c>
      <c r="E2734" t="s">
        <v>26</v>
      </c>
      <c r="F2734">
        <v>2.5</v>
      </c>
      <c r="G2734">
        <v>9</v>
      </c>
      <c r="H2734" t="s">
        <v>14</v>
      </c>
      <c r="I2734" t="s">
        <v>21</v>
      </c>
      <c r="J2734" t="s">
        <v>369</v>
      </c>
      <c r="K2734">
        <f>Pqp_supermarket_data[[#This Row],[Unit_Price]]*Pqp_supermarket_data[[#This Row],[Quantity]]</f>
        <v>22.5</v>
      </c>
      <c r="L2734" t="str">
        <f>TEXT(Pqp_supermarket_data[[#This Row],[DateTime]],"ddd")</f>
        <v>Mon</v>
      </c>
      <c r="M2734" t="str">
        <f>TEXT(Pqp_supermarket_data[[#This Row],[DateTime]],"mmm")</f>
        <v>Dec</v>
      </c>
      <c r="N2734" t="str">
        <f>TEXT(Pqp_supermarket_data[[#This Row],[DateTime]],"yyy")</f>
        <v>2021</v>
      </c>
    </row>
    <row r="2735" spans="1:14" x14ac:dyDescent="0.35">
      <c r="A2735" t="s">
        <v>5565</v>
      </c>
      <c r="B2735" s="1">
        <v>45091.869496018517</v>
      </c>
      <c r="C2735" t="s">
        <v>5566</v>
      </c>
      <c r="D2735" t="s">
        <v>77</v>
      </c>
      <c r="E2735" t="s">
        <v>13</v>
      </c>
      <c r="F2735">
        <v>3.1</v>
      </c>
      <c r="G2735">
        <v>5</v>
      </c>
      <c r="H2735" t="s">
        <v>14</v>
      </c>
      <c r="I2735" t="s">
        <v>61</v>
      </c>
      <c r="J2735" t="s">
        <v>153</v>
      </c>
      <c r="K2735">
        <f>Pqp_supermarket_data[[#This Row],[Unit_Price]]*Pqp_supermarket_data[[#This Row],[Quantity]]</f>
        <v>15.5</v>
      </c>
      <c r="L2735" t="str">
        <f>TEXT(Pqp_supermarket_data[[#This Row],[DateTime]],"ddd")</f>
        <v>Wed</v>
      </c>
      <c r="M2735" t="str">
        <f>TEXT(Pqp_supermarket_data[[#This Row],[DateTime]],"mmm")</f>
        <v>Jun</v>
      </c>
      <c r="N2735" t="str">
        <f>TEXT(Pqp_supermarket_data[[#This Row],[DateTime]],"yyy")</f>
        <v>2023</v>
      </c>
    </row>
    <row r="2736" spans="1:14" x14ac:dyDescent="0.35">
      <c r="A2736" t="s">
        <v>5567</v>
      </c>
      <c r="B2736" s="1">
        <v>45508.350051597219</v>
      </c>
      <c r="C2736" t="s">
        <v>5568</v>
      </c>
      <c r="D2736" t="s">
        <v>82</v>
      </c>
      <c r="E2736" t="s">
        <v>115</v>
      </c>
      <c r="F2736">
        <v>1.5</v>
      </c>
      <c r="G2736">
        <v>4</v>
      </c>
      <c r="H2736" t="s">
        <v>14</v>
      </c>
      <c r="I2736" t="s">
        <v>15</v>
      </c>
      <c r="J2736" t="s">
        <v>499</v>
      </c>
      <c r="K2736">
        <f>Pqp_supermarket_data[[#This Row],[Unit_Price]]*Pqp_supermarket_data[[#This Row],[Quantity]]</f>
        <v>6</v>
      </c>
      <c r="L2736" t="str">
        <f>TEXT(Pqp_supermarket_data[[#This Row],[DateTime]],"ddd")</f>
        <v>Sun</v>
      </c>
      <c r="M2736" t="str">
        <f>TEXT(Pqp_supermarket_data[[#This Row],[DateTime]],"mmm")</f>
        <v>Aug</v>
      </c>
      <c r="N2736" t="str">
        <f>TEXT(Pqp_supermarket_data[[#This Row],[DateTime]],"yyy")</f>
        <v>2024</v>
      </c>
    </row>
    <row r="2737" spans="1:14" x14ac:dyDescent="0.35">
      <c r="A2737" t="s">
        <v>5569</v>
      </c>
      <c r="B2737" s="1">
        <v>44354.722968263886</v>
      </c>
      <c r="C2737" t="s">
        <v>5570</v>
      </c>
      <c r="D2737" t="s">
        <v>85</v>
      </c>
      <c r="E2737" t="s">
        <v>111</v>
      </c>
      <c r="F2737">
        <v>2.2000000000000002</v>
      </c>
      <c r="G2737">
        <v>10</v>
      </c>
      <c r="H2737" t="s">
        <v>14</v>
      </c>
      <c r="I2737" t="s">
        <v>86</v>
      </c>
      <c r="J2737" t="s">
        <v>205</v>
      </c>
      <c r="K2737">
        <f>Pqp_supermarket_data[[#This Row],[Unit_Price]]*Pqp_supermarket_data[[#This Row],[Quantity]]</f>
        <v>22</v>
      </c>
      <c r="L2737" t="str">
        <f>TEXT(Pqp_supermarket_data[[#This Row],[DateTime]],"ddd")</f>
        <v>Mon</v>
      </c>
      <c r="M2737" t="str">
        <f>TEXT(Pqp_supermarket_data[[#This Row],[DateTime]],"mmm")</f>
        <v>Jun</v>
      </c>
      <c r="N2737" t="str">
        <f>TEXT(Pqp_supermarket_data[[#This Row],[DateTime]],"yyy")</f>
        <v>2021</v>
      </c>
    </row>
    <row r="2738" spans="1:14" x14ac:dyDescent="0.35">
      <c r="A2738" t="s">
        <v>5571</v>
      </c>
      <c r="B2738" s="1">
        <v>44921.573662743052</v>
      </c>
      <c r="C2738" t="s">
        <v>5572</v>
      </c>
      <c r="D2738" t="s">
        <v>85</v>
      </c>
      <c r="E2738" t="s">
        <v>65</v>
      </c>
      <c r="F2738">
        <v>3</v>
      </c>
      <c r="G2738">
        <v>6</v>
      </c>
      <c r="H2738" t="s">
        <v>14</v>
      </c>
      <c r="I2738" t="s">
        <v>86</v>
      </c>
      <c r="J2738" t="s">
        <v>66</v>
      </c>
      <c r="K2738">
        <f>Pqp_supermarket_data[[#This Row],[Unit_Price]]*Pqp_supermarket_data[[#This Row],[Quantity]]</f>
        <v>18</v>
      </c>
      <c r="L2738" t="str">
        <f>TEXT(Pqp_supermarket_data[[#This Row],[DateTime]],"ddd")</f>
        <v>Mon</v>
      </c>
      <c r="M2738" t="str">
        <f>TEXT(Pqp_supermarket_data[[#This Row],[DateTime]],"mmm")</f>
        <v>Dec</v>
      </c>
      <c r="N2738" t="str">
        <f>TEXT(Pqp_supermarket_data[[#This Row],[DateTime]],"yyy")</f>
        <v>2022</v>
      </c>
    </row>
    <row r="2739" spans="1:14" x14ac:dyDescent="0.35">
      <c r="A2739" t="s">
        <v>5573</v>
      </c>
      <c r="B2739" s="1">
        <v>44391.188940520835</v>
      </c>
      <c r="C2739" t="s">
        <v>5574</v>
      </c>
      <c r="D2739" t="s">
        <v>44</v>
      </c>
      <c r="E2739" t="s">
        <v>35</v>
      </c>
      <c r="F2739">
        <v>1.2</v>
      </c>
      <c r="G2739">
        <v>1</v>
      </c>
      <c r="H2739" t="s">
        <v>14</v>
      </c>
      <c r="I2739" t="s">
        <v>40</v>
      </c>
      <c r="J2739" t="s">
        <v>267</v>
      </c>
      <c r="K2739">
        <f>Pqp_supermarket_data[[#This Row],[Unit_Price]]*Pqp_supermarket_data[[#This Row],[Quantity]]</f>
        <v>1.2</v>
      </c>
      <c r="L2739" t="str">
        <f>TEXT(Pqp_supermarket_data[[#This Row],[DateTime]],"ddd")</f>
        <v>Wed</v>
      </c>
      <c r="M2739" t="str">
        <f>TEXT(Pqp_supermarket_data[[#This Row],[DateTime]],"mmm")</f>
        <v>Jul</v>
      </c>
      <c r="N2739" t="str">
        <f>TEXT(Pqp_supermarket_data[[#This Row],[DateTime]],"yyy")</f>
        <v>2021</v>
      </c>
    </row>
    <row r="2740" spans="1:14" x14ac:dyDescent="0.35">
      <c r="A2740" t="s">
        <v>5575</v>
      </c>
      <c r="B2740" s="1">
        <v>45730.654218321761</v>
      </c>
      <c r="C2740" t="s">
        <v>5576</v>
      </c>
      <c r="D2740" t="s">
        <v>208</v>
      </c>
      <c r="E2740" t="s">
        <v>35</v>
      </c>
      <c r="F2740">
        <v>1.2</v>
      </c>
      <c r="G2740">
        <v>2</v>
      </c>
      <c r="H2740" t="s">
        <v>14</v>
      </c>
      <c r="I2740" t="s">
        <v>61</v>
      </c>
      <c r="J2740" t="s">
        <v>66</v>
      </c>
      <c r="K2740">
        <f>Pqp_supermarket_data[[#This Row],[Unit_Price]]*Pqp_supermarket_data[[#This Row],[Quantity]]</f>
        <v>2.4</v>
      </c>
      <c r="L2740" t="str">
        <f>TEXT(Pqp_supermarket_data[[#This Row],[DateTime]],"ddd")</f>
        <v>Fri</v>
      </c>
      <c r="M2740" t="str">
        <f>TEXT(Pqp_supermarket_data[[#This Row],[DateTime]],"mmm")</f>
        <v>Mar</v>
      </c>
      <c r="N2740" t="str">
        <f>TEXT(Pqp_supermarket_data[[#This Row],[DateTime]],"yyy")</f>
        <v>2025</v>
      </c>
    </row>
    <row r="2741" spans="1:14" x14ac:dyDescent="0.35">
      <c r="A2741" t="s">
        <v>5577</v>
      </c>
      <c r="B2741" s="1">
        <v>44481.806301655095</v>
      </c>
      <c r="C2741" t="s">
        <v>5578</v>
      </c>
      <c r="D2741" t="s">
        <v>77</v>
      </c>
      <c r="E2741" t="s">
        <v>78</v>
      </c>
      <c r="F2741">
        <v>4</v>
      </c>
      <c r="G2741">
        <v>8</v>
      </c>
      <c r="H2741" t="s">
        <v>14</v>
      </c>
      <c r="I2741" t="s">
        <v>40</v>
      </c>
      <c r="J2741" t="s">
        <v>510</v>
      </c>
      <c r="K2741">
        <f>Pqp_supermarket_data[[#This Row],[Unit_Price]]*Pqp_supermarket_data[[#This Row],[Quantity]]</f>
        <v>32</v>
      </c>
      <c r="L2741" t="str">
        <f>TEXT(Pqp_supermarket_data[[#This Row],[DateTime]],"ddd")</f>
        <v>Tue</v>
      </c>
      <c r="M2741" t="str">
        <f>TEXT(Pqp_supermarket_data[[#This Row],[DateTime]],"mmm")</f>
        <v>Oct</v>
      </c>
      <c r="N2741" t="str">
        <f>TEXT(Pqp_supermarket_data[[#This Row],[DateTime]],"yyy")</f>
        <v>2021</v>
      </c>
    </row>
    <row r="2742" spans="1:14" x14ac:dyDescent="0.35">
      <c r="A2742" t="s">
        <v>5579</v>
      </c>
      <c r="B2742" s="1">
        <v>44682.710468321762</v>
      </c>
      <c r="C2742" t="s">
        <v>5580</v>
      </c>
      <c r="D2742" t="s">
        <v>208</v>
      </c>
      <c r="E2742" t="s">
        <v>45</v>
      </c>
      <c r="F2742">
        <v>1</v>
      </c>
      <c r="G2742">
        <v>1</v>
      </c>
      <c r="H2742" t="s">
        <v>14</v>
      </c>
      <c r="I2742" t="s">
        <v>36</v>
      </c>
      <c r="J2742" t="s">
        <v>744</v>
      </c>
      <c r="K2742">
        <f>Pqp_supermarket_data[[#This Row],[Unit_Price]]*Pqp_supermarket_data[[#This Row],[Quantity]]</f>
        <v>1</v>
      </c>
      <c r="L2742" t="str">
        <f>TEXT(Pqp_supermarket_data[[#This Row],[DateTime]],"ddd")</f>
        <v>Sun</v>
      </c>
      <c r="M2742" t="str">
        <f>TEXT(Pqp_supermarket_data[[#This Row],[DateTime]],"mmm")</f>
        <v>May</v>
      </c>
      <c r="N2742" t="str">
        <f>TEXT(Pqp_supermarket_data[[#This Row],[DateTime]],"yyy")</f>
        <v>2022</v>
      </c>
    </row>
    <row r="2743" spans="1:14" x14ac:dyDescent="0.35">
      <c r="A2743" t="s">
        <v>5581</v>
      </c>
      <c r="B2743" s="1">
        <v>45063.12644054398</v>
      </c>
      <c r="C2743" t="s">
        <v>5582</v>
      </c>
      <c r="D2743" t="s">
        <v>30</v>
      </c>
      <c r="E2743" t="s">
        <v>148</v>
      </c>
      <c r="F2743">
        <v>5.5</v>
      </c>
      <c r="G2743">
        <v>9</v>
      </c>
      <c r="H2743" t="s">
        <v>14</v>
      </c>
      <c r="I2743" t="s">
        <v>36</v>
      </c>
      <c r="J2743" t="s">
        <v>50</v>
      </c>
      <c r="K2743">
        <f>Pqp_supermarket_data[[#This Row],[Unit_Price]]*Pqp_supermarket_data[[#This Row],[Quantity]]</f>
        <v>49.5</v>
      </c>
      <c r="L2743" t="str">
        <f>TEXT(Pqp_supermarket_data[[#This Row],[DateTime]],"ddd")</f>
        <v>Wed</v>
      </c>
      <c r="M2743" t="str">
        <f>TEXT(Pqp_supermarket_data[[#This Row],[DateTime]],"mmm")</f>
        <v>May</v>
      </c>
      <c r="N2743" t="str">
        <f>TEXT(Pqp_supermarket_data[[#This Row],[DateTime]],"yyy")</f>
        <v>2023</v>
      </c>
    </row>
    <row r="2744" spans="1:14" x14ac:dyDescent="0.35">
      <c r="A2744" t="s">
        <v>5583</v>
      </c>
      <c r="B2744" s="1">
        <v>45188.21949609954</v>
      </c>
      <c r="C2744" t="s">
        <v>5584</v>
      </c>
      <c r="D2744" t="s">
        <v>77</v>
      </c>
      <c r="E2744" t="s">
        <v>20</v>
      </c>
      <c r="F2744">
        <v>1</v>
      </c>
      <c r="G2744">
        <v>3</v>
      </c>
      <c r="H2744" t="s">
        <v>14</v>
      </c>
      <c r="I2744" t="s">
        <v>21</v>
      </c>
      <c r="J2744" t="s">
        <v>178</v>
      </c>
      <c r="K2744">
        <f>Pqp_supermarket_data[[#This Row],[Unit_Price]]*Pqp_supermarket_data[[#This Row],[Quantity]]</f>
        <v>3</v>
      </c>
      <c r="L2744" t="str">
        <f>TEXT(Pqp_supermarket_data[[#This Row],[DateTime]],"ddd")</f>
        <v>Tue</v>
      </c>
      <c r="M2744" t="str">
        <f>TEXT(Pqp_supermarket_data[[#This Row],[DateTime]],"mmm")</f>
        <v>Sep</v>
      </c>
      <c r="N2744" t="str">
        <f>TEXT(Pqp_supermarket_data[[#This Row],[DateTime]],"yyy")</f>
        <v>2023</v>
      </c>
    </row>
    <row r="2745" spans="1:14" x14ac:dyDescent="0.35">
      <c r="A2745" t="s">
        <v>5585</v>
      </c>
      <c r="B2745" s="1">
        <v>44605.830607256947</v>
      </c>
      <c r="C2745" t="s">
        <v>5586</v>
      </c>
      <c r="D2745" t="s">
        <v>127</v>
      </c>
      <c r="E2745" t="s">
        <v>115</v>
      </c>
      <c r="F2745">
        <v>1.5</v>
      </c>
      <c r="G2745">
        <v>9</v>
      </c>
      <c r="H2745" t="s">
        <v>14</v>
      </c>
      <c r="I2745" t="s">
        <v>40</v>
      </c>
      <c r="J2745" t="s">
        <v>744</v>
      </c>
      <c r="K2745">
        <f>Pqp_supermarket_data[[#This Row],[Unit_Price]]*Pqp_supermarket_data[[#This Row],[Quantity]]</f>
        <v>13.5</v>
      </c>
      <c r="L2745" t="str">
        <f>TEXT(Pqp_supermarket_data[[#This Row],[DateTime]],"ddd")</f>
        <v>Sun</v>
      </c>
      <c r="M2745" t="str">
        <f>TEXT(Pqp_supermarket_data[[#This Row],[DateTime]],"mmm")</f>
        <v>Feb</v>
      </c>
      <c r="N2745" t="str">
        <f>TEXT(Pqp_supermarket_data[[#This Row],[DateTime]],"yyy")</f>
        <v>2022</v>
      </c>
    </row>
    <row r="2746" spans="1:14" x14ac:dyDescent="0.35">
      <c r="A2746" t="s">
        <v>5587</v>
      </c>
      <c r="B2746" s="1">
        <v>45427.162551701389</v>
      </c>
      <c r="C2746" t="s">
        <v>1437</v>
      </c>
      <c r="D2746" t="s">
        <v>171</v>
      </c>
      <c r="E2746" t="s">
        <v>137</v>
      </c>
      <c r="F2746">
        <v>2.5</v>
      </c>
      <c r="G2746">
        <v>6</v>
      </c>
      <c r="H2746" t="s">
        <v>14</v>
      </c>
      <c r="I2746" t="s">
        <v>86</v>
      </c>
      <c r="J2746" t="s">
        <v>122</v>
      </c>
      <c r="K2746">
        <f>Pqp_supermarket_data[[#This Row],[Unit_Price]]*Pqp_supermarket_data[[#This Row],[Quantity]]</f>
        <v>15</v>
      </c>
      <c r="L2746" t="str">
        <f>TEXT(Pqp_supermarket_data[[#This Row],[DateTime]],"ddd")</f>
        <v>Wed</v>
      </c>
      <c r="M2746" t="str">
        <f>TEXT(Pqp_supermarket_data[[#This Row],[DateTime]],"mmm")</f>
        <v>May</v>
      </c>
      <c r="N2746" t="str">
        <f>TEXT(Pqp_supermarket_data[[#This Row],[DateTime]],"yyy")</f>
        <v>2024</v>
      </c>
    </row>
    <row r="2747" spans="1:14" x14ac:dyDescent="0.35">
      <c r="A2747" t="s">
        <v>5588</v>
      </c>
      <c r="B2747" s="1">
        <v>45703.874357256944</v>
      </c>
      <c r="C2747" t="s">
        <v>5589</v>
      </c>
      <c r="D2747" t="s">
        <v>98</v>
      </c>
      <c r="E2747" t="s">
        <v>35</v>
      </c>
      <c r="F2747">
        <v>1.2</v>
      </c>
      <c r="G2747">
        <v>1</v>
      </c>
      <c r="H2747" t="s">
        <v>14</v>
      </c>
      <c r="I2747" t="s">
        <v>21</v>
      </c>
      <c r="J2747" t="s">
        <v>166</v>
      </c>
      <c r="K2747">
        <f>Pqp_supermarket_data[[#This Row],[Unit_Price]]*Pqp_supermarket_data[[#This Row],[Quantity]]</f>
        <v>1.2</v>
      </c>
      <c r="L2747" t="str">
        <f>TEXT(Pqp_supermarket_data[[#This Row],[DateTime]],"ddd")</f>
        <v>Sat</v>
      </c>
      <c r="M2747" t="str">
        <f>TEXT(Pqp_supermarket_data[[#This Row],[DateTime]],"mmm")</f>
        <v>Feb</v>
      </c>
      <c r="N2747" t="str">
        <f>TEXT(Pqp_supermarket_data[[#This Row],[DateTime]],"yyy")</f>
        <v>2025</v>
      </c>
    </row>
    <row r="2748" spans="1:14" x14ac:dyDescent="0.35">
      <c r="A2748" t="s">
        <v>5590</v>
      </c>
      <c r="B2748" s="1">
        <v>45780.673662835645</v>
      </c>
      <c r="C2748" t="s">
        <v>5591</v>
      </c>
      <c r="D2748" t="s">
        <v>19</v>
      </c>
      <c r="E2748" t="s">
        <v>26</v>
      </c>
      <c r="F2748">
        <v>2.5</v>
      </c>
      <c r="G2748">
        <v>7</v>
      </c>
      <c r="H2748" t="s">
        <v>14</v>
      </c>
      <c r="I2748" t="s">
        <v>61</v>
      </c>
      <c r="J2748" t="s">
        <v>71</v>
      </c>
      <c r="K2748">
        <f>Pqp_supermarket_data[[#This Row],[Unit_Price]]*Pqp_supermarket_data[[#This Row],[Quantity]]</f>
        <v>17.5</v>
      </c>
      <c r="L2748" t="str">
        <f>TEXT(Pqp_supermarket_data[[#This Row],[DateTime]],"ddd")</f>
        <v>Sat</v>
      </c>
      <c r="M2748" t="str">
        <f>TEXT(Pqp_supermarket_data[[#This Row],[DateTime]],"mmm")</f>
        <v>May</v>
      </c>
      <c r="N2748" t="str">
        <f>TEXT(Pqp_supermarket_data[[#This Row],[DateTime]],"yyy")</f>
        <v>2025</v>
      </c>
    </row>
    <row r="2749" spans="1:14" x14ac:dyDescent="0.35">
      <c r="A2749" t="s">
        <v>5592</v>
      </c>
      <c r="B2749" s="1">
        <v>45087.460468391204</v>
      </c>
      <c r="C2749" t="s">
        <v>5593</v>
      </c>
      <c r="D2749" t="s">
        <v>12</v>
      </c>
      <c r="E2749" t="s">
        <v>90</v>
      </c>
      <c r="F2749">
        <v>1.8</v>
      </c>
      <c r="G2749">
        <v>5</v>
      </c>
      <c r="H2749" t="s">
        <v>14</v>
      </c>
      <c r="I2749" t="s">
        <v>21</v>
      </c>
      <c r="J2749" t="s">
        <v>744</v>
      </c>
      <c r="K2749">
        <f>Pqp_supermarket_data[[#This Row],[Unit_Price]]*Pqp_supermarket_data[[#This Row],[Quantity]]</f>
        <v>9</v>
      </c>
      <c r="L2749" t="str">
        <f>TEXT(Pqp_supermarket_data[[#This Row],[DateTime]],"ddd")</f>
        <v>Sat</v>
      </c>
      <c r="M2749" t="str">
        <f>TEXT(Pqp_supermarket_data[[#This Row],[DateTime]],"mmm")</f>
        <v>Jun</v>
      </c>
      <c r="N2749" t="str">
        <f>TEXT(Pqp_supermarket_data[[#This Row],[DateTime]],"yyy")</f>
        <v>2023</v>
      </c>
    </row>
    <row r="2750" spans="1:14" x14ac:dyDescent="0.35">
      <c r="A2750" t="s">
        <v>5594</v>
      </c>
      <c r="B2750" s="1">
        <v>44957.034773946762</v>
      </c>
      <c r="C2750" t="s">
        <v>5595</v>
      </c>
      <c r="D2750" t="s">
        <v>77</v>
      </c>
      <c r="E2750" t="s">
        <v>26</v>
      </c>
      <c r="F2750">
        <v>2.5</v>
      </c>
      <c r="G2750">
        <v>7</v>
      </c>
      <c r="H2750" t="s">
        <v>14</v>
      </c>
      <c r="I2750" t="s">
        <v>15</v>
      </c>
      <c r="J2750" t="s">
        <v>195</v>
      </c>
      <c r="K2750">
        <f>Pqp_supermarket_data[[#This Row],[Unit_Price]]*Pqp_supermarket_data[[#This Row],[Quantity]]</f>
        <v>17.5</v>
      </c>
      <c r="L2750" t="str">
        <f>TEXT(Pqp_supermarket_data[[#This Row],[DateTime]],"ddd")</f>
        <v>Tue</v>
      </c>
      <c r="M2750" t="str">
        <f>TEXT(Pqp_supermarket_data[[#This Row],[DateTime]],"mmm")</f>
        <v>Jan</v>
      </c>
      <c r="N2750" t="str">
        <f>TEXT(Pqp_supermarket_data[[#This Row],[DateTime]],"yyy")</f>
        <v>2023</v>
      </c>
    </row>
    <row r="2751" spans="1:14" x14ac:dyDescent="0.35">
      <c r="A2751" t="s">
        <v>5596</v>
      </c>
      <c r="B2751" s="1">
        <v>44739.254218402777</v>
      </c>
      <c r="C2751" t="s">
        <v>5597</v>
      </c>
      <c r="D2751" t="s">
        <v>44</v>
      </c>
      <c r="E2751" t="s">
        <v>137</v>
      </c>
      <c r="F2751">
        <v>2.5</v>
      </c>
      <c r="G2751">
        <v>6</v>
      </c>
      <c r="H2751" t="s">
        <v>14</v>
      </c>
      <c r="I2751" t="s">
        <v>61</v>
      </c>
      <c r="J2751" t="s">
        <v>66</v>
      </c>
      <c r="K2751">
        <f>Pqp_supermarket_data[[#This Row],[Unit_Price]]*Pqp_supermarket_data[[#This Row],[Quantity]]</f>
        <v>15</v>
      </c>
      <c r="L2751" t="str">
        <f>TEXT(Pqp_supermarket_data[[#This Row],[DateTime]],"ddd")</f>
        <v>Mon</v>
      </c>
      <c r="M2751" t="str">
        <f>TEXT(Pqp_supermarket_data[[#This Row],[DateTime]],"mmm")</f>
        <v>Jun</v>
      </c>
      <c r="N2751" t="str">
        <f>TEXT(Pqp_supermarket_data[[#This Row],[DateTime]],"yyy")</f>
        <v>2022</v>
      </c>
    </row>
    <row r="2752" spans="1:14" x14ac:dyDescent="0.35">
      <c r="A2752" t="s">
        <v>5598</v>
      </c>
      <c r="B2752" s="1">
        <v>44605.027829513892</v>
      </c>
      <c r="C2752" t="s">
        <v>5599</v>
      </c>
      <c r="D2752" t="s">
        <v>208</v>
      </c>
      <c r="E2752" t="s">
        <v>20</v>
      </c>
      <c r="F2752">
        <v>1</v>
      </c>
      <c r="G2752">
        <v>1</v>
      </c>
      <c r="H2752" t="s">
        <v>14</v>
      </c>
      <c r="I2752" t="s">
        <v>36</v>
      </c>
      <c r="J2752" t="s">
        <v>122</v>
      </c>
      <c r="K2752">
        <f>Pqp_supermarket_data[[#This Row],[Unit_Price]]*Pqp_supermarket_data[[#This Row],[Quantity]]</f>
        <v>1</v>
      </c>
      <c r="L2752" t="str">
        <f>TEXT(Pqp_supermarket_data[[#This Row],[DateTime]],"ddd")</f>
        <v>Sun</v>
      </c>
      <c r="M2752" t="str">
        <f>TEXT(Pqp_supermarket_data[[#This Row],[DateTime]],"mmm")</f>
        <v>Feb</v>
      </c>
      <c r="N2752" t="str">
        <f>TEXT(Pqp_supermarket_data[[#This Row],[DateTime]],"yyy")</f>
        <v>2022</v>
      </c>
    </row>
    <row r="2753" spans="1:14" x14ac:dyDescent="0.35">
      <c r="A2753" t="s">
        <v>5600</v>
      </c>
      <c r="B2753" s="1">
        <v>45678.009079513889</v>
      </c>
      <c r="C2753" t="s">
        <v>5601</v>
      </c>
      <c r="D2753" t="s">
        <v>25</v>
      </c>
      <c r="E2753" t="s">
        <v>145</v>
      </c>
      <c r="F2753">
        <v>1.7</v>
      </c>
      <c r="G2753">
        <v>10</v>
      </c>
      <c r="H2753" t="s">
        <v>14</v>
      </c>
      <c r="I2753" t="s">
        <v>21</v>
      </c>
      <c r="J2753" t="s">
        <v>270</v>
      </c>
      <c r="K2753">
        <f>Pqp_supermarket_data[[#This Row],[Unit_Price]]*Pqp_supermarket_data[[#This Row],[Quantity]]</f>
        <v>17</v>
      </c>
      <c r="L2753" t="str">
        <f>TEXT(Pqp_supermarket_data[[#This Row],[DateTime]],"ddd")</f>
        <v>Tue</v>
      </c>
      <c r="M2753" t="str">
        <f>TEXT(Pqp_supermarket_data[[#This Row],[DateTime]],"mmm")</f>
        <v>Jan</v>
      </c>
      <c r="N2753" t="str">
        <f>TEXT(Pqp_supermarket_data[[#This Row],[DateTime]],"yyy")</f>
        <v>2025</v>
      </c>
    </row>
    <row r="2754" spans="1:14" x14ac:dyDescent="0.35">
      <c r="A2754" t="s">
        <v>5602</v>
      </c>
      <c r="B2754" s="1">
        <v>44843.752829571757</v>
      </c>
      <c r="C2754" t="s">
        <v>5603</v>
      </c>
      <c r="D2754" t="s">
        <v>226</v>
      </c>
      <c r="E2754" t="s">
        <v>35</v>
      </c>
      <c r="F2754">
        <v>1.2</v>
      </c>
      <c r="G2754">
        <v>10</v>
      </c>
      <c r="H2754" t="s">
        <v>14</v>
      </c>
      <c r="I2754" t="s">
        <v>36</v>
      </c>
      <c r="J2754" t="s">
        <v>716</v>
      </c>
      <c r="K2754">
        <f>Pqp_supermarket_data[[#This Row],[Unit_Price]]*Pqp_supermarket_data[[#This Row],[Quantity]]</f>
        <v>12</v>
      </c>
      <c r="L2754" t="str">
        <f>TEXT(Pqp_supermarket_data[[#This Row],[DateTime]],"ddd")</f>
        <v>Sun</v>
      </c>
      <c r="M2754" t="str">
        <f>TEXT(Pqp_supermarket_data[[#This Row],[DateTime]],"mmm")</f>
        <v>Oct</v>
      </c>
      <c r="N2754" t="str">
        <f>TEXT(Pqp_supermarket_data[[#This Row],[DateTime]],"yyy")</f>
        <v>2022</v>
      </c>
    </row>
    <row r="2755" spans="1:14" x14ac:dyDescent="0.35">
      <c r="A2755" t="s">
        <v>5604</v>
      </c>
      <c r="B2755" s="1">
        <v>45408.390329571761</v>
      </c>
      <c r="C2755" t="s">
        <v>5605</v>
      </c>
      <c r="D2755" t="s">
        <v>208</v>
      </c>
      <c r="E2755" t="s">
        <v>13</v>
      </c>
      <c r="F2755">
        <v>3.1</v>
      </c>
      <c r="G2755">
        <v>1</v>
      </c>
      <c r="H2755" t="s">
        <v>14</v>
      </c>
      <c r="I2755" t="s">
        <v>40</v>
      </c>
      <c r="J2755" t="s">
        <v>662</v>
      </c>
      <c r="K2755">
        <f>Pqp_supermarket_data[[#This Row],[Unit_Price]]*Pqp_supermarket_data[[#This Row],[Quantity]]</f>
        <v>3.1</v>
      </c>
      <c r="L2755" t="str">
        <f>TEXT(Pqp_supermarket_data[[#This Row],[DateTime]],"ddd")</f>
        <v>Fri</v>
      </c>
      <c r="M2755" t="str">
        <f>TEXT(Pqp_supermarket_data[[#This Row],[DateTime]],"mmm")</f>
        <v>Apr</v>
      </c>
      <c r="N2755" t="str">
        <f>TEXT(Pqp_supermarket_data[[#This Row],[DateTime]],"yyy")</f>
        <v>2024</v>
      </c>
    </row>
    <row r="2756" spans="1:14" x14ac:dyDescent="0.35">
      <c r="A2756" t="s">
        <v>5606</v>
      </c>
      <c r="B2756" s="1">
        <v>45268.888246261573</v>
      </c>
      <c r="C2756" t="s">
        <v>5607</v>
      </c>
      <c r="D2756" t="s">
        <v>19</v>
      </c>
      <c r="E2756" t="s">
        <v>20</v>
      </c>
      <c r="F2756">
        <v>1</v>
      </c>
      <c r="G2756">
        <v>9</v>
      </c>
      <c r="H2756" t="s">
        <v>14</v>
      </c>
      <c r="I2756" t="s">
        <v>36</v>
      </c>
      <c r="J2756" t="s">
        <v>288</v>
      </c>
      <c r="K2756">
        <f>Pqp_supermarket_data[[#This Row],[Unit_Price]]*Pqp_supermarket_data[[#This Row],[Quantity]]</f>
        <v>9</v>
      </c>
      <c r="L2756" t="str">
        <f>TEXT(Pqp_supermarket_data[[#This Row],[DateTime]],"ddd")</f>
        <v>Fri</v>
      </c>
      <c r="M2756" t="str">
        <f>TEXT(Pqp_supermarket_data[[#This Row],[DateTime]],"mmm")</f>
        <v>Dec</v>
      </c>
      <c r="N2756" t="str">
        <f>TEXT(Pqp_supermarket_data[[#This Row],[DateTime]],"yyy")</f>
        <v>2023</v>
      </c>
    </row>
    <row r="2757" spans="1:14" x14ac:dyDescent="0.35">
      <c r="A2757" t="s">
        <v>5608</v>
      </c>
      <c r="B2757" s="1">
        <v>45250.69449627315</v>
      </c>
      <c r="C2757" t="s">
        <v>5609</v>
      </c>
      <c r="D2757" t="s">
        <v>127</v>
      </c>
      <c r="E2757" t="s">
        <v>94</v>
      </c>
      <c r="F2757">
        <v>0.8</v>
      </c>
      <c r="G2757">
        <v>9</v>
      </c>
      <c r="H2757" t="s">
        <v>14</v>
      </c>
      <c r="I2757" t="s">
        <v>86</v>
      </c>
      <c r="J2757" t="s">
        <v>336</v>
      </c>
      <c r="K2757">
        <f>Pqp_supermarket_data[[#This Row],[Unit_Price]]*Pqp_supermarket_data[[#This Row],[Quantity]]</f>
        <v>7.2</v>
      </c>
      <c r="L2757" t="str">
        <f>TEXT(Pqp_supermarket_data[[#This Row],[DateTime]],"ddd")</f>
        <v>Mon</v>
      </c>
      <c r="M2757" t="str">
        <f>TEXT(Pqp_supermarket_data[[#This Row],[DateTime]],"mmm")</f>
        <v>Nov</v>
      </c>
      <c r="N2757" t="str">
        <f>TEXT(Pqp_supermarket_data[[#This Row],[DateTime]],"yyy")</f>
        <v>2023</v>
      </c>
    </row>
    <row r="2758" spans="1:14" x14ac:dyDescent="0.35">
      <c r="A2758" t="s">
        <v>5610</v>
      </c>
      <c r="B2758" s="1">
        <v>45276.884774050923</v>
      </c>
      <c r="C2758" t="s">
        <v>5611</v>
      </c>
      <c r="D2758" t="s">
        <v>82</v>
      </c>
      <c r="E2758" t="s">
        <v>78</v>
      </c>
      <c r="F2758">
        <v>4</v>
      </c>
      <c r="G2758">
        <v>9</v>
      </c>
      <c r="H2758" t="s">
        <v>14</v>
      </c>
      <c r="I2758" t="s">
        <v>36</v>
      </c>
      <c r="J2758" t="s">
        <v>95</v>
      </c>
      <c r="K2758">
        <f>Pqp_supermarket_data[[#This Row],[Unit_Price]]*Pqp_supermarket_data[[#This Row],[Quantity]]</f>
        <v>36</v>
      </c>
      <c r="L2758" t="str">
        <f>TEXT(Pqp_supermarket_data[[#This Row],[DateTime]],"ddd")</f>
        <v>Sat</v>
      </c>
      <c r="M2758" t="str">
        <f>TEXT(Pqp_supermarket_data[[#This Row],[DateTime]],"mmm")</f>
        <v>Dec</v>
      </c>
      <c r="N2758" t="str">
        <f>TEXT(Pqp_supermarket_data[[#This Row],[DateTime]],"yyy")</f>
        <v>2023</v>
      </c>
    </row>
    <row r="2759" spans="1:14" x14ac:dyDescent="0.35">
      <c r="A2759" t="s">
        <v>5612</v>
      </c>
      <c r="B2759" s="1">
        <v>44968.21602407407</v>
      </c>
      <c r="C2759" t="s">
        <v>5613</v>
      </c>
      <c r="D2759" t="s">
        <v>69</v>
      </c>
      <c r="E2759" t="s">
        <v>65</v>
      </c>
      <c r="F2759">
        <v>3</v>
      </c>
      <c r="G2759">
        <v>3</v>
      </c>
      <c r="H2759" t="s">
        <v>14</v>
      </c>
      <c r="I2759" t="s">
        <v>36</v>
      </c>
      <c r="J2759" t="s">
        <v>548</v>
      </c>
      <c r="K2759">
        <f>Pqp_supermarket_data[[#This Row],[Unit_Price]]*Pqp_supermarket_data[[#This Row],[Quantity]]</f>
        <v>9</v>
      </c>
      <c r="L2759" t="str">
        <f>TEXT(Pqp_supermarket_data[[#This Row],[DateTime]],"ddd")</f>
        <v>Sat</v>
      </c>
      <c r="M2759" t="str">
        <f>TEXT(Pqp_supermarket_data[[#This Row],[DateTime]],"mmm")</f>
        <v>Feb</v>
      </c>
      <c r="N2759" t="str">
        <f>TEXT(Pqp_supermarket_data[[#This Row],[DateTime]],"yyy")</f>
        <v>2023</v>
      </c>
    </row>
    <row r="2760" spans="1:14" x14ac:dyDescent="0.35">
      <c r="A2760" t="s">
        <v>5614</v>
      </c>
      <c r="B2760" s="1">
        <v>44518.672274074073</v>
      </c>
      <c r="C2760" t="s">
        <v>5615</v>
      </c>
      <c r="D2760" t="s">
        <v>12</v>
      </c>
      <c r="E2760" t="s">
        <v>94</v>
      </c>
      <c r="F2760">
        <v>0.8</v>
      </c>
      <c r="G2760">
        <v>9</v>
      </c>
      <c r="H2760" t="s">
        <v>14</v>
      </c>
      <c r="I2760" t="s">
        <v>21</v>
      </c>
      <c r="J2760" t="s">
        <v>230</v>
      </c>
      <c r="K2760">
        <f>Pqp_supermarket_data[[#This Row],[Unit_Price]]*Pqp_supermarket_data[[#This Row],[Quantity]]</f>
        <v>7.2</v>
      </c>
      <c r="L2760" t="str">
        <f>TEXT(Pqp_supermarket_data[[#This Row],[DateTime]],"ddd")</f>
        <v>Thu</v>
      </c>
      <c r="M2760" t="str">
        <f>TEXT(Pqp_supermarket_data[[#This Row],[DateTime]],"mmm")</f>
        <v>Nov</v>
      </c>
      <c r="N2760" t="str">
        <f>TEXT(Pqp_supermarket_data[[#This Row],[DateTime]],"yyy")</f>
        <v>2021</v>
      </c>
    </row>
    <row r="2761" spans="1:14" x14ac:dyDescent="0.35">
      <c r="A2761" t="s">
        <v>5616</v>
      </c>
      <c r="B2761" s="1">
        <v>44414.652829652776</v>
      </c>
      <c r="C2761" t="s">
        <v>5617</v>
      </c>
      <c r="D2761" t="s">
        <v>127</v>
      </c>
      <c r="E2761" t="s">
        <v>145</v>
      </c>
      <c r="F2761">
        <v>1.7</v>
      </c>
      <c r="G2761">
        <v>5</v>
      </c>
      <c r="H2761" t="s">
        <v>14</v>
      </c>
      <c r="I2761" t="s">
        <v>15</v>
      </c>
      <c r="J2761" t="s">
        <v>397</v>
      </c>
      <c r="K2761">
        <f>Pqp_supermarket_data[[#This Row],[Unit_Price]]*Pqp_supermarket_data[[#This Row],[Quantity]]</f>
        <v>8.5</v>
      </c>
      <c r="L2761" t="str">
        <f>TEXT(Pqp_supermarket_data[[#This Row],[DateTime]],"ddd")</f>
        <v>Fri</v>
      </c>
      <c r="M2761" t="str">
        <f>TEXT(Pqp_supermarket_data[[#This Row],[DateTime]],"mmm")</f>
        <v>Aug</v>
      </c>
      <c r="N2761" t="str">
        <f>TEXT(Pqp_supermarket_data[[#This Row],[DateTime]],"yyy")</f>
        <v>2021</v>
      </c>
    </row>
    <row r="2762" spans="1:14" x14ac:dyDescent="0.35">
      <c r="A2762" t="s">
        <v>5618</v>
      </c>
      <c r="B2762" s="1">
        <v>45288.984774097225</v>
      </c>
      <c r="C2762" t="s">
        <v>5619</v>
      </c>
      <c r="D2762" t="s">
        <v>12</v>
      </c>
      <c r="E2762" t="s">
        <v>111</v>
      </c>
      <c r="F2762">
        <v>2.2000000000000002</v>
      </c>
      <c r="G2762">
        <v>6</v>
      </c>
      <c r="H2762" t="s">
        <v>14</v>
      </c>
      <c r="I2762" t="s">
        <v>36</v>
      </c>
      <c r="J2762" t="s">
        <v>105</v>
      </c>
      <c r="K2762">
        <f>Pqp_supermarket_data[[#This Row],[Unit_Price]]*Pqp_supermarket_data[[#This Row],[Quantity]]</f>
        <v>13.200000000000001</v>
      </c>
      <c r="L2762" t="str">
        <f>TEXT(Pqp_supermarket_data[[#This Row],[DateTime]],"ddd")</f>
        <v>Thu</v>
      </c>
      <c r="M2762" t="str">
        <f>TEXT(Pqp_supermarket_data[[#This Row],[DateTime]],"mmm")</f>
        <v>Dec</v>
      </c>
      <c r="N2762" t="str">
        <f>TEXT(Pqp_supermarket_data[[#This Row],[DateTime]],"yyy")</f>
        <v>2023</v>
      </c>
    </row>
    <row r="2763" spans="1:14" x14ac:dyDescent="0.35">
      <c r="A2763" t="s">
        <v>5620</v>
      </c>
      <c r="B2763" s="1">
        <v>44704.009079675925</v>
      </c>
      <c r="C2763" t="s">
        <v>5621</v>
      </c>
      <c r="D2763" t="s">
        <v>77</v>
      </c>
      <c r="E2763" t="s">
        <v>57</v>
      </c>
      <c r="F2763">
        <v>4.5</v>
      </c>
      <c r="G2763">
        <v>5</v>
      </c>
      <c r="H2763" t="s">
        <v>14</v>
      </c>
      <c r="I2763" t="s">
        <v>40</v>
      </c>
      <c r="J2763" t="s">
        <v>311</v>
      </c>
      <c r="K2763">
        <f>Pqp_supermarket_data[[#This Row],[Unit_Price]]*Pqp_supermarket_data[[#This Row],[Quantity]]</f>
        <v>22.5</v>
      </c>
      <c r="L2763" t="str">
        <f>TEXT(Pqp_supermarket_data[[#This Row],[DateTime]],"ddd")</f>
        <v>Mon</v>
      </c>
      <c r="M2763" t="str">
        <f>TEXT(Pqp_supermarket_data[[#This Row],[DateTime]],"mmm")</f>
        <v>May</v>
      </c>
      <c r="N2763" t="str">
        <f>TEXT(Pqp_supermarket_data[[#This Row],[DateTime]],"yyy")</f>
        <v>2022</v>
      </c>
    </row>
    <row r="2764" spans="1:14" x14ac:dyDescent="0.35">
      <c r="A2764" t="s">
        <v>5622</v>
      </c>
      <c r="B2764" s="1">
        <v>45703.04727412037</v>
      </c>
      <c r="C2764" t="s">
        <v>5623</v>
      </c>
      <c r="D2764" t="s">
        <v>30</v>
      </c>
      <c r="E2764" t="s">
        <v>49</v>
      </c>
      <c r="F2764">
        <v>7</v>
      </c>
      <c r="G2764">
        <v>3</v>
      </c>
      <c r="H2764" t="s">
        <v>14</v>
      </c>
      <c r="I2764" t="s">
        <v>61</v>
      </c>
      <c r="J2764" t="s">
        <v>91</v>
      </c>
      <c r="K2764">
        <f>Pqp_supermarket_data[[#This Row],[Unit_Price]]*Pqp_supermarket_data[[#This Row],[Quantity]]</f>
        <v>21</v>
      </c>
      <c r="L2764" t="str">
        <f>TEXT(Pqp_supermarket_data[[#This Row],[DateTime]],"ddd")</f>
        <v>Sat</v>
      </c>
      <c r="M2764" t="str">
        <f>TEXT(Pqp_supermarket_data[[#This Row],[DateTime]],"mmm")</f>
        <v>Feb</v>
      </c>
      <c r="N2764" t="str">
        <f>TEXT(Pqp_supermarket_data[[#This Row],[DateTime]],"yyy")</f>
        <v>2025</v>
      </c>
    </row>
    <row r="2765" spans="1:14" x14ac:dyDescent="0.35">
      <c r="A2765" t="s">
        <v>5624</v>
      </c>
      <c r="B2765" s="1">
        <v>45021.146579675929</v>
      </c>
      <c r="C2765" t="s">
        <v>5625</v>
      </c>
      <c r="D2765" t="s">
        <v>34</v>
      </c>
      <c r="E2765" t="s">
        <v>137</v>
      </c>
      <c r="F2765">
        <v>2.5</v>
      </c>
      <c r="G2765">
        <v>3</v>
      </c>
      <c r="H2765" t="s">
        <v>14</v>
      </c>
      <c r="I2765" t="s">
        <v>86</v>
      </c>
      <c r="J2765" t="s">
        <v>496</v>
      </c>
      <c r="K2765">
        <f>Pqp_supermarket_data[[#This Row],[Unit_Price]]*Pqp_supermarket_data[[#This Row],[Quantity]]</f>
        <v>7.5</v>
      </c>
      <c r="L2765" t="str">
        <f>TEXT(Pqp_supermarket_data[[#This Row],[DateTime]],"ddd")</f>
        <v>Wed</v>
      </c>
      <c r="M2765" t="str">
        <f>TEXT(Pqp_supermarket_data[[#This Row],[DateTime]],"mmm")</f>
        <v>Apr</v>
      </c>
      <c r="N2765" t="str">
        <f>TEXT(Pqp_supermarket_data[[#This Row],[DateTime]],"yyy")</f>
        <v>2023</v>
      </c>
    </row>
    <row r="2766" spans="1:14" x14ac:dyDescent="0.35">
      <c r="A2766" t="s">
        <v>5626</v>
      </c>
      <c r="B2766" s="1">
        <v>44403.086857453702</v>
      </c>
      <c r="C2766" t="s">
        <v>5627</v>
      </c>
      <c r="D2766" t="s">
        <v>85</v>
      </c>
      <c r="E2766" t="s">
        <v>94</v>
      </c>
      <c r="F2766">
        <v>0.8</v>
      </c>
      <c r="G2766">
        <v>5</v>
      </c>
      <c r="H2766" t="s">
        <v>14</v>
      </c>
      <c r="I2766" t="s">
        <v>15</v>
      </c>
      <c r="J2766" t="s">
        <v>46</v>
      </c>
      <c r="K2766">
        <f>Pqp_supermarket_data[[#This Row],[Unit_Price]]*Pqp_supermarket_data[[#This Row],[Quantity]]</f>
        <v>4</v>
      </c>
      <c r="L2766" t="str">
        <f>TEXT(Pqp_supermarket_data[[#This Row],[DateTime]],"ddd")</f>
        <v>Mon</v>
      </c>
      <c r="M2766" t="str">
        <f>TEXT(Pqp_supermarket_data[[#This Row],[DateTime]],"mmm")</f>
        <v>Jul</v>
      </c>
      <c r="N2766" t="str">
        <f>TEXT(Pqp_supermarket_data[[#This Row],[DateTime]],"yyy")</f>
        <v>2021</v>
      </c>
    </row>
    <row r="2767" spans="1:14" x14ac:dyDescent="0.35">
      <c r="A2767" t="s">
        <v>5628</v>
      </c>
      <c r="B2767" s="1">
        <v>45738.681301921293</v>
      </c>
      <c r="C2767" t="s">
        <v>5629</v>
      </c>
      <c r="D2767" t="s">
        <v>98</v>
      </c>
      <c r="E2767" t="s">
        <v>49</v>
      </c>
      <c r="F2767">
        <v>7</v>
      </c>
      <c r="G2767">
        <v>5</v>
      </c>
      <c r="H2767" t="s">
        <v>14</v>
      </c>
      <c r="I2767" t="s">
        <v>86</v>
      </c>
      <c r="J2767" t="s">
        <v>339</v>
      </c>
      <c r="K2767">
        <f>Pqp_supermarket_data[[#This Row],[Unit_Price]]*Pqp_supermarket_data[[#This Row],[Quantity]]</f>
        <v>35</v>
      </c>
      <c r="L2767" t="str">
        <f>TEXT(Pqp_supermarket_data[[#This Row],[DateTime]],"ddd")</f>
        <v>Sat</v>
      </c>
      <c r="M2767" t="str">
        <f>TEXT(Pqp_supermarket_data[[#This Row],[DateTime]],"mmm")</f>
        <v>Mar</v>
      </c>
      <c r="N2767" t="str">
        <f>TEXT(Pqp_supermarket_data[[#This Row],[DateTime]],"yyy")</f>
        <v>2025</v>
      </c>
    </row>
    <row r="2768" spans="1:14" x14ac:dyDescent="0.35">
      <c r="A2768" t="s">
        <v>5630</v>
      </c>
      <c r="B2768" s="1">
        <v>45190.868107488423</v>
      </c>
      <c r="C2768" t="s">
        <v>5631</v>
      </c>
      <c r="D2768" t="s">
        <v>34</v>
      </c>
      <c r="E2768" t="s">
        <v>90</v>
      </c>
      <c r="F2768">
        <v>1.8</v>
      </c>
      <c r="G2768">
        <v>9</v>
      </c>
      <c r="H2768" t="s">
        <v>14</v>
      </c>
      <c r="I2768" t="s">
        <v>40</v>
      </c>
      <c r="J2768" t="s">
        <v>426</v>
      </c>
      <c r="K2768">
        <f>Pqp_supermarket_data[[#This Row],[Unit_Price]]*Pqp_supermarket_data[[#This Row],[Quantity]]</f>
        <v>16.2</v>
      </c>
      <c r="L2768" t="str">
        <f>TEXT(Pqp_supermarket_data[[#This Row],[DateTime]],"ddd")</f>
        <v>Thu</v>
      </c>
      <c r="M2768" t="str">
        <f>TEXT(Pqp_supermarket_data[[#This Row],[DateTime]],"mmm")</f>
        <v>Sep</v>
      </c>
      <c r="N2768" t="str">
        <f>TEXT(Pqp_supermarket_data[[#This Row],[DateTime]],"yyy")</f>
        <v>2023</v>
      </c>
    </row>
    <row r="2769" spans="1:14" x14ac:dyDescent="0.35">
      <c r="A2769" t="s">
        <v>5632</v>
      </c>
      <c r="B2769" s="1">
        <v>45323.597274155094</v>
      </c>
      <c r="C2769" t="s">
        <v>5633</v>
      </c>
      <c r="D2769" t="s">
        <v>44</v>
      </c>
      <c r="E2769" t="s">
        <v>26</v>
      </c>
      <c r="F2769">
        <v>2.5</v>
      </c>
      <c r="G2769">
        <v>9</v>
      </c>
      <c r="H2769" t="s">
        <v>14</v>
      </c>
      <c r="I2769" t="s">
        <v>36</v>
      </c>
      <c r="J2769" t="s">
        <v>616</v>
      </c>
      <c r="K2769">
        <f>Pqp_supermarket_data[[#This Row],[Unit_Price]]*Pqp_supermarket_data[[#This Row],[Quantity]]</f>
        <v>22.5</v>
      </c>
      <c r="L2769" t="str">
        <f>TEXT(Pqp_supermarket_data[[#This Row],[DateTime]],"ddd")</f>
        <v>Thu</v>
      </c>
      <c r="M2769" t="str">
        <f>TEXT(Pqp_supermarket_data[[#This Row],[DateTime]],"mmm")</f>
        <v>Feb</v>
      </c>
      <c r="N2769" t="str">
        <f>TEXT(Pqp_supermarket_data[[#This Row],[DateTime]],"yyy")</f>
        <v>2024</v>
      </c>
    </row>
    <row r="2770" spans="1:14" x14ac:dyDescent="0.35">
      <c r="A2770" t="s">
        <v>5634</v>
      </c>
      <c r="B2770" s="1">
        <v>44724.314635266201</v>
      </c>
      <c r="C2770" t="s">
        <v>5635</v>
      </c>
      <c r="D2770" t="s">
        <v>127</v>
      </c>
      <c r="E2770" t="s">
        <v>39</v>
      </c>
      <c r="F2770">
        <v>3.2</v>
      </c>
      <c r="G2770">
        <v>3</v>
      </c>
      <c r="H2770" t="s">
        <v>14</v>
      </c>
      <c r="I2770" t="s">
        <v>86</v>
      </c>
      <c r="J2770" t="s">
        <v>262</v>
      </c>
      <c r="K2770">
        <f>Pqp_supermarket_data[[#This Row],[Unit_Price]]*Pqp_supermarket_data[[#This Row],[Quantity]]</f>
        <v>9.6000000000000014</v>
      </c>
      <c r="L2770" t="str">
        <f>TEXT(Pqp_supermarket_data[[#This Row],[DateTime]],"ddd")</f>
        <v>Sun</v>
      </c>
      <c r="M2770" t="str">
        <f>TEXT(Pqp_supermarket_data[[#This Row],[DateTime]],"mmm")</f>
        <v>Jun</v>
      </c>
      <c r="N2770" t="str">
        <f>TEXT(Pqp_supermarket_data[[#This Row],[DateTime]],"yyy")</f>
        <v>2022</v>
      </c>
    </row>
    <row r="2771" spans="1:14" x14ac:dyDescent="0.35">
      <c r="A2771" t="s">
        <v>5636</v>
      </c>
      <c r="B2771" s="1">
        <v>44359.488246400462</v>
      </c>
      <c r="C2771" t="s">
        <v>5637</v>
      </c>
      <c r="D2771" t="s">
        <v>12</v>
      </c>
      <c r="E2771" t="s">
        <v>39</v>
      </c>
      <c r="F2771">
        <v>3.2</v>
      </c>
      <c r="G2771">
        <v>1</v>
      </c>
      <c r="H2771" t="s">
        <v>14</v>
      </c>
      <c r="I2771" t="s">
        <v>61</v>
      </c>
      <c r="J2771" t="s">
        <v>382</v>
      </c>
      <c r="K2771">
        <f>Pqp_supermarket_data[[#This Row],[Unit_Price]]*Pqp_supermarket_data[[#This Row],[Quantity]]</f>
        <v>3.2</v>
      </c>
      <c r="L2771" t="str">
        <f>TEXT(Pqp_supermarket_data[[#This Row],[DateTime]],"ddd")</f>
        <v>Sat</v>
      </c>
      <c r="M2771" t="str">
        <f>TEXT(Pqp_supermarket_data[[#This Row],[DateTime]],"mmm")</f>
        <v>Jun</v>
      </c>
      <c r="N2771" t="str">
        <f>TEXT(Pqp_supermarket_data[[#This Row],[DateTime]],"yyy")</f>
        <v>2021</v>
      </c>
    </row>
    <row r="2772" spans="1:14" x14ac:dyDescent="0.35">
      <c r="A2772" t="s">
        <v>5638</v>
      </c>
      <c r="B2772" s="1">
        <v>44478.480607534722</v>
      </c>
      <c r="C2772" t="s">
        <v>5639</v>
      </c>
      <c r="D2772" t="s">
        <v>127</v>
      </c>
      <c r="E2772" t="s">
        <v>26</v>
      </c>
      <c r="F2772">
        <v>2.5</v>
      </c>
      <c r="G2772">
        <v>4</v>
      </c>
      <c r="H2772" t="s">
        <v>14</v>
      </c>
      <c r="I2772" t="s">
        <v>15</v>
      </c>
      <c r="J2772" t="s">
        <v>212</v>
      </c>
      <c r="K2772">
        <f>Pqp_supermarket_data[[#This Row],[Unit_Price]]*Pqp_supermarket_data[[#This Row],[Quantity]]</f>
        <v>10</v>
      </c>
      <c r="L2772" t="str">
        <f>TEXT(Pqp_supermarket_data[[#This Row],[DateTime]],"ddd")</f>
        <v>Sat</v>
      </c>
      <c r="M2772" t="str">
        <f>TEXT(Pqp_supermarket_data[[#This Row],[DateTime]],"mmm")</f>
        <v>Oct</v>
      </c>
      <c r="N2772" t="str">
        <f>TEXT(Pqp_supermarket_data[[#This Row],[DateTime]],"yyy")</f>
        <v>2021</v>
      </c>
    </row>
    <row r="2773" spans="1:14" x14ac:dyDescent="0.35">
      <c r="A2773" t="s">
        <v>5640</v>
      </c>
      <c r="B2773" s="1">
        <v>45059.272968645833</v>
      </c>
      <c r="C2773" t="s">
        <v>5641</v>
      </c>
      <c r="D2773" t="s">
        <v>85</v>
      </c>
      <c r="E2773" t="s">
        <v>13</v>
      </c>
      <c r="F2773">
        <v>3.1</v>
      </c>
      <c r="G2773">
        <v>10</v>
      </c>
      <c r="H2773" t="s">
        <v>14</v>
      </c>
      <c r="I2773" t="s">
        <v>61</v>
      </c>
      <c r="J2773" t="s">
        <v>54</v>
      </c>
      <c r="K2773">
        <f>Pqp_supermarket_data[[#This Row],[Unit_Price]]*Pqp_supermarket_data[[#This Row],[Quantity]]</f>
        <v>31</v>
      </c>
      <c r="L2773" t="str">
        <f>TEXT(Pqp_supermarket_data[[#This Row],[DateTime]],"ddd")</f>
        <v>Sat</v>
      </c>
      <c r="M2773" t="str">
        <f>TEXT(Pqp_supermarket_data[[#This Row],[DateTime]],"mmm")</f>
        <v>May</v>
      </c>
      <c r="N2773" t="str">
        <f>TEXT(Pqp_supermarket_data[[#This Row],[DateTime]],"yyy")</f>
        <v>2023</v>
      </c>
    </row>
    <row r="2774" spans="1:14" x14ac:dyDescent="0.35">
      <c r="A2774" t="s">
        <v>5642</v>
      </c>
      <c r="B2774" s="1">
        <v>45536.027829780091</v>
      </c>
      <c r="C2774" t="s">
        <v>5643</v>
      </c>
      <c r="D2774" t="s">
        <v>25</v>
      </c>
      <c r="E2774" t="s">
        <v>111</v>
      </c>
      <c r="F2774">
        <v>2.2000000000000002</v>
      </c>
      <c r="G2774">
        <v>2</v>
      </c>
      <c r="H2774" t="s">
        <v>14</v>
      </c>
      <c r="I2774" t="s">
        <v>40</v>
      </c>
      <c r="J2774" t="s">
        <v>58</v>
      </c>
      <c r="K2774">
        <f>Pqp_supermarket_data[[#This Row],[Unit_Price]]*Pqp_supermarket_data[[#This Row],[Quantity]]</f>
        <v>4.4000000000000004</v>
      </c>
      <c r="L2774" t="str">
        <f>TEXT(Pqp_supermarket_data[[#This Row],[DateTime]],"ddd")</f>
        <v>Sun</v>
      </c>
      <c r="M2774" t="str">
        <f>TEXT(Pqp_supermarket_data[[#This Row],[DateTime]],"mmm")</f>
        <v>Sep</v>
      </c>
      <c r="N2774" t="str">
        <f>TEXT(Pqp_supermarket_data[[#This Row],[DateTime]],"yyy")</f>
        <v>2024</v>
      </c>
    </row>
    <row r="2775" spans="1:14" x14ac:dyDescent="0.35">
      <c r="A2775" t="s">
        <v>5644</v>
      </c>
      <c r="B2775" s="1">
        <v>44329.747968668984</v>
      </c>
      <c r="C2775" t="s">
        <v>5645</v>
      </c>
      <c r="D2775" t="s">
        <v>85</v>
      </c>
      <c r="E2775" t="s">
        <v>70</v>
      </c>
      <c r="F2775">
        <v>5</v>
      </c>
      <c r="G2775">
        <v>2</v>
      </c>
      <c r="H2775" t="s">
        <v>14</v>
      </c>
      <c r="I2775" t="s">
        <v>21</v>
      </c>
      <c r="J2775" t="s">
        <v>166</v>
      </c>
      <c r="K2775">
        <f>Pqp_supermarket_data[[#This Row],[Unit_Price]]*Pqp_supermarket_data[[#This Row],[Quantity]]</f>
        <v>10</v>
      </c>
      <c r="L2775" t="str">
        <f>TEXT(Pqp_supermarket_data[[#This Row],[DateTime]],"ddd")</f>
        <v>Thu</v>
      </c>
      <c r="M2775" t="str">
        <f>TEXT(Pqp_supermarket_data[[#This Row],[DateTime]],"mmm")</f>
        <v>May</v>
      </c>
      <c r="N2775" t="str">
        <f>TEXT(Pqp_supermarket_data[[#This Row],[DateTime]],"yyy")</f>
        <v>2021</v>
      </c>
    </row>
    <row r="2776" spans="1:14" x14ac:dyDescent="0.35">
      <c r="A2776" t="s">
        <v>5646</v>
      </c>
      <c r="B2776" s="1">
        <v>44544.299357557873</v>
      </c>
      <c r="C2776" t="s">
        <v>5647</v>
      </c>
      <c r="D2776" t="s">
        <v>171</v>
      </c>
      <c r="E2776" t="s">
        <v>65</v>
      </c>
      <c r="F2776">
        <v>3</v>
      </c>
      <c r="G2776">
        <v>4</v>
      </c>
      <c r="H2776" t="s">
        <v>14</v>
      </c>
      <c r="I2776" t="s">
        <v>86</v>
      </c>
      <c r="J2776" t="s">
        <v>163</v>
      </c>
      <c r="K2776">
        <f>Pqp_supermarket_data[[#This Row],[Unit_Price]]*Pqp_supermarket_data[[#This Row],[Quantity]]</f>
        <v>12</v>
      </c>
      <c r="L2776" t="str">
        <f>TEXT(Pqp_supermarket_data[[#This Row],[DateTime]],"ddd")</f>
        <v>Tue</v>
      </c>
      <c r="M2776" t="str">
        <f>TEXT(Pqp_supermarket_data[[#This Row],[DateTime]],"mmm")</f>
        <v>Dec</v>
      </c>
      <c r="N2776" t="str">
        <f>TEXT(Pqp_supermarket_data[[#This Row],[DateTime]],"yyy")</f>
        <v>2021</v>
      </c>
    </row>
    <row r="2777" spans="1:14" x14ac:dyDescent="0.35">
      <c r="A2777" t="s">
        <v>5648</v>
      </c>
      <c r="B2777" s="1">
        <v>45511.031302002317</v>
      </c>
      <c r="C2777" t="s">
        <v>5649</v>
      </c>
      <c r="D2777" t="s">
        <v>44</v>
      </c>
      <c r="E2777" t="s">
        <v>26</v>
      </c>
      <c r="F2777">
        <v>2.5</v>
      </c>
      <c r="G2777">
        <v>1</v>
      </c>
      <c r="H2777" t="s">
        <v>14</v>
      </c>
      <c r="I2777" t="s">
        <v>86</v>
      </c>
      <c r="J2777" t="s">
        <v>74</v>
      </c>
      <c r="K2777">
        <f>Pqp_supermarket_data[[#This Row],[Unit_Price]]*Pqp_supermarket_data[[#This Row],[Quantity]]</f>
        <v>2.5</v>
      </c>
      <c r="L2777" t="str">
        <f>TEXT(Pqp_supermarket_data[[#This Row],[DateTime]],"ddd")</f>
        <v>Wed</v>
      </c>
      <c r="M2777" t="str">
        <f>TEXT(Pqp_supermarket_data[[#This Row],[DateTime]],"mmm")</f>
        <v>Aug</v>
      </c>
      <c r="N2777" t="str">
        <f>TEXT(Pqp_supermarket_data[[#This Row],[DateTime]],"yyy")</f>
        <v>2024</v>
      </c>
    </row>
    <row r="2778" spans="1:14" x14ac:dyDescent="0.35">
      <c r="A2778" t="s">
        <v>5650</v>
      </c>
      <c r="B2778" s="1">
        <v>45629.436163113423</v>
      </c>
      <c r="C2778" t="s">
        <v>5651</v>
      </c>
      <c r="D2778" t="s">
        <v>226</v>
      </c>
      <c r="E2778" t="s">
        <v>45</v>
      </c>
      <c r="F2778">
        <v>1</v>
      </c>
      <c r="G2778">
        <v>9</v>
      </c>
      <c r="H2778" t="s">
        <v>14</v>
      </c>
      <c r="I2778" t="s">
        <v>86</v>
      </c>
      <c r="J2778" t="s">
        <v>302</v>
      </c>
      <c r="K2778">
        <f>Pqp_supermarket_data[[#This Row],[Unit_Price]]*Pqp_supermarket_data[[#This Row],[Quantity]]</f>
        <v>9</v>
      </c>
      <c r="L2778" t="str">
        <f>TEXT(Pqp_supermarket_data[[#This Row],[DateTime]],"ddd")</f>
        <v>Tue</v>
      </c>
      <c r="M2778" t="str">
        <f>TEXT(Pqp_supermarket_data[[#This Row],[DateTime]],"mmm")</f>
        <v>Dec</v>
      </c>
      <c r="N2778" t="str">
        <f>TEXT(Pqp_supermarket_data[[#This Row],[DateTime]],"yyy")</f>
        <v>2024</v>
      </c>
    </row>
    <row r="2779" spans="1:14" x14ac:dyDescent="0.35">
      <c r="A2779" t="s">
        <v>5652</v>
      </c>
      <c r="B2779" s="1">
        <v>45116.055607557872</v>
      </c>
      <c r="C2779" t="s">
        <v>5653</v>
      </c>
      <c r="D2779" t="s">
        <v>98</v>
      </c>
      <c r="E2779" t="s">
        <v>90</v>
      </c>
      <c r="F2779">
        <v>1.8</v>
      </c>
      <c r="G2779">
        <v>7</v>
      </c>
      <c r="H2779" t="s">
        <v>14</v>
      </c>
      <c r="I2779" t="s">
        <v>21</v>
      </c>
      <c r="J2779" t="s">
        <v>105</v>
      </c>
      <c r="K2779">
        <f>Pqp_supermarket_data[[#This Row],[Unit_Price]]*Pqp_supermarket_data[[#This Row],[Quantity]]</f>
        <v>12.6</v>
      </c>
      <c r="L2779" t="str">
        <f>TEXT(Pqp_supermarket_data[[#This Row],[DateTime]],"ddd")</f>
        <v>Sun</v>
      </c>
      <c r="M2779" t="str">
        <f>TEXT(Pqp_supermarket_data[[#This Row],[DateTime]],"mmm")</f>
        <v>Jul</v>
      </c>
      <c r="N2779" t="str">
        <f>TEXT(Pqp_supermarket_data[[#This Row],[DateTime]],"yyy")</f>
        <v>2023</v>
      </c>
    </row>
    <row r="2780" spans="1:14" x14ac:dyDescent="0.35">
      <c r="A2780" t="s">
        <v>5654</v>
      </c>
      <c r="B2780" s="1">
        <v>44712.559774224537</v>
      </c>
      <c r="C2780" t="s">
        <v>5655</v>
      </c>
      <c r="D2780" t="s">
        <v>19</v>
      </c>
      <c r="E2780" t="s">
        <v>94</v>
      </c>
      <c r="F2780">
        <v>0.8</v>
      </c>
      <c r="G2780">
        <v>4</v>
      </c>
      <c r="H2780" t="s">
        <v>14</v>
      </c>
      <c r="I2780" t="s">
        <v>40</v>
      </c>
      <c r="J2780" t="s">
        <v>27</v>
      </c>
      <c r="K2780">
        <f>Pqp_supermarket_data[[#This Row],[Unit_Price]]*Pqp_supermarket_data[[#This Row],[Quantity]]</f>
        <v>3.2</v>
      </c>
      <c r="L2780" t="str">
        <f>TEXT(Pqp_supermarket_data[[#This Row],[DateTime]],"ddd")</f>
        <v>Tue</v>
      </c>
      <c r="M2780" t="str">
        <f>TEXT(Pqp_supermarket_data[[#This Row],[DateTime]],"mmm")</f>
        <v>May</v>
      </c>
      <c r="N2780" t="str">
        <f>TEXT(Pqp_supermarket_data[[#This Row],[DateTime]],"yyy")</f>
        <v>2022</v>
      </c>
    </row>
    <row r="2781" spans="1:14" x14ac:dyDescent="0.35">
      <c r="A2781" t="s">
        <v>5656</v>
      </c>
      <c r="B2781" s="1">
        <v>44586.420190891207</v>
      </c>
      <c r="C2781" t="s">
        <v>5657</v>
      </c>
      <c r="D2781" t="s">
        <v>226</v>
      </c>
      <c r="E2781" t="s">
        <v>145</v>
      </c>
      <c r="F2781">
        <v>1.7</v>
      </c>
      <c r="G2781">
        <v>2</v>
      </c>
      <c r="H2781" t="s">
        <v>14</v>
      </c>
      <c r="I2781" t="s">
        <v>21</v>
      </c>
      <c r="J2781" t="s">
        <v>295</v>
      </c>
      <c r="K2781">
        <f>Pqp_supermarket_data[[#This Row],[Unit_Price]]*Pqp_supermarket_data[[#This Row],[Quantity]]</f>
        <v>3.4</v>
      </c>
      <c r="L2781" t="str">
        <f>TEXT(Pqp_supermarket_data[[#This Row],[DateTime]],"ddd")</f>
        <v>Tue</v>
      </c>
      <c r="M2781" t="str">
        <f>TEXT(Pqp_supermarket_data[[#This Row],[DateTime]],"mmm")</f>
        <v>Jan</v>
      </c>
      <c r="N2781" t="str">
        <f>TEXT(Pqp_supermarket_data[[#This Row],[DateTime]],"yyy")</f>
        <v>2022</v>
      </c>
    </row>
    <row r="2782" spans="1:14" x14ac:dyDescent="0.35">
      <c r="A2782" t="s">
        <v>5658</v>
      </c>
      <c r="B2782" s="1">
        <v>44562.852135416666</v>
      </c>
      <c r="C2782" t="s">
        <v>5659</v>
      </c>
      <c r="D2782" t="s">
        <v>208</v>
      </c>
      <c r="E2782" t="s">
        <v>26</v>
      </c>
      <c r="F2782">
        <v>2.5</v>
      </c>
      <c r="G2782">
        <v>7</v>
      </c>
      <c r="H2782" t="s">
        <v>14</v>
      </c>
      <c r="I2782" t="s">
        <v>61</v>
      </c>
      <c r="J2782" t="s">
        <v>122</v>
      </c>
      <c r="K2782">
        <f>Pqp_supermarket_data[[#This Row],[Unit_Price]]*Pqp_supermarket_data[[#This Row],[Quantity]]</f>
        <v>17.5</v>
      </c>
      <c r="L2782" t="str">
        <f>TEXT(Pqp_supermarket_data[[#This Row],[DateTime]],"ddd")</f>
        <v>Sat</v>
      </c>
      <c r="M2782" t="str">
        <f>TEXT(Pqp_supermarket_data[[#This Row],[DateTime]],"mmm")</f>
        <v>Jan</v>
      </c>
      <c r="N2782" t="str">
        <f>TEXT(Pqp_supermarket_data[[#This Row],[DateTime]],"yyy")</f>
        <v>2022</v>
      </c>
    </row>
    <row r="2783" spans="1:14" x14ac:dyDescent="0.35">
      <c r="A2783" t="s">
        <v>5660</v>
      </c>
      <c r="B2783" s="1">
        <v>44481.621579861108</v>
      </c>
      <c r="C2783" t="s">
        <v>5661</v>
      </c>
      <c r="D2783" t="s">
        <v>127</v>
      </c>
      <c r="E2783" t="s">
        <v>57</v>
      </c>
      <c r="F2783">
        <v>4.5</v>
      </c>
      <c r="G2783">
        <v>10</v>
      </c>
      <c r="H2783" t="s">
        <v>14</v>
      </c>
      <c r="I2783" t="s">
        <v>40</v>
      </c>
      <c r="J2783" t="s">
        <v>105</v>
      </c>
      <c r="K2783">
        <f>Pqp_supermarket_data[[#This Row],[Unit_Price]]*Pqp_supermarket_data[[#This Row],[Quantity]]</f>
        <v>45</v>
      </c>
      <c r="L2783" t="str">
        <f>TEXT(Pqp_supermarket_data[[#This Row],[DateTime]],"ddd")</f>
        <v>Tue</v>
      </c>
      <c r="M2783" t="str">
        <f>TEXT(Pqp_supermarket_data[[#This Row],[DateTime]],"mmm")</f>
        <v>Oct</v>
      </c>
      <c r="N2783" t="str">
        <f>TEXT(Pqp_supermarket_data[[#This Row],[DateTime]],"yyy")</f>
        <v>2021</v>
      </c>
    </row>
    <row r="2784" spans="1:14" x14ac:dyDescent="0.35">
      <c r="A2784" t="s">
        <v>5662</v>
      </c>
      <c r="B2784" s="1">
        <v>44936.520885416663</v>
      </c>
      <c r="C2784" t="s">
        <v>5663</v>
      </c>
      <c r="D2784" t="s">
        <v>171</v>
      </c>
      <c r="E2784" t="s">
        <v>78</v>
      </c>
      <c r="F2784">
        <v>4</v>
      </c>
      <c r="G2784">
        <v>7</v>
      </c>
      <c r="H2784" t="s">
        <v>14</v>
      </c>
      <c r="I2784" t="s">
        <v>61</v>
      </c>
      <c r="J2784" t="s">
        <v>262</v>
      </c>
      <c r="K2784">
        <f>Pqp_supermarket_data[[#This Row],[Unit_Price]]*Pqp_supermarket_data[[#This Row],[Quantity]]</f>
        <v>28</v>
      </c>
      <c r="L2784" t="str">
        <f>TEXT(Pqp_supermarket_data[[#This Row],[DateTime]],"ddd")</f>
        <v>Tue</v>
      </c>
      <c r="M2784" t="str">
        <f>TEXT(Pqp_supermarket_data[[#This Row],[DateTime]],"mmm")</f>
        <v>Jan</v>
      </c>
      <c r="N2784" t="str">
        <f>TEXT(Pqp_supermarket_data[[#This Row],[DateTime]],"yyy")</f>
        <v>2023</v>
      </c>
    </row>
    <row r="2785" spans="1:14" x14ac:dyDescent="0.35">
      <c r="A2785" t="s">
        <v>5664</v>
      </c>
      <c r="B2785" s="1">
        <v>45078.35421878472</v>
      </c>
      <c r="C2785" t="s">
        <v>5665</v>
      </c>
      <c r="D2785" t="s">
        <v>208</v>
      </c>
      <c r="E2785" t="s">
        <v>65</v>
      </c>
      <c r="F2785">
        <v>3</v>
      </c>
      <c r="G2785">
        <v>5</v>
      </c>
      <c r="H2785" t="s">
        <v>14</v>
      </c>
      <c r="I2785" t="s">
        <v>21</v>
      </c>
      <c r="J2785" t="s">
        <v>205</v>
      </c>
      <c r="K2785">
        <f>Pqp_supermarket_data[[#This Row],[Unit_Price]]*Pqp_supermarket_data[[#This Row],[Quantity]]</f>
        <v>15</v>
      </c>
      <c r="L2785" t="str">
        <f>TEXT(Pqp_supermarket_data[[#This Row],[DateTime]],"ddd")</f>
        <v>Thu</v>
      </c>
      <c r="M2785" t="str">
        <f>TEXT(Pqp_supermarket_data[[#This Row],[DateTime]],"mmm")</f>
        <v>Jun</v>
      </c>
      <c r="N2785" t="str">
        <f>TEXT(Pqp_supermarket_data[[#This Row],[DateTime]],"yyy")</f>
        <v>2023</v>
      </c>
    </row>
    <row r="2786" spans="1:14" x14ac:dyDescent="0.35">
      <c r="A2786" t="s">
        <v>5666</v>
      </c>
      <c r="B2786" s="1">
        <v>45533.865329895831</v>
      </c>
      <c r="C2786" t="s">
        <v>5667</v>
      </c>
      <c r="D2786" t="s">
        <v>226</v>
      </c>
      <c r="E2786" t="s">
        <v>119</v>
      </c>
      <c r="F2786">
        <v>4</v>
      </c>
      <c r="G2786">
        <v>5</v>
      </c>
      <c r="H2786" t="s">
        <v>14</v>
      </c>
      <c r="I2786" t="s">
        <v>40</v>
      </c>
      <c r="J2786" t="s">
        <v>112</v>
      </c>
      <c r="K2786">
        <f>Pqp_supermarket_data[[#This Row],[Unit_Price]]*Pqp_supermarket_data[[#This Row],[Quantity]]</f>
        <v>20</v>
      </c>
      <c r="L2786" t="str">
        <f>TEXT(Pqp_supermarket_data[[#This Row],[DateTime]],"ddd")</f>
        <v>Thu</v>
      </c>
      <c r="M2786" t="str">
        <f>TEXT(Pqp_supermarket_data[[#This Row],[DateTime]],"mmm")</f>
        <v>Aug</v>
      </c>
      <c r="N2786" t="str">
        <f>TEXT(Pqp_supermarket_data[[#This Row],[DateTime]],"yyy")</f>
        <v>2024</v>
      </c>
    </row>
    <row r="2787" spans="1:14" x14ac:dyDescent="0.35">
      <c r="A2787" t="s">
        <v>5668</v>
      </c>
      <c r="B2787" s="1">
        <v>45188.258385451387</v>
      </c>
      <c r="C2787" t="s">
        <v>5669</v>
      </c>
      <c r="D2787" t="s">
        <v>82</v>
      </c>
      <c r="E2787" t="s">
        <v>90</v>
      </c>
      <c r="F2787">
        <v>1.8</v>
      </c>
      <c r="G2787">
        <v>8</v>
      </c>
      <c r="H2787" t="s">
        <v>14</v>
      </c>
      <c r="I2787" t="s">
        <v>61</v>
      </c>
      <c r="J2787" t="s">
        <v>27</v>
      </c>
      <c r="K2787">
        <f>Pqp_supermarket_data[[#This Row],[Unit_Price]]*Pqp_supermarket_data[[#This Row],[Quantity]]</f>
        <v>14.4</v>
      </c>
      <c r="L2787" t="str">
        <f>TEXT(Pqp_supermarket_data[[#This Row],[DateTime]],"ddd")</f>
        <v>Tue</v>
      </c>
      <c r="M2787" t="str">
        <f>TEXT(Pqp_supermarket_data[[#This Row],[DateTime]],"mmm")</f>
        <v>Sep</v>
      </c>
      <c r="N2787" t="str">
        <f>TEXT(Pqp_supermarket_data[[#This Row],[DateTime]],"yyy")</f>
        <v>2023</v>
      </c>
    </row>
    <row r="2788" spans="1:14" x14ac:dyDescent="0.35">
      <c r="A2788" t="s">
        <v>5670</v>
      </c>
      <c r="B2788" s="1">
        <v>44585.359774351855</v>
      </c>
      <c r="C2788" t="s">
        <v>5671</v>
      </c>
      <c r="D2788" t="s">
        <v>82</v>
      </c>
      <c r="E2788" t="s">
        <v>78</v>
      </c>
      <c r="F2788">
        <v>4</v>
      </c>
      <c r="G2788">
        <v>3</v>
      </c>
      <c r="H2788" t="s">
        <v>14</v>
      </c>
      <c r="I2788" t="s">
        <v>36</v>
      </c>
      <c r="J2788" t="s">
        <v>769</v>
      </c>
      <c r="K2788">
        <f>Pqp_supermarket_data[[#This Row],[Unit_Price]]*Pqp_supermarket_data[[#This Row],[Quantity]]</f>
        <v>12</v>
      </c>
      <c r="L2788" t="str">
        <f>TEXT(Pqp_supermarket_data[[#This Row],[DateTime]],"ddd")</f>
        <v>Mon</v>
      </c>
      <c r="M2788" t="str">
        <f>TEXT(Pqp_supermarket_data[[#This Row],[DateTime]],"mmm")</f>
        <v>Jan</v>
      </c>
      <c r="N2788" t="str">
        <f>TEXT(Pqp_supermarket_data[[#This Row],[DateTime]],"yyy")</f>
        <v>2022</v>
      </c>
    </row>
    <row r="2789" spans="1:14" x14ac:dyDescent="0.35">
      <c r="A2789" t="s">
        <v>5672</v>
      </c>
      <c r="B2789" s="1">
        <v>45344.741718807869</v>
      </c>
      <c r="C2789" t="s">
        <v>5673</v>
      </c>
      <c r="D2789" t="s">
        <v>85</v>
      </c>
      <c r="E2789" t="s">
        <v>111</v>
      </c>
      <c r="F2789">
        <v>2.2000000000000002</v>
      </c>
      <c r="G2789">
        <v>2</v>
      </c>
      <c r="H2789" t="s">
        <v>14</v>
      </c>
      <c r="I2789" t="s">
        <v>15</v>
      </c>
      <c r="J2789" t="s">
        <v>31</v>
      </c>
      <c r="K2789">
        <f>Pqp_supermarket_data[[#This Row],[Unit_Price]]*Pqp_supermarket_data[[#This Row],[Quantity]]</f>
        <v>4.4000000000000004</v>
      </c>
      <c r="L2789" t="str">
        <f>TEXT(Pqp_supermarket_data[[#This Row],[DateTime]],"ddd")</f>
        <v>Thu</v>
      </c>
      <c r="M2789" t="str">
        <f>TEXT(Pqp_supermarket_data[[#This Row],[DateTime]],"mmm")</f>
        <v>Feb</v>
      </c>
      <c r="N2789" t="str">
        <f>TEXT(Pqp_supermarket_data[[#This Row],[DateTime]],"yyy")</f>
        <v>2024</v>
      </c>
    </row>
    <row r="2790" spans="1:14" x14ac:dyDescent="0.35">
      <c r="A2790" t="s">
        <v>5674</v>
      </c>
      <c r="B2790" s="1">
        <v>45223.128524363427</v>
      </c>
      <c r="C2790" t="s">
        <v>5675</v>
      </c>
      <c r="D2790" t="s">
        <v>82</v>
      </c>
      <c r="E2790" t="s">
        <v>65</v>
      </c>
      <c r="F2790">
        <v>3</v>
      </c>
      <c r="G2790">
        <v>2</v>
      </c>
      <c r="H2790" t="s">
        <v>14</v>
      </c>
      <c r="I2790" t="s">
        <v>61</v>
      </c>
      <c r="J2790" t="s">
        <v>74</v>
      </c>
      <c r="K2790">
        <f>Pqp_supermarket_data[[#This Row],[Unit_Price]]*Pqp_supermarket_data[[#This Row],[Quantity]]</f>
        <v>6</v>
      </c>
      <c r="L2790" t="str">
        <f>TEXT(Pqp_supermarket_data[[#This Row],[DateTime]],"ddd")</f>
        <v>Tue</v>
      </c>
      <c r="M2790" t="str">
        <f>TEXT(Pqp_supermarket_data[[#This Row],[DateTime]],"mmm")</f>
        <v>Oct</v>
      </c>
      <c r="N2790" t="str">
        <f>TEXT(Pqp_supermarket_data[[#This Row],[DateTime]],"yyy")</f>
        <v>2023</v>
      </c>
    </row>
    <row r="2791" spans="1:14" x14ac:dyDescent="0.35">
      <c r="A2791" t="s">
        <v>5676</v>
      </c>
      <c r="B2791" s="1">
        <v>44361.563941030094</v>
      </c>
      <c r="C2791" t="s">
        <v>5677</v>
      </c>
      <c r="D2791" t="s">
        <v>12</v>
      </c>
      <c r="E2791" t="s">
        <v>57</v>
      </c>
      <c r="F2791">
        <v>4.5</v>
      </c>
      <c r="G2791">
        <v>3</v>
      </c>
      <c r="H2791" t="s">
        <v>14</v>
      </c>
      <c r="I2791" t="s">
        <v>21</v>
      </c>
      <c r="J2791" t="s">
        <v>183</v>
      </c>
      <c r="K2791">
        <f>Pqp_supermarket_data[[#This Row],[Unit_Price]]*Pqp_supermarket_data[[#This Row],[Quantity]]</f>
        <v>13.5</v>
      </c>
      <c r="L2791" t="str">
        <f>TEXT(Pqp_supermarket_data[[#This Row],[DateTime]],"ddd")</f>
        <v>Mon</v>
      </c>
      <c r="M2791" t="str">
        <f>TEXT(Pqp_supermarket_data[[#This Row],[DateTime]],"mmm")</f>
        <v>Jun</v>
      </c>
      <c r="N2791" t="str">
        <f>TEXT(Pqp_supermarket_data[[#This Row],[DateTime]],"yyy")</f>
        <v>2021</v>
      </c>
    </row>
    <row r="2792" spans="1:14" x14ac:dyDescent="0.35">
      <c r="A2792" t="s">
        <v>5678</v>
      </c>
      <c r="B2792" s="1">
        <v>44951.600052164351</v>
      </c>
      <c r="C2792" t="s">
        <v>5679</v>
      </c>
      <c r="D2792" t="s">
        <v>34</v>
      </c>
      <c r="E2792" t="s">
        <v>53</v>
      </c>
      <c r="F2792">
        <v>2.8</v>
      </c>
      <c r="G2792">
        <v>1</v>
      </c>
      <c r="H2792" t="s">
        <v>14</v>
      </c>
      <c r="I2792" t="s">
        <v>61</v>
      </c>
      <c r="J2792" t="s">
        <v>461</v>
      </c>
      <c r="K2792">
        <f>Pqp_supermarket_data[[#This Row],[Unit_Price]]*Pqp_supermarket_data[[#This Row],[Quantity]]</f>
        <v>2.8</v>
      </c>
      <c r="L2792" t="str">
        <f>TEXT(Pqp_supermarket_data[[#This Row],[DateTime]],"ddd")</f>
        <v>Wed</v>
      </c>
      <c r="M2792" t="str">
        <f>TEXT(Pqp_supermarket_data[[#This Row],[DateTime]],"mmm")</f>
        <v>Jan</v>
      </c>
      <c r="N2792" t="str">
        <f>TEXT(Pqp_supermarket_data[[#This Row],[DateTime]],"yyy")</f>
        <v>2023</v>
      </c>
    </row>
    <row r="2793" spans="1:14" x14ac:dyDescent="0.35">
      <c r="A2793" t="s">
        <v>5680</v>
      </c>
      <c r="B2793" s="1">
        <v>44778.041024386577</v>
      </c>
      <c r="C2793" t="s">
        <v>5681</v>
      </c>
      <c r="D2793" t="s">
        <v>82</v>
      </c>
      <c r="E2793" t="s">
        <v>137</v>
      </c>
      <c r="F2793">
        <v>2.5</v>
      </c>
      <c r="G2793">
        <v>9</v>
      </c>
      <c r="H2793" t="s">
        <v>14</v>
      </c>
      <c r="I2793" t="s">
        <v>36</v>
      </c>
      <c r="J2793" t="s">
        <v>58</v>
      </c>
      <c r="K2793">
        <f>Pqp_supermarket_data[[#This Row],[Unit_Price]]*Pqp_supermarket_data[[#This Row],[Quantity]]</f>
        <v>22.5</v>
      </c>
      <c r="L2793" t="str">
        <f>TEXT(Pqp_supermarket_data[[#This Row],[DateTime]],"ddd")</f>
        <v>Fri</v>
      </c>
      <c r="M2793" t="str">
        <f>TEXT(Pqp_supermarket_data[[#This Row],[DateTime]],"mmm")</f>
        <v>Aug</v>
      </c>
      <c r="N2793" t="str">
        <f>TEXT(Pqp_supermarket_data[[#This Row],[DateTime]],"yyy")</f>
        <v>2022</v>
      </c>
    </row>
    <row r="2794" spans="1:14" x14ac:dyDescent="0.35">
      <c r="A2794" t="s">
        <v>5682</v>
      </c>
      <c r="B2794" s="1">
        <v>45547.595885497685</v>
      </c>
      <c r="C2794" t="s">
        <v>5683</v>
      </c>
      <c r="D2794" t="s">
        <v>82</v>
      </c>
      <c r="E2794" t="s">
        <v>35</v>
      </c>
      <c r="F2794">
        <v>1.2</v>
      </c>
      <c r="G2794">
        <v>1</v>
      </c>
      <c r="H2794" t="s">
        <v>14</v>
      </c>
      <c r="I2794" t="s">
        <v>15</v>
      </c>
      <c r="J2794" t="s">
        <v>387</v>
      </c>
      <c r="K2794">
        <f>Pqp_supermarket_data[[#This Row],[Unit_Price]]*Pqp_supermarket_data[[#This Row],[Quantity]]</f>
        <v>1.2</v>
      </c>
      <c r="L2794" t="str">
        <f>TEXT(Pqp_supermarket_data[[#This Row],[DateTime]],"ddd")</f>
        <v>Thu</v>
      </c>
      <c r="M2794" t="str">
        <f>TEXT(Pqp_supermarket_data[[#This Row],[DateTime]],"mmm")</f>
        <v>Sep</v>
      </c>
      <c r="N2794" t="str">
        <f>TEXT(Pqp_supermarket_data[[#This Row],[DateTime]],"yyy")</f>
        <v>2024</v>
      </c>
    </row>
    <row r="2795" spans="1:14" x14ac:dyDescent="0.35">
      <c r="A2795" t="s">
        <v>5684</v>
      </c>
      <c r="B2795" s="1">
        <v>44721.293802187502</v>
      </c>
      <c r="C2795" t="s">
        <v>5685</v>
      </c>
      <c r="D2795" t="s">
        <v>82</v>
      </c>
      <c r="E2795" t="s">
        <v>49</v>
      </c>
      <c r="F2795">
        <v>7</v>
      </c>
      <c r="G2795">
        <v>10</v>
      </c>
      <c r="H2795" t="s">
        <v>14</v>
      </c>
      <c r="I2795" t="s">
        <v>40</v>
      </c>
      <c r="J2795" t="s">
        <v>302</v>
      </c>
      <c r="K2795">
        <f>Pqp_supermarket_data[[#This Row],[Unit_Price]]*Pqp_supermarket_data[[#This Row],[Quantity]]</f>
        <v>70</v>
      </c>
      <c r="L2795" t="str">
        <f>TEXT(Pqp_supermarket_data[[#This Row],[DateTime]],"ddd")</f>
        <v>Thu</v>
      </c>
      <c r="M2795" t="str">
        <f>TEXT(Pqp_supermarket_data[[#This Row],[DateTime]],"mmm")</f>
        <v>Jun</v>
      </c>
      <c r="N2795" t="str">
        <f>TEXT(Pqp_supermarket_data[[#This Row],[DateTime]],"yyy")</f>
        <v>2022</v>
      </c>
    </row>
    <row r="2796" spans="1:14" x14ac:dyDescent="0.35">
      <c r="A2796" t="s">
        <v>5686</v>
      </c>
      <c r="B2796" s="1">
        <v>45731.053524421295</v>
      </c>
      <c r="C2796" t="s">
        <v>5687</v>
      </c>
      <c r="D2796" t="s">
        <v>30</v>
      </c>
      <c r="E2796" t="s">
        <v>70</v>
      </c>
      <c r="F2796">
        <v>5</v>
      </c>
      <c r="G2796">
        <v>2</v>
      </c>
      <c r="H2796" t="s">
        <v>14</v>
      </c>
      <c r="I2796" t="s">
        <v>61</v>
      </c>
      <c r="J2796" t="s">
        <v>314</v>
      </c>
      <c r="K2796">
        <f>Pqp_supermarket_data[[#This Row],[Unit_Price]]*Pqp_supermarket_data[[#This Row],[Quantity]]</f>
        <v>10</v>
      </c>
      <c r="L2796" t="str">
        <f>TEXT(Pqp_supermarket_data[[#This Row],[DateTime]],"ddd")</f>
        <v>Sat</v>
      </c>
      <c r="M2796" t="str">
        <f>TEXT(Pqp_supermarket_data[[#This Row],[DateTime]],"mmm")</f>
        <v>Mar</v>
      </c>
      <c r="N2796" t="str">
        <f>TEXT(Pqp_supermarket_data[[#This Row],[DateTime]],"yyy")</f>
        <v>2025</v>
      </c>
    </row>
    <row r="2797" spans="1:14" x14ac:dyDescent="0.35">
      <c r="A2797" t="s">
        <v>5688</v>
      </c>
      <c r="B2797" s="1">
        <v>45351.427135555554</v>
      </c>
      <c r="C2797" t="s">
        <v>5689</v>
      </c>
      <c r="D2797" t="s">
        <v>226</v>
      </c>
      <c r="E2797" t="s">
        <v>78</v>
      </c>
      <c r="F2797">
        <v>4</v>
      </c>
      <c r="G2797">
        <v>5</v>
      </c>
      <c r="H2797" t="s">
        <v>14</v>
      </c>
      <c r="I2797" t="s">
        <v>61</v>
      </c>
      <c r="J2797" t="s">
        <v>62</v>
      </c>
      <c r="K2797">
        <f>Pqp_supermarket_data[[#This Row],[Unit_Price]]*Pqp_supermarket_data[[#This Row],[Quantity]]</f>
        <v>20</v>
      </c>
      <c r="L2797" t="str">
        <f>TEXT(Pqp_supermarket_data[[#This Row],[DateTime]],"ddd")</f>
        <v>Thu</v>
      </c>
      <c r="M2797" t="str">
        <f>TEXT(Pqp_supermarket_data[[#This Row],[DateTime]],"mmm")</f>
        <v>Feb</v>
      </c>
      <c r="N2797" t="str">
        <f>TEXT(Pqp_supermarket_data[[#This Row],[DateTime]],"yyy")</f>
        <v>2024</v>
      </c>
    </row>
    <row r="2798" spans="1:14" x14ac:dyDescent="0.35">
      <c r="A2798" t="s">
        <v>5690</v>
      </c>
      <c r="B2798" s="1">
        <v>45679.995885555552</v>
      </c>
      <c r="C2798" t="s">
        <v>5691</v>
      </c>
      <c r="D2798" t="s">
        <v>85</v>
      </c>
      <c r="E2798" t="s">
        <v>94</v>
      </c>
      <c r="F2798">
        <v>0.8</v>
      </c>
      <c r="G2798">
        <v>7</v>
      </c>
      <c r="H2798" t="s">
        <v>14</v>
      </c>
      <c r="I2798" t="s">
        <v>21</v>
      </c>
      <c r="J2798" t="s">
        <v>192</v>
      </c>
      <c r="K2798">
        <f>Pqp_supermarket_data[[#This Row],[Unit_Price]]*Pqp_supermarket_data[[#This Row],[Quantity]]</f>
        <v>5.6000000000000005</v>
      </c>
      <c r="L2798" t="str">
        <f>TEXT(Pqp_supermarket_data[[#This Row],[DateTime]],"ddd")</f>
        <v>Wed</v>
      </c>
      <c r="M2798" t="str">
        <f>TEXT(Pqp_supermarket_data[[#This Row],[DateTime]],"mmm")</f>
        <v>Jan</v>
      </c>
      <c r="N2798" t="str">
        <f>TEXT(Pqp_supermarket_data[[#This Row],[DateTime]],"yyy")</f>
        <v>2025</v>
      </c>
    </row>
    <row r="2799" spans="1:14" x14ac:dyDescent="0.35">
      <c r="A2799" t="s">
        <v>5692</v>
      </c>
      <c r="B2799" s="1">
        <v>44791.688941111111</v>
      </c>
      <c r="C2799" t="s">
        <v>5693</v>
      </c>
      <c r="D2799" t="s">
        <v>98</v>
      </c>
      <c r="E2799" t="s">
        <v>145</v>
      </c>
      <c r="F2799">
        <v>1.7</v>
      </c>
      <c r="G2799">
        <v>9</v>
      </c>
      <c r="H2799" t="s">
        <v>14</v>
      </c>
      <c r="I2799" t="s">
        <v>36</v>
      </c>
      <c r="J2799" t="s">
        <v>209</v>
      </c>
      <c r="K2799">
        <f>Pqp_supermarket_data[[#This Row],[Unit_Price]]*Pqp_supermarket_data[[#This Row],[Quantity]]</f>
        <v>15.299999999999999</v>
      </c>
      <c r="L2799" t="str">
        <f>TEXT(Pqp_supermarket_data[[#This Row],[DateTime]],"ddd")</f>
        <v>Thu</v>
      </c>
      <c r="M2799" t="str">
        <f>TEXT(Pqp_supermarket_data[[#This Row],[DateTime]],"mmm")</f>
        <v>Aug</v>
      </c>
      <c r="N2799" t="str">
        <f>TEXT(Pqp_supermarket_data[[#This Row],[DateTime]],"yyy")</f>
        <v>2022</v>
      </c>
    </row>
    <row r="2800" spans="1:14" x14ac:dyDescent="0.35">
      <c r="A2800" t="s">
        <v>5694</v>
      </c>
      <c r="B2800" s="1">
        <v>44514.286857800929</v>
      </c>
      <c r="C2800" t="s">
        <v>5695</v>
      </c>
      <c r="D2800" t="s">
        <v>34</v>
      </c>
      <c r="E2800" t="s">
        <v>13</v>
      </c>
      <c r="F2800">
        <v>3.1</v>
      </c>
      <c r="G2800">
        <v>5</v>
      </c>
      <c r="H2800" t="s">
        <v>14</v>
      </c>
      <c r="I2800" t="s">
        <v>36</v>
      </c>
      <c r="J2800" t="s">
        <v>436</v>
      </c>
      <c r="K2800">
        <f>Pqp_supermarket_data[[#This Row],[Unit_Price]]*Pqp_supermarket_data[[#This Row],[Quantity]]</f>
        <v>15.5</v>
      </c>
      <c r="L2800" t="str">
        <f>TEXT(Pqp_supermarket_data[[#This Row],[DateTime]],"ddd")</f>
        <v>Sun</v>
      </c>
      <c r="M2800" t="str">
        <f>TEXT(Pqp_supermarket_data[[#This Row],[DateTime]],"mmm")</f>
        <v>Nov</v>
      </c>
      <c r="N2800" t="str">
        <f>TEXT(Pqp_supermarket_data[[#This Row],[DateTime]],"yyy")</f>
        <v>2021</v>
      </c>
    </row>
    <row r="2801" spans="1:14" x14ac:dyDescent="0.35">
      <c r="A2801" t="s">
        <v>5696</v>
      </c>
      <c r="B2801" s="1">
        <v>45549.254913356483</v>
      </c>
      <c r="C2801" t="s">
        <v>5697</v>
      </c>
      <c r="D2801" t="s">
        <v>19</v>
      </c>
      <c r="E2801" t="s">
        <v>20</v>
      </c>
      <c r="F2801">
        <v>1</v>
      </c>
      <c r="G2801">
        <v>1</v>
      </c>
      <c r="H2801" t="s">
        <v>14</v>
      </c>
      <c r="I2801" t="s">
        <v>21</v>
      </c>
      <c r="J2801" t="s">
        <v>31</v>
      </c>
      <c r="K2801">
        <f>Pqp_supermarket_data[[#This Row],[Unit_Price]]*Pqp_supermarket_data[[#This Row],[Quantity]]</f>
        <v>1</v>
      </c>
      <c r="L2801" t="str">
        <f>TEXT(Pqp_supermarket_data[[#This Row],[DateTime]],"ddd")</f>
        <v>Sat</v>
      </c>
      <c r="M2801" t="str">
        <f>TEXT(Pqp_supermarket_data[[#This Row],[DateTime]],"mmm")</f>
        <v>Sep</v>
      </c>
      <c r="N2801" t="str">
        <f>TEXT(Pqp_supermarket_data[[#This Row],[DateTime]],"yyy")</f>
        <v>2024</v>
      </c>
    </row>
    <row r="2802" spans="1:14" x14ac:dyDescent="0.35">
      <c r="A2802" t="s">
        <v>5698</v>
      </c>
      <c r="B2802" s="1">
        <v>45389.129913356483</v>
      </c>
      <c r="C2802" t="s">
        <v>5699</v>
      </c>
      <c r="D2802" t="s">
        <v>25</v>
      </c>
      <c r="E2802" t="s">
        <v>115</v>
      </c>
      <c r="F2802">
        <v>1.5</v>
      </c>
      <c r="G2802">
        <v>9</v>
      </c>
      <c r="H2802" t="s">
        <v>14</v>
      </c>
      <c r="I2802" t="s">
        <v>36</v>
      </c>
      <c r="J2802" t="s">
        <v>716</v>
      </c>
      <c r="K2802">
        <f>Pqp_supermarket_data[[#This Row],[Unit_Price]]*Pqp_supermarket_data[[#This Row],[Quantity]]</f>
        <v>13.5</v>
      </c>
      <c r="L2802" t="str">
        <f>TEXT(Pqp_supermarket_data[[#This Row],[DateTime]],"ddd")</f>
        <v>Sun</v>
      </c>
      <c r="M2802" t="str">
        <f>TEXT(Pqp_supermarket_data[[#This Row],[DateTime]],"mmm")</f>
        <v>Apr</v>
      </c>
      <c r="N2802" t="str">
        <f>TEXT(Pqp_supermarket_data[[#This Row],[DateTime]],"yyy")</f>
        <v>2024</v>
      </c>
    </row>
    <row r="2803" spans="1:14" x14ac:dyDescent="0.35">
      <c r="A2803" t="s">
        <v>5700</v>
      </c>
      <c r="B2803" s="1">
        <v>45507.01671891204</v>
      </c>
      <c r="C2803" t="s">
        <v>294</v>
      </c>
      <c r="D2803" t="s">
        <v>25</v>
      </c>
      <c r="E2803" t="s">
        <v>26</v>
      </c>
      <c r="F2803">
        <v>2.5</v>
      </c>
      <c r="G2803">
        <v>6</v>
      </c>
      <c r="H2803" t="s">
        <v>14</v>
      </c>
      <c r="I2803" t="s">
        <v>21</v>
      </c>
      <c r="J2803" t="s">
        <v>105</v>
      </c>
      <c r="K2803">
        <f>Pqp_supermarket_data[[#This Row],[Unit_Price]]*Pqp_supermarket_data[[#This Row],[Quantity]]</f>
        <v>15</v>
      </c>
      <c r="L2803" t="str">
        <f>TEXT(Pqp_supermarket_data[[#This Row],[DateTime]],"ddd")</f>
        <v>Sat</v>
      </c>
      <c r="M2803" t="str">
        <f>TEXT(Pqp_supermarket_data[[#This Row],[DateTime]],"mmm")</f>
        <v>Aug</v>
      </c>
      <c r="N2803" t="str">
        <f>TEXT(Pqp_supermarket_data[[#This Row],[DateTime]],"yyy")</f>
        <v>2024</v>
      </c>
    </row>
    <row r="2804" spans="1:14" x14ac:dyDescent="0.35">
      <c r="A2804" t="s">
        <v>5701</v>
      </c>
      <c r="B2804" s="1">
        <v>45532.513941134261</v>
      </c>
      <c r="C2804" t="s">
        <v>3816</v>
      </c>
      <c r="D2804" t="s">
        <v>30</v>
      </c>
      <c r="E2804" t="s">
        <v>53</v>
      </c>
      <c r="F2804">
        <v>2.8</v>
      </c>
      <c r="G2804">
        <v>8</v>
      </c>
      <c r="H2804" t="s">
        <v>14</v>
      </c>
      <c r="I2804" t="s">
        <v>36</v>
      </c>
      <c r="J2804" t="s">
        <v>320</v>
      </c>
      <c r="K2804">
        <f>Pqp_supermarket_data[[#This Row],[Unit_Price]]*Pqp_supermarket_data[[#This Row],[Quantity]]</f>
        <v>22.4</v>
      </c>
      <c r="L2804" t="str">
        <f>TEXT(Pqp_supermarket_data[[#This Row],[DateTime]],"ddd")</f>
        <v>Wed</v>
      </c>
      <c r="M2804" t="str">
        <f>TEXT(Pqp_supermarket_data[[#This Row],[DateTime]],"mmm")</f>
        <v>Aug</v>
      </c>
      <c r="N2804" t="str">
        <f>TEXT(Pqp_supermarket_data[[#This Row],[DateTime]],"yyy")</f>
        <v>2024</v>
      </c>
    </row>
    <row r="2805" spans="1:14" x14ac:dyDescent="0.35">
      <c r="A2805" t="s">
        <v>5702</v>
      </c>
      <c r="B2805" s="1">
        <v>45749.731996712966</v>
      </c>
      <c r="C2805" t="s">
        <v>5703</v>
      </c>
      <c r="D2805" t="s">
        <v>208</v>
      </c>
      <c r="E2805" t="s">
        <v>90</v>
      </c>
      <c r="F2805">
        <v>1.8</v>
      </c>
      <c r="G2805">
        <v>6</v>
      </c>
      <c r="H2805" t="s">
        <v>14</v>
      </c>
      <c r="I2805" t="s">
        <v>21</v>
      </c>
      <c r="J2805" t="s">
        <v>87</v>
      </c>
      <c r="K2805">
        <f>Pqp_supermarket_data[[#This Row],[Unit_Price]]*Pqp_supermarket_data[[#This Row],[Quantity]]</f>
        <v>10.8</v>
      </c>
      <c r="L2805" t="str">
        <f>TEXT(Pqp_supermarket_data[[#This Row],[DateTime]],"ddd")</f>
        <v>Wed</v>
      </c>
      <c r="M2805" t="str">
        <f>TEXT(Pqp_supermarket_data[[#This Row],[DateTime]],"mmm")</f>
        <v>Apr</v>
      </c>
      <c r="N2805" t="str">
        <f>TEXT(Pqp_supermarket_data[[#This Row],[DateTime]],"yyy")</f>
        <v>2025</v>
      </c>
    </row>
    <row r="2806" spans="1:14" x14ac:dyDescent="0.35">
      <c r="A2806" t="s">
        <v>5704</v>
      </c>
      <c r="B2806" s="1">
        <v>44337.441024490741</v>
      </c>
      <c r="C2806" t="s">
        <v>5705</v>
      </c>
      <c r="D2806" t="s">
        <v>127</v>
      </c>
      <c r="E2806" t="s">
        <v>57</v>
      </c>
      <c r="F2806">
        <v>4.5</v>
      </c>
      <c r="G2806">
        <v>10</v>
      </c>
      <c r="H2806" t="s">
        <v>14</v>
      </c>
      <c r="I2806" t="s">
        <v>15</v>
      </c>
      <c r="J2806" t="s">
        <v>397</v>
      </c>
      <c r="K2806">
        <f>Pqp_supermarket_data[[#This Row],[Unit_Price]]*Pqp_supermarket_data[[#This Row],[Quantity]]</f>
        <v>45</v>
      </c>
      <c r="L2806" t="str">
        <f>TEXT(Pqp_supermarket_data[[#This Row],[DateTime]],"ddd")</f>
        <v>Fri</v>
      </c>
      <c r="M2806" t="str">
        <f>TEXT(Pqp_supermarket_data[[#This Row],[DateTime]],"mmm")</f>
        <v>May</v>
      </c>
      <c r="N2806" t="str">
        <f>TEXT(Pqp_supermarket_data[[#This Row],[DateTime]],"yyy")</f>
        <v>2021</v>
      </c>
    </row>
    <row r="2807" spans="1:14" x14ac:dyDescent="0.35">
      <c r="A2807" t="s">
        <v>5706</v>
      </c>
      <c r="B2807" s="1">
        <v>44859.200746712966</v>
      </c>
      <c r="C2807" t="s">
        <v>5707</v>
      </c>
      <c r="D2807" t="s">
        <v>226</v>
      </c>
      <c r="E2807" t="s">
        <v>94</v>
      </c>
      <c r="F2807">
        <v>0.8</v>
      </c>
      <c r="G2807">
        <v>7</v>
      </c>
      <c r="H2807" t="s">
        <v>14</v>
      </c>
      <c r="I2807" t="s">
        <v>21</v>
      </c>
      <c r="J2807" t="s">
        <v>54</v>
      </c>
      <c r="K2807">
        <f>Pqp_supermarket_data[[#This Row],[Unit_Price]]*Pqp_supermarket_data[[#This Row],[Quantity]]</f>
        <v>5.6000000000000005</v>
      </c>
      <c r="L2807" t="str">
        <f>TEXT(Pqp_supermarket_data[[#This Row],[DateTime]],"ddd")</f>
        <v>Tue</v>
      </c>
      <c r="M2807" t="str">
        <f>TEXT(Pqp_supermarket_data[[#This Row],[DateTime]],"mmm")</f>
        <v>Oct</v>
      </c>
      <c r="N2807" t="str">
        <f>TEXT(Pqp_supermarket_data[[#This Row],[DateTime]],"yyy")</f>
        <v>2022</v>
      </c>
    </row>
    <row r="2808" spans="1:14" x14ac:dyDescent="0.35">
      <c r="A2808" t="s">
        <v>5708</v>
      </c>
      <c r="B2808" s="1">
        <v>44612.740330046297</v>
      </c>
      <c r="C2808" t="s">
        <v>5709</v>
      </c>
      <c r="D2808" t="s">
        <v>82</v>
      </c>
      <c r="E2808" t="s">
        <v>45</v>
      </c>
      <c r="F2808">
        <v>1</v>
      </c>
      <c r="G2808">
        <v>10</v>
      </c>
      <c r="H2808" t="s">
        <v>14</v>
      </c>
      <c r="I2808" t="s">
        <v>86</v>
      </c>
      <c r="J2808" t="s">
        <v>267</v>
      </c>
      <c r="K2808">
        <f>Pqp_supermarket_data[[#This Row],[Unit_Price]]*Pqp_supermarket_data[[#This Row],[Quantity]]</f>
        <v>10</v>
      </c>
      <c r="L2808" t="str">
        <f>TEXT(Pqp_supermarket_data[[#This Row],[DateTime]],"ddd")</f>
        <v>Sun</v>
      </c>
      <c r="M2808" t="str">
        <f>TEXT(Pqp_supermarket_data[[#This Row],[DateTime]],"mmm")</f>
        <v>Feb</v>
      </c>
      <c r="N2808" t="str">
        <f>TEXT(Pqp_supermarket_data[[#This Row],[DateTime]],"yyy")</f>
        <v>2022</v>
      </c>
    </row>
    <row r="2809" spans="1:14" x14ac:dyDescent="0.35">
      <c r="A2809" t="s">
        <v>5710</v>
      </c>
      <c r="B2809" s="1">
        <v>44441.147968981481</v>
      </c>
      <c r="C2809" t="s">
        <v>5711</v>
      </c>
      <c r="D2809" t="s">
        <v>85</v>
      </c>
      <c r="E2809" t="s">
        <v>45</v>
      </c>
      <c r="F2809">
        <v>1</v>
      </c>
      <c r="G2809">
        <v>10</v>
      </c>
      <c r="H2809" t="s">
        <v>14</v>
      </c>
      <c r="I2809" t="s">
        <v>36</v>
      </c>
      <c r="J2809" t="s">
        <v>46</v>
      </c>
      <c r="K2809">
        <f>Pqp_supermarket_data[[#This Row],[Unit_Price]]*Pqp_supermarket_data[[#This Row],[Quantity]]</f>
        <v>10</v>
      </c>
      <c r="L2809" t="str">
        <f>TEXT(Pqp_supermarket_data[[#This Row],[DateTime]],"ddd")</f>
        <v>Thu</v>
      </c>
      <c r="M2809" t="str">
        <f>TEXT(Pqp_supermarket_data[[#This Row],[DateTime]],"mmm")</f>
        <v>Sep</v>
      </c>
      <c r="N2809" t="str">
        <f>TEXT(Pqp_supermarket_data[[#This Row],[DateTime]],"yyy")</f>
        <v>2021</v>
      </c>
    </row>
    <row r="2810" spans="1:14" x14ac:dyDescent="0.35">
      <c r="A2810" t="s">
        <v>5712</v>
      </c>
      <c r="B2810" s="1">
        <v>44401.651441226852</v>
      </c>
      <c r="C2810" t="s">
        <v>5713</v>
      </c>
      <c r="D2810" t="s">
        <v>34</v>
      </c>
      <c r="E2810" t="s">
        <v>70</v>
      </c>
      <c r="F2810">
        <v>5</v>
      </c>
      <c r="G2810">
        <v>2</v>
      </c>
      <c r="H2810" t="s">
        <v>14</v>
      </c>
      <c r="I2810" t="s">
        <v>21</v>
      </c>
      <c r="J2810" t="s">
        <v>50</v>
      </c>
      <c r="K2810">
        <f>Pqp_supermarket_data[[#This Row],[Unit_Price]]*Pqp_supermarket_data[[#This Row],[Quantity]]</f>
        <v>10</v>
      </c>
      <c r="L2810" t="str">
        <f>TEXT(Pqp_supermarket_data[[#This Row],[DateTime]],"ddd")</f>
        <v>Sat</v>
      </c>
      <c r="M2810" t="str">
        <f>TEXT(Pqp_supermarket_data[[#This Row],[DateTime]],"mmm")</f>
        <v>Jul</v>
      </c>
      <c r="N2810" t="str">
        <f>TEXT(Pqp_supermarket_data[[#This Row],[DateTime]],"yyy")</f>
        <v>2021</v>
      </c>
    </row>
    <row r="2811" spans="1:14" x14ac:dyDescent="0.35">
      <c r="A2811" t="s">
        <v>5714</v>
      </c>
      <c r="B2811" s="1">
        <v>45488.816719039351</v>
      </c>
      <c r="C2811" t="s">
        <v>5715</v>
      </c>
      <c r="D2811" t="s">
        <v>44</v>
      </c>
      <c r="E2811" t="s">
        <v>119</v>
      </c>
      <c r="F2811">
        <v>4</v>
      </c>
      <c r="G2811">
        <v>7</v>
      </c>
      <c r="H2811" t="s">
        <v>14</v>
      </c>
      <c r="I2811" t="s">
        <v>36</v>
      </c>
      <c r="J2811" t="s">
        <v>323</v>
      </c>
      <c r="K2811">
        <f>Pqp_supermarket_data[[#This Row],[Unit_Price]]*Pqp_supermarket_data[[#This Row],[Quantity]]</f>
        <v>28</v>
      </c>
      <c r="L2811" t="str">
        <f>TEXT(Pqp_supermarket_data[[#This Row],[DateTime]],"ddd")</f>
        <v>Mon</v>
      </c>
      <c r="M2811" t="str">
        <f>TEXT(Pqp_supermarket_data[[#This Row],[DateTime]],"mmm")</f>
        <v>Jul</v>
      </c>
      <c r="N2811" t="str">
        <f>TEXT(Pqp_supermarket_data[[#This Row],[DateTime]],"yyy")</f>
        <v>2024</v>
      </c>
    </row>
    <row r="2812" spans="1:14" x14ac:dyDescent="0.35">
      <c r="A2812" t="s">
        <v>5716</v>
      </c>
      <c r="B2812" s="1">
        <v>45278.378524687498</v>
      </c>
      <c r="C2812" t="s">
        <v>5717</v>
      </c>
      <c r="D2812" t="s">
        <v>171</v>
      </c>
      <c r="E2812" t="s">
        <v>148</v>
      </c>
      <c r="F2812">
        <v>5.5</v>
      </c>
      <c r="G2812">
        <v>5</v>
      </c>
      <c r="H2812" t="s">
        <v>14</v>
      </c>
      <c r="I2812" t="s">
        <v>40</v>
      </c>
      <c r="J2812" t="s">
        <v>426</v>
      </c>
      <c r="K2812">
        <f>Pqp_supermarket_data[[#This Row],[Unit_Price]]*Pqp_supermarket_data[[#This Row],[Quantity]]</f>
        <v>27.5</v>
      </c>
      <c r="L2812" t="str">
        <f>TEXT(Pqp_supermarket_data[[#This Row],[DateTime]],"ddd")</f>
        <v>Mon</v>
      </c>
      <c r="M2812" t="str">
        <f>TEXT(Pqp_supermarket_data[[#This Row],[DateTime]],"mmm")</f>
        <v>Dec</v>
      </c>
      <c r="N2812" t="str">
        <f>TEXT(Pqp_supermarket_data[[#This Row],[DateTime]],"yyy")</f>
        <v>2023</v>
      </c>
    </row>
    <row r="2813" spans="1:14" x14ac:dyDescent="0.35">
      <c r="A2813" t="s">
        <v>5718</v>
      </c>
      <c r="B2813" s="1">
        <v>44762.159774687498</v>
      </c>
      <c r="C2813" t="s">
        <v>5719</v>
      </c>
      <c r="D2813" t="s">
        <v>171</v>
      </c>
      <c r="E2813" t="s">
        <v>78</v>
      </c>
      <c r="F2813">
        <v>4</v>
      </c>
      <c r="G2813">
        <v>3</v>
      </c>
      <c r="H2813" t="s">
        <v>14</v>
      </c>
      <c r="I2813" t="s">
        <v>15</v>
      </c>
      <c r="J2813" t="s">
        <v>192</v>
      </c>
      <c r="K2813">
        <f>Pqp_supermarket_data[[#This Row],[Unit_Price]]*Pqp_supermarket_data[[#This Row],[Quantity]]</f>
        <v>12</v>
      </c>
      <c r="L2813" t="str">
        <f>TEXT(Pqp_supermarket_data[[#This Row],[DateTime]],"ddd")</f>
        <v>Wed</v>
      </c>
      <c r="M2813" t="str">
        <f>TEXT(Pqp_supermarket_data[[#This Row],[DateTime]],"mmm")</f>
        <v>Jul</v>
      </c>
      <c r="N2813" t="str">
        <f>TEXT(Pqp_supermarket_data[[#This Row],[DateTime]],"yyy")</f>
        <v>2022</v>
      </c>
    </row>
    <row r="2814" spans="1:14" x14ac:dyDescent="0.35">
      <c r="A2814" t="s">
        <v>5720</v>
      </c>
      <c r="B2814" s="1">
        <v>45408.255608043983</v>
      </c>
      <c r="C2814" t="s">
        <v>5721</v>
      </c>
      <c r="D2814" t="s">
        <v>226</v>
      </c>
      <c r="E2814" t="s">
        <v>111</v>
      </c>
      <c r="F2814">
        <v>2.2000000000000002</v>
      </c>
      <c r="G2814">
        <v>7</v>
      </c>
      <c r="H2814" t="s">
        <v>14</v>
      </c>
      <c r="I2814" t="s">
        <v>86</v>
      </c>
      <c r="J2814" t="s">
        <v>323</v>
      </c>
      <c r="K2814">
        <f>Pqp_supermarket_data[[#This Row],[Unit_Price]]*Pqp_supermarket_data[[#This Row],[Quantity]]</f>
        <v>15.400000000000002</v>
      </c>
      <c r="L2814" t="str">
        <f>TEXT(Pqp_supermarket_data[[#This Row],[DateTime]],"ddd")</f>
        <v>Fri</v>
      </c>
      <c r="M2814" t="str">
        <f>TEXT(Pqp_supermarket_data[[#This Row],[DateTime]],"mmm")</f>
        <v>Apr</v>
      </c>
      <c r="N2814" t="str">
        <f>TEXT(Pqp_supermarket_data[[#This Row],[DateTime]],"yyy")</f>
        <v>2024</v>
      </c>
    </row>
    <row r="2815" spans="1:14" x14ac:dyDescent="0.35">
      <c r="A2815" t="s">
        <v>5722</v>
      </c>
      <c r="B2815" s="1">
        <v>44640.500052488424</v>
      </c>
      <c r="C2815" t="s">
        <v>5723</v>
      </c>
      <c r="D2815" t="s">
        <v>171</v>
      </c>
      <c r="E2815" t="s">
        <v>35</v>
      </c>
      <c r="F2815">
        <v>1.2</v>
      </c>
      <c r="G2815">
        <v>9</v>
      </c>
      <c r="H2815" t="s">
        <v>14</v>
      </c>
      <c r="I2815" t="s">
        <v>86</v>
      </c>
      <c r="J2815" t="s">
        <v>744</v>
      </c>
      <c r="K2815">
        <f>Pqp_supermarket_data[[#This Row],[Unit_Price]]*Pqp_supermarket_data[[#This Row],[Quantity]]</f>
        <v>10.799999999999999</v>
      </c>
      <c r="L2815" t="str">
        <f>TEXT(Pqp_supermarket_data[[#This Row],[DateTime]],"ddd")</f>
        <v>Sun</v>
      </c>
      <c r="M2815" t="str">
        <f>TEXT(Pqp_supermarket_data[[#This Row],[DateTime]],"mmm")</f>
        <v>Mar</v>
      </c>
      <c r="N2815" t="str">
        <f>TEXT(Pqp_supermarket_data[[#This Row],[DateTime]],"yyy")</f>
        <v>2022</v>
      </c>
    </row>
    <row r="2816" spans="1:14" x14ac:dyDescent="0.35">
      <c r="A2816" t="s">
        <v>5724</v>
      </c>
      <c r="B2816" s="1">
        <v>44970.721580289355</v>
      </c>
      <c r="C2816" t="s">
        <v>5725</v>
      </c>
      <c r="D2816" t="s">
        <v>98</v>
      </c>
      <c r="E2816" t="s">
        <v>145</v>
      </c>
      <c r="F2816">
        <v>1.7</v>
      </c>
      <c r="G2816">
        <v>1</v>
      </c>
      <c r="H2816" t="s">
        <v>14</v>
      </c>
      <c r="I2816" t="s">
        <v>36</v>
      </c>
      <c r="J2816" t="s">
        <v>510</v>
      </c>
      <c r="K2816">
        <f>Pqp_supermarket_data[[#This Row],[Unit_Price]]*Pqp_supermarket_data[[#This Row],[Quantity]]</f>
        <v>1.7</v>
      </c>
      <c r="L2816" t="str">
        <f>TEXT(Pqp_supermarket_data[[#This Row],[DateTime]],"ddd")</f>
        <v>Mon</v>
      </c>
      <c r="M2816" t="str">
        <f>TEXT(Pqp_supermarket_data[[#This Row],[DateTime]],"mmm")</f>
        <v>Feb</v>
      </c>
      <c r="N2816" t="str">
        <f>TEXT(Pqp_supermarket_data[[#This Row],[DateTime]],"yyy")</f>
        <v>2023</v>
      </c>
    </row>
    <row r="2817" spans="1:14" x14ac:dyDescent="0.35">
      <c r="A2817" t="s">
        <v>5726</v>
      </c>
      <c r="B2817" s="1">
        <v>45429.592413634258</v>
      </c>
      <c r="C2817" t="s">
        <v>5727</v>
      </c>
      <c r="D2817" t="s">
        <v>127</v>
      </c>
      <c r="E2817" t="s">
        <v>20</v>
      </c>
      <c r="F2817">
        <v>1</v>
      </c>
      <c r="G2817">
        <v>4</v>
      </c>
      <c r="H2817" t="s">
        <v>14</v>
      </c>
      <c r="I2817" t="s">
        <v>21</v>
      </c>
      <c r="J2817" t="s">
        <v>538</v>
      </c>
      <c r="K2817">
        <f>Pqp_supermarket_data[[#This Row],[Unit_Price]]*Pqp_supermarket_data[[#This Row],[Quantity]]</f>
        <v>4</v>
      </c>
      <c r="L2817" t="str">
        <f>TEXT(Pqp_supermarket_data[[#This Row],[DateTime]],"ddd")</f>
        <v>Fri</v>
      </c>
      <c r="M2817" t="str">
        <f>TEXT(Pqp_supermarket_data[[#This Row],[DateTime]],"mmm")</f>
        <v>May</v>
      </c>
      <c r="N2817" t="str">
        <f>TEXT(Pqp_supermarket_data[[#This Row],[DateTime]],"yyy")</f>
        <v>2024</v>
      </c>
    </row>
    <row r="2818" spans="1:14" x14ac:dyDescent="0.35">
      <c r="A2818" t="s">
        <v>5728</v>
      </c>
      <c r="B2818" s="1">
        <v>45335.113941412033</v>
      </c>
      <c r="C2818" t="s">
        <v>5729</v>
      </c>
      <c r="D2818" t="s">
        <v>30</v>
      </c>
      <c r="E2818" t="s">
        <v>45</v>
      </c>
      <c r="F2818">
        <v>1</v>
      </c>
      <c r="G2818">
        <v>6</v>
      </c>
      <c r="H2818" t="s">
        <v>14</v>
      </c>
      <c r="I2818" t="s">
        <v>36</v>
      </c>
      <c r="J2818" t="s">
        <v>623</v>
      </c>
      <c r="K2818">
        <f>Pqp_supermarket_data[[#This Row],[Unit_Price]]*Pqp_supermarket_data[[#This Row],[Quantity]]</f>
        <v>6</v>
      </c>
      <c r="L2818" t="str">
        <f>TEXT(Pqp_supermarket_data[[#This Row],[DateTime]],"ddd")</f>
        <v>Tue</v>
      </c>
      <c r="M2818" t="str">
        <f>TEXT(Pqp_supermarket_data[[#This Row],[DateTime]],"mmm")</f>
        <v>Feb</v>
      </c>
      <c r="N2818" t="str">
        <f>TEXT(Pqp_supermarket_data[[#This Row],[DateTime]],"yyy")</f>
        <v>2024</v>
      </c>
    </row>
    <row r="2819" spans="1:14" x14ac:dyDescent="0.35">
      <c r="A2819" t="s">
        <v>5730</v>
      </c>
      <c r="B2819" s="1">
        <v>44721.363941412033</v>
      </c>
      <c r="C2819" t="s">
        <v>5731</v>
      </c>
      <c r="D2819" t="s">
        <v>19</v>
      </c>
      <c r="E2819" t="s">
        <v>20</v>
      </c>
      <c r="F2819">
        <v>1</v>
      </c>
      <c r="G2819">
        <v>1</v>
      </c>
      <c r="H2819" t="s">
        <v>14</v>
      </c>
      <c r="I2819" t="s">
        <v>61</v>
      </c>
      <c r="J2819" t="s">
        <v>288</v>
      </c>
      <c r="K2819">
        <f>Pqp_supermarket_data[[#This Row],[Unit_Price]]*Pqp_supermarket_data[[#This Row],[Quantity]]</f>
        <v>1</v>
      </c>
      <c r="L2819" t="str">
        <f>TEXT(Pqp_supermarket_data[[#This Row],[DateTime]],"ddd")</f>
        <v>Thu</v>
      </c>
      <c r="M2819" t="str">
        <f>TEXT(Pqp_supermarket_data[[#This Row],[DateTime]],"mmm")</f>
        <v>Jun</v>
      </c>
      <c r="N2819" t="str">
        <f>TEXT(Pqp_supermarket_data[[#This Row],[DateTime]],"yyy")</f>
        <v>2022</v>
      </c>
    </row>
    <row r="2820" spans="1:14" x14ac:dyDescent="0.35">
      <c r="A2820" t="s">
        <v>5732</v>
      </c>
      <c r="B2820" s="1">
        <v>45080.979219189816</v>
      </c>
      <c r="C2820" t="s">
        <v>5733</v>
      </c>
      <c r="D2820" t="s">
        <v>30</v>
      </c>
      <c r="E2820" t="s">
        <v>148</v>
      </c>
      <c r="F2820">
        <v>5.5</v>
      </c>
      <c r="G2820">
        <v>3</v>
      </c>
      <c r="H2820" t="s">
        <v>14</v>
      </c>
      <c r="I2820" t="s">
        <v>36</v>
      </c>
      <c r="J2820" t="s">
        <v>323</v>
      </c>
      <c r="K2820">
        <f>Pqp_supermarket_data[[#This Row],[Unit_Price]]*Pqp_supermarket_data[[#This Row],[Quantity]]</f>
        <v>16.5</v>
      </c>
      <c r="L2820" t="str">
        <f>TEXT(Pqp_supermarket_data[[#This Row],[DateTime]],"ddd")</f>
        <v>Sat</v>
      </c>
      <c r="M2820" t="str">
        <f>TEXT(Pqp_supermarket_data[[#This Row],[DateTime]],"mmm")</f>
        <v>Jun</v>
      </c>
      <c r="N2820" t="str">
        <f>TEXT(Pqp_supermarket_data[[#This Row],[DateTime]],"yyy")</f>
        <v>2023</v>
      </c>
    </row>
    <row r="2821" spans="1:14" x14ac:dyDescent="0.35">
      <c r="A2821" t="s">
        <v>5734</v>
      </c>
      <c r="B2821" s="1">
        <v>44537.003524745371</v>
      </c>
      <c r="C2821" t="s">
        <v>5735</v>
      </c>
      <c r="D2821" t="s">
        <v>208</v>
      </c>
      <c r="E2821" t="s">
        <v>20</v>
      </c>
      <c r="F2821">
        <v>1</v>
      </c>
      <c r="G2821">
        <v>3</v>
      </c>
      <c r="H2821" t="s">
        <v>14</v>
      </c>
      <c r="I2821" t="s">
        <v>86</v>
      </c>
      <c r="J2821" t="s">
        <v>131</v>
      </c>
      <c r="K2821">
        <f>Pqp_supermarket_data[[#This Row],[Unit_Price]]*Pqp_supermarket_data[[#This Row],[Quantity]]</f>
        <v>3</v>
      </c>
      <c r="L2821" t="str">
        <f>TEXT(Pqp_supermarket_data[[#This Row],[DateTime]],"ddd")</f>
        <v>Tue</v>
      </c>
      <c r="M2821" t="str">
        <f>TEXT(Pqp_supermarket_data[[#This Row],[DateTime]],"mmm")</f>
        <v>Dec</v>
      </c>
      <c r="N2821" t="str">
        <f>TEXT(Pqp_supermarket_data[[#This Row],[DateTime]],"yyy")</f>
        <v>2021</v>
      </c>
    </row>
    <row r="2822" spans="1:14" x14ac:dyDescent="0.35">
      <c r="A2822" t="s">
        <v>5736</v>
      </c>
      <c r="B2822" s="1">
        <v>45051.821580324075</v>
      </c>
      <c r="C2822" t="s">
        <v>5737</v>
      </c>
      <c r="D2822" t="s">
        <v>69</v>
      </c>
      <c r="E2822" t="s">
        <v>145</v>
      </c>
      <c r="F2822">
        <v>1.7</v>
      </c>
      <c r="G2822">
        <v>5</v>
      </c>
      <c r="H2822" t="s">
        <v>14</v>
      </c>
      <c r="I2822" t="s">
        <v>40</v>
      </c>
      <c r="J2822" t="s">
        <v>153</v>
      </c>
      <c r="K2822">
        <f>Pqp_supermarket_data[[#This Row],[Unit_Price]]*Pqp_supermarket_data[[#This Row],[Quantity]]</f>
        <v>8.5</v>
      </c>
      <c r="L2822" t="str">
        <f>TEXT(Pqp_supermarket_data[[#This Row],[DateTime]],"ddd")</f>
        <v>Fri</v>
      </c>
      <c r="M2822" t="str">
        <f>TEXT(Pqp_supermarket_data[[#This Row],[DateTime]],"mmm")</f>
        <v>May</v>
      </c>
      <c r="N2822" t="str">
        <f>TEXT(Pqp_supermarket_data[[#This Row],[DateTime]],"yyy")</f>
        <v>2023</v>
      </c>
    </row>
    <row r="2823" spans="1:14" x14ac:dyDescent="0.35">
      <c r="A2823" t="s">
        <v>5738</v>
      </c>
      <c r="B2823" s="1">
        <v>45002.793108113423</v>
      </c>
      <c r="C2823" t="s">
        <v>5739</v>
      </c>
      <c r="D2823" t="s">
        <v>44</v>
      </c>
      <c r="E2823" t="s">
        <v>145</v>
      </c>
      <c r="F2823">
        <v>1.7</v>
      </c>
      <c r="G2823">
        <v>2</v>
      </c>
      <c r="H2823" t="s">
        <v>14</v>
      </c>
      <c r="I2823" t="s">
        <v>15</v>
      </c>
      <c r="J2823" t="s">
        <v>99</v>
      </c>
      <c r="K2823">
        <f>Pqp_supermarket_data[[#This Row],[Unit_Price]]*Pqp_supermarket_data[[#This Row],[Quantity]]</f>
        <v>3.4</v>
      </c>
      <c r="L2823" t="str">
        <f>TEXT(Pqp_supermarket_data[[#This Row],[DateTime]],"ddd")</f>
        <v>Fri</v>
      </c>
      <c r="M2823" t="str">
        <f>TEXT(Pqp_supermarket_data[[#This Row],[DateTime]],"mmm")</f>
        <v>Mar</v>
      </c>
      <c r="N2823" t="str">
        <f>TEXT(Pqp_supermarket_data[[#This Row],[DateTime]],"yyy")</f>
        <v>2023</v>
      </c>
    </row>
    <row r="2824" spans="1:14" x14ac:dyDescent="0.35">
      <c r="A2824" t="s">
        <v>5740</v>
      </c>
      <c r="B2824" s="1">
        <v>44635.899358113427</v>
      </c>
      <c r="C2824" t="s">
        <v>5741</v>
      </c>
      <c r="D2824" t="s">
        <v>82</v>
      </c>
      <c r="E2824" t="s">
        <v>148</v>
      </c>
      <c r="F2824">
        <v>5.5</v>
      </c>
      <c r="G2824">
        <v>3</v>
      </c>
      <c r="H2824" t="s">
        <v>14</v>
      </c>
      <c r="I2824" t="s">
        <v>15</v>
      </c>
      <c r="J2824" t="s">
        <v>716</v>
      </c>
      <c r="K2824">
        <f>Pqp_supermarket_data[[#This Row],[Unit_Price]]*Pqp_supermarket_data[[#This Row],[Quantity]]</f>
        <v>16.5</v>
      </c>
      <c r="L2824" t="str">
        <f>TEXT(Pqp_supermarket_data[[#This Row],[DateTime]],"ddd")</f>
        <v>Tue</v>
      </c>
      <c r="M2824" t="str">
        <f>TEXT(Pqp_supermarket_data[[#This Row],[DateTime]],"mmm")</f>
        <v>Mar</v>
      </c>
      <c r="N2824" t="str">
        <f>TEXT(Pqp_supermarket_data[[#This Row],[DateTime]],"yyy")</f>
        <v>2022</v>
      </c>
    </row>
    <row r="2825" spans="1:14" x14ac:dyDescent="0.35">
      <c r="A2825" t="s">
        <v>5742</v>
      </c>
      <c r="B2825" s="1">
        <v>45143.795191458332</v>
      </c>
      <c r="C2825" t="s">
        <v>5743</v>
      </c>
      <c r="D2825" t="s">
        <v>19</v>
      </c>
      <c r="E2825" t="s">
        <v>148</v>
      </c>
      <c r="F2825">
        <v>5.5</v>
      </c>
      <c r="G2825">
        <v>5</v>
      </c>
      <c r="H2825" t="s">
        <v>14</v>
      </c>
      <c r="I2825" t="s">
        <v>15</v>
      </c>
      <c r="J2825" t="s">
        <v>267</v>
      </c>
      <c r="K2825">
        <f>Pqp_supermarket_data[[#This Row],[Unit_Price]]*Pqp_supermarket_data[[#This Row],[Quantity]]</f>
        <v>27.5</v>
      </c>
      <c r="L2825" t="str">
        <f>TEXT(Pqp_supermarket_data[[#This Row],[DateTime]],"ddd")</f>
        <v>Sat</v>
      </c>
      <c r="M2825" t="str">
        <f>TEXT(Pqp_supermarket_data[[#This Row],[DateTime]],"mmm")</f>
        <v>Aug</v>
      </c>
      <c r="N2825" t="str">
        <f>TEXT(Pqp_supermarket_data[[#This Row],[DateTime]],"yyy")</f>
        <v>2023</v>
      </c>
    </row>
    <row r="2826" spans="1:14" x14ac:dyDescent="0.35">
      <c r="A2826" t="s">
        <v>5744</v>
      </c>
      <c r="B2826" s="1">
        <v>45240.036163680554</v>
      </c>
      <c r="C2826" t="s">
        <v>5745</v>
      </c>
      <c r="D2826" t="s">
        <v>69</v>
      </c>
      <c r="E2826" t="s">
        <v>26</v>
      </c>
      <c r="F2826">
        <v>2.5</v>
      </c>
      <c r="G2826">
        <v>10</v>
      </c>
      <c r="H2826" t="s">
        <v>14</v>
      </c>
      <c r="I2826" t="s">
        <v>61</v>
      </c>
      <c r="J2826" t="s">
        <v>138</v>
      </c>
      <c r="K2826">
        <f>Pqp_supermarket_data[[#This Row],[Unit_Price]]*Pqp_supermarket_data[[#This Row],[Quantity]]</f>
        <v>25</v>
      </c>
      <c r="L2826" t="str">
        <f>TEXT(Pqp_supermarket_data[[#This Row],[DateTime]],"ddd")</f>
        <v>Fri</v>
      </c>
      <c r="M2826" t="str">
        <f>TEXT(Pqp_supermarket_data[[#This Row],[DateTime]],"mmm")</f>
        <v>Nov</v>
      </c>
      <c r="N2826" t="str">
        <f>TEXT(Pqp_supermarket_data[[#This Row],[DateTime]],"yyy")</f>
        <v>2023</v>
      </c>
    </row>
    <row r="2827" spans="1:14" x14ac:dyDescent="0.35">
      <c r="A2827" t="s">
        <v>5746</v>
      </c>
      <c r="B2827" s="1">
        <v>45229.686858136571</v>
      </c>
      <c r="C2827" t="s">
        <v>5747</v>
      </c>
      <c r="D2827" t="s">
        <v>208</v>
      </c>
      <c r="E2827" t="s">
        <v>35</v>
      </c>
      <c r="F2827">
        <v>1.2</v>
      </c>
      <c r="G2827">
        <v>3</v>
      </c>
      <c r="H2827" t="s">
        <v>14</v>
      </c>
      <c r="I2827" t="s">
        <v>86</v>
      </c>
      <c r="J2827" t="s">
        <v>91</v>
      </c>
      <c r="K2827">
        <f>Pqp_supermarket_data[[#This Row],[Unit_Price]]*Pqp_supermarket_data[[#This Row],[Quantity]]</f>
        <v>3.5999999999999996</v>
      </c>
      <c r="L2827" t="str">
        <f>TEXT(Pqp_supermarket_data[[#This Row],[DateTime]],"ddd")</f>
        <v>Mon</v>
      </c>
      <c r="M2827" t="str">
        <f>TEXT(Pqp_supermarket_data[[#This Row],[DateTime]],"mmm")</f>
        <v>Oct</v>
      </c>
      <c r="N2827" t="str">
        <f>TEXT(Pqp_supermarket_data[[#This Row],[DateTime]],"yyy")</f>
        <v>2023</v>
      </c>
    </row>
    <row r="2828" spans="1:14" x14ac:dyDescent="0.35">
      <c r="A2828" t="s">
        <v>5748</v>
      </c>
      <c r="B2828" s="1">
        <v>45328.559774814814</v>
      </c>
      <c r="C2828" t="s">
        <v>5749</v>
      </c>
      <c r="D2828" t="s">
        <v>30</v>
      </c>
      <c r="E2828" t="s">
        <v>90</v>
      </c>
      <c r="F2828">
        <v>1.8</v>
      </c>
      <c r="G2828">
        <v>7</v>
      </c>
      <c r="H2828" t="s">
        <v>14</v>
      </c>
      <c r="I2828" t="s">
        <v>21</v>
      </c>
      <c r="J2828" t="s">
        <v>662</v>
      </c>
      <c r="K2828">
        <f>Pqp_supermarket_data[[#This Row],[Unit_Price]]*Pqp_supermarket_data[[#This Row],[Quantity]]</f>
        <v>12.6</v>
      </c>
      <c r="L2828" t="str">
        <f>TEXT(Pqp_supermarket_data[[#This Row],[DateTime]],"ddd")</f>
        <v>Tue</v>
      </c>
      <c r="M2828" t="str">
        <f>TEXT(Pqp_supermarket_data[[#This Row],[DateTime]],"mmm")</f>
        <v>Feb</v>
      </c>
      <c r="N2828" t="str">
        <f>TEXT(Pqp_supermarket_data[[#This Row],[DateTime]],"yyy")</f>
        <v>2024</v>
      </c>
    </row>
    <row r="2829" spans="1:14" x14ac:dyDescent="0.35">
      <c r="A2829" t="s">
        <v>5750</v>
      </c>
      <c r="B2829" s="1">
        <v>44989.474358159721</v>
      </c>
      <c r="C2829" t="s">
        <v>5751</v>
      </c>
      <c r="D2829" t="s">
        <v>77</v>
      </c>
      <c r="E2829" t="s">
        <v>49</v>
      </c>
      <c r="F2829">
        <v>7</v>
      </c>
      <c r="G2829">
        <v>9</v>
      </c>
      <c r="H2829" t="s">
        <v>14</v>
      </c>
      <c r="I2829" t="s">
        <v>15</v>
      </c>
      <c r="J2829" t="s">
        <v>205</v>
      </c>
      <c r="K2829">
        <f>Pqp_supermarket_data[[#This Row],[Unit_Price]]*Pqp_supermarket_data[[#This Row],[Quantity]]</f>
        <v>63</v>
      </c>
      <c r="L2829" t="str">
        <f>TEXT(Pqp_supermarket_data[[#This Row],[DateTime]],"ddd")</f>
        <v>Sat</v>
      </c>
      <c r="M2829" t="str">
        <f>TEXT(Pqp_supermarket_data[[#This Row],[DateTime]],"mmm")</f>
        <v>Mar</v>
      </c>
      <c r="N2829" t="str">
        <f>TEXT(Pqp_supermarket_data[[#This Row],[DateTime]],"yyy")</f>
        <v>2023</v>
      </c>
    </row>
    <row r="2830" spans="1:14" x14ac:dyDescent="0.35">
      <c r="A2830" t="s">
        <v>5752</v>
      </c>
      <c r="B2830" s="1">
        <v>45619.676441493059</v>
      </c>
      <c r="C2830" t="s">
        <v>5753</v>
      </c>
      <c r="D2830" t="s">
        <v>34</v>
      </c>
      <c r="E2830" t="s">
        <v>45</v>
      </c>
      <c r="F2830">
        <v>1</v>
      </c>
      <c r="G2830">
        <v>6</v>
      </c>
      <c r="H2830" t="s">
        <v>14</v>
      </c>
      <c r="I2830" t="s">
        <v>40</v>
      </c>
      <c r="J2830" t="s">
        <v>166</v>
      </c>
      <c r="K2830">
        <f>Pqp_supermarket_data[[#This Row],[Unit_Price]]*Pqp_supermarket_data[[#This Row],[Quantity]]</f>
        <v>6</v>
      </c>
      <c r="L2830" t="str">
        <f>TEXT(Pqp_supermarket_data[[#This Row],[DateTime]],"ddd")</f>
        <v>Sat</v>
      </c>
      <c r="M2830" t="str">
        <f>TEXT(Pqp_supermarket_data[[#This Row],[DateTime]],"mmm")</f>
        <v>Nov</v>
      </c>
      <c r="N2830" t="str">
        <f>TEXT(Pqp_supermarket_data[[#This Row],[DateTime]],"yyy")</f>
        <v>2024</v>
      </c>
    </row>
    <row r="2831" spans="1:14" x14ac:dyDescent="0.35">
      <c r="A2831" t="s">
        <v>5754</v>
      </c>
      <c r="B2831" s="1">
        <v>45651.036858171297</v>
      </c>
      <c r="C2831" t="s">
        <v>5755</v>
      </c>
      <c r="D2831" t="s">
        <v>208</v>
      </c>
      <c r="E2831" t="s">
        <v>45</v>
      </c>
      <c r="F2831">
        <v>1</v>
      </c>
      <c r="G2831">
        <v>5</v>
      </c>
      <c r="H2831" t="s">
        <v>14</v>
      </c>
      <c r="I2831" t="s">
        <v>40</v>
      </c>
      <c r="J2831" t="s">
        <v>50</v>
      </c>
      <c r="K2831">
        <f>Pqp_supermarket_data[[#This Row],[Unit_Price]]*Pqp_supermarket_data[[#This Row],[Quantity]]</f>
        <v>5</v>
      </c>
      <c r="L2831" t="str">
        <f>TEXT(Pqp_supermarket_data[[#This Row],[DateTime]],"ddd")</f>
        <v>Wed</v>
      </c>
      <c r="M2831" t="str">
        <f>TEXT(Pqp_supermarket_data[[#This Row],[DateTime]],"mmm")</f>
        <v>Dec</v>
      </c>
      <c r="N2831" t="str">
        <f>TEXT(Pqp_supermarket_data[[#This Row],[DateTime]],"yyy")</f>
        <v>2024</v>
      </c>
    </row>
    <row r="2832" spans="1:14" x14ac:dyDescent="0.35">
      <c r="A2832" t="s">
        <v>5756</v>
      </c>
      <c r="B2832" s="1">
        <v>44496.765330393515</v>
      </c>
      <c r="C2832" t="s">
        <v>5757</v>
      </c>
      <c r="D2832" t="s">
        <v>34</v>
      </c>
      <c r="E2832" t="s">
        <v>39</v>
      </c>
      <c r="F2832">
        <v>3.2</v>
      </c>
      <c r="G2832">
        <v>1</v>
      </c>
      <c r="H2832" t="s">
        <v>14</v>
      </c>
      <c r="I2832" t="s">
        <v>86</v>
      </c>
      <c r="J2832" t="s">
        <v>404</v>
      </c>
      <c r="K2832">
        <f>Pqp_supermarket_data[[#This Row],[Unit_Price]]*Pqp_supermarket_data[[#This Row],[Quantity]]</f>
        <v>3.2</v>
      </c>
      <c r="L2832" t="str">
        <f>TEXT(Pqp_supermarket_data[[#This Row],[DateTime]],"ddd")</f>
        <v>Wed</v>
      </c>
      <c r="M2832" t="str">
        <f>TEXT(Pqp_supermarket_data[[#This Row],[DateTime]],"mmm")</f>
        <v>Oct</v>
      </c>
      <c r="N2832" t="str">
        <f>TEXT(Pqp_supermarket_data[[#This Row],[DateTime]],"yyy")</f>
        <v>2021</v>
      </c>
    </row>
    <row r="2833" spans="1:14" x14ac:dyDescent="0.35">
      <c r="A2833" t="s">
        <v>5758</v>
      </c>
      <c r="B2833" s="1">
        <v>45423.703524837962</v>
      </c>
      <c r="C2833" t="s">
        <v>5759</v>
      </c>
      <c r="D2833" t="s">
        <v>25</v>
      </c>
      <c r="E2833" t="s">
        <v>119</v>
      </c>
      <c r="F2833">
        <v>4</v>
      </c>
      <c r="G2833">
        <v>8</v>
      </c>
      <c r="H2833" t="s">
        <v>14</v>
      </c>
      <c r="I2833" t="s">
        <v>36</v>
      </c>
      <c r="J2833" t="s">
        <v>404</v>
      </c>
      <c r="K2833">
        <f>Pqp_supermarket_data[[#This Row],[Unit_Price]]*Pqp_supermarket_data[[#This Row],[Quantity]]</f>
        <v>32</v>
      </c>
      <c r="L2833" t="str">
        <f>TEXT(Pqp_supermarket_data[[#This Row],[DateTime]],"ddd")</f>
        <v>Sat</v>
      </c>
      <c r="M2833" t="str">
        <f>TEXT(Pqp_supermarket_data[[#This Row],[DateTime]],"mmm")</f>
        <v>May</v>
      </c>
      <c r="N2833" t="str">
        <f>TEXT(Pqp_supermarket_data[[#This Row],[DateTime]],"yyy")</f>
        <v>2024</v>
      </c>
    </row>
    <row r="2834" spans="1:14" x14ac:dyDescent="0.35">
      <c r="A2834" t="s">
        <v>5760</v>
      </c>
      <c r="B2834" s="1">
        <v>44502.391024837962</v>
      </c>
      <c r="C2834" t="s">
        <v>5761</v>
      </c>
      <c r="D2834" t="s">
        <v>12</v>
      </c>
      <c r="E2834" t="s">
        <v>53</v>
      </c>
      <c r="F2834">
        <v>2.8</v>
      </c>
      <c r="G2834">
        <v>4</v>
      </c>
      <c r="H2834" t="s">
        <v>14</v>
      </c>
      <c r="I2834" t="s">
        <v>36</v>
      </c>
      <c r="J2834" t="s">
        <v>339</v>
      </c>
      <c r="K2834">
        <f>Pqp_supermarket_data[[#This Row],[Unit_Price]]*Pqp_supermarket_data[[#This Row],[Quantity]]</f>
        <v>11.2</v>
      </c>
      <c r="L2834" t="str">
        <f>TEXT(Pqp_supermarket_data[[#This Row],[DateTime]],"ddd")</f>
        <v>Tue</v>
      </c>
      <c r="M2834" t="str">
        <f>TEXT(Pqp_supermarket_data[[#This Row],[DateTime]],"mmm")</f>
        <v>Nov</v>
      </c>
      <c r="N2834" t="str">
        <f>TEXT(Pqp_supermarket_data[[#This Row],[DateTime]],"yyy")</f>
        <v>2021</v>
      </c>
    </row>
    <row r="2835" spans="1:14" x14ac:dyDescent="0.35">
      <c r="A2835" t="s">
        <v>5762</v>
      </c>
      <c r="B2835" s="1">
        <v>45233.520191504627</v>
      </c>
      <c r="C2835" t="s">
        <v>5763</v>
      </c>
      <c r="D2835" t="s">
        <v>98</v>
      </c>
      <c r="E2835" t="s">
        <v>70</v>
      </c>
      <c r="F2835">
        <v>5</v>
      </c>
      <c r="G2835">
        <v>8</v>
      </c>
      <c r="H2835" t="s">
        <v>14</v>
      </c>
      <c r="I2835" t="s">
        <v>21</v>
      </c>
      <c r="J2835" t="s">
        <v>429</v>
      </c>
      <c r="K2835">
        <f>Pqp_supermarket_data[[#This Row],[Unit_Price]]*Pqp_supermarket_data[[#This Row],[Quantity]]</f>
        <v>40</v>
      </c>
      <c r="L2835" t="str">
        <f>TEXT(Pqp_supermarket_data[[#This Row],[DateTime]],"ddd")</f>
        <v>Fri</v>
      </c>
      <c r="M2835" t="str">
        <f>TEXT(Pqp_supermarket_data[[#This Row],[DateTime]],"mmm")</f>
        <v>Nov</v>
      </c>
      <c r="N2835" t="str">
        <f>TEXT(Pqp_supermarket_data[[#This Row],[DateTime]],"yyy")</f>
        <v>2023</v>
      </c>
    </row>
    <row r="2836" spans="1:14" x14ac:dyDescent="0.35">
      <c r="A2836" t="s">
        <v>5764</v>
      </c>
      <c r="B2836" s="1">
        <v>44986.349358171297</v>
      </c>
      <c r="C2836" t="s">
        <v>5765</v>
      </c>
      <c r="D2836" t="s">
        <v>12</v>
      </c>
      <c r="E2836" t="s">
        <v>70</v>
      </c>
      <c r="F2836">
        <v>5</v>
      </c>
      <c r="G2836">
        <v>3</v>
      </c>
      <c r="H2836" t="s">
        <v>14</v>
      </c>
      <c r="I2836" t="s">
        <v>36</v>
      </c>
      <c r="J2836" t="s">
        <v>548</v>
      </c>
      <c r="K2836">
        <f>Pqp_supermarket_data[[#This Row],[Unit_Price]]*Pqp_supermarket_data[[#This Row],[Quantity]]</f>
        <v>15</v>
      </c>
      <c r="L2836" t="str">
        <f>TEXT(Pqp_supermarket_data[[#This Row],[DateTime]],"ddd")</f>
        <v>Wed</v>
      </c>
      <c r="M2836" t="str">
        <f>TEXT(Pqp_supermarket_data[[#This Row],[DateTime]],"mmm")</f>
        <v>Mar</v>
      </c>
      <c r="N2836" t="str">
        <f>TEXT(Pqp_supermarket_data[[#This Row],[DateTime]],"yyy")</f>
        <v>2023</v>
      </c>
    </row>
    <row r="2837" spans="1:14" x14ac:dyDescent="0.35">
      <c r="A2837" t="s">
        <v>5766</v>
      </c>
      <c r="B2837" s="1">
        <v>44942.679219282407</v>
      </c>
      <c r="C2837" t="s">
        <v>5767</v>
      </c>
      <c r="D2837" t="s">
        <v>171</v>
      </c>
      <c r="E2837" t="s">
        <v>111</v>
      </c>
      <c r="F2837">
        <v>2.2000000000000002</v>
      </c>
      <c r="G2837">
        <v>6</v>
      </c>
      <c r="H2837" t="s">
        <v>14</v>
      </c>
      <c r="I2837" t="s">
        <v>40</v>
      </c>
      <c r="J2837" t="s">
        <v>270</v>
      </c>
      <c r="K2837">
        <f>Pqp_supermarket_data[[#This Row],[Unit_Price]]*Pqp_supermarket_data[[#This Row],[Quantity]]</f>
        <v>13.200000000000001</v>
      </c>
      <c r="L2837" t="str">
        <f>TEXT(Pqp_supermarket_data[[#This Row],[DateTime]],"ddd")</f>
        <v>Mon</v>
      </c>
      <c r="M2837" t="str">
        <f>TEXT(Pqp_supermarket_data[[#This Row],[DateTime]],"mmm")</f>
        <v>Jan</v>
      </c>
      <c r="N2837" t="str">
        <f>TEXT(Pqp_supermarket_data[[#This Row],[DateTime]],"yyy")</f>
        <v>2023</v>
      </c>
    </row>
    <row r="2838" spans="1:14" x14ac:dyDescent="0.35">
      <c r="A2838" t="s">
        <v>5768</v>
      </c>
      <c r="B2838" s="1">
        <v>45597.563247060185</v>
      </c>
      <c r="C2838" t="s">
        <v>5769</v>
      </c>
      <c r="D2838" t="s">
        <v>98</v>
      </c>
      <c r="E2838" t="s">
        <v>115</v>
      </c>
      <c r="F2838">
        <v>1.5</v>
      </c>
      <c r="G2838">
        <v>7</v>
      </c>
      <c r="H2838" t="s">
        <v>14</v>
      </c>
      <c r="I2838" t="s">
        <v>40</v>
      </c>
      <c r="J2838" t="s">
        <v>769</v>
      </c>
      <c r="K2838">
        <f>Pqp_supermarket_data[[#This Row],[Unit_Price]]*Pqp_supermarket_data[[#This Row],[Quantity]]</f>
        <v>10.5</v>
      </c>
      <c r="L2838" t="str">
        <f>TEXT(Pqp_supermarket_data[[#This Row],[DateTime]],"ddd")</f>
        <v>Fri</v>
      </c>
      <c r="M2838" t="str">
        <f>TEXT(Pqp_supermarket_data[[#This Row],[DateTime]],"mmm")</f>
        <v>Nov</v>
      </c>
      <c r="N2838" t="str">
        <f>TEXT(Pqp_supermarket_data[[#This Row],[DateTime]],"yyy")</f>
        <v>2024</v>
      </c>
    </row>
    <row r="2839" spans="1:14" x14ac:dyDescent="0.35">
      <c r="A2839" t="s">
        <v>5770</v>
      </c>
      <c r="B2839" s="1">
        <v>44628.602135949077</v>
      </c>
      <c r="C2839" t="s">
        <v>5771</v>
      </c>
      <c r="D2839" t="s">
        <v>171</v>
      </c>
      <c r="E2839" t="s">
        <v>65</v>
      </c>
      <c r="F2839">
        <v>3</v>
      </c>
      <c r="G2839">
        <v>5</v>
      </c>
      <c r="H2839" t="s">
        <v>14</v>
      </c>
      <c r="I2839" t="s">
        <v>40</v>
      </c>
      <c r="J2839" t="s">
        <v>662</v>
      </c>
      <c r="K2839">
        <f>Pqp_supermarket_data[[#This Row],[Unit_Price]]*Pqp_supermarket_data[[#This Row],[Quantity]]</f>
        <v>15</v>
      </c>
      <c r="L2839" t="str">
        <f>TEXT(Pqp_supermarket_data[[#This Row],[DateTime]],"ddd")</f>
        <v>Tue</v>
      </c>
      <c r="M2839" t="str">
        <f>TEXT(Pqp_supermarket_data[[#This Row],[DateTime]],"mmm")</f>
        <v>Mar</v>
      </c>
      <c r="N2839" t="str">
        <f>TEXT(Pqp_supermarket_data[[#This Row],[DateTime]],"yyy")</f>
        <v>2022</v>
      </c>
    </row>
    <row r="2840" spans="1:14" x14ac:dyDescent="0.35">
      <c r="A2840" t="s">
        <v>5772</v>
      </c>
      <c r="B2840" s="1">
        <v>44712.661163726851</v>
      </c>
      <c r="C2840" t="s">
        <v>5773</v>
      </c>
      <c r="D2840" t="s">
        <v>127</v>
      </c>
      <c r="E2840" t="s">
        <v>65</v>
      </c>
      <c r="F2840">
        <v>3</v>
      </c>
      <c r="G2840">
        <v>4</v>
      </c>
      <c r="H2840" t="s">
        <v>14</v>
      </c>
      <c r="I2840" t="s">
        <v>15</v>
      </c>
      <c r="J2840" t="s">
        <v>485</v>
      </c>
      <c r="K2840">
        <f>Pqp_supermarket_data[[#This Row],[Unit_Price]]*Pqp_supermarket_data[[#This Row],[Quantity]]</f>
        <v>12</v>
      </c>
      <c r="L2840" t="str">
        <f>TEXT(Pqp_supermarket_data[[#This Row],[DateTime]],"ddd")</f>
        <v>Tue</v>
      </c>
      <c r="M2840" t="str">
        <f>TEXT(Pqp_supermarket_data[[#This Row],[DateTime]],"mmm")</f>
        <v>May</v>
      </c>
      <c r="N2840" t="str">
        <f>TEXT(Pqp_supermarket_data[[#This Row],[DateTime]],"yyy")</f>
        <v>2022</v>
      </c>
    </row>
    <row r="2841" spans="1:14" x14ac:dyDescent="0.35">
      <c r="A2841" t="s">
        <v>5774</v>
      </c>
      <c r="B2841" s="1">
        <v>44857.264635949075</v>
      </c>
      <c r="C2841" t="s">
        <v>5775</v>
      </c>
      <c r="D2841" t="s">
        <v>19</v>
      </c>
      <c r="E2841" t="s">
        <v>111</v>
      </c>
      <c r="F2841">
        <v>2.2000000000000002</v>
      </c>
      <c r="G2841">
        <v>6</v>
      </c>
      <c r="H2841" t="s">
        <v>14</v>
      </c>
      <c r="I2841" t="s">
        <v>61</v>
      </c>
      <c r="J2841" t="s">
        <v>541</v>
      </c>
      <c r="K2841">
        <f>Pqp_supermarket_data[[#This Row],[Unit_Price]]*Pqp_supermarket_data[[#This Row],[Quantity]]</f>
        <v>13.200000000000001</v>
      </c>
      <c r="L2841" t="str">
        <f>TEXT(Pqp_supermarket_data[[#This Row],[DateTime]],"ddd")</f>
        <v>Sun</v>
      </c>
      <c r="M2841" t="str">
        <f>TEXT(Pqp_supermarket_data[[#This Row],[DateTime]],"mmm")</f>
        <v>Oct</v>
      </c>
      <c r="N2841" t="str">
        <f>TEXT(Pqp_supermarket_data[[#This Row],[DateTime]],"yyy")</f>
        <v>2022</v>
      </c>
    </row>
    <row r="2842" spans="1:14" x14ac:dyDescent="0.35">
      <c r="A2842" t="s">
        <v>5776</v>
      </c>
      <c r="B2842" s="1">
        <v>45436.294497060182</v>
      </c>
      <c r="C2842" t="s">
        <v>5777</v>
      </c>
      <c r="D2842" t="s">
        <v>19</v>
      </c>
      <c r="E2842" t="s">
        <v>49</v>
      </c>
      <c r="F2842">
        <v>7</v>
      </c>
      <c r="G2842">
        <v>2</v>
      </c>
      <c r="H2842" t="s">
        <v>14</v>
      </c>
      <c r="I2842" t="s">
        <v>86</v>
      </c>
      <c r="J2842" t="s">
        <v>112</v>
      </c>
      <c r="K2842">
        <f>Pqp_supermarket_data[[#This Row],[Unit_Price]]*Pqp_supermarket_data[[#This Row],[Quantity]]</f>
        <v>14</v>
      </c>
      <c r="L2842" t="str">
        <f>TEXT(Pqp_supermarket_data[[#This Row],[DateTime]],"ddd")</f>
        <v>Fri</v>
      </c>
      <c r="M2842" t="str">
        <f>TEXT(Pqp_supermarket_data[[#This Row],[DateTime]],"mmm")</f>
        <v>May</v>
      </c>
      <c r="N2842" t="str">
        <f>TEXT(Pqp_supermarket_data[[#This Row],[DateTime]],"yyy")</f>
        <v>2024</v>
      </c>
    </row>
    <row r="2843" spans="1:14" x14ac:dyDescent="0.35">
      <c r="A2843" t="s">
        <v>5778</v>
      </c>
      <c r="B2843" s="1">
        <v>45623.97644150463</v>
      </c>
      <c r="C2843" t="s">
        <v>5779</v>
      </c>
      <c r="D2843" t="s">
        <v>25</v>
      </c>
      <c r="E2843" t="s">
        <v>94</v>
      </c>
      <c r="F2843">
        <v>0.8</v>
      </c>
      <c r="G2843">
        <v>2</v>
      </c>
      <c r="H2843" t="s">
        <v>14</v>
      </c>
      <c r="I2843" t="s">
        <v>40</v>
      </c>
      <c r="J2843" t="s">
        <v>538</v>
      </c>
      <c r="K2843">
        <f>Pqp_supermarket_data[[#This Row],[Unit_Price]]*Pqp_supermarket_data[[#This Row],[Quantity]]</f>
        <v>1.6</v>
      </c>
      <c r="L2843" t="str">
        <f>TEXT(Pqp_supermarket_data[[#This Row],[DateTime]],"ddd")</f>
        <v>Wed</v>
      </c>
      <c r="M2843" t="str">
        <f>TEXT(Pqp_supermarket_data[[#This Row],[DateTime]],"mmm")</f>
        <v>Nov</v>
      </c>
      <c r="N2843" t="str">
        <f>TEXT(Pqp_supermarket_data[[#This Row],[DateTime]],"yyy")</f>
        <v>2024</v>
      </c>
    </row>
    <row r="2844" spans="1:14" x14ac:dyDescent="0.35">
      <c r="A2844" t="s">
        <v>5780</v>
      </c>
      <c r="B2844" s="1">
        <v>45452.543108171296</v>
      </c>
      <c r="C2844" t="s">
        <v>5781</v>
      </c>
      <c r="D2844" t="s">
        <v>77</v>
      </c>
      <c r="E2844" t="s">
        <v>26</v>
      </c>
      <c r="F2844">
        <v>2.5</v>
      </c>
      <c r="G2844">
        <v>7</v>
      </c>
      <c r="H2844" t="s">
        <v>14</v>
      </c>
      <c r="I2844" t="s">
        <v>15</v>
      </c>
      <c r="J2844" t="s">
        <v>138</v>
      </c>
      <c r="K2844">
        <f>Pqp_supermarket_data[[#This Row],[Unit_Price]]*Pqp_supermarket_data[[#This Row],[Quantity]]</f>
        <v>17.5</v>
      </c>
      <c r="L2844" t="str">
        <f>TEXT(Pqp_supermarket_data[[#This Row],[DateTime]],"ddd")</f>
        <v>Sun</v>
      </c>
      <c r="M2844" t="str">
        <f>TEXT(Pqp_supermarket_data[[#This Row],[DateTime]],"mmm")</f>
        <v>Jun</v>
      </c>
      <c r="N2844" t="str">
        <f>TEXT(Pqp_supermarket_data[[#This Row],[DateTime]],"yyy")</f>
        <v>2024</v>
      </c>
    </row>
    <row r="2845" spans="1:14" x14ac:dyDescent="0.35">
      <c r="A2845" t="s">
        <v>5782</v>
      </c>
      <c r="B2845" s="1">
        <v>44415.13755269676</v>
      </c>
      <c r="C2845" t="s">
        <v>5783</v>
      </c>
      <c r="D2845" t="s">
        <v>98</v>
      </c>
      <c r="E2845" t="s">
        <v>115</v>
      </c>
      <c r="F2845">
        <v>1.5</v>
      </c>
      <c r="G2845">
        <v>9</v>
      </c>
      <c r="H2845" t="s">
        <v>14</v>
      </c>
      <c r="I2845" t="s">
        <v>21</v>
      </c>
      <c r="J2845" t="s">
        <v>561</v>
      </c>
      <c r="K2845">
        <f>Pqp_supermarket_data[[#This Row],[Unit_Price]]*Pqp_supermarket_data[[#This Row],[Quantity]]</f>
        <v>13.5</v>
      </c>
      <c r="L2845" t="str">
        <f>TEXT(Pqp_supermarket_data[[#This Row],[DateTime]],"ddd")</f>
        <v>Sat</v>
      </c>
      <c r="M2845" t="str">
        <f>TEXT(Pqp_supermarket_data[[#This Row],[DateTime]],"mmm")</f>
        <v>Aug</v>
      </c>
      <c r="N2845" t="str">
        <f>TEXT(Pqp_supermarket_data[[#This Row],[DateTime]],"yyy")</f>
        <v>2021</v>
      </c>
    </row>
    <row r="2846" spans="1:14" x14ac:dyDescent="0.35">
      <c r="A2846" t="s">
        <v>5784</v>
      </c>
      <c r="B2846" s="1">
        <v>45016.426441585645</v>
      </c>
      <c r="C2846" t="s">
        <v>5785</v>
      </c>
      <c r="D2846" t="s">
        <v>25</v>
      </c>
      <c r="E2846" t="s">
        <v>70</v>
      </c>
      <c r="F2846">
        <v>5</v>
      </c>
      <c r="G2846">
        <v>2</v>
      </c>
      <c r="H2846" t="s">
        <v>14</v>
      </c>
      <c r="I2846" t="s">
        <v>36</v>
      </c>
      <c r="J2846" t="s">
        <v>112</v>
      </c>
      <c r="K2846">
        <f>Pqp_supermarket_data[[#This Row],[Unit_Price]]*Pqp_supermarket_data[[#This Row],[Quantity]]</f>
        <v>10</v>
      </c>
      <c r="L2846" t="str">
        <f>TEXT(Pqp_supermarket_data[[#This Row],[DateTime]],"ddd")</f>
        <v>Fri</v>
      </c>
      <c r="M2846" t="str">
        <f>TEXT(Pqp_supermarket_data[[#This Row],[DateTime]],"mmm")</f>
        <v>Mar</v>
      </c>
      <c r="N2846" t="str">
        <f>TEXT(Pqp_supermarket_data[[#This Row],[DateTime]],"yyy")</f>
        <v>2023</v>
      </c>
    </row>
    <row r="2847" spans="1:14" x14ac:dyDescent="0.35">
      <c r="A2847" t="s">
        <v>5786</v>
      </c>
      <c r="B2847" s="1">
        <v>45179.173663807873</v>
      </c>
      <c r="C2847" t="s">
        <v>5787</v>
      </c>
      <c r="D2847" t="s">
        <v>171</v>
      </c>
      <c r="E2847" t="s">
        <v>137</v>
      </c>
      <c r="F2847">
        <v>2.5</v>
      </c>
      <c r="G2847">
        <v>3</v>
      </c>
      <c r="H2847" t="s">
        <v>14</v>
      </c>
      <c r="I2847" t="s">
        <v>21</v>
      </c>
      <c r="J2847" t="s">
        <v>394</v>
      </c>
      <c r="K2847">
        <f>Pqp_supermarket_data[[#This Row],[Unit_Price]]*Pqp_supermarket_data[[#This Row],[Quantity]]</f>
        <v>7.5</v>
      </c>
      <c r="L2847" t="str">
        <f>TEXT(Pqp_supermarket_data[[#This Row],[DateTime]],"ddd")</f>
        <v>Sun</v>
      </c>
      <c r="M2847" t="str">
        <f>TEXT(Pqp_supermarket_data[[#This Row],[DateTime]],"mmm")</f>
        <v>Sep</v>
      </c>
      <c r="N2847" t="str">
        <f>TEXT(Pqp_supermarket_data[[#This Row],[DateTime]],"yyy")</f>
        <v>2023</v>
      </c>
    </row>
    <row r="2848" spans="1:14" x14ac:dyDescent="0.35">
      <c r="A2848" t="s">
        <v>5788</v>
      </c>
      <c r="B2848" s="1">
        <v>45689.354913807867</v>
      </c>
      <c r="C2848" t="s">
        <v>5789</v>
      </c>
      <c r="D2848" t="s">
        <v>82</v>
      </c>
      <c r="E2848" t="s">
        <v>57</v>
      </c>
      <c r="F2848">
        <v>4.5</v>
      </c>
      <c r="G2848">
        <v>9</v>
      </c>
      <c r="H2848" t="s">
        <v>14</v>
      </c>
      <c r="I2848" t="s">
        <v>40</v>
      </c>
      <c r="J2848" t="s">
        <v>58</v>
      </c>
      <c r="K2848">
        <f>Pqp_supermarket_data[[#This Row],[Unit_Price]]*Pqp_supermarket_data[[#This Row],[Quantity]]</f>
        <v>40.5</v>
      </c>
      <c r="L2848" t="str">
        <f>TEXT(Pqp_supermarket_data[[#This Row],[DateTime]],"ddd")</f>
        <v>Sat</v>
      </c>
      <c r="M2848" t="str">
        <f>TEXT(Pqp_supermarket_data[[#This Row],[DateTime]],"mmm")</f>
        <v>Feb</v>
      </c>
      <c r="N2848" t="str">
        <f>TEXT(Pqp_supermarket_data[[#This Row],[DateTime]],"yyy")</f>
        <v>2025</v>
      </c>
    </row>
    <row r="2849" spans="1:14" x14ac:dyDescent="0.35">
      <c r="A2849" t="s">
        <v>5790</v>
      </c>
      <c r="B2849" s="1">
        <v>44903.213941585651</v>
      </c>
      <c r="C2849" t="s">
        <v>5791</v>
      </c>
      <c r="D2849" t="s">
        <v>208</v>
      </c>
      <c r="E2849" t="s">
        <v>26</v>
      </c>
      <c r="F2849">
        <v>2.5</v>
      </c>
      <c r="G2849">
        <v>8</v>
      </c>
      <c r="H2849" t="s">
        <v>14</v>
      </c>
      <c r="I2849" t="s">
        <v>15</v>
      </c>
      <c r="J2849" t="s">
        <v>382</v>
      </c>
      <c r="K2849">
        <f>Pqp_supermarket_data[[#This Row],[Unit_Price]]*Pqp_supermarket_data[[#This Row],[Quantity]]</f>
        <v>20</v>
      </c>
      <c r="L2849" t="str">
        <f>TEXT(Pqp_supermarket_data[[#This Row],[DateTime]],"ddd")</f>
        <v>Thu</v>
      </c>
      <c r="M2849" t="str">
        <f>TEXT(Pqp_supermarket_data[[#This Row],[DateTime]],"mmm")</f>
        <v>Dec</v>
      </c>
      <c r="N2849" t="str">
        <f>TEXT(Pqp_supermarket_data[[#This Row],[DateTime]],"yyy")</f>
        <v>2022</v>
      </c>
    </row>
    <row r="2850" spans="1:14" x14ac:dyDescent="0.35">
      <c r="A2850" t="s">
        <v>5792</v>
      </c>
      <c r="B2850" s="1">
        <v>45274.417413807867</v>
      </c>
      <c r="C2850" t="s">
        <v>5793</v>
      </c>
      <c r="D2850" t="s">
        <v>98</v>
      </c>
      <c r="E2850" t="s">
        <v>20</v>
      </c>
      <c r="F2850">
        <v>1</v>
      </c>
      <c r="G2850">
        <v>2</v>
      </c>
      <c r="H2850" t="s">
        <v>14</v>
      </c>
      <c r="I2850" t="s">
        <v>15</v>
      </c>
      <c r="J2850" t="s">
        <v>311</v>
      </c>
      <c r="K2850">
        <f>Pqp_supermarket_data[[#This Row],[Unit_Price]]*Pqp_supermarket_data[[#This Row],[Quantity]]</f>
        <v>2</v>
      </c>
      <c r="L2850" t="str">
        <f>TEXT(Pqp_supermarket_data[[#This Row],[DateTime]],"ddd")</f>
        <v>Thu</v>
      </c>
      <c r="M2850" t="str">
        <f>TEXT(Pqp_supermarket_data[[#This Row],[DateTime]],"mmm")</f>
        <v>Dec</v>
      </c>
      <c r="N2850" t="str">
        <f>TEXT(Pqp_supermarket_data[[#This Row],[DateTime]],"yyy")</f>
        <v>2023</v>
      </c>
    </row>
    <row r="2851" spans="1:14" x14ac:dyDescent="0.35">
      <c r="A2851" t="s">
        <v>5794</v>
      </c>
      <c r="B2851" s="1">
        <v>44762.662552731483</v>
      </c>
      <c r="C2851" t="s">
        <v>5795</v>
      </c>
      <c r="D2851" t="s">
        <v>69</v>
      </c>
      <c r="E2851" t="s">
        <v>94</v>
      </c>
      <c r="F2851">
        <v>0.8</v>
      </c>
      <c r="G2851">
        <v>2</v>
      </c>
      <c r="H2851" t="s">
        <v>14</v>
      </c>
      <c r="I2851" t="s">
        <v>40</v>
      </c>
      <c r="J2851" t="s">
        <v>769</v>
      </c>
      <c r="K2851">
        <f>Pqp_supermarket_data[[#This Row],[Unit_Price]]*Pqp_supermarket_data[[#This Row],[Quantity]]</f>
        <v>1.6</v>
      </c>
      <c r="L2851" t="str">
        <f>TEXT(Pqp_supermarket_data[[#This Row],[DateTime]],"ddd")</f>
        <v>Wed</v>
      </c>
      <c r="M2851" t="str">
        <f>TEXT(Pqp_supermarket_data[[#This Row],[DateTime]],"mmm")</f>
        <v>Jul</v>
      </c>
      <c r="N2851" t="str">
        <f>TEXT(Pqp_supermarket_data[[#This Row],[DateTime]],"yyy")</f>
        <v>2022</v>
      </c>
    </row>
    <row r="2852" spans="1:14" x14ac:dyDescent="0.35">
      <c r="A2852" t="s">
        <v>5796</v>
      </c>
      <c r="B2852" s="1">
        <v>44478.437552731484</v>
      </c>
      <c r="C2852" t="s">
        <v>5797</v>
      </c>
      <c r="D2852" t="s">
        <v>98</v>
      </c>
      <c r="E2852" t="s">
        <v>119</v>
      </c>
      <c r="F2852">
        <v>4</v>
      </c>
      <c r="G2852">
        <v>9</v>
      </c>
      <c r="H2852" t="s">
        <v>14</v>
      </c>
      <c r="I2852" t="s">
        <v>15</v>
      </c>
      <c r="J2852" t="s">
        <v>192</v>
      </c>
      <c r="K2852">
        <f>Pqp_supermarket_data[[#This Row],[Unit_Price]]*Pqp_supermarket_data[[#This Row],[Quantity]]</f>
        <v>36</v>
      </c>
      <c r="L2852" t="str">
        <f>TEXT(Pqp_supermarket_data[[#This Row],[DateTime]],"ddd")</f>
        <v>Sat</v>
      </c>
      <c r="M2852" t="str">
        <f>TEXT(Pqp_supermarket_data[[#This Row],[DateTime]],"mmm")</f>
        <v>Oct</v>
      </c>
      <c r="N2852" t="str">
        <f>TEXT(Pqp_supermarket_data[[#This Row],[DateTime]],"yyy")</f>
        <v>2021</v>
      </c>
    </row>
    <row r="2853" spans="1:14" x14ac:dyDescent="0.35">
      <c r="A2853" t="s">
        <v>5798</v>
      </c>
      <c r="B2853" s="1">
        <v>44500.29866385417</v>
      </c>
      <c r="C2853" t="s">
        <v>5799</v>
      </c>
      <c r="D2853" t="s">
        <v>85</v>
      </c>
      <c r="E2853" t="s">
        <v>145</v>
      </c>
      <c r="F2853">
        <v>1.7</v>
      </c>
      <c r="G2853">
        <v>3</v>
      </c>
      <c r="H2853" t="s">
        <v>14</v>
      </c>
      <c r="I2853" t="s">
        <v>21</v>
      </c>
      <c r="J2853" t="s">
        <v>112</v>
      </c>
      <c r="K2853">
        <f>Pqp_supermarket_data[[#This Row],[Unit_Price]]*Pqp_supermarket_data[[#This Row],[Quantity]]</f>
        <v>5.0999999999999996</v>
      </c>
      <c r="L2853" t="str">
        <f>TEXT(Pqp_supermarket_data[[#This Row],[DateTime]],"ddd")</f>
        <v>Sun</v>
      </c>
      <c r="M2853" t="str">
        <f>TEXT(Pqp_supermarket_data[[#This Row],[DateTime]],"mmm")</f>
        <v>Oct</v>
      </c>
      <c r="N2853" t="str">
        <f>TEXT(Pqp_supermarket_data[[#This Row],[DateTime]],"yyy")</f>
        <v>2021</v>
      </c>
    </row>
    <row r="2854" spans="1:14" x14ac:dyDescent="0.35">
      <c r="A2854" t="s">
        <v>5800</v>
      </c>
      <c r="B2854" s="1">
        <v>45089.564636087962</v>
      </c>
      <c r="C2854" t="s">
        <v>5801</v>
      </c>
      <c r="D2854" t="s">
        <v>98</v>
      </c>
      <c r="E2854" t="s">
        <v>45</v>
      </c>
      <c r="F2854">
        <v>1</v>
      </c>
      <c r="G2854">
        <v>8</v>
      </c>
      <c r="H2854" t="s">
        <v>14</v>
      </c>
      <c r="I2854" t="s">
        <v>15</v>
      </c>
      <c r="J2854" t="s">
        <v>302</v>
      </c>
      <c r="K2854">
        <f>Pqp_supermarket_data[[#This Row],[Unit_Price]]*Pqp_supermarket_data[[#This Row],[Quantity]]</f>
        <v>8</v>
      </c>
      <c r="L2854" t="str">
        <f>TEXT(Pqp_supermarket_data[[#This Row],[DateTime]],"ddd")</f>
        <v>Mon</v>
      </c>
      <c r="M2854" t="str">
        <f>TEXT(Pqp_supermarket_data[[#This Row],[DateTime]],"mmm")</f>
        <v>Jun</v>
      </c>
      <c r="N2854" t="str">
        <f>TEXT(Pqp_supermarket_data[[#This Row],[DateTime]],"yyy")</f>
        <v>2023</v>
      </c>
    </row>
    <row r="2855" spans="1:14" x14ac:dyDescent="0.35">
      <c r="A2855" t="s">
        <v>5802</v>
      </c>
      <c r="B2855" s="1">
        <v>44914.22991386574</v>
      </c>
      <c r="C2855" t="s">
        <v>5803</v>
      </c>
      <c r="D2855" t="s">
        <v>34</v>
      </c>
      <c r="E2855" t="s">
        <v>20</v>
      </c>
      <c r="F2855">
        <v>1</v>
      </c>
      <c r="G2855">
        <v>4</v>
      </c>
      <c r="H2855" t="s">
        <v>14</v>
      </c>
      <c r="I2855" t="s">
        <v>40</v>
      </c>
      <c r="J2855" t="s">
        <v>138</v>
      </c>
      <c r="K2855">
        <f>Pqp_supermarket_data[[#This Row],[Unit_Price]]*Pqp_supermarket_data[[#This Row],[Quantity]]</f>
        <v>4</v>
      </c>
      <c r="L2855" t="str">
        <f>TEXT(Pqp_supermarket_data[[#This Row],[DateTime]],"ddd")</f>
        <v>Mon</v>
      </c>
      <c r="M2855" t="str">
        <f>TEXT(Pqp_supermarket_data[[#This Row],[DateTime]],"mmm")</f>
        <v>Dec</v>
      </c>
      <c r="N2855" t="str">
        <f>TEXT(Pqp_supermarket_data[[#This Row],[DateTime]],"yyy")</f>
        <v>2022</v>
      </c>
    </row>
    <row r="2856" spans="1:14" x14ac:dyDescent="0.35">
      <c r="A2856" t="s">
        <v>5804</v>
      </c>
      <c r="B2856" s="1">
        <v>45423.821580532407</v>
      </c>
      <c r="C2856" t="s">
        <v>5805</v>
      </c>
      <c r="D2856" t="s">
        <v>44</v>
      </c>
      <c r="E2856" t="s">
        <v>145</v>
      </c>
      <c r="F2856">
        <v>1.7</v>
      </c>
      <c r="G2856">
        <v>1</v>
      </c>
      <c r="H2856" t="s">
        <v>14</v>
      </c>
      <c r="I2856" t="s">
        <v>61</v>
      </c>
      <c r="J2856" t="s">
        <v>496</v>
      </c>
      <c r="K2856">
        <f>Pqp_supermarket_data[[#This Row],[Unit_Price]]*Pqp_supermarket_data[[#This Row],[Quantity]]</f>
        <v>1.7</v>
      </c>
      <c r="L2856" t="str">
        <f>TEXT(Pqp_supermarket_data[[#This Row],[DateTime]],"ddd")</f>
        <v>Sat</v>
      </c>
      <c r="M2856" t="str">
        <f>TEXT(Pqp_supermarket_data[[#This Row],[DateTime]],"mmm")</f>
        <v>May</v>
      </c>
      <c r="N2856" t="str">
        <f>TEXT(Pqp_supermarket_data[[#This Row],[DateTime]],"yyy")</f>
        <v>2024</v>
      </c>
    </row>
    <row r="2857" spans="1:14" x14ac:dyDescent="0.35">
      <c r="A2857" t="s">
        <v>5806</v>
      </c>
      <c r="B2857" s="1">
        <v>44613.943802766204</v>
      </c>
      <c r="C2857" t="s">
        <v>5807</v>
      </c>
      <c r="D2857" t="s">
        <v>208</v>
      </c>
      <c r="E2857" t="s">
        <v>115</v>
      </c>
      <c r="F2857">
        <v>1.5</v>
      </c>
      <c r="G2857">
        <v>10</v>
      </c>
      <c r="H2857" t="s">
        <v>14</v>
      </c>
      <c r="I2857" t="s">
        <v>21</v>
      </c>
      <c r="J2857" t="s">
        <v>105</v>
      </c>
      <c r="K2857">
        <f>Pqp_supermarket_data[[#This Row],[Unit_Price]]*Pqp_supermarket_data[[#This Row],[Quantity]]</f>
        <v>15</v>
      </c>
      <c r="L2857" t="str">
        <f>TEXT(Pqp_supermarket_data[[#This Row],[DateTime]],"ddd")</f>
        <v>Mon</v>
      </c>
      <c r="M2857" t="str">
        <f>TEXT(Pqp_supermarket_data[[#This Row],[DateTime]],"mmm")</f>
        <v>Feb</v>
      </c>
      <c r="N2857" t="str">
        <f>TEXT(Pqp_supermarket_data[[#This Row],[DateTime]],"yyy")</f>
        <v>2022</v>
      </c>
    </row>
    <row r="2858" spans="1:14" x14ac:dyDescent="0.35">
      <c r="A2858" t="s">
        <v>5808</v>
      </c>
      <c r="B2858" s="1">
        <v>44483.000747222221</v>
      </c>
      <c r="C2858" t="s">
        <v>5809</v>
      </c>
      <c r="D2858" t="s">
        <v>30</v>
      </c>
      <c r="E2858" t="s">
        <v>148</v>
      </c>
      <c r="F2858">
        <v>5.5</v>
      </c>
      <c r="G2858">
        <v>8</v>
      </c>
      <c r="H2858" t="s">
        <v>14</v>
      </c>
      <c r="I2858" t="s">
        <v>86</v>
      </c>
      <c r="J2858" t="s">
        <v>160</v>
      </c>
      <c r="K2858">
        <f>Pqp_supermarket_data[[#This Row],[Unit_Price]]*Pqp_supermarket_data[[#This Row],[Quantity]]</f>
        <v>44</v>
      </c>
      <c r="L2858" t="str">
        <f>TEXT(Pqp_supermarket_data[[#This Row],[DateTime]],"ddd")</f>
        <v>Thu</v>
      </c>
      <c r="M2858" t="str">
        <f>TEXT(Pqp_supermarket_data[[#This Row],[DateTime]],"mmm")</f>
        <v>Oct</v>
      </c>
      <c r="N2858" t="str">
        <f>TEXT(Pqp_supermarket_data[[#This Row],[DateTime]],"yyy")</f>
        <v>2021</v>
      </c>
    </row>
    <row r="2859" spans="1:14" x14ac:dyDescent="0.35">
      <c r="A2859" t="s">
        <v>5810</v>
      </c>
      <c r="B2859" s="1">
        <v>45661.021580555556</v>
      </c>
      <c r="C2859" t="s">
        <v>5811</v>
      </c>
      <c r="D2859" t="s">
        <v>98</v>
      </c>
      <c r="E2859" t="s">
        <v>26</v>
      </c>
      <c r="F2859">
        <v>2.5</v>
      </c>
      <c r="G2859">
        <v>7</v>
      </c>
      <c r="H2859" t="s">
        <v>14</v>
      </c>
      <c r="I2859" t="s">
        <v>21</v>
      </c>
      <c r="J2859" t="s">
        <v>267</v>
      </c>
      <c r="K2859">
        <f>Pqp_supermarket_data[[#This Row],[Unit_Price]]*Pqp_supermarket_data[[#This Row],[Quantity]]</f>
        <v>17.5</v>
      </c>
      <c r="L2859" t="str">
        <f>TEXT(Pqp_supermarket_data[[#This Row],[DateTime]],"ddd")</f>
        <v>Sat</v>
      </c>
      <c r="M2859" t="str">
        <f>TEXT(Pqp_supermarket_data[[#This Row],[DateTime]],"mmm")</f>
        <v>Jan</v>
      </c>
      <c r="N2859" t="str">
        <f>TEXT(Pqp_supermarket_data[[#This Row],[DateTime]],"yyy")</f>
        <v>2025</v>
      </c>
    </row>
    <row r="2860" spans="1:14" x14ac:dyDescent="0.35">
      <c r="A2860" t="s">
        <v>5812</v>
      </c>
      <c r="B2860" s="1">
        <v>45486.543802777778</v>
      </c>
      <c r="C2860" t="s">
        <v>5813</v>
      </c>
      <c r="D2860" t="s">
        <v>226</v>
      </c>
      <c r="E2860" t="s">
        <v>35</v>
      </c>
      <c r="F2860">
        <v>1.2</v>
      </c>
      <c r="G2860">
        <v>7</v>
      </c>
      <c r="H2860" t="s">
        <v>14</v>
      </c>
      <c r="I2860" t="s">
        <v>21</v>
      </c>
      <c r="J2860" t="s">
        <v>209</v>
      </c>
      <c r="K2860">
        <f>Pqp_supermarket_data[[#This Row],[Unit_Price]]*Pqp_supermarket_data[[#This Row],[Quantity]]</f>
        <v>8.4</v>
      </c>
      <c r="L2860" t="str">
        <f>TEXT(Pqp_supermarket_data[[#This Row],[DateTime]],"ddd")</f>
        <v>Sat</v>
      </c>
      <c r="M2860" t="str">
        <f>TEXT(Pqp_supermarket_data[[#This Row],[DateTime]],"mmm")</f>
        <v>Jul</v>
      </c>
      <c r="N2860" t="str">
        <f>TEXT(Pqp_supermarket_data[[#This Row],[DateTime]],"yyy")</f>
        <v>2024</v>
      </c>
    </row>
    <row r="2861" spans="1:14" x14ac:dyDescent="0.35">
      <c r="A2861" t="s">
        <v>5814</v>
      </c>
      <c r="B2861" s="1">
        <v>45613.647969456018</v>
      </c>
      <c r="C2861" t="s">
        <v>5815</v>
      </c>
      <c r="D2861" t="s">
        <v>69</v>
      </c>
      <c r="E2861" t="s">
        <v>94</v>
      </c>
      <c r="F2861">
        <v>0.8</v>
      </c>
      <c r="G2861">
        <v>4</v>
      </c>
      <c r="H2861" t="s">
        <v>14</v>
      </c>
      <c r="I2861" t="s">
        <v>36</v>
      </c>
      <c r="J2861" t="s">
        <v>561</v>
      </c>
      <c r="K2861">
        <f>Pqp_supermarket_data[[#This Row],[Unit_Price]]*Pqp_supermarket_data[[#This Row],[Quantity]]</f>
        <v>3.2</v>
      </c>
      <c r="L2861" t="str">
        <f>TEXT(Pqp_supermarket_data[[#This Row],[DateTime]],"ddd")</f>
        <v>Sun</v>
      </c>
      <c r="M2861" t="str">
        <f>TEXT(Pqp_supermarket_data[[#This Row],[DateTime]],"mmm")</f>
        <v>Nov</v>
      </c>
      <c r="N2861" t="str">
        <f>TEXT(Pqp_supermarket_data[[#This Row],[DateTime]],"yyy")</f>
        <v>2024</v>
      </c>
    </row>
    <row r="2862" spans="1:14" x14ac:dyDescent="0.35">
      <c r="A2862" t="s">
        <v>5816</v>
      </c>
      <c r="B2862" s="1">
        <v>45114.677830567132</v>
      </c>
      <c r="C2862" t="s">
        <v>5817</v>
      </c>
      <c r="D2862" t="s">
        <v>77</v>
      </c>
      <c r="E2862" t="s">
        <v>49</v>
      </c>
      <c r="F2862">
        <v>7</v>
      </c>
      <c r="G2862">
        <v>6</v>
      </c>
      <c r="H2862" t="s">
        <v>14</v>
      </c>
      <c r="I2862" t="s">
        <v>40</v>
      </c>
      <c r="J2862" t="s">
        <v>267</v>
      </c>
      <c r="K2862">
        <f>Pqp_supermarket_data[[#This Row],[Unit_Price]]*Pqp_supermarket_data[[#This Row],[Quantity]]</f>
        <v>42</v>
      </c>
      <c r="L2862" t="str">
        <f>TEXT(Pqp_supermarket_data[[#This Row],[DateTime]],"ddd")</f>
        <v>Fri</v>
      </c>
      <c r="M2862" t="str">
        <f>TEXT(Pqp_supermarket_data[[#This Row],[DateTime]],"mmm")</f>
        <v>Jul</v>
      </c>
      <c r="N2862" t="str">
        <f>TEXT(Pqp_supermarket_data[[#This Row],[DateTime]],"yyy")</f>
        <v>2023</v>
      </c>
    </row>
    <row r="2863" spans="1:14" x14ac:dyDescent="0.35">
      <c r="A2863" t="s">
        <v>5818</v>
      </c>
      <c r="B2863" s="1">
        <v>45099.831997233799</v>
      </c>
      <c r="C2863" t="s">
        <v>5819</v>
      </c>
      <c r="D2863" t="s">
        <v>19</v>
      </c>
      <c r="E2863" t="s">
        <v>148</v>
      </c>
      <c r="F2863">
        <v>5.5</v>
      </c>
      <c r="G2863">
        <v>5</v>
      </c>
      <c r="H2863" t="s">
        <v>14</v>
      </c>
      <c r="I2863" t="s">
        <v>86</v>
      </c>
      <c r="J2863" t="s">
        <v>323</v>
      </c>
      <c r="K2863">
        <f>Pqp_supermarket_data[[#This Row],[Unit_Price]]*Pqp_supermarket_data[[#This Row],[Quantity]]</f>
        <v>27.5</v>
      </c>
      <c r="L2863" t="str">
        <f>TEXT(Pqp_supermarket_data[[#This Row],[DateTime]],"ddd")</f>
        <v>Thu</v>
      </c>
      <c r="M2863" t="str">
        <f>TEXT(Pqp_supermarket_data[[#This Row],[DateTime]],"mmm")</f>
        <v>Jun</v>
      </c>
      <c r="N2863" t="str">
        <f>TEXT(Pqp_supermarket_data[[#This Row],[DateTime]],"yyy")</f>
        <v>2023</v>
      </c>
    </row>
    <row r="2864" spans="1:14" x14ac:dyDescent="0.35">
      <c r="A2864" t="s">
        <v>5820</v>
      </c>
      <c r="B2864" s="1">
        <v>45478.598663912038</v>
      </c>
      <c r="C2864" t="s">
        <v>5821</v>
      </c>
      <c r="D2864" t="s">
        <v>85</v>
      </c>
      <c r="E2864" t="s">
        <v>94</v>
      </c>
      <c r="F2864">
        <v>0.8</v>
      </c>
      <c r="G2864">
        <v>2</v>
      </c>
      <c r="H2864" t="s">
        <v>14</v>
      </c>
      <c r="I2864" t="s">
        <v>21</v>
      </c>
      <c r="J2864" t="s">
        <v>16</v>
      </c>
      <c r="K2864">
        <f>Pqp_supermarket_data[[#This Row],[Unit_Price]]*Pqp_supermarket_data[[#This Row],[Quantity]]</f>
        <v>1.6</v>
      </c>
      <c r="L2864" t="str">
        <f>TEXT(Pqp_supermarket_data[[#This Row],[DateTime]],"ddd")</f>
        <v>Fri</v>
      </c>
      <c r="M2864" t="str">
        <f>TEXT(Pqp_supermarket_data[[#This Row],[DateTime]],"mmm")</f>
        <v>Jul</v>
      </c>
      <c r="N2864" t="str">
        <f>TEXT(Pqp_supermarket_data[[#This Row],[DateTime]],"yyy")</f>
        <v>2024</v>
      </c>
    </row>
    <row r="2865" spans="1:14" x14ac:dyDescent="0.35">
      <c r="A2865" t="s">
        <v>5822</v>
      </c>
      <c r="B2865" s="1">
        <v>45115.792413912037</v>
      </c>
      <c r="C2865" t="s">
        <v>5823</v>
      </c>
      <c r="D2865" t="s">
        <v>98</v>
      </c>
      <c r="E2865" t="s">
        <v>45</v>
      </c>
      <c r="F2865">
        <v>1</v>
      </c>
      <c r="G2865">
        <v>1</v>
      </c>
      <c r="H2865" t="s">
        <v>14</v>
      </c>
      <c r="I2865" t="s">
        <v>21</v>
      </c>
      <c r="J2865" t="s">
        <v>131</v>
      </c>
      <c r="K2865">
        <f>Pqp_supermarket_data[[#This Row],[Unit_Price]]*Pqp_supermarket_data[[#This Row],[Quantity]]</f>
        <v>1</v>
      </c>
      <c r="L2865" t="str">
        <f>TEXT(Pqp_supermarket_data[[#This Row],[DateTime]],"ddd")</f>
        <v>Sat</v>
      </c>
      <c r="M2865" t="str">
        <f>TEXT(Pqp_supermarket_data[[#This Row],[DateTime]],"mmm")</f>
        <v>Jul</v>
      </c>
      <c r="N2865" t="str">
        <f>TEXT(Pqp_supermarket_data[[#This Row],[DateTime]],"yyy")</f>
        <v>2023</v>
      </c>
    </row>
    <row r="2866" spans="1:14" x14ac:dyDescent="0.35">
      <c r="A2866" t="s">
        <v>5824</v>
      </c>
      <c r="B2866" s="1">
        <v>44691.672969467596</v>
      </c>
      <c r="C2866" t="s">
        <v>5825</v>
      </c>
      <c r="D2866" t="s">
        <v>25</v>
      </c>
      <c r="E2866" t="s">
        <v>145</v>
      </c>
      <c r="F2866">
        <v>1.7</v>
      </c>
      <c r="G2866">
        <v>10</v>
      </c>
      <c r="H2866" t="s">
        <v>14</v>
      </c>
      <c r="I2866" t="s">
        <v>21</v>
      </c>
      <c r="J2866" t="s">
        <v>112</v>
      </c>
      <c r="K2866">
        <f>Pqp_supermarket_data[[#This Row],[Unit_Price]]*Pqp_supermarket_data[[#This Row],[Quantity]]</f>
        <v>17</v>
      </c>
      <c r="L2866" t="str">
        <f>TEXT(Pqp_supermarket_data[[#This Row],[DateTime]],"ddd")</f>
        <v>Tue</v>
      </c>
      <c r="M2866" t="str">
        <f>TEXT(Pqp_supermarket_data[[#This Row],[DateTime]],"mmm")</f>
        <v>May</v>
      </c>
      <c r="N2866" t="str">
        <f>TEXT(Pqp_supermarket_data[[#This Row],[DateTime]],"yyy")</f>
        <v>2022</v>
      </c>
    </row>
    <row r="2867" spans="1:14" x14ac:dyDescent="0.35">
      <c r="A2867" t="s">
        <v>5826</v>
      </c>
      <c r="B2867" s="1">
        <v>45194.813247256941</v>
      </c>
      <c r="C2867" t="s">
        <v>4684</v>
      </c>
      <c r="D2867" t="s">
        <v>208</v>
      </c>
      <c r="E2867" t="s">
        <v>94</v>
      </c>
      <c r="F2867">
        <v>0.8</v>
      </c>
      <c r="G2867">
        <v>3</v>
      </c>
      <c r="H2867" t="s">
        <v>14</v>
      </c>
      <c r="I2867" t="s">
        <v>40</v>
      </c>
      <c r="J2867" t="s">
        <v>517</v>
      </c>
      <c r="K2867">
        <f>Pqp_supermarket_data[[#This Row],[Unit_Price]]*Pqp_supermarket_data[[#This Row],[Quantity]]</f>
        <v>2.4000000000000004</v>
      </c>
      <c r="L2867" t="str">
        <f>TEXT(Pqp_supermarket_data[[#This Row],[DateTime]],"ddd")</f>
        <v>Mon</v>
      </c>
      <c r="M2867" t="str">
        <f>TEXT(Pqp_supermarket_data[[#This Row],[DateTime]],"mmm")</f>
        <v>Sep</v>
      </c>
      <c r="N2867" t="str">
        <f>TEXT(Pqp_supermarket_data[[#This Row],[DateTime]],"yyy")</f>
        <v>2023</v>
      </c>
    </row>
    <row r="2868" spans="1:14" x14ac:dyDescent="0.35">
      <c r="A2868" t="s">
        <v>5827</v>
      </c>
      <c r="B2868" s="1">
        <v>45716.737552812498</v>
      </c>
      <c r="C2868" t="s">
        <v>5828</v>
      </c>
      <c r="D2868" t="s">
        <v>12</v>
      </c>
      <c r="E2868" t="s">
        <v>26</v>
      </c>
      <c r="F2868">
        <v>2.5</v>
      </c>
      <c r="G2868">
        <v>9</v>
      </c>
      <c r="H2868" t="s">
        <v>14</v>
      </c>
      <c r="I2868" t="s">
        <v>86</v>
      </c>
      <c r="J2868" t="s">
        <v>105</v>
      </c>
      <c r="K2868">
        <f>Pqp_supermarket_data[[#This Row],[Unit_Price]]*Pqp_supermarket_data[[#This Row],[Quantity]]</f>
        <v>22.5</v>
      </c>
      <c r="L2868" t="str">
        <f>TEXT(Pqp_supermarket_data[[#This Row],[DateTime]],"ddd")</f>
        <v>Fri</v>
      </c>
      <c r="M2868" t="str">
        <f>TEXT(Pqp_supermarket_data[[#This Row],[DateTime]],"mmm")</f>
        <v>Feb</v>
      </c>
      <c r="N2868" t="str">
        <f>TEXT(Pqp_supermarket_data[[#This Row],[DateTime]],"yyy")</f>
        <v>2025</v>
      </c>
    </row>
    <row r="2869" spans="1:14" x14ac:dyDescent="0.35">
      <c r="A2869" t="s">
        <v>5829</v>
      </c>
      <c r="B2869" s="1">
        <v>44560.612552812498</v>
      </c>
      <c r="C2869" t="s">
        <v>5830</v>
      </c>
      <c r="D2869" t="s">
        <v>127</v>
      </c>
      <c r="E2869" t="s">
        <v>90</v>
      </c>
      <c r="F2869">
        <v>1.8</v>
      </c>
      <c r="G2869">
        <v>5</v>
      </c>
      <c r="H2869" t="s">
        <v>14</v>
      </c>
      <c r="I2869" t="s">
        <v>36</v>
      </c>
      <c r="J2869" t="s">
        <v>295</v>
      </c>
      <c r="K2869">
        <f>Pqp_supermarket_data[[#This Row],[Unit_Price]]*Pqp_supermarket_data[[#This Row],[Quantity]]</f>
        <v>9</v>
      </c>
      <c r="L2869" t="str">
        <f>TEXT(Pqp_supermarket_data[[#This Row],[DateTime]],"ddd")</f>
        <v>Thu</v>
      </c>
      <c r="M2869" t="str">
        <f>TEXT(Pqp_supermarket_data[[#This Row],[DateTime]],"mmm")</f>
        <v>Dec</v>
      </c>
      <c r="N2869" t="str">
        <f>TEXT(Pqp_supermarket_data[[#This Row],[DateTime]],"yyy")</f>
        <v>2021</v>
      </c>
    </row>
    <row r="2870" spans="1:14" x14ac:dyDescent="0.35">
      <c r="A2870" t="s">
        <v>5831</v>
      </c>
      <c r="B2870" s="1">
        <v>45175.753525046297</v>
      </c>
      <c r="C2870" t="s">
        <v>4149</v>
      </c>
      <c r="D2870" t="s">
        <v>34</v>
      </c>
      <c r="E2870" t="s">
        <v>45</v>
      </c>
      <c r="F2870">
        <v>1</v>
      </c>
      <c r="G2870">
        <v>9</v>
      </c>
      <c r="H2870" t="s">
        <v>14</v>
      </c>
      <c r="I2870" t="s">
        <v>21</v>
      </c>
      <c r="J2870" t="s">
        <v>134</v>
      </c>
      <c r="K2870">
        <f>Pqp_supermarket_data[[#This Row],[Unit_Price]]*Pqp_supermarket_data[[#This Row],[Quantity]]</f>
        <v>9</v>
      </c>
      <c r="L2870" t="str">
        <f>TEXT(Pqp_supermarket_data[[#This Row],[DateTime]],"ddd")</f>
        <v>Wed</v>
      </c>
      <c r="M2870" t="str">
        <f>TEXT(Pqp_supermarket_data[[#This Row],[DateTime]],"mmm")</f>
        <v>Sep</v>
      </c>
      <c r="N2870" t="str">
        <f>TEXT(Pqp_supermarket_data[[#This Row],[DateTime]],"yyy")</f>
        <v>2023</v>
      </c>
    </row>
    <row r="2871" spans="1:14" x14ac:dyDescent="0.35">
      <c r="A2871" t="s">
        <v>5832</v>
      </c>
      <c r="B2871" s="1">
        <v>45650.722969490744</v>
      </c>
      <c r="C2871" t="s">
        <v>5833</v>
      </c>
      <c r="D2871" t="s">
        <v>127</v>
      </c>
      <c r="E2871" t="s">
        <v>53</v>
      </c>
      <c r="F2871">
        <v>2.8</v>
      </c>
      <c r="G2871">
        <v>8</v>
      </c>
      <c r="H2871" t="s">
        <v>14</v>
      </c>
      <c r="I2871" t="s">
        <v>36</v>
      </c>
      <c r="J2871" t="s">
        <v>112</v>
      </c>
      <c r="K2871">
        <f>Pqp_supermarket_data[[#This Row],[Unit_Price]]*Pqp_supermarket_data[[#This Row],[Quantity]]</f>
        <v>22.4</v>
      </c>
      <c r="L2871" t="str">
        <f>TEXT(Pqp_supermarket_data[[#This Row],[DateTime]],"ddd")</f>
        <v>Tue</v>
      </c>
      <c r="M2871" t="str">
        <f>TEXT(Pqp_supermarket_data[[#This Row],[DateTime]],"mmm")</f>
        <v>Dec</v>
      </c>
      <c r="N2871" t="str">
        <f>TEXT(Pqp_supermarket_data[[#This Row],[DateTime]],"yyy")</f>
        <v>2024</v>
      </c>
    </row>
    <row r="2872" spans="1:14" x14ac:dyDescent="0.35">
      <c r="A2872" t="s">
        <v>5834</v>
      </c>
      <c r="B2872" s="1">
        <v>44746.941025057873</v>
      </c>
      <c r="C2872" t="s">
        <v>5835</v>
      </c>
      <c r="D2872" t="s">
        <v>226</v>
      </c>
      <c r="E2872" t="s">
        <v>137</v>
      </c>
      <c r="F2872">
        <v>2.5</v>
      </c>
      <c r="G2872">
        <v>8</v>
      </c>
      <c r="H2872" t="s">
        <v>14</v>
      </c>
      <c r="I2872" t="s">
        <v>40</v>
      </c>
      <c r="J2872" t="s">
        <v>62</v>
      </c>
      <c r="K2872">
        <f>Pqp_supermarket_data[[#This Row],[Unit_Price]]*Pqp_supermarket_data[[#This Row],[Quantity]]</f>
        <v>20</v>
      </c>
      <c r="L2872" t="str">
        <f>TEXT(Pqp_supermarket_data[[#This Row],[DateTime]],"ddd")</f>
        <v>Mon</v>
      </c>
      <c r="M2872" t="str">
        <f>TEXT(Pqp_supermarket_data[[#This Row],[DateTime]],"mmm")</f>
        <v>Jul</v>
      </c>
      <c r="N2872" t="str">
        <f>TEXT(Pqp_supermarket_data[[#This Row],[DateTime]],"yyy")</f>
        <v>2022</v>
      </c>
    </row>
    <row r="2873" spans="1:14" x14ac:dyDescent="0.35">
      <c r="A2873" t="s">
        <v>5836</v>
      </c>
      <c r="B2873" s="1">
        <v>45420.228525057872</v>
      </c>
      <c r="C2873" t="s">
        <v>5837</v>
      </c>
      <c r="D2873" t="s">
        <v>85</v>
      </c>
      <c r="E2873" t="s">
        <v>49</v>
      </c>
      <c r="F2873">
        <v>7</v>
      </c>
      <c r="G2873">
        <v>8</v>
      </c>
      <c r="H2873" t="s">
        <v>14</v>
      </c>
      <c r="I2873" t="s">
        <v>86</v>
      </c>
      <c r="J2873" t="s">
        <v>470</v>
      </c>
      <c r="K2873">
        <f>Pqp_supermarket_data[[#This Row],[Unit_Price]]*Pqp_supermarket_data[[#This Row],[Quantity]]</f>
        <v>56</v>
      </c>
      <c r="L2873" t="str">
        <f>TEXT(Pqp_supermarket_data[[#This Row],[DateTime]],"ddd")</f>
        <v>Wed</v>
      </c>
      <c r="M2873" t="str">
        <f>TEXT(Pqp_supermarket_data[[#This Row],[DateTime]],"mmm")</f>
        <v>May</v>
      </c>
      <c r="N2873" t="str">
        <f>TEXT(Pqp_supermarket_data[[#This Row],[DateTime]],"yyy")</f>
        <v>2024</v>
      </c>
    </row>
    <row r="2874" spans="1:14" x14ac:dyDescent="0.35">
      <c r="A2874" t="s">
        <v>5838</v>
      </c>
      <c r="B2874" s="1">
        <v>45384.817413958335</v>
      </c>
      <c r="C2874" t="s">
        <v>5839</v>
      </c>
      <c r="D2874" t="s">
        <v>30</v>
      </c>
      <c r="E2874" t="s">
        <v>94</v>
      </c>
      <c r="F2874">
        <v>0.8</v>
      </c>
      <c r="G2874">
        <v>1</v>
      </c>
      <c r="H2874" t="s">
        <v>14</v>
      </c>
      <c r="I2874" t="s">
        <v>21</v>
      </c>
      <c r="J2874" t="s">
        <v>31</v>
      </c>
      <c r="K2874">
        <f>Pqp_supermarket_data[[#This Row],[Unit_Price]]*Pqp_supermarket_data[[#This Row],[Quantity]]</f>
        <v>0.8</v>
      </c>
      <c r="L2874" t="str">
        <f>TEXT(Pqp_supermarket_data[[#This Row],[DateTime]],"ddd")</f>
        <v>Tue</v>
      </c>
      <c r="M2874" t="str">
        <f>TEXT(Pqp_supermarket_data[[#This Row],[DateTime]],"mmm")</f>
        <v>Apr</v>
      </c>
      <c r="N2874" t="str">
        <f>TEXT(Pqp_supermarket_data[[#This Row],[DateTime]],"yyy")</f>
        <v>2024</v>
      </c>
    </row>
    <row r="2875" spans="1:14" x14ac:dyDescent="0.35">
      <c r="A2875" t="s">
        <v>5840</v>
      </c>
      <c r="B2875" s="1">
        <v>45224.02574730324</v>
      </c>
      <c r="C2875" t="s">
        <v>5841</v>
      </c>
      <c r="D2875" t="s">
        <v>77</v>
      </c>
      <c r="E2875" t="s">
        <v>45</v>
      </c>
      <c r="F2875">
        <v>1</v>
      </c>
      <c r="G2875">
        <v>2</v>
      </c>
      <c r="H2875" t="s">
        <v>14</v>
      </c>
      <c r="I2875" t="s">
        <v>36</v>
      </c>
      <c r="J2875" t="s">
        <v>134</v>
      </c>
      <c r="K2875">
        <f>Pqp_supermarket_data[[#This Row],[Unit_Price]]*Pqp_supermarket_data[[#This Row],[Quantity]]</f>
        <v>2</v>
      </c>
      <c r="L2875" t="str">
        <f>TEXT(Pqp_supermarket_data[[#This Row],[DateTime]],"ddd")</f>
        <v>Wed</v>
      </c>
      <c r="M2875" t="str">
        <f>TEXT(Pqp_supermarket_data[[#This Row],[DateTime]],"mmm")</f>
        <v>Oct</v>
      </c>
      <c r="N2875" t="str">
        <f>TEXT(Pqp_supermarket_data[[#This Row],[DateTime]],"yyy")</f>
        <v>2023</v>
      </c>
    </row>
    <row r="2876" spans="1:14" x14ac:dyDescent="0.35">
      <c r="A2876" t="s">
        <v>5842</v>
      </c>
      <c r="B2876" s="1">
        <v>44426.954913969908</v>
      </c>
      <c r="C2876" t="s">
        <v>5843</v>
      </c>
      <c r="D2876" t="s">
        <v>171</v>
      </c>
      <c r="E2876" t="s">
        <v>20</v>
      </c>
      <c r="F2876">
        <v>1</v>
      </c>
      <c r="G2876">
        <v>8</v>
      </c>
      <c r="H2876" t="s">
        <v>14</v>
      </c>
      <c r="I2876" t="s">
        <v>86</v>
      </c>
      <c r="J2876" t="s">
        <v>112</v>
      </c>
      <c r="K2876">
        <f>Pqp_supermarket_data[[#This Row],[Unit_Price]]*Pqp_supermarket_data[[#This Row],[Quantity]]</f>
        <v>8</v>
      </c>
      <c r="L2876" t="str">
        <f>TEXT(Pqp_supermarket_data[[#This Row],[DateTime]],"ddd")</f>
        <v>Wed</v>
      </c>
      <c r="M2876" t="str">
        <f>TEXT(Pqp_supermarket_data[[#This Row],[DateTime]],"mmm")</f>
        <v>Aug</v>
      </c>
      <c r="N2876" t="str">
        <f>TEXT(Pqp_supermarket_data[[#This Row],[DateTime]],"yyy")</f>
        <v>2021</v>
      </c>
    </row>
    <row r="2877" spans="1:14" x14ac:dyDescent="0.35">
      <c r="A2877" t="s">
        <v>5844</v>
      </c>
      <c r="B2877" s="1">
        <v>45478.743108425922</v>
      </c>
      <c r="C2877" t="s">
        <v>5845</v>
      </c>
      <c r="D2877" t="s">
        <v>19</v>
      </c>
      <c r="E2877" t="s">
        <v>145</v>
      </c>
      <c r="F2877">
        <v>1.7</v>
      </c>
      <c r="G2877">
        <v>9</v>
      </c>
      <c r="H2877" t="s">
        <v>14</v>
      </c>
      <c r="I2877" t="s">
        <v>86</v>
      </c>
      <c r="J2877" t="s">
        <v>541</v>
      </c>
      <c r="K2877">
        <f>Pqp_supermarket_data[[#This Row],[Unit_Price]]*Pqp_supermarket_data[[#This Row],[Quantity]]</f>
        <v>15.299999999999999</v>
      </c>
      <c r="L2877" t="str">
        <f>TEXT(Pqp_supermarket_data[[#This Row],[DateTime]],"ddd")</f>
        <v>Fri</v>
      </c>
      <c r="M2877" t="str">
        <f>TEXT(Pqp_supermarket_data[[#This Row],[DateTime]],"mmm")</f>
        <v>Jul</v>
      </c>
      <c r="N2877" t="str">
        <f>TEXT(Pqp_supermarket_data[[#This Row],[DateTime]],"yyy")</f>
        <v>2024</v>
      </c>
    </row>
    <row r="2878" spans="1:14" x14ac:dyDescent="0.35">
      <c r="A2878" t="s">
        <v>5846</v>
      </c>
      <c r="B2878" s="1">
        <v>45471.379219548609</v>
      </c>
      <c r="C2878" t="s">
        <v>5847</v>
      </c>
      <c r="D2878" t="s">
        <v>85</v>
      </c>
      <c r="E2878" t="s">
        <v>119</v>
      </c>
      <c r="F2878">
        <v>4</v>
      </c>
      <c r="G2878">
        <v>4</v>
      </c>
      <c r="H2878" t="s">
        <v>14</v>
      </c>
      <c r="I2878" t="s">
        <v>86</v>
      </c>
      <c r="J2878" t="s">
        <v>314</v>
      </c>
      <c r="K2878">
        <f>Pqp_supermarket_data[[#This Row],[Unit_Price]]*Pqp_supermarket_data[[#This Row],[Quantity]]</f>
        <v>16</v>
      </c>
      <c r="L2878" t="str">
        <f>TEXT(Pqp_supermarket_data[[#This Row],[DateTime]],"ddd")</f>
        <v>Fri</v>
      </c>
      <c r="M2878" t="str">
        <f>TEXT(Pqp_supermarket_data[[#This Row],[DateTime]],"mmm")</f>
        <v>Jun</v>
      </c>
      <c r="N2878" t="str">
        <f>TEXT(Pqp_supermarket_data[[#This Row],[DateTime]],"yyy")</f>
        <v>2024</v>
      </c>
    </row>
    <row r="2879" spans="1:14" x14ac:dyDescent="0.35">
      <c r="A2879" t="s">
        <v>5848</v>
      </c>
      <c r="B2879" s="1">
        <v>45707.70283065972</v>
      </c>
      <c r="C2879" t="s">
        <v>5849</v>
      </c>
      <c r="D2879" t="s">
        <v>44</v>
      </c>
      <c r="E2879" t="s">
        <v>90</v>
      </c>
      <c r="F2879">
        <v>1.8</v>
      </c>
      <c r="G2879">
        <v>1</v>
      </c>
      <c r="H2879" t="s">
        <v>14</v>
      </c>
      <c r="I2879" t="s">
        <v>86</v>
      </c>
      <c r="J2879" t="s">
        <v>230</v>
      </c>
      <c r="K2879">
        <f>Pqp_supermarket_data[[#This Row],[Unit_Price]]*Pqp_supermarket_data[[#This Row],[Quantity]]</f>
        <v>1.8</v>
      </c>
      <c r="L2879" t="str">
        <f>TEXT(Pqp_supermarket_data[[#This Row],[DateTime]],"ddd")</f>
        <v>Wed</v>
      </c>
      <c r="M2879" t="str">
        <f>TEXT(Pqp_supermarket_data[[#This Row],[DateTime]],"mmm")</f>
        <v>Feb</v>
      </c>
      <c r="N2879" t="str">
        <f>TEXT(Pqp_supermarket_data[[#This Row],[DateTime]],"yyy")</f>
        <v>2025</v>
      </c>
    </row>
    <row r="2880" spans="1:14" x14ac:dyDescent="0.35">
      <c r="A2880" t="s">
        <v>5850</v>
      </c>
      <c r="B2880" s="1">
        <v>45404.656997337966</v>
      </c>
      <c r="C2880" t="s">
        <v>5851</v>
      </c>
      <c r="D2880" t="s">
        <v>226</v>
      </c>
      <c r="E2880" t="s">
        <v>26</v>
      </c>
      <c r="F2880">
        <v>2.5</v>
      </c>
      <c r="G2880">
        <v>6</v>
      </c>
      <c r="H2880" t="s">
        <v>14</v>
      </c>
      <c r="I2880" t="s">
        <v>40</v>
      </c>
      <c r="J2880" t="s">
        <v>160</v>
      </c>
      <c r="K2880">
        <f>Pqp_supermarket_data[[#This Row],[Unit_Price]]*Pqp_supermarket_data[[#This Row],[Quantity]]</f>
        <v>15</v>
      </c>
      <c r="L2880" t="str">
        <f>TEXT(Pqp_supermarket_data[[#This Row],[DateTime]],"ddd")</f>
        <v>Mon</v>
      </c>
      <c r="M2880" t="str">
        <f>TEXT(Pqp_supermarket_data[[#This Row],[DateTime]],"mmm")</f>
        <v>Apr</v>
      </c>
      <c r="N2880" t="str">
        <f>TEXT(Pqp_supermarket_data[[#This Row],[DateTime]],"yyy")</f>
        <v>2024</v>
      </c>
    </row>
    <row r="2881" spans="1:14" x14ac:dyDescent="0.35">
      <c r="A2881" t="s">
        <v>5852</v>
      </c>
      <c r="B2881" s="1">
        <v>45235.530608449073</v>
      </c>
      <c r="C2881" t="s">
        <v>5853</v>
      </c>
      <c r="D2881" t="s">
        <v>19</v>
      </c>
      <c r="E2881" t="s">
        <v>53</v>
      </c>
      <c r="F2881">
        <v>2.8</v>
      </c>
      <c r="G2881">
        <v>7</v>
      </c>
      <c r="H2881" t="s">
        <v>14</v>
      </c>
      <c r="I2881" t="s">
        <v>86</v>
      </c>
      <c r="J2881" t="s">
        <v>46</v>
      </c>
      <c r="K2881">
        <f>Pqp_supermarket_data[[#This Row],[Unit_Price]]*Pqp_supermarket_data[[#This Row],[Quantity]]</f>
        <v>19.599999999999998</v>
      </c>
      <c r="L2881" t="str">
        <f>TEXT(Pqp_supermarket_data[[#This Row],[DateTime]],"ddd")</f>
        <v>Sun</v>
      </c>
      <c r="M2881" t="str">
        <f>TEXT(Pqp_supermarket_data[[#This Row],[DateTime]],"mmm")</f>
        <v>Nov</v>
      </c>
      <c r="N2881" t="str">
        <f>TEXT(Pqp_supermarket_data[[#This Row],[DateTime]],"yyy")</f>
        <v>2023</v>
      </c>
    </row>
    <row r="2882" spans="1:14" x14ac:dyDescent="0.35">
      <c r="A2882" t="s">
        <v>5854</v>
      </c>
      <c r="B2882" s="1">
        <v>44518.113247349538</v>
      </c>
      <c r="C2882" t="s">
        <v>5855</v>
      </c>
      <c r="D2882" t="s">
        <v>98</v>
      </c>
      <c r="E2882" t="s">
        <v>119</v>
      </c>
      <c r="F2882">
        <v>4</v>
      </c>
      <c r="G2882">
        <v>1</v>
      </c>
      <c r="H2882" t="s">
        <v>14</v>
      </c>
      <c r="I2882" t="s">
        <v>40</v>
      </c>
      <c r="J2882" t="s">
        <v>255</v>
      </c>
      <c r="K2882">
        <f>Pqp_supermarket_data[[#This Row],[Unit_Price]]*Pqp_supermarket_data[[#This Row],[Quantity]]</f>
        <v>4</v>
      </c>
      <c r="L2882" t="str">
        <f>TEXT(Pqp_supermarket_data[[#This Row],[DateTime]],"ddd")</f>
        <v>Thu</v>
      </c>
      <c r="M2882" t="str">
        <f>TEXT(Pqp_supermarket_data[[#This Row],[DateTime]],"mmm")</f>
        <v>Nov</v>
      </c>
      <c r="N2882" t="str">
        <f>TEXT(Pqp_supermarket_data[[#This Row],[DateTime]],"yyy")</f>
        <v>2021</v>
      </c>
    </row>
    <row r="2883" spans="1:14" x14ac:dyDescent="0.35">
      <c r="A2883" t="s">
        <v>5856</v>
      </c>
      <c r="B2883" s="1">
        <v>45531.339636238423</v>
      </c>
      <c r="C2883" t="s">
        <v>5857</v>
      </c>
      <c r="D2883" t="s">
        <v>19</v>
      </c>
      <c r="E2883" t="s">
        <v>20</v>
      </c>
      <c r="F2883">
        <v>1</v>
      </c>
      <c r="G2883">
        <v>3</v>
      </c>
      <c r="H2883" t="s">
        <v>14</v>
      </c>
      <c r="I2883" t="s">
        <v>36</v>
      </c>
      <c r="J2883" t="s">
        <v>102</v>
      </c>
      <c r="K2883">
        <f>Pqp_supermarket_data[[#This Row],[Unit_Price]]*Pqp_supermarket_data[[#This Row],[Quantity]]</f>
        <v>3</v>
      </c>
      <c r="L2883" t="str">
        <f>TEXT(Pqp_supermarket_data[[#This Row],[DateTime]],"ddd")</f>
        <v>Tue</v>
      </c>
      <c r="M2883" t="str">
        <f>TEXT(Pqp_supermarket_data[[#This Row],[DateTime]],"mmm")</f>
        <v>Aug</v>
      </c>
      <c r="N2883" t="str">
        <f>TEXT(Pqp_supermarket_data[[#This Row],[DateTime]],"yyy")</f>
        <v>2024</v>
      </c>
    </row>
    <row r="2884" spans="1:14" x14ac:dyDescent="0.35">
      <c r="A2884" t="s">
        <v>5858</v>
      </c>
      <c r="B2884" s="1">
        <v>45019.21533068287</v>
      </c>
      <c r="C2884" t="s">
        <v>5859</v>
      </c>
      <c r="D2884" t="s">
        <v>69</v>
      </c>
      <c r="E2884" t="s">
        <v>90</v>
      </c>
      <c r="F2884">
        <v>1.8</v>
      </c>
      <c r="G2884">
        <v>7</v>
      </c>
      <c r="H2884" t="s">
        <v>14</v>
      </c>
      <c r="I2884" t="s">
        <v>86</v>
      </c>
      <c r="J2884" t="s">
        <v>131</v>
      </c>
      <c r="K2884">
        <f>Pqp_supermarket_data[[#This Row],[Unit_Price]]*Pqp_supermarket_data[[#This Row],[Quantity]]</f>
        <v>12.6</v>
      </c>
      <c r="L2884" t="str">
        <f>TEXT(Pqp_supermarket_data[[#This Row],[DateTime]],"ddd")</f>
        <v>Mon</v>
      </c>
      <c r="M2884" t="str">
        <f>TEXT(Pqp_supermarket_data[[#This Row],[DateTime]],"mmm")</f>
        <v>Apr</v>
      </c>
      <c r="N2884" t="str">
        <f>TEXT(Pqp_supermarket_data[[#This Row],[DateTime]],"yyy")</f>
        <v>2023</v>
      </c>
    </row>
    <row r="2885" spans="1:14" x14ac:dyDescent="0.35">
      <c r="A2885" t="s">
        <v>5860</v>
      </c>
      <c r="B2885" s="1">
        <v>44979.304219571757</v>
      </c>
      <c r="C2885" t="s">
        <v>5861</v>
      </c>
      <c r="D2885" t="s">
        <v>44</v>
      </c>
      <c r="E2885" t="s">
        <v>45</v>
      </c>
      <c r="F2885">
        <v>1</v>
      </c>
      <c r="G2885">
        <v>5</v>
      </c>
      <c r="H2885" t="s">
        <v>14</v>
      </c>
      <c r="I2885" t="s">
        <v>15</v>
      </c>
      <c r="J2885" t="s">
        <v>71</v>
      </c>
      <c r="K2885">
        <f>Pqp_supermarket_data[[#This Row],[Unit_Price]]*Pqp_supermarket_data[[#This Row],[Quantity]]</f>
        <v>5</v>
      </c>
      <c r="L2885" t="str">
        <f>TEXT(Pqp_supermarket_data[[#This Row],[DateTime]],"ddd")</f>
        <v>Wed</v>
      </c>
      <c r="M2885" t="str">
        <f>TEXT(Pqp_supermarket_data[[#This Row],[DateTime]],"mmm")</f>
        <v>Feb</v>
      </c>
      <c r="N2885" t="str">
        <f>TEXT(Pqp_supermarket_data[[#This Row],[DateTime]],"yyy")</f>
        <v>2023</v>
      </c>
    </row>
    <row r="2886" spans="1:14" x14ac:dyDescent="0.35">
      <c r="A2886" t="s">
        <v>5862</v>
      </c>
      <c r="B2886" s="1">
        <v>45280.720886261573</v>
      </c>
      <c r="C2886" t="s">
        <v>5863</v>
      </c>
      <c r="D2886" t="s">
        <v>30</v>
      </c>
      <c r="E2886" t="s">
        <v>20</v>
      </c>
      <c r="F2886">
        <v>1</v>
      </c>
      <c r="G2886">
        <v>10</v>
      </c>
      <c r="H2886" t="s">
        <v>14</v>
      </c>
      <c r="I2886" t="s">
        <v>61</v>
      </c>
      <c r="J2886" t="s">
        <v>662</v>
      </c>
      <c r="K2886">
        <f>Pqp_supermarket_data[[#This Row],[Unit_Price]]*Pqp_supermarket_data[[#This Row],[Quantity]]</f>
        <v>10</v>
      </c>
      <c r="L2886" t="str">
        <f>TEXT(Pqp_supermarket_data[[#This Row],[DateTime]],"ddd")</f>
        <v>Wed</v>
      </c>
      <c r="M2886" t="str">
        <f>TEXT(Pqp_supermarket_data[[#This Row],[DateTime]],"mmm")</f>
        <v>Dec</v>
      </c>
      <c r="N2886" t="str">
        <f>TEXT(Pqp_supermarket_data[[#This Row],[DateTime]],"yyy")</f>
        <v>2023</v>
      </c>
    </row>
    <row r="2887" spans="1:14" x14ac:dyDescent="0.35">
      <c r="A2887" t="s">
        <v>5864</v>
      </c>
      <c r="B2887" s="1">
        <v>45331.286164039353</v>
      </c>
      <c r="C2887" t="s">
        <v>5865</v>
      </c>
      <c r="D2887" t="s">
        <v>19</v>
      </c>
      <c r="E2887" t="s">
        <v>119</v>
      </c>
      <c r="F2887">
        <v>4</v>
      </c>
      <c r="G2887">
        <v>2</v>
      </c>
      <c r="H2887" t="s">
        <v>14</v>
      </c>
      <c r="I2887" t="s">
        <v>61</v>
      </c>
      <c r="J2887" t="s">
        <v>548</v>
      </c>
      <c r="K2887">
        <f>Pqp_supermarket_data[[#This Row],[Unit_Price]]*Pqp_supermarket_data[[#This Row],[Quantity]]</f>
        <v>8</v>
      </c>
      <c r="L2887" t="str">
        <f>TEXT(Pqp_supermarket_data[[#This Row],[DateTime]],"ddd")</f>
        <v>Fri</v>
      </c>
      <c r="M2887" t="str">
        <f>TEXT(Pqp_supermarket_data[[#This Row],[DateTime]],"mmm")</f>
        <v>Feb</v>
      </c>
      <c r="N2887" t="str">
        <f>TEXT(Pqp_supermarket_data[[#This Row],[DateTime]],"yyy")</f>
        <v>2024</v>
      </c>
    </row>
    <row r="2888" spans="1:14" x14ac:dyDescent="0.35">
      <c r="A2888" t="s">
        <v>5866</v>
      </c>
      <c r="B2888" s="1">
        <v>45450.222969606482</v>
      </c>
      <c r="C2888" t="s">
        <v>5867</v>
      </c>
      <c r="D2888" t="s">
        <v>30</v>
      </c>
      <c r="E2888" t="s">
        <v>39</v>
      </c>
      <c r="F2888">
        <v>3.2</v>
      </c>
      <c r="G2888">
        <v>3</v>
      </c>
      <c r="H2888" t="s">
        <v>14</v>
      </c>
      <c r="I2888" t="s">
        <v>21</v>
      </c>
      <c r="J2888" t="s">
        <v>302</v>
      </c>
      <c r="K2888">
        <f>Pqp_supermarket_data[[#This Row],[Unit_Price]]*Pqp_supermarket_data[[#This Row],[Quantity]]</f>
        <v>9.6000000000000014</v>
      </c>
      <c r="L2888" t="str">
        <f>TEXT(Pqp_supermarket_data[[#This Row],[DateTime]],"ddd")</f>
        <v>Fri</v>
      </c>
      <c r="M2888" t="str">
        <f>TEXT(Pqp_supermarket_data[[#This Row],[DateTime]],"mmm")</f>
        <v>Jun</v>
      </c>
      <c r="N2888" t="str">
        <f>TEXT(Pqp_supermarket_data[[#This Row],[DateTime]],"yyy")</f>
        <v>2024</v>
      </c>
    </row>
    <row r="2889" spans="1:14" x14ac:dyDescent="0.35">
      <c r="A2889" t="s">
        <v>5868</v>
      </c>
      <c r="B2889" s="1">
        <v>45094.560469618053</v>
      </c>
      <c r="C2889" t="s">
        <v>5869</v>
      </c>
      <c r="D2889" t="s">
        <v>98</v>
      </c>
      <c r="E2889" t="s">
        <v>94</v>
      </c>
      <c r="F2889">
        <v>0.8</v>
      </c>
      <c r="G2889">
        <v>6</v>
      </c>
      <c r="H2889" t="s">
        <v>14</v>
      </c>
      <c r="I2889" t="s">
        <v>86</v>
      </c>
      <c r="J2889" t="s">
        <v>66</v>
      </c>
      <c r="K2889">
        <f>Pqp_supermarket_data[[#This Row],[Unit_Price]]*Pqp_supermarket_data[[#This Row],[Quantity]]</f>
        <v>4.8000000000000007</v>
      </c>
      <c r="L2889" t="str">
        <f>TEXT(Pqp_supermarket_data[[#This Row],[DateTime]],"ddd")</f>
        <v>Sat</v>
      </c>
      <c r="M2889" t="str">
        <f>TEXT(Pqp_supermarket_data[[#This Row],[DateTime]],"mmm")</f>
        <v>Jun</v>
      </c>
      <c r="N2889" t="str">
        <f>TEXT(Pqp_supermarket_data[[#This Row],[DateTime]],"yyy")</f>
        <v>2023</v>
      </c>
    </row>
    <row r="2890" spans="1:14" x14ac:dyDescent="0.35">
      <c r="A2890" t="s">
        <v>5870</v>
      </c>
      <c r="B2890" s="1">
        <v>44608.334080729168</v>
      </c>
      <c r="C2890" t="s">
        <v>5871</v>
      </c>
      <c r="D2890" t="s">
        <v>171</v>
      </c>
      <c r="E2890" t="s">
        <v>26</v>
      </c>
      <c r="F2890">
        <v>2.5</v>
      </c>
      <c r="G2890">
        <v>4</v>
      </c>
      <c r="H2890" t="s">
        <v>14</v>
      </c>
      <c r="I2890" t="s">
        <v>61</v>
      </c>
      <c r="J2890" t="s">
        <v>716</v>
      </c>
      <c r="K2890">
        <f>Pqp_supermarket_data[[#This Row],[Unit_Price]]*Pqp_supermarket_data[[#This Row],[Quantity]]</f>
        <v>10</v>
      </c>
      <c r="L2890" t="str">
        <f>TEXT(Pqp_supermarket_data[[#This Row],[DateTime]],"ddd")</f>
        <v>Wed</v>
      </c>
      <c r="M2890" t="str">
        <f>TEXT(Pqp_supermarket_data[[#This Row],[DateTime]],"mmm")</f>
        <v>Feb</v>
      </c>
      <c r="N2890" t="str">
        <f>TEXT(Pqp_supermarket_data[[#This Row],[DateTime]],"yyy")</f>
        <v>2022</v>
      </c>
    </row>
    <row r="2891" spans="1:14" x14ac:dyDescent="0.35">
      <c r="A2891" t="s">
        <v>5872</v>
      </c>
      <c r="B2891" s="1">
        <v>44540.66880295139</v>
      </c>
      <c r="C2891" t="s">
        <v>5873</v>
      </c>
      <c r="D2891" t="s">
        <v>77</v>
      </c>
      <c r="E2891" t="s">
        <v>26</v>
      </c>
      <c r="F2891">
        <v>2.5</v>
      </c>
      <c r="G2891">
        <v>9</v>
      </c>
      <c r="H2891" t="s">
        <v>14</v>
      </c>
      <c r="I2891" t="s">
        <v>40</v>
      </c>
      <c r="J2891" t="s">
        <v>270</v>
      </c>
      <c r="K2891">
        <f>Pqp_supermarket_data[[#This Row],[Unit_Price]]*Pqp_supermarket_data[[#This Row],[Quantity]]</f>
        <v>22.5</v>
      </c>
      <c r="L2891" t="str">
        <f>TEXT(Pqp_supermarket_data[[#This Row],[DateTime]],"ddd")</f>
        <v>Fri</v>
      </c>
      <c r="M2891" t="str">
        <f>TEXT(Pqp_supermarket_data[[#This Row],[DateTime]],"mmm")</f>
        <v>Dec</v>
      </c>
      <c r="N2891" t="str">
        <f>TEXT(Pqp_supermarket_data[[#This Row],[DateTime]],"yyy")</f>
        <v>2021</v>
      </c>
    </row>
    <row r="2892" spans="1:14" x14ac:dyDescent="0.35">
      <c r="A2892" t="s">
        <v>5874</v>
      </c>
      <c r="B2892" s="1">
        <v>44331.043802986111</v>
      </c>
      <c r="C2892" t="s">
        <v>5875</v>
      </c>
      <c r="D2892" t="s">
        <v>44</v>
      </c>
      <c r="E2892" t="s">
        <v>35</v>
      </c>
      <c r="F2892">
        <v>1.2</v>
      </c>
      <c r="G2892">
        <v>8</v>
      </c>
      <c r="H2892" t="s">
        <v>14</v>
      </c>
      <c r="I2892" t="s">
        <v>21</v>
      </c>
      <c r="J2892" t="s">
        <v>924</v>
      </c>
      <c r="K2892">
        <f>Pqp_supermarket_data[[#This Row],[Unit_Price]]*Pqp_supermarket_data[[#This Row],[Quantity]]</f>
        <v>9.6</v>
      </c>
      <c r="L2892" t="str">
        <f>TEXT(Pqp_supermarket_data[[#This Row],[DateTime]],"ddd")</f>
        <v>Sat</v>
      </c>
      <c r="M2892" t="str">
        <f>TEXT(Pqp_supermarket_data[[#This Row],[DateTime]],"mmm")</f>
        <v>May</v>
      </c>
      <c r="N2892" t="str">
        <f>TEXT(Pqp_supermarket_data[[#This Row],[DateTime]],"yyy")</f>
        <v>2021</v>
      </c>
    </row>
    <row r="2893" spans="1:14" x14ac:dyDescent="0.35">
      <c r="A2893" t="s">
        <v>5876</v>
      </c>
      <c r="B2893" s="1">
        <v>44994.837552986108</v>
      </c>
      <c r="C2893" t="s">
        <v>5877</v>
      </c>
      <c r="D2893" t="s">
        <v>208</v>
      </c>
      <c r="E2893" t="s">
        <v>45</v>
      </c>
      <c r="F2893">
        <v>1</v>
      </c>
      <c r="G2893">
        <v>6</v>
      </c>
      <c r="H2893" t="s">
        <v>14</v>
      </c>
      <c r="I2893" t="s">
        <v>86</v>
      </c>
      <c r="J2893" t="s">
        <v>426</v>
      </c>
      <c r="K2893">
        <f>Pqp_supermarket_data[[#This Row],[Unit_Price]]*Pqp_supermarket_data[[#This Row],[Quantity]]</f>
        <v>6</v>
      </c>
      <c r="L2893" t="str">
        <f>TEXT(Pqp_supermarket_data[[#This Row],[DateTime]],"ddd")</f>
        <v>Thu</v>
      </c>
      <c r="M2893" t="str">
        <f>TEXT(Pqp_supermarket_data[[#This Row],[DateTime]],"mmm")</f>
        <v>Mar</v>
      </c>
      <c r="N2893" t="str">
        <f>TEXT(Pqp_supermarket_data[[#This Row],[DateTime]],"yyy")</f>
        <v>2023</v>
      </c>
    </row>
    <row r="2894" spans="1:14" x14ac:dyDescent="0.35">
      <c r="A2894" t="s">
        <v>5878</v>
      </c>
      <c r="B2894" s="1">
        <v>44394.148664108798</v>
      </c>
      <c r="C2894" t="s">
        <v>5879</v>
      </c>
      <c r="D2894" t="s">
        <v>127</v>
      </c>
      <c r="E2894" t="s">
        <v>26</v>
      </c>
      <c r="F2894">
        <v>2.5</v>
      </c>
      <c r="G2894">
        <v>1</v>
      </c>
      <c r="H2894" t="s">
        <v>14</v>
      </c>
      <c r="I2894" t="s">
        <v>15</v>
      </c>
      <c r="J2894" t="s">
        <v>245</v>
      </c>
      <c r="K2894">
        <f>Pqp_supermarket_data[[#This Row],[Unit_Price]]*Pqp_supermarket_data[[#This Row],[Quantity]]</f>
        <v>2.5</v>
      </c>
      <c r="L2894" t="str">
        <f>TEXT(Pqp_supermarket_data[[#This Row],[DateTime]],"ddd")</f>
        <v>Sat</v>
      </c>
      <c r="M2894" t="str">
        <f>TEXT(Pqp_supermarket_data[[#This Row],[DateTime]],"mmm")</f>
        <v>Jul</v>
      </c>
      <c r="N2894" t="str">
        <f>TEXT(Pqp_supermarket_data[[#This Row],[DateTime]],"yyy")</f>
        <v>2021</v>
      </c>
    </row>
    <row r="2895" spans="1:14" x14ac:dyDescent="0.35">
      <c r="A2895" t="s">
        <v>5880</v>
      </c>
      <c r="B2895" s="1">
        <v>44499.763247453702</v>
      </c>
      <c r="C2895" t="s">
        <v>5881</v>
      </c>
      <c r="D2895" t="s">
        <v>19</v>
      </c>
      <c r="E2895" t="s">
        <v>90</v>
      </c>
      <c r="F2895">
        <v>1.8</v>
      </c>
      <c r="G2895">
        <v>10</v>
      </c>
      <c r="H2895" t="s">
        <v>14</v>
      </c>
      <c r="I2895" t="s">
        <v>40</v>
      </c>
      <c r="J2895" t="s">
        <v>233</v>
      </c>
      <c r="K2895">
        <f>Pqp_supermarket_data[[#This Row],[Unit_Price]]*Pqp_supermarket_data[[#This Row],[Quantity]]</f>
        <v>18</v>
      </c>
      <c r="L2895" t="str">
        <f>TEXT(Pqp_supermarket_data[[#This Row],[DateTime]],"ddd")</f>
        <v>Sat</v>
      </c>
      <c r="M2895" t="str">
        <f>TEXT(Pqp_supermarket_data[[#This Row],[DateTime]],"mmm")</f>
        <v>Oct</v>
      </c>
      <c r="N2895" t="str">
        <f>TEXT(Pqp_supermarket_data[[#This Row],[DateTime]],"yyy")</f>
        <v>2021</v>
      </c>
    </row>
    <row r="2896" spans="1:14" x14ac:dyDescent="0.35">
      <c r="A2896" t="s">
        <v>5882</v>
      </c>
      <c r="B2896" s="1">
        <v>44800.747275231479</v>
      </c>
      <c r="C2896" t="s">
        <v>5883</v>
      </c>
      <c r="D2896" t="s">
        <v>69</v>
      </c>
      <c r="E2896" t="s">
        <v>137</v>
      </c>
      <c r="F2896">
        <v>2.5</v>
      </c>
      <c r="G2896">
        <v>4</v>
      </c>
      <c r="H2896" t="s">
        <v>14</v>
      </c>
      <c r="I2896" t="s">
        <v>21</v>
      </c>
      <c r="J2896" t="s">
        <v>54</v>
      </c>
      <c r="K2896">
        <f>Pqp_supermarket_data[[#This Row],[Unit_Price]]*Pqp_supermarket_data[[#This Row],[Quantity]]</f>
        <v>10</v>
      </c>
      <c r="L2896" t="str">
        <f>TEXT(Pqp_supermarket_data[[#This Row],[DateTime]],"ddd")</f>
        <v>Sat</v>
      </c>
      <c r="M2896" t="str">
        <f>TEXT(Pqp_supermarket_data[[#This Row],[DateTime]],"mmm")</f>
        <v>Aug</v>
      </c>
      <c r="N2896" t="str">
        <f>TEXT(Pqp_supermarket_data[[#This Row],[DateTime]],"yyy")</f>
        <v>2022</v>
      </c>
    </row>
    <row r="2897" spans="1:14" x14ac:dyDescent="0.35">
      <c r="A2897" t="s">
        <v>5884</v>
      </c>
      <c r="B2897" s="1">
        <v>45102.799358576391</v>
      </c>
      <c r="C2897" t="s">
        <v>5885</v>
      </c>
      <c r="D2897" t="s">
        <v>127</v>
      </c>
      <c r="E2897" t="s">
        <v>137</v>
      </c>
      <c r="F2897">
        <v>2.5</v>
      </c>
      <c r="G2897">
        <v>2</v>
      </c>
      <c r="H2897" t="s">
        <v>14</v>
      </c>
      <c r="I2897" t="s">
        <v>61</v>
      </c>
      <c r="J2897" t="s">
        <v>212</v>
      </c>
      <c r="K2897">
        <f>Pqp_supermarket_data[[#This Row],[Unit_Price]]*Pqp_supermarket_data[[#This Row],[Quantity]]</f>
        <v>5</v>
      </c>
      <c r="L2897" t="str">
        <f>TEXT(Pqp_supermarket_data[[#This Row],[DateTime]],"ddd")</f>
        <v>Sun</v>
      </c>
      <c r="M2897" t="str">
        <f>TEXT(Pqp_supermarket_data[[#This Row],[DateTime]],"mmm")</f>
        <v>Jun</v>
      </c>
      <c r="N2897" t="str">
        <f>TEXT(Pqp_supermarket_data[[#This Row],[DateTime]],"yyy")</f>
        <v>2023</v>
      </c>
    </row>
    <row r="2898" spans="1:14" x14ac:dyDescent="0.35">
      <c r="A2898" t="s">
        <v>5886</v>
      </c>
      <c r="B2898" s="1">
        <v>44979.181303032405</v>
      </c>
      <c r="C2898" t="s">
        <v>5887</v>
      </c>
      <c r="D2898" t="s">
        <v>44</v>
      </c>
      <c r="E2898" t="s">
        <v>57</v>
      </c>
      <c r="F2898">
        <v>4.5</v>
      </c>
      <c r="G2898">
        <v>8</v>
      </c>
      <c r="H2898" t="s">
        <v>14</v>
      </c>
      <c r="I2898" t="s">
        <v>40</v>
      </c>
      <c r="J2898" t="s">
        <v>394</v>
      </c>
      <c r="K2898">
        <f>Pqp_supermarket_data[[#This Row],[Unit_Price]]*Pqp_supermarket_data[[#This Row],[Quantity]]</f>
        <v>36</v>
      </c>
      <c r="L2898" t="str">
        <f>TEXT(Pqp_supermarket_data[[#This Row],[DateTime]],"ddd")</f>
        <v>Wed</v>
      </c>
      <c r="M2898" t="str">
        <f>TEXT(Pqp_supermarket_data[[#This Row],[DateTime]],"mmm")</f>
        <v>Feb</v>
      </c>
      <c r="N2898" t="str">
        <f>TEXT(Pqp_supermarket_data[[#This Row],[DateTime]],"yyy")</f>
        <v>2023</v>
      </c>
    </row>
    <row r="2899" spans="1:14" x14ac:dyDescent="0.35">
      <c r="A2899" t="s">
        <v>5888</v>
      </c>
      <c r="B2899" s="1">
        <v>45115.305608587965</v>
      </c>
      <c r="C2899" t="s">
        <v>5889</v>
      </c>
      <c r="D2899" t="s">
        <v>25</v>
      </c>
      <c r="E2899" t="s">
        <v>94</v>
      </c>
      <c r="F2899">
        <v>0.8</v>
      </c>
      <c r="G2899">
        <v>6</v>
      </c>
      <c r="H2899" t="s">
        <v>14</v>
      </c>
      <c r="I2899" t="s">
        <v>21</v>
      </c>
      <c r="J2899" t="s">
        <v>163</v>
      </c>
      <c r="K2899">
        <f>Pqp_supermarket_data[[#This Row],[Unit_Price]]*Pqp_supermarket_data[[#This Row],[Quantity]]</f>
        <v>4.8000000000000007</v>
      </c>
      <c r="L2899" t="str">
        <f>TEXT(Pqp_supermarket_data[[#This Row],[DateTime]],"ddd")</f>
        <v>Sat</v>
      </c>
      <c r="M2899" t="str">
        <f>TEXT(Pqp_supermarket_data[[#This Row],[DateTime]],"mmm")</f>
        <v>Jul</v>
      </c>
      <c r="N2899" t="str">
        <f>TEXT(Pqp_supermarket_data[[#This Row],[DateTime]],"yyy")</f>
        <v>2023</v>
      </c>
    </row>
    <row r="2900" spans="1:14" x14ac:dyDescent="0.35">
      <c r="A2900" t="s">
        <v>5890</v>
      </c>
      <c r="B2900" s="1">
        <v>44926.90283082176</v>
      </c>
      <c r="C2900" t="s">
        <v>5891</v>
      </c>
      <c r="D2900" t="s">
        <v>34</v>
      </c>
      <c r="E2900" t="s">
        <v>90</v>
      </c>
      <c r="F2900">
        <v>1.8</v>
      </c>
      <c r="G2900">
        <v>2</v>
      </c>
      <c r="H2900" t="s">
        <v>14</v>
      </c>
      <c r="I2900" t="s">
        <v>15</v>
      </c>
      <c r="J2900" t="s">
        <v>22</v>
      </c>
      <c r="K2900">
        <f>Pqp_supermarket_data[[#This Row],[Unit_Price]]*Pqp_supermarket_data[[#This Row],[Quantity]]</f>
        <v>3.6</v>
      </c>
      <c r="L2900" t="str">
        <f>TEXT(Pqp_supermarket_data[[#This Row],[DateTime]],"ddd")</f>
        <v>Sat</v>
      </c>
      <c r="M2900" t="str">
        <f>TEXT(Pqp_supermarket_data[[#This Row],[DateTime]],"mmm")</f>
        <v>Dec</v>
      </c>
      <c r="N2900" t="str">
        <f>TEXT(Pqp_supermarket_data[[#This Row],[DateTime]],"yyy")</f>
        <v>2022</v>
      </c>
    </row>
    <row r="2901" spans="1:14" x14ac:dyDescent="0.35">
      <c r="A2901" t="s">
        <v>5892</v>
      </c>
      <c r="B2901" s="1">
        <v>44870.141719722225</v>
      </c>
      <c r="C2901" t="s">
        <v>5893</v>
      </c>
      <c r="D2901" t="s">
        <v>208</v>
      </c>
      <c r="E2901" t="s">
        <v>45</v>
      </c>
      <c r="F2901">
        <v>1</v>
      </c>
      <c r="G2901">
        <v>5</v>
      </c>
      <c r="H2901" t="s">
        <v>14</v>
      </c>
      <c r="I2901" t="s">
        <v>15</v>
      </c>
      <c r="J2901" t="s">
        <v>160</v>
      </c>
      <c r="K2901">
        <f>Pqp_supermarket_data[[#This Row],[Unit_Price]]*Pqp_supermarket_data[[#This Row],[Quantity]]</f>
        <v>5</v>
      </c>
      <c r="L2901" t="str">
        <f>TEXT(Pqp_supermarket_data[[#This Row],[DateTime]],"ddd")</f>
        <v>Sat</v>
      </c>
      <c r="M2901" t="str">
        <f>TEXT(Pqp_supermarket_data[[#This Row],[DateTime]],"mmm")</f>
        <v>Nov</v>
      </c>
      <c r="N2901" t="str">
        <f>TEXT(Pqp_supermarket_data[[#This Row],[DateTime]],"yyy")</f>
        <v>2022</v>
      </c>
    </row>
    <row r="2902" spans="1:14" x14ac:dyDescent="0.35">
      <c r="A2902" t="s">
        <v>5894</v>
      </c>
      <c r="B2902" s="1">
        <v>44469.422275277779</v>
      </c>
      <c r="C2902" t="s">
        <v>5895</v>
      </c>
      <c r="D2902" t="s">
        <v>226</v>
      </c>
      <c r="E2902" t="s">
        <v>65</v>
      </c>
      <c r="F2902">
        <v>3</v>
      </c>
      <c r="G2902">
        <v>1</v>
      </c>
      <c r="H2902" t="s">
        <v>14</v>
      </c>
      <c r="I2902" t="s">
        <v>61</v>
      </c>
      <c r="J2902" t="s">
        <v>218</v>
      </c>
      <c r="K2902">
        <f>Pqp_supermarket_data[[#This Row],[Unit_Price]]*Pqp_supermarket_data[[#This Row],[Quantity]]</f>
        <v>3</v>
      </c>
      <c r="L2902" t="str">
        <f>TEXT(Pqp_supermarket_data[[#This Row],[DateTime]],"ddd")</f>
        <v>Thu</v>
      </c>
      <c r="M2902" t="str">
        <f>TEXT(Pqp_supermarket_data[[#This Row],[DateTime]],"mmm")</f>
        <v>Sep</v>
      </c>
      <c r="N2902" t="str">
        <f>TEXT(Pqp_supermarket_data[[#This Row],[DateTime]],"yyy")</f>
        <v>2021</v>
      </c>
    </row>
    <row r="2903" spans="1:14" x14ac:dyDescent="0.35">
      <c r="A2903" t="s">
        <v>5896</v>
      </c>
      <c r="B2903" s="1">
        <v>44851.032691944441</v>
      </c>
      <c r="C2903" t="s">
        <v>5897</v>
      </c>
      <c r="D2903" t="s">
        <v>85</v>
      </c>
      <c r="E2903" t="s">
        <v>148</v>
      </c>
      <c r="F2903">
        <v>5.5</v>
      </c>
      <c r="G2903">
        <v>10</v>
      </c>
      <c r="H2903" t="s">
        <v>14</v>
      </c>
      <c r="I2903" t="s">
        <v>21</v>
      </c>
      <c r="J2903" t="s">
        <v>122</v>
      </c>
      <c r="K2903">
        <f>Pqp_supermarket_data[[#This Row],[Unit_Price]]*Pqp_supermarket_data[[#This Row],[Quantity]]</f>
        <v>55</v>
      </c>
      <c r="L2903" t="str">
        <f>TEXT(Pqp_supermarket_data[[#This Row],[DateTime]],"ddd")</f>
        <v>Mon</v>
      </c>
      <c r="M2903" t="str">
        <f>TEXT(Pqp_supermarket_data[[#This Row],[DateTime]],"mmm")</f>
        <v>Oct</v>
      </c>
      <c r="N2903" t="str">
        <f>TEXT(Pqp_supermarket_data[[#This Row],[DateTime]],"yyy")</f>
        <v>2022</v>
      </c>
    </row>
    <row r="2904" spans="1:14" x14ac:dyDescent="0.35">
      <c r="A2904" t="s">
        <v>5898</v>
      </c>
      <c r="B2904" s="1">
        <v>44637.491719733793</v>
      </c>
      <c r="C2904" t="s">
        <v>5899</v>
      </c>
      <c r="D2904" t="s">
        <v>12</v>
      </c>
      <c r="E2904" t="s">
        <v>111</v>
      </c>
      <c r="F2904">
        <v>2.2000000000000002</v>
      </c>
      <c r="G2904">
        <v>8</v>
      </c>
      <c r="H2904" t="s">
        <v>14</v>
      </c>
      <c r="I2904" t="s">
        <v>40</v>
      </c>
      <c r="J2904" t="s">
        <v>195</v>
      </c>
      <c r="K2904">
        <f>Pqp_supermarket_data[[#This Row],[Unit_Price]]*Pqp_supermarket_data[[#This Row],[Quantity]]</f>
        <v>17.600000000000001</v>
      </c>
      <c r="L2904" t="str">
        <f>TEXT(Pqp_supermarket_data[[#This Row],[DateTime]],"ddd")</f>
        <v>Thu</v>
      </c>
      <c r="M2904" t="str">
        <f>TEXT(Pqp_supermarket_data[[#This Row],[DateTime]],"mmm")</f>
        <v>Mar</v>
      </c>
      <c r="N2904" t="str">
        <f>TEXT(Pqp_supermarket_data[[#This Row],[DateTime]],"yyy")</f>
        <v>2022</v>
      </c>
    </row>
    <row r="2905" spans="1:14" x14ac:dyDescent="0.35">
      <c r="A2905" t="s">
        <v>5900</v>
      </c>
      <c r="B2905" s="1">
        <v>45047.382691967592</v>
      </c>
      <c r="C2905" t="s">
        <v>5901</v>
      </c>
      <c r="D2905" t="s">
        <v>34</v>
      </c>
      <c r="E2905" t="s">
        <v>90</v>
      </c>
      <c r="F2905">
        <v>1.8</v>
      </c>
      <c r="G2905">
        <v>9</v>
      </c>
      <c r="H2905" t="s">
        <v>14</v>
      </c>
      <c r="I2905" t="s">
        <v>21</v>
      </c>
      <c r="J2905" t="s">
        <v>426</v>
      </c>
      <c r="K2905">
        <f>Pqp_supermarket_data[[#This Row],[Unit_Price]]*Pqp_supermarket_data[[#This Row],[Quantity]]</f>
        <v>16.2</v>
      </c>
      <c r="L2905" t="str">
        <f>TEXT(Pqp_supermarket_data[[#This Row],[DateTime]],"ddd")</f>
        <v>Mon</v>
      </c>
      <c r="M2905" t="str">
        <f>TEXT(Pqp_supermarket_data[[#This Row],[DateTime]],"mmm")</f>
        <v>May</v>
      </c>
      <c r="N2905" t="str">
        <f>TEXT(Pqp_supermarket_data[[#This Row],[DateTime]],"yyy")</f>
        <v>2023</v>
      </c>
    </row>
    <row r="2906" spans="1:14" x14ac:dyDescent="0.35">
      <c r="A2906" t="s">
        <v>5902</v>
      </c>
      <c r="B2906" s="1">
        <v>45073.052830856483</v>
      </c>
      <c r="C2906" t="s">
        <v>5903</v>
      </c>
      <c r="D2906" t="s">
        <v>19</v>
      </c>
      <c r="E2906" t="s">
        <v>111</v>
      </c>
      <c r="F2906">
        <v>2.2000000000000002</v>
      </c>
      <c r="G2906">
        <v>6</v>
      </c>
      <c r="H2906" t="s">
        <v>14</v>
      </c>
      <c r="I2906" t="s">
        <v>21</v>
      </c>
      <c r="J2906" t="s">
        <v>267</v>
      </c>
      <c r="K2906">
        <f>Pqp_supermarket_data[[#This Row],[Unit_Price]]*Pqp_supermarket_data[[#This Row],[Quantity]]</f>
        <v>13.200000000000001</v>
      </c>
      <c r="L2906" t="str">
        <f>TEXT(Pqp_supermarket_data[[#This Row],[DateTime]],"ddd")</f>
        <v>Sat</v>
      </c>
      <c r="M2906" t="str">
        <f>TEXT(Pqp_supermarket_data[[#This Row],[DateTime]],"mmm")</f>
        <v>May</v>
      </c>
      <c r="N2906" t="str">
        <f>TEXT(Pqp_supermarket_data[[#This Row],[DateTime]],"yyy")</f>
        <v>2023</v>
      </c>
    </row>
    <row r="2907" spans="1:14" x14ac:dyDescent="0.35">
      <c r="A2907" t="s">
        <v>5904</v>
      </c>
      <c r="B2907" s="1">
        <v>44910.0160253125</v>
      </c>
      <c r="C2907" t="s">
        <v>5905</v>
      </c>
      <c r="D2907" t="s">
        <v>44</v>
      </c>
      <c r="E2907" t="s">
        <v>119</v>
      </c>
      <c r="F2907">
        <v>4</v>
      </c>
      <c r="G2907">
        <v>9</v>
      </c>
      <c r="H2907" t="s">
        <v>14</v>
      </c>
      <c r="I2907" t="s">
        <v>86</v>
      </c>
      <c r="J2907" t="s">
        <v>91</v>
      </c>
      <c r="K2907">
        <f>Pqp_supermarket_data[[#This Row],[Unit_Price]]*Pqp_supermarket_data[[#This Row],[Quantity]]</f>
        <v>36</v>
      </c>
      <c r="L2907" t="str">
        <f>TEXT(Pqp_supermarket_data[[#This Row],[DateTime]],"ddd")</f>
        <v>Thu</v>
      </c>
      <c r="M2907" t="str">
        <f>TEXT(Pqp_supermarket_data[[#This Row],[DateTime]],"mmm")</f>
        <v>Dec</v>
      </c>
      <c r="N2907" t="str">
        <f>TEXT(Pqp_supermarket_data[[#This Row],[DateTime]],"yyy")</f>
        <v>2022</v>
      </c>
    </row>
    <row r="2908" spans="1:14" x14ac:dyDescent="0.35">
      <c r="A2908" t="s">
        <v>5906</v>
      </c>
      <c r="B2908" s="1">
        <v>44864.831997534726</v>
      </c>
      <c r="C2908" t="s">
        <v>5907</v>
      </c>
      <c r="D2908" t="s">
        <v>127</v>
      </c>
      <c r="E2908" t="s">
        <v>57</v>
      </c>
      <c r="F2908">
        <v>4.5</v>
      </c>
      <c r="G2908">
        <v>3</v>
      </c>
      <c r="H2908" t="s">
        <v>14</v>
      </c>
      <c r="I2908" t="s">
        <v>15</v>
      </c>
      <c r="J2908" t="s">
        <v>336</v>
      </c>
      <c r="K2908">
        <f>Pqp_supermarket_data[[#This Row],[Unit_Price]]*Pqp_supermarket_data[[#This Row],[Quantity]]</f>
        <v>13.5</v>
      </c>
      <c r="L2908" t="str">
        <f>TEXT(Pqp_supermarket_data[[#This Row],[DateTime]],"ddd")</f>
        <v>Sun</v>
      </c>
      <c r="M2908" t="str">
        <f>TEXT(Pqp_supermarket_data[[#This Row],[DateTime]],"mmm")</f>
        <v>Oct</v>
      </c>
      <c r="N2908" t="str">
        <f>TEXT(Pqp_supermarket_data[[#This Row],[DateTime]],"yyy")</f>
        <v>2022</v>
      </c>
    </row>
    <row r="2909" spans="1:14" x14ac:dyDescent="0.35">
      <c r="A2909" t="s">
        <v>5908</v>
      </c>
      <c r="B2909" s="1">
        <v>44340.120886435187</v>
      </c>
      <c r="C2909" t="s">
        <v>3460</v>
      </c>
      <c r="D2909" t="s">
        <v>44</v>
      </c>
      <c r="E2909" t="s">
        <v>13</v>
      </c>
      <c r="F2909">
        <v>3.1</v>
      </c>
      <c r="G2909">
        <v>9</v>
      </c>
      <c r="H2909" t="s">
        <v>14</v>
      </c>
      <c r="I2909" t="s">
        <v>36</v>
      </c>
      <c r="J2909" t="s">
        <v>102</v>
      </c>
      <c r="K2909">
        <f>Pqp_supermarket_data[[#This Row],[Unit_Price]]*Pqp_supermarket_data[[#This Row],[Quantity]]</f>
        <v>27.900000000000002</v>
      </c>
      <c r="L2909" t="str">
        <f>TEXT(Pqp_supermarket_data[[#This Row],[DateTime]],"ddd")</f>
        <v>Mon</v>
      </c>
      <c r="M2909" t="str">
        <f>TEXT(Pqp_supermarket_data[[#This Row],[DateTime]],"mmm")</f>
        <v>May</v>
      </c>
      <c r="N2909" t="str">
        <f>TEXT(Pqp_supermarket_data[[#This Row],[DateTime]],"yyy")</f>
        <v>2021</v>
      </c>
    </row>
    <row r="2910" spans="1:14" x14ac:dyDescent="0.35">
      <c r="A2910" t="s">
        <v>5909</v>
      </c>
      <c r="B2910" s="1">
        <v>44582.002136446761</v>
      </c>
      <c r="C2910" t="s">
        <v>5910</v>
      </c>
      <c r="D2910" t="s">
        <v>226</v>
      </c>
      <c r="E2910" t="s">
        <v>39</v>
      </c>
      <c r="F2910">
        <v>3.2</v>
      </c>
      <c r="G2910">
        <v>10</v>
      </c>
      <c r="H2910" t="s">
        <v>14</v>
      </c>
      <c r="I2910" t="s">
        <v>61</v>
      </c>
      <c r="J2910" t="s">
        <v>218</v>
      </c>
      <c r="K2910">
        <f>Pqp_supermarket_data[[#This Row],[Unit_Price]]*Pqp_supermarket_data[[#This Row],[Quantity]]</f>
        <v>32</v>
      </c>
      <c r="L2910" t="str">
        <f>TEXT(Pqp_supermarket_data[[#This Row],[DateTime]],"ddd")</f>
        <v>Fri</v>
      </c>
      <c r="M2910" t="str">
        <f>TEXT(Pqp_supermarket_data[[#This Row],[DateTime]],"mmm")</f>
        <v>Jan</v>
      </c>
      <c r="N2910" t="str">
        <f>TEXT(Pqp_supermarket_data[[#This Row],[DateTime]],"yyy")</f>
        <v>2022</v>
      </c>
    </row>
    <row r="2911" spans="1:14" x14ac:dyDescent="0.35">
      <c r="A2911" t="s">
        <v>5911</v>
      </c>
      <c r="B2911" s="1">
        <v>44758.379914224533</v>
      </c>
      <c r="C2911" t="s">
        <v>5912</v>
      </c>
      <c r="D2911" t="s">
        <v>171</v>
      </c>
      <c r="E2911" t="s">
        <v>148</v>
      </c>
      <c r="F2911">
        <v>5.5</v>
      </c>
      <c r="G2911">
        <v>2</v>
      </c>
      <c r="H2911" t="s">
        <v>14</v>
      </c>
      <c r="I2911" t="s">
        <v>36</v>
      </c>
      <c r="J2911" t="s">
        <v>22</v>
      </c>
      <c r="K2911">
        <f>Pqp_supermarket_data[[#This Row],[Unit_Price]]*Pqp_supermarket_data[[#This Row],[Quantity]]</f>
        <v>11</v>
      </c>
      <c r="L2911" t="str">
        <f>TEXT(Pqp_supermarket_data[[#This Row],[DateTime]],"ddd")</f>
        <v>Sat</v>
      </c>
      <c r="M2911" t="str">
        <f>TEXT(Pqp_supermarket_data[[#This Row],[DateTime]],"mmm")</f>
        <v>Jul</v>
      </c>
      <c r="N2911" t="str">
        <f>TEXT(Pqp_supermarket_data[[#This Row],[DateTime]],"yyy")</f>
        <v>2022</v>
      </c>
    </row>
    <row r="2912" spans="1:14" x14ac:dyDescent="0.35">
      <c r="A2912" t="s">
        <v>5913</v>
      </c>
      <c r="B2912" s="1">
        <v>45106.554219791666</v>
      </c>
      <c r="C2912" t="s">
        <v>5914</v>
      </c>
      <c r="D2912" t="s">
        <v>19</v>
      </c>
      <c r="E2912" t="s">
        <v>35</v>
      </c>
      <c r="F2912">
        <v>1.2</v>
      </c>
      <c r="G2912">
        <v>1</v>
      </c>
      <c r="H2912" t="s">
        <v>14</v>
      </c>
      <c r="I2912" t="s">
        <v>40</v>
      </c>
      <c r="J2912" t="s">
        <v>744</v>
      </c>
      <c r="K2912">
        <f>Pqp_supermarket_data[[#This Row],[Unit_Price]]*Pqp_supermarket_data[[#This Row],[Quantity]]</f>
        <v>1.2</v>
      </c>
      <c r="L2912" t="str">
        <f>TEXT(Pqp_supermarket_data[[#This Row],[DateTime]],"ddd")</f>
        <v>Thu</v>
      </c>
      <c r="M2912" t="str">
        <f>TEXT(Pqp_supermarket_data[[#This Row],[DateTime]],"mmm")</f>
        <v>Jun</v>
      </c>
      <c r="N2912" t="str">
        <f>TEXT(Pqp_supermarket_data[[#This Row],[DateTime]],"yyy")</f>
        <v>2023</v>
      </c>
    </row>
    <row r="2913" spans="1:14" x14ac:dyDescent="0.35">
      <c r="A2913" t="s">
        <v>5915</v>
      </c>
      <c r="B2913" s="1">
        <v>45158.073664236108</v>
      </c>
      <c r="C2913" t="s">
        <v>5916</v>
      </c>
      <c r="D2913" t="s">
        <v>25</v>
      </c>
      <c r="E2913" t="s">
        <v>119</v>
      </c>
      <c r="F2913">
        <v>4</v>
      </c>
      <c r="G2913">
        <v>4</v>
      </c>
      <c r="H2913" t="s">
        <v>14</v>
      </c>
      <c r="I2913" t="s">
        <v>40</v>
      </c>
      <c r="J2913" t="s">
        <v>461</v>
      </c>
      <c r="K2913">
        <f>Pqp_supermarket_data[[#This Row],[Unit_Price]]*Pqp_supermarket_data[[#This Row],[Quantity]]</f>
        <v>16</v>
      </c>
      <c r="L2913" t="str">
        <f>TEXT(Pqp_supermarket_data[[#This Row],[DateTime]],"ddd")</f>
        <v>Sun</v>
      </c>
      <c r="M2913" t="str">
        <f>TEXT(Pqp_supermarket_data[[#This Row],[DateTime]],"mmm")</f>
        <v>Aug</v>
      </c>
      <c r="N2913" t="str">
        <f>TEXT(Pqp_supermarket_data[[#This Row],[DateTime]],"yyy")</f>
        <v>2023</v>
      </c>
    </row>
    <row r="2914" spans="1:14" x14ac:dyDescent="0.35">
      <c r="A2914" t="s">
        <v>5917</v>
      </c>
      <c r="B2914" s="1">
        <v>45517.687553136573</v>
      </c>
      <c r="C2914" t="s">
        <v>5918</v>
      </c>
      <c r="D2914" t="s">
        <v>34</v>
      </c>
      <c r="E2914" t="s">
        <v>148</v>
      </c>
      <c r="F2914">
        <v>5.5</v>
      </c>
      <c r="G2914">
        <v>6</v>
      </c>
      <c r="H2914" t="s">
        <v>14</v>
      </c>
      <c r="I2914" t="s">
        <v>61</v>
      </c>
      <c r="J2914" t="s">
        <v>95</v>
      </c>
      <c r="K2914">
        <f>Pqp_supermarket_data[[#This Row],[Unit_Price]]*Pqp_supermarket_data[[#This Row],[Quantity]]</f>
        <v>33</v>
      </c>
      <c r="L2914" t="str">
        <f>TEXT(Pqp_supermarket_data[[#This Row],[DateTime]],"ddd")</f>
        <v>Tue</v>
      </c>
      <c r="M2914" t="str">
        <f>TEXT(Pqp_supermarket_data[[#This Row],[DateTime]],"mmm")</f>
        <v>Aug</v>
      </c>
      <c r="N2914" t="str">
        <f>TEXT(Pqp_supermarket_data[[#This Row],[DateTime]],"yyy")</f>
        <v>2024</v>
      </c>
    </row>
    <row r="2915" spans="1:14" x14ac:dyDescent="0.35">
      <c r="A2915" t="s">
        <v>5919</v>
      </c>
      <c r="B2915" s="1">
        <v>45360.545886481479</v>
      </c>
      <c r="C2915" t="s">
        <v>5920</v>
      </c>
      <c r="D2915" t="s">
        <v>44</v>
      </c>
      <c r="E2915" t="s">
        <v>115</v>
      </c>
      <c r="F2915">
        <v>1.5</v>
      </c>
      <c r="G2915">
        <v>1</v>
      </c>
      <c r="H2915" t="s">
        <v>14</v>
      </c>
      <c r="I2915" t="s">
        <v>21</v>
      </c>
      <c r="J2915" t="s">
        <v>212</v>
      </c>
      <c r="K2915">
        <f>Pqp_supermarket_data[[#This Row],[Unit_Price]]*Pqp_supermarket_data[[#This Row],[Quantity]]</f>
        <v>1.5</v>
      </c>
      <c r="L2915" t="str">
        <f>TEXT(Pqp_supermarket_data[[#This Row],[DateTime]],"ddd")</f>
        <v>Sat</v>
      </c>
      <c r="M2915" t="str">
        <f>TEXT(Pqp_supermarket_data[[#This Row],[DateTime]],"mmm")</f>
        <v>Mar</v>
      </c>
      <c r="N2915" t="str">
        <f>TEXT(Pqp_supermarket_data[[#This Row],[DateTime]],"yyy")</f>
        <v>2024</v>
      </c>
    </row>
    <row r="2916" spans="1:14" x14ac:dyDescent="0.35">
      <c r="A2916" t="s">
        <v>5921</v>
      </c>
      <c r="B2916" s="1">
        <v>44488.707692048614</v>
      </c>
      <c r="C2916" t="s">
        <v>5922</v>
      </c>
      <c r="D2916" t="s">
        <v>85</v>
      </c>
      <c r="E2916" t="s">
        <v>94</v>
      </c>
      <c r="F2916">
        <v>0.8</v>
      </c>
      <c r="G2916">
        <v>2</v>
      </c>
      <c r="H2916" t="s">
        <v>14</v>
      </c>
      <c r="I2916" t="s">
        <v>61</v>
      </c>
      <c r="J2916" t="s">
        <v>108</v>
      </c>
      <c r="K2916">
        <f>Pqp_supermarket_data[[#This Row],[Unit_Price]]*Pqp_supermarket_data[[#This Row],[Quantity]]</f>
        <v>1.6</v>
      </c>
      <c r="L2916" t="str">
        <f>TEXT(Pqp_supermarket_data[[#This Row],[DateTime]],"ddd")</f>
        <v>Tue</v>
      </c>
      <c r="M2916" t="str">
        <f>TEXT(Pqp_supermarket_data[[#This Row],[DateTime]],"mmm")</f>
        <v>Oct</v>
      </c>
      <c r="N2916" t="str">
        <f>TEXT(Pqp_supermarket_data[[#This Row],[DateTime]],"yyy")</f>
        <v>2021</v>
      </c>
    </row>
    <row r="2917" spans="1:14" x14ac:dyDescent="0.35">
      <c r="A2917" t="s">
        <v>5923</v>
      </c>
      <c r="B2917" s="1">
        <v>45203.870192060182</v>
      </c>
      <c r="C2917" t="s">
        <v>5924</v>
      </c>
      <c r="D2917" t="s">
        <v>171</v>
      </c>
      <c r="E2917" t="s">
        <v>49</v>
      </c>
      <c r="F2917">
        <v>7</v>
      </c>
      <c r="G2917">
        <v>7</v>
      </c>
      <c r="H2917" t="s">
        <v>14</v>
      </c>
      <c r="I2917" t="s">
        <v>21</v>
      </c>
      <c r="J2917" t="s">
        <v>215</v>
      </c>
      <c r="K2917">
        <f>Pqp_supermarket_data[[#This Row],[Unit_Price]]*Pqp_supermarket_data[[#This Row],[Quantity]]</f>
        <v>49</v>
      </c>
      <c r="L2917" t="str">
        <f>TEXT(Pqp_supermarket_data[[#This Row],[DateTime]],"ddd")</f>
        <v>Wed</v>
      </c>
      <c r="M2917" t="str">
        <f>TEXT(Pqp_supermarket_data[[#This Row],[DateTime]],"mmm")</f>
        <v>Oct</v>
      </c>
      <c r="N2917" t="str">
        <f>TEXT(Pqp_supermarket_data[[#This Row],[DateTime]],"yyy")</f>
        <v>2023</v>
      </c>
    </row>
    <row r="2918" spans="1:14" x14ac:dyDescent="0.35">
      <c r="A2918" t="s">
        <v>5925</v>
      </c>
      <c r="B2918" s="1">
        <v>44782.37158097222</v>
      </c>
      <c r="C2918" t="s">
        <v>5926</v>
      </c>
      <c r="D2918" t="s">
        <v>34</v>
      </c>
      <c r="E2918" t="s">
        <v>26</v>
      </c>
      <c r="F2918">
        <v>2.5</v>
      </c>
      <c r="G2918">
        <v>7</v>
      </c>
      <c r="H2918" t="s">
        <v>14</v>
      </c>
      <c r="I2918" t="s">
        <v>86</v>
      </c>
      <c r="J2918" t="s">
        <v>71</v>
      </c>
      <c r="K2918">
        <f>Pqp_supermarket_data[[#This Row],[Unit_Price]]*Pqp_supermarket_data[[#This Row],[Quantity]]</f>
        <v>17.5</v>
      </c>
      <c r="L2918" t="str">
        <f>TEXT(Pqp_supermarket_data[[#This Row],[DateTime]],"ddd")</f>
        <v>Tue</v>
      </c>
      <c r="M2918" t="str">
        <f>TEXT(Pqp_supermarket_data[[#This Row],[DateTime]],"mmm")</f>
        <v>Aug</v>
      </c>
      <c r="N2918" t="str">
        <f>TEXT(Pqp_supermarket_data[[#This Row],[DateTime]],"yyy")</f>
        <v>2022</v>
      </c>
    </row>
    <row r="2919" spans="1:14" x14ac:dyDescent="0.35">
      <c r="A2919" t="s">
        <v>5927</v>
      </c>
      <c r="B2919" s="1">
        <v>44882.588942106478</v>
      </c>
      <c r="C2919" t="s">
        <v>5928</v>
      </c>
      <c r="D2919" t="s">
        <v>30</v>
      </c>
      <c r="E2919" t="s">
        <v>145</v>
      </c>
      <c r="F2919">
        <v>1.7</v>
      </c>
      <c r="G2919">
        <v>3</v>
      </c>
      <c r="H2919" t="s">
        <v>14</v>
      </c>
      <c r="I2919" t="s">
        <v>36</v>
      </c>
      <c r="J2919" t="s">
        <v>288</v>
      </c>
      <c r="K2919">
        <f>Pqp_supermarket_data[[#This Row],[Unit_Price]]*Pqp_supermarket_data[[#This Row],[Quantity]]</f>
        <v>5.0999999999999996</v>
      </c>
      <c r="L2919" t="str">
        <f>TEXT(Pqp_supermarket_data[[#This Row],[DateTime]],"ddd")</f>
        <v>Thu</v>
      </c>
      <c r="M2919" t="str">
        <f>TEXT(Pqp_supermarket_data[[#This Row],[DateTime]],"mmm")</f>
        <v>Nov</v>
      </c>
      <c r="N2919" t="str">
        <f>TEXT(Pqp_supermarket_data[[#This Row],[DateTime]],"yyy")</f>
        <v>2022</v>
      </c>
    </row>
    <row r="2920" spans="1:14" x14ac:dyDescent="0.35">
      <c r="A2920" t="s">
        <v>5929</v>
      </c>
      <c r="B2920" s="1">
        <v>45521.063942106484</v>
      </c>
      <c r="C2920" t="s">
        <v>5930</v>
      </c>
      <c r="D2920" t="s">
        <v>85</v>
      </c>
      <c r="E2920" t="s">
        <v>94</v>
      </c>
      <c r="F2920">
        <v>0.8</v>
      </c>
      <c r="G2920">
        <v>6</v>
      </c>
      <c r="H2920" t="s">
        <v>14</v>
      </c>
      <c r="I2920" t="s">
        <v>61</v>
      </c>
      <c r="J2920" t="s">
        <v>212</v>
      </c>
      <c r="K2920">
        <f>Pqp_supermarket_data[[#This Row],[Unit_Price]]*Pqp_supermarket_data[[#This Row],[Quantity]]</f>
        <v>4.8000000000000007</v>
      </c>
      <c r="L2920" t="str">
        <f>TEXT(Pqp_supermarket_data[[#This Row],[DateTime]],"ddd")</f>
        <v>Sat</v>
      </c>
      <c r="M2920" t="str">
        <f>TEXT(Pqp_supermarket_data[[#This Row],[DateTime]],"mmm")</f>
        <v>Aug</v>
      </c>
      <c r="N2920" t="str">
        <f>TEXT(Pqp_supermarket_data[[#This Row],[DateTime]],"yyy")</f>
        <v>2024</v>
      </c>
    </row>
    <row r="2921" spans="1:14" x14ac:dyDescent="0.35">
      <c r="A2921" t="s">
        <v>5931</v>
      </c>
      <c r="B2921" s="1">
        <v>45643.884080995369</v>
      </c>
      <c r="C2921" t="s">
        <v>5932</v>
      </c>
      <c r="D2921" t="s">
        <v>226</v>
      </c>
      <c r="E2921" t="s">
        <v>94</v>
      </c>
      <c r="F2921">
        <v>0.8</v>
      </c>
      <c r="G2921">
        <v>9</v>
      </c>
      <c r="H2921" t="s">
        <v>14</v>
      </c>
      <c r="I2921" t="s">
        <v>40</v>
      </c>
      <c r="J2921" t="s">
        <v>202</v>
      </c>
      <c r="K2921">
        <f>Pqp_supermarket_data[[#This Row],[Unit_Price]]*Pqp_supermarket_data[[#This Row],[Quantity]]</f>
        <v>7.2</v>
      </c>
      <c r="L2921" t="str">
        <f>TEXT(Pqp_supermarket_data[[#This Row],[DateTime]],"ddd")</f>
        <v>Tue</v>
      </c>
      <c r="M2921" t="str">
        <f>TEXT(Pqp_supermarket_data[[#This Row],[DateTime]],"mmm")</f>
        <v>Dec</v>
      </c>
      <c r="N2921" t="str">
        <f>TEXT(Pqp_supermarket_data[[#This Row],[DateTime]],"yyy")</f>
        <v>2024</v>
      </c>
    </row>
    <row r="2922" spans="1:14" x14ac:dyDescent="0.35">
      <c r="A2922" t="s">
        <v>5933</v>
      </c>
      <c r="B2922" s="1">
        <v>45513.27296988426</v>
      </c>
      <c r="C2922" t="s">
        <v>5934</v>
      </c>
      <c r="D2922" t="s">
        <v>77</v>
      </c>
      <c r="E2922" t="s">
        <v>111</v>
      </c>
      <c r="F2922">
        <v>2.2000000000000002</v>
      </c>
      <c r="G2922">
        <v>4</v>
      </c>
      <c r="H2922" t="s">
        <v>14</v>
      </c>
      <c r="I2922" t="s">
        <v>21</v>
      </c>
      <c r="J2922" t="s">
        <v>209</v>
      </c>
      <c r="K2922">
        <f>Pqp_supermarket_data[[#This Row],[Unit_Price]]*Pqp_supermarket_data[[#This Row],[Quantity]]</f>
        <v>8.8000000000000007</v>
      </c>
      <c r="L2922" t="str">
        <f>TEXT(Pqp_supermarket_data[[#This Row],[DateTime]],"ddd")</f>
        <v>Fri</v>
      </c>
      <c r="M2922" t="str">
        <f>TEXT(Pqp_supermarket_data[[#This Row],[DateTime]],"mmm")</f>
        <v>Aug</v>
      </c>
      <c r="N2922" t="str">
        <f>TEXT(Pqp_supermarket_data[[#This Row],[DateTime]],"yyy")</f>
        <v>2024</v>
      </c>
    </row>
    <row r="2923" spans="1:14" x14ac:dyDescent="0.35">
      <c r="A2923" t="s">
        <v>5935</v>
      </c>
      <c r="B2923" s="1">
        <v>44465.531997673614</v>
      </c>
      <c r="C2923" t="s">
        <v>5936</v>
      </c>
      <c r="D2923" t="s">
        <v>127</v>
      </c>
      <c r="E2923" t="s">
        <v>45</v>
      </c>
      <c r="F2923">
        <v>1</v>
      </c>
      <c r="G2923">
        <v>2</v>
      </c>
      <c r="H2923" t="s">
        <v>14</v>
      </c>
      <c r="I2923" t="s">
        <v>40</v>
      </c>
      <c r="J2923" t="s">
        <v>41</v>
      </c>
      <c r="K2923">
        <f>Pqp_supermarket_data[[#This Row],[Unit_Price]]*Pqp_supermarket_data[[#This Row],[Quantity]]</f>
        <v>2</v>
      </c>
      <c r="L2923" t="str">
        <f>TEXT(Pqp_supermarket_data[[#This Row],[DateTime]],"ddd")</f>
        <v>Sun</v>
      </c>
      <c r="M2923" t="str">
        <f>TEXT(Pqp_supermarket_data[[#This Row],[DateTime]],"mmm")</f>
        <v>Sep</v>
      </c>
      <c r="N2923" t="str">
        <f>TEXT(Pqp_supermarket_data[[#This Row],[DateTime]],"yyy")</f>
        <v>2021</v>
      </c>
    </row>
    <row r="2924" spans="1:14" x14ac:dyDescent="0.35">
      <c r="A2924" t="s">
        <v>5937</v>
      </c>
      <c r="B2924" s="1">
        <v>45770.45352545139</v>
      </c>
      <c r="C2924" t="s">
        <v>5938</v>
      </c>
      <c r="D2924" t="s">
        <v>25</v>
      </c>
      <c r="E2924" t="s">
        <v>145</v>
      </c>
      <c r="F2924">
        <v>1.7</v>
      </c>
      <c r="G2924">
        <v>5</v>
      </c>
      <c r="H2924" t="s">
        <v>14</v>
      </c>
      <c r="I2924" t="s">
        <v>86</v>
      </c>
      <c r="J2924" t="s">
        <v>769</v>
      </c>
      <c r="K2924">
        <f>Pqp_supermarket_data[[#This Row],[Unit_Price]]*Pqp_supermarket_data[[#This Row],[Quantity]]</f>
        <v>8.5</v>
      </c>
      <c r="L2924" t="str">
        <f>TEXT(Pqp_supermarket_data[[#This Row],[DateTime]],"ddd")</f>
        <v>Wed</v>
      </c>
      <c r="M2924" t="str">
        <f>TEXT(Pqp_supermarket_data[[#This Row],[DateTime]],"mmm")</f>
        <v>Apr</v>
      </c>
      <c r="N2924" t="str">
        <f>TEXT(Pqp_supermarket_data[[#This Row],[DateTime]],"yyy")</f>
        <v>2025</v>
      </c>
    </row>
    <row r="2925" spans="1:14" x14ac:dyDescent="0.35">
      <c r="A2925" t="s">
        <v>5939</v>
      </c>
      <c r="B2925" s="1">
        <v>45368.618803229168</v>
      </c>
      <c r="C2925" t="s">
        <v>5940</v>
      </c>
      <c r="D2925" t="s">
        <v>98</v>
      </c>
      <c r="E2925" t="s">
        <v>53</v>
      </c>
      <c r="F2925">
        <v>2.8</v>
      </c>
      <c r="G2925">
        <v>1</v>
      </c>
      <c r="H2925" t="s">
        <v>14</v>
      </c>
      <c r="I2925" t="s">
        <v>21</v>
      </c>
      <c r="J2925" t="s">
        <v>66</v>
      </c>
      <c r="K2925">
        <f>Pqp_supermarket_data[[#This Row],[Unit_Price]]*Pqp_supermarket_data[[#This Row],[Quantity]]</f>
        <v>2.8</v>
      </c>
      <c r="L2925" t="str">
        <f>TEXT(Pqp_supermarket_data[[#This Row],[DateTime]],"ddd")</f>
        <v>Sun</v>
      </c>
      <c r="M2925" t="str">
        <f>TEXT(Pqp_supermarket_data[[#This Row],[DateTime]],"mmm")</f>
        <v>Mar</v>
      </c>
      <c r="N2925" t="str">
        <f>TEXT(Pqp_supermarket_data[[#This Row],[DateTime]],"yyy")</f>
        <v>2024</v>
      </c>
    </row>
    <row r="2926" spans="1:14" x14ac:dyDescent="0.35">
      <c r="A2926" t="s">
        <v>5941</v>
      </c>
      <c r="B2926" s="1">
        <v>44821.036858796295</v>
      </c>
      <c r="C2926" t="s">
        <v>5942</v>
      </c>
      <c r="D2926" t="s">
        <v>12</v>
      </c>
      <c r="E2926" t="s">
        <v>65</v>
      </c>
      <c r="F2926">
        <v>3</v>
      </c>
      <c r="G2926">
        <v>8</v>
      </c>
      <c r="H2926" t="s">
        <v>14</v>
      </c>
      <c r="I2926" t="s">
        <v>15</v>
      </c>
      <c r="J2926" t="s">
        <v>458</v>
      </c>
      <c r="K2926">
        <f>Pqp_supermarket_data[[#This Row],[Unit_Price]]*Pqp_supermarket_data[[#This Row],[Quantity]]</f>
        <v>24</v>
      </c>
      <c r="L2926" t="str">
        <f>TEXT(Pqp_supermarket_data[[#This Row],[DateTime]],"ddd")</f>
        <v>Sat</v>
      </c>
      <c r="M2926" t="str">
        <f>TEXT(Pqp_supermarket_data[[#This Row],[DateTime]],"mmm")</f>
        <v>Sep</v>
      </c>
      <c r="N2926" t="str">
        <f>TEXT(Pqp_supermarket_data[[#This Row],[DateTime]],"yyy")</f>
        <v>2022</v>
      </c>
    </row>
    <row r="2927" spans="1:14" x14ac:dyDescent="0.35">
      <c r="A2927" t="s">
        <v>5943</v>
      </c>
      <c r="B2927" s="1">
        <v>45069.914636574074</v>
      </c>
      <c r="C2927" t="s">
        <v>5944</v>
      </c>
      <c r="D2927" t="s">
        <v>44</v>
      </c>
      <c r="E2927" t="s">
        <v>13</v>
      </c>
      <c r="F2927">
        <v>3.1</v>
      </c>
      <c r="G2927">
        <v>6</v>
      </c>
      <c r="H2927" t="s">
        <v>14</v>
      </c>
      <c r="I2927" t="s">
        <v>21</v>
      </c>
      <c r="J2927" t="s">
        <v>134</v>
      </c>
      <c r="K2927">
        <f>Pqp_supermarket_data[[#This Row],[Unit_Price]]*Pqp_supermarket_data[[#This Row],[Quantity]]</f>
        <v>18.600000000000001</v>
      </c>
      <c r="L2927" t="str">
        <f>TEXT(Pqp_supermarket_data[[#This Row],[DateTime]],"ddd")</f>
        <v>Tue</v>
      </c>
      <c r="M2927" t="str">
        <f>TEXT(Pqp_supermarket_data[[#This Row],[DateTime]],"mmm")</f>
        <v>May</v>
      </c>
      <c r="N2927" t="str">
        <f>TEXT(Pqp_supermarket_data[[#This Row],[DateTime]],"yyy")</f>
        <v>2023</v>
      </c>
    </row>
    <row r="2928" spans="1:14" x14ac:dyDescent="0.35">
      <c r="A2928" t="s">
        <v>5945</v>
      </c>
      <c r="B2928" s="1">
        <v>45241.92921991898</v>
      </c>
      <c r="C2928" t="s">
        <v>5946</v>
      </c>
      <c r="D2928" t="s">
        <v>82</v>
      </c>
      <c r="E2928" t="s">
        <v>111</v>
      </c>
      <c r="F2928">
        <v>2.2000000000000002</v>
      </c>
      <c r="G2928">
        <v>10</v>
      </c>
      <c r="H2928" t="s">
        <v>14</v>
      </c>
      <c r="I2928" t="s">
        <v>40</v>
      </c>
      <c r="J2928" t="s">
        <v>394</v>
      </c>
      <c r="K2928">
        <f>Pqp_supermarket_data[[#This Row],[Unit_Price]]*Pqp_supermarket_data[[#This Row],[Quantity]]</f>
        <v>22</v>
      </c>
      <c r="L2928" t="str">
        <f>TEXT(Pqp_supermarket_data[[#This Row],[DateTime]],"ddd")</f>
        <v>Sat</v>
      </c>
      <c r="M2928" t="str">
        <f>TEXT(Pqp_supermarket_data[[#This Row],[DateTime]],"mmm")</f>
        <v>Nov</v>
      </c>
      <c r="N2928" t="str">
        <f>TEXT(Pqp_supermarket_data[[#This Row],[DateTime]],"yyy")</f>
        <v>2023</v>
      </c>
    </row>
    <row r="2929" spans="1:14" x14ac:dyDescent="0.35">
      <c r="A2929" t="s">
        <v>5947</v>
      </c>
      <c r="B2929" s="1">
        <v>45494.764636585649</v>
      </c>
      <c r="C2929" t="s">
        <v>5948</v>
      </c>
      <c r="D2929" t="s">
        <v>85</v>
      </c>
      <c r="E2929" t="s">
        <v>70</v>
      </c>
      <c r="F2929">
        <v>5</v>
      </c>
      <c r="G2929">
        <v>7</v>
      </c>
      <c r="H2929" t="s">
        <v>14</v>
      </c>
      <c r="I2929" t="s">
        <v>36</v>
      </c>
      <c r="J2929" t="s">
        <v>153</v>
      </c>
      <c r="K2929">
        <f>Pqp_supermarket_data[[#This Row],[Unit_Price]]*Pqp_supermarket_data[[#This Row],[Quantity]]</f>
        <v>35</v>
      </c>
      <c r="L2929" t="str">
        <f>TEXT(Pqp_supermarket_data[[#This Row],[DateTime]],"ddd")</f>
        <v>Sun</v>
      </c>
      <c r="M2929" t="str">
        <f>TEXT(Pqp_supermarket_data[[#This Row],[DateTime]],"mmm")</f>
        <v>Jul</v>
      </c>
      <c r="N2929" t="str">
        <f>TEXT(Pqp_supermarket_data[[#This Row],[DateTime]],"yyy")</f>
        <v>2024</v>
      </c>
    </row>
    <row r="2930" spans="1:14" x14ac:dyDescent="0.35">
      <c r="A2930" t="s">
        <v>5949</v>
      </c>
      <c r="B2930" s="1">
        <v>45292.597275486114</v>
      </c>
      <c r="C2930" t="s">
        <v>5950</v>
      </c>
      <c r="D2930" t="s">
        <v>82</v>
      </c>
      <c r="E2930" t="s">
        <v>137</v>
      </c>
      <c r="F2930">
        <v>2.5</v>
      </c>
      <c r="G2930">
        <v>9</v>
      </c>
      <c r="H2930" t="s">
        <v>14</v>
      </c>
      <c r="I2930" t="s">
        <v>15</v>
      </c>
      <c r="J2930" t="s">
        <v>541</v>
      </c>
      <c r="K2930">
        <f>Pqp_supermarket_data[[#This Row],[Unit_Price]]*Pqp_supermarket_data[[#This Row],[Quantity]]</f>
        <v>22.5</v>
      </c>
      <c r="L2930" t="str">
        <f>TEXT(Pqp_supermarket_data[[#This Row],[DateTime]],"ddd")</f>
        <v>Mon</v>
      </c>
      <c r="M2930" t="str">
        <f>TEXT(Pqp_supermarket_data[[#This Row],[DateTime]],"mmm")</f>
        <v>Jan</v>
      </c>
      <c r="N2930" t="str">
        <f>TEXT(Pqp_supermarket_data[[#This Row],[DateTime]],"yyy")</f>
        <v>2024</v>
      </c>
    </row>
    <row r="2931" spans="1:14" x14ac:dyDescent="0.35">
      <c r="A2931" t="s">
        <v>5951</v>
      </c>
      <c r="B2931" s="1">
        <v>44886.406303263888</v>
      </c>
      <c r="C2931" t="s">
        <v>5952</v>
      </c>
      <c r="D2931" t="s">
        <v>98</v>
      </c>
      <c r="E2931" t="s">
        <v>94</v>
      </c>
      <c r="F2931">
        <v>0.8</v>
      </c>
      <c r="G2931">
        <v>2</v>
      </c>
      <c r="H2931" t="s">
        <v>14</v>
      </c>
      <c r="I2931" t="s">
        <v>86</v>
      </c>
      <c r="J2931" t="s">
        <v>382</v>
      </c>
      <c r="K2931">
        <f>Pqp_supermarket_data[[#This Row],[Unit_Price]]*Pqp_supermarket_data[[#This Row],[Quantity]]</f>
        <v>1.6</v>
      </c>
      <c r="L2931" t="str">
        <f>TEXT(Pqp_supermarket_data[[#This Row],[DateTime]],"ddd")</f>
        <v>Mon</v>
      </c>
      <c r="M2931" t="str">
        <f>TEXT(Pqp_supermarket_data[[#This Row],[DateTime]],"mmm")</f>
        <v>Nov</v>
      </c>
      <c r="N2931" t="str">
        <f>TEXT(Pqp_supermarket_data[[#This Row],[DateTime]],"yyy")</f>
        <v>2022</v>
      </c>
    </row>
    <row r="2932" spans="1:14" x14ac:dyDescent="0.35">
      <c r="A2932" t="s">
        <v>5953</v>
      </c>
      <c r="B2932" s="1">
        <v>45346.290331041666</v>
      </c>
      <c r="C2932" t="s">
        <v>5954</v>
      </c>
      <c r="D2932" t="s">
        <v>226</v>
      </c>
      <c r="E2932" t="s">
        <v>78</v>
      </c>
      <c r="F2932">
        <v>4</v>
      </c>
      <c r="G2932">
        <v>10</v>
      </c>
      <c r="H2932" t="s">
        <v>14</v>
      </c>
      <c r="I2932" t="s">
        <v>36</v>
      </c>
      <c r="J2932" t="s">
        <v>87</v>
      </c>
      <c r="K2932">
        <f>Pqp_supermarket_data[[#This Row],[Unit_Price]]*Pqp_supermarket_data[[#This Row],[Quantity]]</f>
        <v>40</v>
      </c>
      <c r="L2932" t="str">
        <f>TEXT(Pqp_supermarket_data[[#This Row],[DateTime]],"ddd")</f>
        <v>Sat</v>
      </c>
      <c r="M2932" t="str">
        <f>TEXT(Pqp_supermarket_data[[#This Row],[DateTime]],"mmm")</f>
        <v>Feb</v>
      </c>
      <c r="N2932" t="str">
        <f>TEXT(Pqp_supermarket_data[[#This Row],[DateTime]],"yyy")</f>
        <v>2024</v>
      </c>
    </row>
    <row r="2933" spans="1:14" x14ac:dyDescent="0.35">
      <c r="A2933" t="s">
        <v>5955</v>
      </c>
      <c r="B2933" s="1">
        <v>45405.545886608794</v>
      </c>
      <c r="C2933" t="s">
        <v>5956</v>
      </c>
      <c r="D2933" t="s">
        <v>69</v>
      </c>
      <c r="E2933" t="s">
        <v>94</v>
      </c>
      <c r="F2933">
        <v>0.8</v>
      </c>
      <c r="G2933">
        <v>3</v>
      </c>
      <c r="H2933" t="s">
        <v>14</v>
      </c>
      <c r="I2933" t="s">
        <v>21</v>
      </c>
      <c r="J2933" t="s">
        <v>323</v>
      </c>
      <c r="K2933">
        <f>Pqp_supermarket_data[[#This Row],[Unit_Price]]*Pqp_supermarket_data[[#This Row],[Quantity]]</f>
        <v>2.4000000000000004</v>
      </c>
      <c r="L2933" t="str">
        <f>TEXT(Pqp_supermarket_data[[#This Row],[DateTime]],"ddd")</f>
        <v>Tue</v>
      </c>
      <c r="M2933" t="str">
        <f>TEXT(Pqp_supermarket_data[[#This Row],[DateTime]],"mmm")</f>
        <v>Apr</v>
      </c>
      <c r="N2933" t="str">
        <f>TEXT(Pqp_supermarket_data[[#This Row],[DateTime]],"yyy")</f>
        <v>2024</v>
      </c>
    </row>
    <row r="2934" spans="1:14" x14ac:dyDescent="0.35">
      <c r="A2934" t="s">
        <v>5957</v>
      </c>
      <c r="B2934" s="1">
        <v>44527.277136620367</v>
      </c>
      <c r="C2934" t="s">
        <v>5958</v>
      </c>
      <c r="D2934" t="s">
        <v>82</v>
      </c>
      <c r="E2934" t="s">
        <v>94</v>
      </c>
      <c r="F2934">
        <v>0.8</v>
      </c>
      <c r="G2934">
        <v>2</v>
      </c>
      <c r="H2934" t="s">
        <v>14</v>
      </c>
      <c r="I2934" t="s">
        <v>36</v>
      </c>
      <c r="J2934" t="s">
        <v>22</v>
      </c>
      <c r="K2934">
        <f>Pqp_supermarket_data[[#This Row],[Unit_Price]]*Pqp_supermarket_data[[#This Row],[Quantity]]</f>
        <v>1.6</v>
      </c>
      <c r="L2934" t="str">
        <f>TEXT(Pqp_supermarket_data[[#This Row],[DateTime]],"ddd")</f>
        <v>Sat</v>
      </c>
      <c r="M2934" t="str">
        <f>TEXT(Pqp_supermarket_data[[#This Row],[DateTime]],"mmm")</f>
        <v>Nov</v>
      </c>
      <c r="N2934" t="str">
        <f>TEXT(Pqp_supermarket_data[[#This Row],[DateTime]],"yyy")</f>
        <v>2021</v>
      </c>
    </row>
    <row r="2935" spans="1:14" x14ac:dyDescent="0.35">
      <c r="A2935" t="s">
        <v>5959</v>
      </c>
      <c r="B2935" s="1">
        <v>45116.647275520831</v>
      </c>
      <c r="C2935" t="s">
        <v>5960</v>
      </c>
      <c r="D2935" t="s">
        <v>171</v>
      </c>
      <c r="E2935" t="s">
        <v>65</v>
      </c>
      <c r="F2935">
        <v>3</v>
      </c>
      <c r="G2935">
        <v>5</v>
      </c>
      <c r="H2935" t="s">
        <v>14</v>
      </c>
      <c r="I2935" t="s">
        <v>15</v>
      </c>
      <c r="J2935" t="s">
        <v>153</v>
      </c>
      <c r="K2935">
        <f>Pqp_supermarket_data[[#This Row],[Unit_Price]]*Pqp_supermarket_data[[#This Row],[Quantity]]</f>
        <v>15</v>
      </c>
      <c r="L2935" t="str">
        <f>TEXT(Pqp_supermarket_data[[#This Row],[DateTime]],"ddd")</f>
        <v>Sun</v>
      </c>
      <c r="M2935" t="str">
        <f>TEXT(Pqp_supermarket_data[[#This Row],[DateTime]],"mmm")</f>
        <v>Jul</v>
      </c>
      <c r="N2935" t="str">
        <f>TEXT(Pqp_supermarket_data[[#This Row],[DateTime]],"yyy")</f>
        <v>2023</v>
      </c>
    </row>
    <row r="2936" spans="1:14" x14ac:dyDescent="0.35">
      <c r="A2936" t="s">
        <v>5961</v>
      </c>
      <c r="B2936" s="1">
        <v>44659.382692187501</v>
      </c>
      <c r="C2936" t="s">
        <v>5962</v>
      </c>
      <c r="D2936" t="s">
        <v>19</v>
      </c>
      <c r="E2936" t="s">
        <v>94</v>
      </c>
      <c r="F2936">
        <v>0.8</v>
      </c>
      <c r="G2936">
        <v>6</v>
      </c>
      <c r="H2936" t="s">
        <v>14</v>
      </c>
      <c r="I2936" t="s">
        <v>36</v>
      </c>
      <c r="J2936" t="s">
        <v>116</v>
      </c>
      <c r="K2936">
        <f>Pqp_supermarket_data[[#This Row],[Unit_Price]]*Pqp_supermarket_data[[#This Row],[Quantity]]</f>
        <v>4.8000000000000007</v>
      </c>
      <c r="L2936" t="str">
        <f>TEXT(Pqp_supermarket_data[[#This Row],[DateTime]],"ddd")</f>
        <v>Fri</v>
      </c>
      <c r="M2936" t="str">
        <f>TEXT(Pqp_supermarket_data[[#This Row],[DateTime]],"mmm")</f>
        <v>Apr</v>
      </c>
      <c r="N2936" t="str">
        <f>TEXT(Pqp_supermarket_data[[#This Row],[DateTime]],"yyy")</f>
        <v>2022</v>
      </c>
    </row>
    <row r="2937" spans="1:14" x14ac:dyDescent="0.35">
      <c r="A2937" t="s">
        <v>5963</v>
      </c>
      <c r="B2937" s="1">
        <v>44348.233386631946</v>
      </c>
      <c r="C2937" t="s">
        <v>5964</v>
      </c>
      <c r="D2937" t="s">
        <v>171</v>
      </c>
      <c r="E2937" t="s">
        <v>20</v>
      </c>
      <c r="F2937">
        <v>1</v>
      </c>
      <c r="G2937">
        <v>4</v>
      </c>
      <c r="H2937" t="s">
        <v>14</v>
      </c>
      <c r="I2937" t="s">
        <v>61</v>
      </c>
      <c r="J2937" t="s">
        <v>270</v>
      </c>
      <c r="K2937">
        <f>Pqp_supermarket_data[[#This Row],[Unit_Price]]*Pqp_supermarket_data[[#This Row],[Quantity]]</f>
        <v>4</v>
      </c>
      <c r="L2937" t="str">
        <f>TEXT(Pqp_supermarket_data[[#This Row],[DateTime]],"ddd")</f>
        <v>Tue</v>
      </c>
      <c r="M2937" t="str">
        <f>TEXT(Pqp_supermarket_data[[#This Row],[DateTime]],"mmm")</f>
        <v>Jun</v>
      </c>
      <c r="N2937" t="str">
        <f>TEXT(Pqp_supermarket_data[[#This Row],[DateTime]],"yyy")</f>
        <v>2021</v>
      </c>
    </row>
    <row r="2938" spans="1:14" x14ac:dyDescent="0.35">
      <c r="A2938" t="s">
        <v>5965</v>
      </c>
      <c r="B2938" s="1">
        <v>45156.20838664352</v>
      </c>
      <c r="C2938" t="s">
        <v>5966</v>
      </c>
      <c r="D2938" t="s">
        <v>77</v>
      </c>
      <c r="E2938" t="s">
        <v>115</v>
      </c>
      <c r="F2938">
        <v>1.5</v>
      </c>
      <c r="G2938">
        <v>8</v>
      </c>
      <c r="H2938" t="s">
        <v>14</v>
      </c>
      <c r="I2938" t="s">
        <v>36</v>
      </c>
      <c r="J2938" t="s">
        <v>314</v>
      </c>
      <c r="K2938">
        <f>Pqp_supermarket_data[[#This Row],[Unit_Price]]*Pqp_supermarket_data[[#This Row],[Quantity]]</f>
        <v>12</v>
      </c>
      <c r="L2938" t="str">
        <f>TEXT(Pqp_supermarket_data[[#This Row],[DateTime]],"ddd")</f>
        <v>Fri</v>
      </c>
      <c r="M2938" t="str">
        <f>TEXT(Pqp_supermarket_data[[#This Row],[DateTime]],"mmm")</f>
        <v>Aug</v>
      </c>
      <c r="N2938" t="str">
        <f>TEXT(Pqp_supermarket_data[[#This Row],[DateTime]],"yyy")</f>
        <v>2023</v>
      </c>
    </row>
    <row r="2939" spans="1:14" x14ac:dyDescent="0.35">
      <c r="A2939" t="s">
        <v>5967</v>
      </c>
      <c r="B2939" s="1">
        <v>44777.261164421296</v>
      </c>
      <c r="C2939" t="s">
        <v>5968</v>
      </c>
      <c r="D2939" t="s">
        <v>226</v>
      </c>
      <c r="E2939" t="s">
        <v>49</v>
      </c>
      <c r="F2939">
        <v>7</v>
      </c>
      <c r="G2939">
        <v>5</v>
      </c>
      <c r="H2939" t="s">
        <v>14</v>
      </c>
      <c r="I2939" t="s">
        <v>15</v>
      </c>
      <c r="J2939" t="s">
        <v>397</v>
      </c>
      <c r="K2939">
        <f>Pqp_supermarket_data[[#This Row],[Unit_Price]]*Pqp_supermarket_data[[#This Row],[Quantity]]</f>
        <v>35</v>
      </c>
      <c r="L2939" t="str">
        <f>TEXT(Pqp_supermarket_data[[#This Row],[DateTime]],"ddd")</f>
        <v>Thu</v>
      </c>
      <c r="M2939" t="str">
        <f>TEXT(Pqp_supermarket_data[[#This Row],[DateTime]],"mmm")</f>
        <v>Aug</v>
      </c>
      <c r="N2939" t="str">
        <f>TEXT(Pqp_supermarket_data[[#This Row],[DateTime]],"yyy")</f>
        <v>2022</v>
      </c>
    </row>
    <row r="2940" spans="1:14" x14ac:dyDescent="0.35">
      <c r="A2940" t="s">
        <v>5969</v>
      </c>
      <c r="B2940" s="1">
        <v>44617.131997766206</v>
      </c>
      <c r="C2940" t="s">
        <v>5970</v>
      </c>
      <c r="D2940" t="s">
        <v>34</v>
      </c>
      <c r="E2940" t="s">
        <v>13</v>
      </c>
      <c r="F2940">
        <v>3.1</v>
      </c>
      <c r="G2940">
        <v>10</v>
      </c>
      <c r="H2940" t="s">
        <v>14</v>
      </c>
      <c r="I2940" t="s">
        <v>86</v>
      </c>
      <c r="J2940" t="s">
        <v>262</v>
      </c>
      <c r="K2940">
        <f>Pqp_supermarket_data[[#This Row],[Unit_Price]]*Pqp_supermarket_data[[#This Row],[Quantity]]</f>
        <v>31</v>
      </c>
      <c r="L2940" t="str">
        <f>TEXT(Pqp_supermarket_data[[#This Row],[DateTime]],"ddd")</f>
        <v>Fri</v>
      </c>
      <c r="M2940" t="str">
        <f>TEXT(Pqp_supermarket_data[[#This Row],[DateTime]],"mmm")</f>
        <v>Feb</v>
      </c>
      <c r="N2940" t="str">
        <f>TEXT(Pqp_supermarket_data[[#This Row],[DateTime]],"yyy")</f>
        <v>2022</v>
      </c>
    </row>
    <row r="2941" spans="1:14" x14ac:dyDescent="0.35">
      <c r="A2941" t="s">
        <v>5971</v>
      </c>
      <c r="B2941" s="1">
        <v>45548.31185888889</v>
      </c>
      <c r="C2941" t="s">
        <v>5436</v>
      </c>
      <c r="D2941" t="s">
        <v>98</v>
      </c>
      <c r="E2941" t="s">
        <v>45</v>
      </c>
      <c r="F2941">
        <v>1</v>
      </c>
      <c r="G2941">
        <v>10</v>
      </c>
      <c r="H2941" t="s">
        <v>14</v>
      </c>
      <c r="I2941" t="s">
        <v>86</v>
      </c>
      <c r="J2941" t="s">
        <v>288</v>
      </c>
      <c r="K2941">
        <f>Pqp_supermarket_data[[#This Row],[Unit_Price]]*Pqp_supermarket_data[[#This Row],[Quantity]]</f>
        <v>10</v>
      </c>
      <c r="L2941" t="str">
        <f>TEXT(Pqp_supermarket_data[[#This Row],[DateTime]],"ddd")</f>
        <v>Fri</v>
      </c>
      <c r="M2941" t="str">
        <f>TEXT(Pqp_supermarket_data[[#This Row],[DateTime]],"mmm")</f>
        <v>Sep</v>
      </c>
      <c r="N2941" t="str">
        <f>TEXT(Pqp_supermarket_data[[#This Row],[DateTime]],"yyy")</f>
        <v>2024</v>
      </c>
    </row>
    <row r="2942" spans="1:14" x14ac:dyDescent="0.35">
      <c r="A2942" t="s">
        <v>5972</v>
      </c>
      <c r="B2942" s="1">
        <v>45403.802136678241</v>
      </c>
      <c r="C2942" t="s">
        <v>5973</v>
      </c>
      <c r="D2942" t="s">
        <v>98</v>
      </c>
      <c r="E2942" t="s">
        <v>65</v>
      </c>
      <c r="F2942">
        <v>3</v>
      </c>
      <c r="G2942">
        <v>3</v>
      </c>
      <c r="H2942" t="s">
        <v>14</v>
      </c>
      <c r="I2942" t="s">
        <v>40</v>
      </c>
      <c r="J2942" t="s">
        <v>517</v>
      </c>
      <c r="K2942">
        <f>Pqp_supermarket_data[[#This Row],[Unit_Price]]*Pqp_supermarket_data[[#This Row],[Quantity]]</f>
        <v>9</v>
      </c>
      <c r="L2942" t="str">
        <f>TEXT(Pqp_supermarket_data[[#This Row],[DateTime]],"ddd")</f>
        <v>Sun</v>
      </c>
      <c r="M2942" t="str">
        <f>TEXT(Pqp_supermarket_data[[#This Row],[DateTime]],"mmm")</f>
        <v>Apr</v>
      </c>
      <c r="N2942" t="str">
        <f>TEXT(Pqp_supermarket_data[[#This Row],[DateTime]],"yyy")</f>
        <v>2024</v>
      </c>
    </row>
    <row r="2943" spans="1:14" x14ac:dyDescent="0.35">
      <c r="A2943" t="s">
        <v>5974</v>
      </c>
      <c r="B2943" s="1">
        <v>45281.645192256947</v>
      </c>
      <c r="C2943" t="s">
        <v>5975</v>
      </c>
      <c r="D2943" t="s">
        <v>171</v>
      </c>
      <c r="E2943" t="s">
        <v>70</v>
      </c>
      <c r="F2943">
        <v>5</v>
      </c>
      <c r="G2943">
        <v>9</v>
      </c>
      <c r="H2943" t="s">
        <v>14</v>
      </c>
      <c r="I2943" t="s">
        <v>86</v>
      </c>
      <c r="J2943" t="s">
        <v>105</v>
      </c>
      <c r="K2943">
        <f>Pqp_supermarket_data[[#This Row],[Unit_Price]]*Pqp_supermarket_data[[#This Row],[Quantity]]</f>
        <v>45</v>
      </c>
      <c r="L2943" t="str">
        <f>TEXT(Pqp_supermarket_data[[#This Row],[DateTime]],"ddd")</f>
        <v>Thu</v>
      </c>
      <c r="M2943" t="str">
        <f>TEXT(Pqp_supermarket_data[[#This Row],[DateTime]],"mmm")</f>
        <v>Dec</v>
      </c>
      <c r="N2943" t="str">
        <f>TEXT(Pqp_supermarket_data[[#This Row],[DateTime]],"yyy")</f>
        <v>2023</v>
      </c>
    </row>
    <row r="2944" spans="1:14" x14ac:dyDescent="0.35">
      <c r="A2944" t="s">
        <v>5976</v>
      </c>
      <c r="B2944" s="1">
        <v>45556.288247824072</v>
      </c>
      <c r="C2944" t="s">
        <v>5977</v>
      </c>
      <c r="D2944" t="s">
        <v>12</v>
      </c>
      <c r="E2944" t="s">
        <v>39</v>
      </c>
      <c r="F2944">
        <v>3.2</v>
      </c>
      <c r="G2944">
        <v>3</v>
      </c>
      <c r="H2944" t="s">
        <v>14</v>
      </c>
      <c r="I2944" t="s">
        <v>21</v>
      </c>
      <c r="J2944" t="s">
        <v>270</v>
      </c>
      <c r="K2944">
        <f>Pqp_supermarket_data[[#This Row],[Unit_Price]]*Pqp_supermarket_data[[#This Row],[Quantity]]</f>
        <v>9.6000000000000014</v>
      </c>
      <c r="L2944" t="str">
        <f>TEXT(Pqp_supermarket_data[[#This Row],[DateTime]],"ddd")</f>
        <v>Sat</v>
      </c>
      <c r="M2944" t="str">
        <f>TEXT(Pqp_supermarket_data[[#This Row],[DateTime]],"mmm")</f>
        <v>Sep</v>
      </c>
      <c r="N2944" t="str">
        <f>TEXT(Pqp_supermarket_data[[#This Row],[DateTime]],"yyy")</f>
        <v>2024</v>
      </c>
    </row>
    <row r="2945" spans="1:14" x14ac:dyDescent="0.35">
      <c r="A2945" t="s">
        <v>5978</v>
      </c>
      <c r="B2945" s="1">
        <v>44724.262553391207</v>
      </c>
      <c r="C2945" t="s">
        <v>5979</v>
      </c>
      <c r="D2945" t="s">
        <v>69</v>
      </c>
      <c r="E2945" t="s">
        <v>35</v>
      </c>
      <c r="F2945">
        <v>1.2</v>
      </c>
      <c r="G2945">
        <v>2</v>
      </c>
      <c r="H2945" t="s">
        <v>14</v>
      </c>
      <c r="I2945" t="s">
        <v>15</v>
      </c>
      <c r="J2945" t="s">
        <v>116</v>
      </c>
      <c r="K2945">
        <f>Pqp_supermarket_data[[#This Row],[Unit_Price]]*Pqp_supermarket_data[[#This Row],[Quantity]]</f>
        <v>2.4</v>
      </c>
      <c r="L2945" t="str">
        <f>TEXT(Pqp_supermarket_data[[#This Row],[DateTime]],"ddd")</f>
        <v>Sun</v>
      </c>
      <c r="M2945" t="str">
        <f>TEXT(Pqp_supermarket_data[[#This Row],[DateTime]],"mmm")</f>
        <v>Jun</v>
      </c>
      <c r="N2945" t="str">
        <f>TEXT(Pqp_supermarket_data[[#This Row],[DateTime]],"yyy")</f>
        <v>2022</v>
      </c>
    </row>
    <row r="2946" spans="1:14" x14ac:dyDescent="0.35">
      <c r="A2946" t="s">
        <v>5980</v>
      </c>
      <c r="B2946" s="1">
        <v>44972.566720057868</v>
      </c>
      <c r="C2946" t="s">
        <v>5981</v>
      </c>
      <c r="D2946" t="s">
        <v>12</v>
      </c>
      <c r="E2946" t="s">
        <v>137</v>
      </c>
      <c r="F2946">
        <v>2.5</v>
      </c>
      <c r="G2946">
        <v>9</v>
      </c>
      <c r="H2946" t="s">
        <v>14</v>
      </c>
      <c r="I2946" t="s">
        <v>15</v>
      </c>
      <c r="J2946" t="s">
        <v>218</v>
      </c>
      <c r="K2946">
        <f>Pqp_supermarket_data[[#This Row],[Unit_Price]]*Pqp_supermarket_data[[#This Row],[Quantity]]</f>
        <v>22.5</v>
      </c>
      <c r="L2946" t="str">
        <f>TEXT(Pqp_supermarket_data[[#This Row],[DateTime]],"ddd")</f>
        <v>Wed</v>
      </c>
      <c r="M2946" t="str">
        <f>TEXT(Pqp_supermarket_data[[#This Row],[DateTime]],"mmm")</f>
        <v>Feb</v>
      </c>
      <c r="N2946" t="str">
        <f>TEXT(Pqp_supermarket_data[[#This Row],[DateTime]],"yyy")</f>
        <v>2023</v>
      </c>
    </row>
    <row r="2947" spans="1:14" x14ac:dyDescent="0.35">
      <c r="A2947" t="s">
        <v>5982</v>
      </c>
      <c r="B2947" s="1">
        <v>45709.506997847224</v>
      </c>
      <c r="C2947" t="s">
        <v>5983</v>
      </c>
      <c r="D2947" t="s">
        <v>226</v>
      </c>
      <c r="E2947" t="s">
        <v>20</v>
      </c>
      <c r="F2947">
        <v>1</v>
      </c>
      <c r="G2947">
        <v>8</v>
      </c>
      <c r="H2947" t="s">
        <v>14</v>
      </c>
      <c r="I2947" t="s">
        <v>21</v>
      </c>
      <c r="J2947" t="s">
        <v>382</v>
      </c>
      <c r="K2947">
        <f>Pqp_supermarket_data[[#This Row],[Unit_Price]]*Pqp_supermarket_data[[#This Row],[Quantity]]</f>
        <v>8</v>
      </c>
      <c r="L2947" t="str">
        <f>TEXT(Pqp_supermarket_data[[#This Row],[DateTime]],"ddd")</f>
        <v>Fri</v>
      </c>
      <c r="M2947" t="str">
        <f>TEXT(Pqp_supermarket_data[[#This Row],[DateTime]],"mmm")</f>
        <v>Feb</v>
      </c>
      <c r="N2947" t="str">
        <f>TEXT(Pqp_supermarket_data[[#This Row],[DateTime]],"yyy")</f>
        <v>2025</v>
      </c>
    </row>
    <row r="2948" spans="1:14" x14ac:dyDescent="0.35">
      <c r="A2948" t="s">
        <v>5984</v>
      </c>
      <c r="B2948" s="1">
        <v>44832.870886747682</v>
      </c>
      <c r="C2948" t="s">
        <v>5985</v>
      </c>
      <c r="D2948" t="s">
        <v>85</v>
      </c>
      <c r="E2948" t="s">
        <v>119</v>
      </c>
      <c r="F2948">
        <v>4</v>
      </c>
      <c r="G2948">
        <v>8</v>
      </c>
      <c r="H2948" t="s">
        <v>14</v>
      </c>
      <c r="I2948" t="s">
        <v>61</v>
      </c>
      <c r="J2948" t="s">
        <v>382</v>
      </c>
      <c r="K2948">
        <f>Pqp_supermarket_data[[#This Row],[Unit_Price]]*Pqp_supermarket_data[[#This Row],[Quantity]]</f>
        <v>32</v>
      </c>
      <c r="L2948" t="str">
        <f>TEXT(Pqp_supermarket_data[[#This Row],[DateTime]],"ddd")</f>
        <v>Wed</v>
      </c>
      <c r="M2948" t="str">
        <f>TEXT(Pqp_supermarket_data[[#This Row],[DateTime]],"mmm")</f>
        <v>Sep</v>
      </c>
      <c r="N2948" t="str">
        <f>TEXT(Pqp_supermarket_data[[#This Row],[DateTime]],"yyy")</f>
        <v>2022</v>
      </c>
    </row>
    <row r="2949" spans="1:14" x14ac:dyDescent="0.35">
      <c r="A2949" t="s">
        <v>5986</v>
      </c>
      <c r="B2949" s="1">
        <v>45354.610470092593</v>
      </c>
      <c r="C2949" t="s">
        <v>5987</v>
      </c>
      <c r="D2949" t="s">
        <v>12</v>
      </c>
      <c r="E2949" t="s">
        <v>53</v>
      </c>
      <c r="F2949">
        <v>2.8</v>
      </c>
      <c r="G2949">
        <v>9</v>
      </c>
      <c r="H2949" t="s">
        <v>14</v>
      </c>
      <c r="I2949" t="s">
        <v>61</v>
      </c>
      <c r="J2949" t="s">
        <v>458</v>
      </c>
      <c r="K2949">
        <f>Pqp_supermarket_data[[#This Row],[Unit_Price]]*Pqp_supermarket_data[[#This Row],[Quantity]]</f>
        <v>25.2</v>
      </c>
      <c r="L2949" t="str">
        <f>TEXT(Pqp_supermarket_data[[#This Row],[DateTime]],"ddd")</f>
        <v>Sun</v>
      </c>
      <c r="M2949" t="str">
        <f>TEXT(Pqp_supermarket_data[[#This Row],[DateTime]],"mmm")</f>
        <v>Mar</v>
      </c>
      <c r="N2949" t="str">
        <f>TEXT(Pqp_supermarket_data[[#This Row],[DateTime]],"yyy")</f>
        <v>2024</v>
      </c>
    </row>
    <row r="2950" spans="1:14" x14ac:dyDescent="0.35">
      <c r="A2950" t="s">
        <v>5988</v>
      </c>
      <c r="B2950" s="1">
        <v>45301.702831215276</v>
      </c>
      <c r="C2950" t="s">
        <v>5989</v>
      </c>
      <c r="D2950" t="s">
        <v>82</v>
      </c>
      <c r="E2950" t="s">
        <v>137</v>
      </c>
      <c r="F2950">
        <v>2.5</v>
      </c>
      <c r="G2950">
        <v>1</v>
      </c>
      <c r="H2950" t="s">
        <v>14</v>
      </c>
      <c r="I2950" t="s">
        <v>15</v>
      </c>
      <c r="J2950" t="s">
        <v>397</v>
      </c>
      <c r="K2950">
        <f>Pqp_supermarket_data[[#This Row],[Unit_Price]]*Pqp_supermarket_data[[#This Row],[Quantity]]</f>
        <v>2.5</v>
      </c>
      <c r="L2950" t="str">
        <f>TEXT(Pqp_supermarket_data[[#This Row],[DateTime]],"ddd")</f>
        <v>Wed</v>
      </c>
      <c r="M2950" t="str">
        <f>TEXT(Pqp_supermarket_data[[#This Row],[DateTime]],"mmm")</f>
        <v>Jan</v>
      </c>
      <c r="N2950" t="str">
        <f>TEXT(Pqp_supermarket_data[[#This Row],[DateTime]],"yyy")</f>
        <v>2024</v>
      </c>
    </row>
    <row r="2951" spans="1:14" x14ac:dyDescent="0.35">
      <c r="A2951" t="s">
        <v>5990</v>
      </c>
      <c r="B2951" s="1">
        <v>45217.174358993056</v>
      </c>
      <c r="C2951" t="s">
        <v>5991</v>
      </c>
      <c r="D2951" t="s">
        <v>19</v>
      </c>
      <c r="E2951" t="s">
        <v>49</v>
      </c>
      <c r="F2951">
        <v>7</v>
      </c>
      <c r="G2951">
        <v>2</v>
      </c>
      <c r="H2951" t="s">
        <v>14</v>
      </c>
      <c r="I2951" t="s">
        <v>21</v>
      </c>
      <c r="J2951" t="s">
        <v>317</v>
      </c>
      <c r="K2951">
        <f>Pqp_supermarket_data[[#This Row],[Unit_Price]]*Pqp_supermarket_data[[#This Row],[Quantity]]</f>
        <v>14</v>
      </c>
      <c r="L2951" t="str">
        <f>TEXT(Pqp_supermarket_data[[#This Row],[DateTime]],"ddd")</f>
        <v>Wed</v>
      </c>
      <c r="M2951" t="str">
        <f>TEXT(Pqp_supermarket_data[[#This Row],[DateTime]],"mmm")</f>
        <v>Oct</v>
      </c>
      <c r="N2951" t="str">
        <f>TEXT(Pqp_supermarket_data[[#This Row],[DateTime]],"yyy")</f>
        <v>2023</v>
      </c>
    </row>
    <row r="2952" spans="1:14" x14ac:dyDescent="0.35">
      <c r="A2952" t="s">
        <v>5992</v>
      </c>
      <c r="B2952" s="1">
        <v>45130.414636782407</v>
      </c>
      <c r="C2952" t="s">
        <v>5993</v>
      </c>
      <c r="D2952" t="s">
        <v>77</v>
      </c>
      <c r="E2952" t="s">
        <v>53</v>
      </c>
      <c r="F2952">
        <v>2.8</v>
      </c>
      <c r="G2952">
        <v>3</v>
      </c>
      <c r="H2952" t="s">
        <v>14</v>
      </c>
      <c r="I2952" t="s">
        <v>15</v>
      </c>
      <c r="J2952" t="s">
        <v>46</v>
      </c>
      <c r="K2952">
        <f>Pqp_supermarket_data[[#This Row],[Unit_Price]]*Pqp_supermarket_data[[#This Row],[Quantity]]</f>
        <v>8.3999999999999986</v>
      </c>
      <c r="L2952" t="str">
        <f>TEXT(Pqp_supermarket_data[[#This Row],[DateTime]],"ddd")</f>
        <v>Sun</v>
      </c>
      <c r="M2952" t="str">
        <f>TEXT(Pqp_supermarket_data[[#This Row],[DateTime]],"mmm")</f>
        <v>Jul</v>
      </c>
      <c r="N2952" t="str">
        <f>TEXT(Pqp_supermarket_data[[#This Row],[DateTime]],"yyy")</f>
        <v>2023</v>
      </c>
    </row>
    <row r="2953" spans="1:14" x14ac:dyDescent="0.35">
      <c r="A2953" t="s">
        <v>5994</v>
      </c>
      <c r="B2953" s="1">
        <v>44618.47574790509</v>
      </c>
      <c r="C2953" t="s">
        <v>5995</v>
      </c>
      <c r="D2953" t="s">
        <v>226</v>
      </c>
      <c r="E2953" t="s">
        <v>111</v>
      </c>
      <c r="F2953">
        <v>2.2000000000000002</v>
      </c>
      <c r="G2953">
        <v>10</v>
      </c>
      <c r="H2953" t="s">
        <v>14</v>
      </c>
      <c r="I2953" t="s">
        <v>15</v>
      </c>
      <c r="J2953" t="s">
        <v>267</v>
      </c>
      <c r="K2953">
        <f>Pqp_supermarket_data[[#This Row],[Unit_Price]]*Pqp_supermarket_data[[#This Row],[Quantity]]</f>
        <v>22</v>
      </c>
      <c r="L2953" t="str">
        <f>TEXT(Pqp_supermarket_data[[#This Row],[DateTime]],"ddd")</f>
        <v>Sat</v>
      </c>
      <c r="M2953" t="str">
        <f>TEXT(Pqp_supermarket_data[[#This Row],[DateTime]],"mmm")</f>
        <v>Feb</v>
      </c>
      <c r="N2953" t="str">
        <f>TEXT(Pqp_supermarket_data[[#This Row],[DateTime]],"yyy")</f>
        <v>2022</v>
      </c>
    </row>
    <row r="2954" spans="1:14" x14ac:dyDescent="0.35">
      <c r="A2954" t="s">
        <v>5996</v>
      </c>
      <c r="B2954" s="1">
        <v>44584.586164583336</v>
      </c>
      <c r="C2954" t="s">
        <v>5997</v>
      </c>
      <c r="D2954" t="s">
        <v>30</v>
      </c>
      <c r="E2954" t="s">
        <v>35</v>
      </c>
      <c r="F2954">
        <v>1.2</v>
      </c>
      <c r="G2954">
        <v>2</v>
      </c>
      <c r="H2954" t="s">
        <v>14</v>
      </c>
      <c r="I2954" t="s">
        <v>61</v>
      </c>
      <c r="J2954" t="s">
        <v>485</v>
      </c>
      <c r="K2954">
        <f>Pqp_supermarket_data[[#This Row],[Unit_Price]]*Pqp_supermarket_data[[#This Row],[Quantity]]</f>
        <v>2.4</v>
      </c>
      <c r="L2954" t="str">
        <f>TEXT(Pqp_supermarket_data[[#This Row],[DateTime]],"ddd")</f>
        <v>Sun</v>
      </c>
      <c r="M2954" t="str">
        <f>TEXT(Pqp_supermarket_data[[#This Row],[DateTime]],"mmm")</f>
        <v>Jan</v>
      </c>
      <c r="N2954" t="str">
        <f>TEXT(Pqp_supermarket_data[[#This Row],[DateTime]],"yyy")</f>
        <v>2022</v>
      </c>
    </row>
    <row r="2955" spans="1:14" x14ac:dyDescent="0.35">
      <c r="A2955" t="s">
        <v>5998</v>
      </c>
      <c r="B2955" s="1">
        <v>44808.197970150461</v>
      </c>
      <c r="C2955" t="s">
        <v>5999</v>
      </c>
      <c r="D2955" t="s">
        <v>34</v>
      </c>
      <c r="E2955" t="s">
        <v>90</v>
      </c>
      <c r="F2955">
        <v>1.8</v>
      </c>
      <c r="G2955">
        <v>4</v>
      </c>
      <c r="H2955" t="s">
        <v>14</v>
      </c>
      <c r="I2955" t="s">
        <v>40</v>
      </c>
      <c r="J2955" t="s">
        <v>262</v>
      </c>
      <c r="K2955">
        <f>Pqp_supermarket_data[[#This Row],[Unit_Price]]*Pqp_supermarket_data[[#This Row],[Quantity]]</f>
        <v>7.2</v>
      </c>
      <c r="L2955" t="str">
        <f>TEXT(Pqp_supermarket_data[[#This Row],[DateTime]],"ddd")</f>
        <v>Sun</v>
      </c>
      <c r="M2955" t="str">
        <f>TEXT(Pqp_supermarket_data[[#This Row],[DateTime]],"mmm")</f>
        <v>Sep</v>
      </c>
      <c r="N2955" t="str">
        <f>TEXT(Pqp_supermarket_data[[#This Row],[DateTime]],"yyy")</f>
        <v>2022</v>
      </c>
    </row>
    <row r="2956" spans="1:14" x14ac:dyDescent="0.35">
      <c r="A2956" t="s">
        <v>6000</v>
      </c>
      <c r="B2956" s="1">
        <v>45384.534775706015</v>
      </c>
      <c r="C2956" t="s">
        <v>6001</v>
      </c>
      <c r="D2956" t="s">
        <v>82</v>
      </c>
      <c r="E2956" t="s">
        <v>115</v>
      </c>
      <c r="F2956">
        <v>1.5</v>
      </c>
      <c r="G2956">
        <v>2</v>
      </c>
      <c r="H2956" t="s">
        <v>14</v>
      </c>
      <c r="I2956" t="s">
        <v>15</v>
      </c>
      <c r="J2956" t="s">
        <v>382</v>
      </c>
      <c r="K2956">
        <f>Pqp_supermarket_data[[#This Row],[Unit_Price]]*Pqp_supermarket_data[[#This Row],[Quantity]]</f>
        <v>3</v>
      </c>
      <c r="L2956" t="str">
        <f>TEXT(Pqp_supermarket_data[[#This Row],[DateTime]],"ddd")</f>
        <v>Tue</v>
      </c>
      <c r="M2956" t="str">
        <f>TEXT(Pqp_supermarket_data[[#This Row],[DateTime]],"mmm")</f>
        <v>Apr</v>
      </c>
      <c r="N2956" t="str">
        <f>TEXT(Pqp_supermarket_data[[#This Row],[DateTime]],"yyy")</f>
        <v>2024</v>
      </c>
    </row>
    <row r="2957" spans="1:14" x14ac:dyDescent="0.35">
      <c r="A2957" t="s">
        <v>6002</v>
      </c>
      <c r="B2957" s="1">
        <v>44570.931303483798</v>
      </c>
      <c r="C2957" t="s">
        <v>6003</v>
      </c>
      <c r="D2957" t="s">
        <v>171</v>
      </c>
      <c r="E2957" t="s">
        <v>148</v>
      </c>
      <c r="F2957">
        <v>5.5</v>
      </c>
      <c r="G2957">
        <v>3</v>
      </c>
      <c r="H2957" t="s">
        <v>14</v>
      </c>
      <c r="I2957" t="s">
        <v>86</v>
      </c>
      <c r="J2957" t="s">
        <v>166</v>
      </c>
      <c r="K2957">
        <f>Pqp_supermarket_data[[#This Row],[Unit_Price]]*Pqp_supermarket_data[[#This Row],[Quantity]]</f>
        <v>16.5</v>
      </c>
      <c r="L2957" t="str">
        <f>TEXT(Pqp_supermarket_data[[#This Row],[DateTime]],"ddd")</f>
        <v>Sun</v>
      </c>
      <c r="M2957" t="str">
        <f>TEXT(Pqp_supermarket_data[[#This Row],[DateTime]],"mmm")</f>
        <v>Jan</v>
      </c>
      <c r="N2957" t="str">
        <f>TEXT(Pqp_supermarket_data[[#This Row],[DateTime]],"yyy")</f>
        <v>2022</v>
      </c>
    </row>
    <row r="2958" spans="1:14" x14ac:dyDescent="0.35">
      <c r="A2958" t="s">
        <v>6004</v>
      </c>
      <c r="B2958" s="1">
        <v>44490.361164618058</v>
      </c>
      <c r="C2958" t="s">
        <v>6005</v>
      </c>
      <c r="D2958" t="s">
        <v>69</v>
      </c>
      <c r="E2958" t="s">
        <v>148</v>
      </c>
      <c r="F2958">
        <v>5.5</v>
      </c>
      <c r="G2958">
        <v>4</v>
      </c>
      <c r="H2958" t="s">
        <v>14</v>
      </c>
      <c r="I2958" t="s">
        <v>15</v>
      </c>
      <c r="J2958" t="s">
        <v>172</v>
      </c>
      <c r="K2958">
        <f>Pqp_supermarket_data[[#This Row],[Unit_Price]]*Pqp_supermarket_data[[#This Row],[Quantity]]</f>
        <v>22</v>
      </c>
      <c r="L2958" t="str">
        <f>TEXT(Pqp_supermarket_data[[#This Row],[DateTime]],"ddd")</f>
        <v>Thu</v>
      </c>
      <c r="M2958" t="str">
        <f>TEXT(Pqp_supermarket_data[[#This Row],[DateTime]],"mmm")</f>
        <v>Oct</v>
      </c>
      <c r="N2958" t="str">
        <f>TEXT(Pqp_supermarket_data[[#This Row],[DateTime]],"yyy")</f>
        <v>2021</v>
      </c>
    </row>
    <row r="2959" spans="1:14" x14ac:dyDescent="0.35">
      <c r="A2959" t="s">
        <v>6006</v>
      </c>
      <c r="B2959" s="1">
        <v>44379.622970173608</v>
      </c>
      <c r="C2959" t="s">
        <v>6007</v>
      </c>
      <c r="D2959" t="s">
        <v>82</v>
      </c>
      <c r="E2959" t="s">
        <v>70</v>
      </c>
      <c r="F2959">
        <v>5</v>
      </c>
      <c r="G2959">
        <v>3</v>
      </c>
      <c r="H2959" t="s">
        <v>14</v>
      </c>
      <c r="I2959" t="s">
        <v>40</v>
      </c>
      <c r="J2959" t="s">
        <v>233</v>
      </c>
      <c r="K2959">
        <f>Pqp_supermarket_data[[#This Row],[Unit_Price]]*Pqp_supermarket_data[[#This Row],[Quantity]]</f>
        <v>15</v>
      </c>
      <c r="L2959" t="str">
        <f>TEXT(Pqp_supermarket_data[[#This Row],[DateTime]],"ddd")</f>
        <v>Fri</v>
      </c>
      <c r="M2959" t="str">
        <f>TEXT(Pqp_supermarket_data[[#This Row],[DateTime]],"mmm")</f>
        <v>Jul</v>
      </c>
      <c r="N2959" t="str">
        <f>TEXT(Pqp_supermarket_data[[#This Row],[DateTime]],"yyy")</f>
        <v>2021</v>
      </c>
    </row>
    <row r="2960" spans="1:14" x14ac:dyDescent="0.35">
      <c r="A2960" t="s">
        <v>6008</v>
      </c>
      <c r="B2960" s="1">
        <v>44545.571581284719</v>
      </c>
      <c r="C2960" t="s">
        <v>6009</v>
      </c>
      <c r="D2960" t="s">
        <v>77</v>
      </c>
      <c r="E2960" t="s">
        <v>148</v>
      </c>
      <c r="F2960">
        <v>5.5</v>
      </c>
      <c r="G2960">
        <v>2</v>
      </c>
      <c r="H2960" t="s">
        <v>14</v>
      </c>
      <c r="I2960" t="s">
        <v>86</v>
      </c>
      <c r="J2960" t="s">
        <v>548</v>
      </c>
      <c r="K2960">
        <f>Pqp_supermarket_data[[#This Row],[Unit_Price]]*Pqp_supermarket_data[[#This Row],[Quantity]]</f>
        <v>11</v>
      </c>
      <c r="L2960" t="str">
        <f>TEXT(Pqp_supermarket_data[[#This Row],[DateTime]],"ddd")</f>
        <v>Wed</v>
      </c>
      <c r="M2960" t="str">
        <f>TEXT(Pqp_supermarket_data[[#This Row],[DateTime]],"mmm")</f>
        <v>Dec</v>
      </c>
      <c r="N2960" t="str">
        <f>TEXT(Pqp_supermarket_data[[#This Row],[DateTime]],"yyy")</f>
        <v>2021</v>
      </c>
    </row>
    <row r="2961" spans="1:14" x14ac:dyDescent="0.35">
      <c r="A2961" t="s">
        <v>6010</v>
      </c>
      <c r="B2961" s="1">
        <v>45572.352831284719</v>
      </c>
      <c r="C2961" t="s">
        <v>6011</v>
      </c>
      <c r="D2961" t="s">
        <v>69</v>
      </c>
      <c r="E2961" t="s">
        <v>137</v>
      </c>
      <c r="F2961">
        <v>2.5</v>
      </c>
      <c r="G2961">
        <v>2</v>
      </c>
      <c r="H2961" t="s">
        <v>14</v>
      </c>
      <c r="I2961" t="s">
        <v>21</v>
      </c>
      <c r="J2961" t="s">
        <v>105</v>
      </c>
      <c r="K2961">
        <f>Pqp_supermarket_data[[#This Row],[Unit_Price]]*Pqp_supermarket_data[[#This Row],[Quantity]]</f>
        <v>5</v>
      </c>
      <c r="L2961" t="str">
        <f>TEXT(Pqp_supermarket_data[[#This Row],[DateTime]],"ddd")</f>
        <v>Mon</v>
      </c>
      <c r="M2961" t="str">
        <f>TEXT(Pqp_supermarket_data[[#This Row],[DateTime]],"mmm")</f>
        <v>Oct</v>
      </c>
      <c r="N2961" t="str">
        <f>TEXT(Pqp_supermarket_data[[#This Row],[DateTime]],"yyy")</f>
        <v>2024</v>
      </c>
    </row>
    <row r="2962" spans="1:14" x14ac:dyDescent="0.35">
      <c r="A2962" t="s">
        <v>6012</v>
      </c>
      <c r="B2962" s="1">
        <v>45720.970886840281</v>
      </c>
      <c r="C2962" t="s">
        <v>6013</v>
      </c>
      <c r="D2962" t="s">
        <v>12</v>
      </c>
      <c r="E2962" t="s">
        <v>39</v>
      </c>
      <c r="F2962">
        <v>3.2</v>
      </c>
      <c r="G2962">
        <v>9</v>
      </c>
      <c r="H2962" t="s">
        <v>14</v>
      </c>
      <c r="I2962" t="s">
        <v>86</v>
      </c>
      <c r="J2962" t="s">
        <v>623</v>
      </c>
      <c r="K2962">
        <f>Pqp_supermarket_data[[#This Row],[Unit_Price]]*Pqp_supermarket_data[[#This Row],[Quantity]]</f>
        <v>28.8</v>
      </c>
      <c r="L2962" t="str">
        <f>TEXT(Pqp_supermarket_data[[#This Row],[DateTime]],"ddd")</f>
        <v>Tue</v>
      </c>
      <c r="M2962" t="str">
        <f>TEXT(Pqp_supermarket_data[[#This Row],[DateTime]],"mmm")</f>
        <v>Mar</v>
      </c>
      <c r="N2962" t="str">
        <f>TEXT(Pqp_supermarket_data[[#This Row],[DateTime]],"yyy")</f>
        <v>2025</v>
      </c>
    </row>
    <row r="2963" spans="1:14" x14ac:dyDescent="0.35">
      <c r="A2963" t="s">
        <v>6014</v>
      </c>
      <c r="B2963" s="1">
        <v>45380.735470173611</v>
      </c>
      <c r="C2963" t="s">
        <v>6015</v>
      </c>
      <c r="D2963" t="s">
        <v>12</v>
      </c>
      <c r="E2963" t="s">
        <v>78</v>
      </c>
      <c r="F2963">
        <v>4</v>
      </c>
      <c r="G2963">
        <v>1</v>
      </c>
      <c r="H2963" t="s">
        <v>14</v>
      </c>
      <c r="I2963" t="s">
        <v>61</v>
      </c>
      <c r="J2963" t="s">
        <v>317</v>
      </c>
      <c r="K2963">
        <f>Pqp_supermarket_data[[#This Row],[Unit_Price]]*Pqp_supermarket_data[[#This Row],[Quantity]]</f>
        <v>4</v>
      </c>
      <c r="L2963" t="str">
        <f>TEXT(Pqp_supermarket_data[[#This Row],[DateTime]],"ddd")</f>
        <v>Fri</v>
      </c>
      <c r="M2963" t="str">
        <f>TEXT(Pqp_supermarket_data[[#This Row],[DateTime]],"mmm")</f>
        <v>Mar</v>
      </c>
      <c r="N2963" t="str">
        <f>TEXT(Pqp_supermarket_data[[#This Row],[DateTime]],"yyy")</f>
        <v>2024</v>
      </c>
    </row>
    <row r="2964" spans="1:14" x14ac:dyDescent="0.35">
      <c r="A2964" t="s">
        <v>6016</v>
      </c>
      <c r="B2964" s="1">
        <v>45392.001442418979</v>
      </c>
      <c r="C2964" t="s">
        <v>6017</v>
      </c>
      <c r="D2964" t="s">
        <v>44</v>
      </c>
      <c r="E2964" t="s">
        <v>78</v>
      </c>
      <c r="F2964">
        <v>4</v>
      </c>
      <c r="G2964">
        <v>9</v>
      </c>
      <c r="H2964" t="s">
        <v>14</v>
      </c>
      <c r="I2964" t="s">
        <v>40</v>
      </c>
      <c r="J2964" t="s">
        <v>227</v>
      </c>
      <c r="K2964">
        <f>Pqp_supermarket_data[[#This Row],[Unit_Price]]*Pqp_supermarket_data[[#This Row],[Quantity]]</f>
        <v>36</v>
      </c>
      <c r="L2964" t="str">
        <f>TEXT(Pqp_supermarket_data[[#This Row],[DateTime]],"ddd")</f>
        <v>Wed</v>
      </c>
      <c r="M2964" t="str">
        <f>TEXT(Pqp_supermarket_data[[#This Row],[DateTime]],"mmm")</f>
        <v>Apr</v>
      </c>
      <c r="N2964" t="str">
        <f>TEXT(Pqp_supermarket_data[[#This Row],[DateTime]],"yyy")</f>
        <v>2024</v>
      </c>
    </row>
    <row r="2965" spans="1:14" x14ac:dyDescent="0.35">
      <c r="A2965" t="s">
        <v>6018</v>
      </c>
      <c r="B2965" s="1">
        <v>45419.947970196758</v>
      </c>
      <c r="C2965" t="s">
        <v>6019</v>
      </c>
      <c r="D2965" t="s">
        <v>19</v>
      </c>
      <c r="E2965" t="s">
        <v>57</v>
      </c>
      <c r="F2965">
        <v>4.5</v>
      </c>
      <c r="G2965">
        <v>9</v>
      </c>
      <c r="H2965" t="s">
        <v>14</v>
      </c>
      <c r="I2965" t="s">
        <v>40</v>
      </c>
      <c r="J2965" t="s">
        <v>744</v>
      </c>
      <c r="K2965">
        <f>Pqp_supermarket_data[[#This Row],[Unit_Price]]*Pqp_supermarket_data[[#This Row],[Quantity]]</f>
        <v>40.5</v>
      </c>
      <c r="L2965" t="str">
        <f>TEXT(Pqp_supermarket_data[[#This Row],[DateTime]],"ddd")</f>
        <v>Tue</v>
      </c>
      <c r="M2965" t="str">
        <f>TEXT(Pqp_supermarket_data[[#This Row],[DateTime]],"mmm")</f>
        <v>May</v>
      </c>
      <c r="N2965" t="str">
        <f>TEXT(Pqp_supermarket_data[[#This Row],[DateTime]],"yyy")</f>
        <v>2024</v>
      </c>
    </row>
    <row r="2966" spans="1:14" x14ac:dyDescent="0.35">
      <c r="A2966" t="s">
        <v>6020</v>
      </c>
      <c r="B2966" s="1">
        <v>45209.347275763888</v>
      </c>
      <c r="C2966" t="s">
        <v>6021</v>
      </c>
      <c r="D2966" t="s">
        <v>77</v>
      </c>
      <c r="E2966" t="s">
        <v>57</v>
      </c>
      <c r="F2966">
        <v>4.5</v>
      </c>
      <c r="G2966">
        <v>1</v>
      </c>
      <c r="H2966" t="s">
        <v>14</v>
      </c>
      <c r="I2966" t="s">
        <v>21</v>
      </c>
      <c r="J2966" t="s">
        <v>382</v>
      </c>
      <c r="K2966">
        <f>Pqp_supermarket_data[[#This Row],[Unit_Price]]*Pqp_supermarket_data[[#This Row],[Quantity]]</f>
        <v>4.5</v>
      </c>
      <c r="L2966" t="str">
        <f>TEXT(Pqp_supermarket_data[[#This Row],[DateTime]],"ddd")</f>
        <v>Tue</v>
      </c>
      <c r="M2966" t="str">
        <f>TEXT(Pqp_supermarket_data[[#This Row],[DateTime]],"mmm")</f>
        <v>Oct</v>
      </c>
      <c r="N2966" t="str">
        <f>TEXT(Pqp_supermarket_data[[#This Row],[DateTime]],"yyy")</f>
        <v>2023</v>
      </c>
    </row>
    <row r="2967" spans="1:14" x14ac:dyDescent="0.35">
      <c r="A2967" t="s">
        <v>6022</v>
      </c>
      <c r="B2967" s="1">
        <v>44977.703525775461</v>
      </c>
      <c r="C2967" t="s">
        <v>6023</v>
      </c>
      <c r="D2967" t="s">
        <v>69</v>
      </c>
      <c r="E2967" t="s">
        <v>39</v>
      </c>
      <c r="F2967">
        <v>3.2</v>
      </c>
      <c r="G2967">
        <v>1</v>
      </c>
      <c r="H2967" t="s">
        <v>14</v>
      </c>
      <c r="I2967" t="s">
        <v>21</v>
      </c>
      <c r="J2967" t="s">
        <v>178</v>
      </c>
      <c r="K2967">
        <f>Pqp_supermarket_data[[#This Row],[Unit_Price]]*Pqp_supermarket_data[[#This Row],[Quantity]]</f>
        <v>3.2</v>
      </c>
      <c r="L2967" t="str">
        <f>TEXT(Pqp_supermarket_data[[#This Row],[DateTime]],"ddd")</f>
        <v>Mon</v>
      </c>
      <c r="M2967" t="str">
        <f>TEXT(Pqp_supermarket_data[[#This Row],[DateTime]],"mmm")</f>
        <v>Feb</v>
      </c>
      <c r="N2967" t="str">
        <f>TEXT(Pqp_supermarket_data[[#This Row],[DateTime]],"yyy")</f>
        <v>2023</v>
      </c>
    </row>
    <row r="2968" spans="1:14" x14ac:dyDescent="0.35">
      <c r="A2968" t="s">
        <v>6024</v>
      </c>
      <c r="B2968" s="1">
        <v>45118.386859120372</v>
      </c>
      <c r="C2968" t="s">
        <v>6025</v>
      </c>
      <c r="D2968" t="s">
        <v>171</v>
      </c>
      <c r="E2968" t="s">
        <v>57</v>
      </c>
      <c r="F2968">
        <v>4.5</v>
      </c>
      <c r="G2968">
        <v>7</v>
      </c>
      <c r="H2968" t="s">
        <v>14</v>
      </c>
      <c r="I2968" t="s">
        <v>15</v>
      </c>
      <c r="J2968" t="s">
        <v>397</v>
      </c>
      <c r="K2968">
        <f>Pqp_supermarket_data[[#This Row],[Unit_Price]]*Pqp_supermarket_data[[#This Row],[Quantity]]</f>
        <v>31.5</v>
      </c>
      <c r="L2968" t="str">
        <f>TEXT(Pqp_supermarket_data[[#This Row],[DateTime]],"ddd")</f>
        <v>Tue</v>
      </c>
      <c r="M2968" t="str">
        <f>TEXT(Pqp_supermarket_data[[#This Row],[DateTime]],"mmm")</f>
        <v>Jul</v>
      </c>
      <c r="N2968" t="str">
        <f>TEXT(Pqp_supermarket_data[[#This Row],[DateTime]],"yyy")</f>
        <v>2023</v>
      </c>
    </row>
    <row r="2969" spans="1:14" x14ac:dyDescent="0.35">
      <c r="A2969" t="s">
        <v>6026</v>
      </c>
      <c r="B2969" s="1">
        <v>44575.279220231481</v>
      </c>
      <c r="C2969" t="s">
        <v>6027</v>
      </c>
      <c r="D2969" t="s">
        <v>34</v>
      </c>
      <c r="E2969" t="s">
        <v>53</v>
      </c>
      <c r="F2969">
        <v>2.8</v>
      </c>
      <c r="G2969">
        <v>6</v>
      </c>
      <c r="H2969" t="s">
        <v>14</v>
      </c>
      <c r="I2969" t="s">
        <v>36</v>
      </c>
      <c r="J2969" t="s">
        <v>41</v>
      </c>
      <c r="K2969">
        <f>Pqp_supermarket_data[[#This Row],[Unit_Price]]*Pqp_supermarket_data[[#This Row],[Quantity]]</f>
        <v>16.799999999999997</v>
      </c>
      <c r="L2969" t="str">
        <f>TEXT(Pqp_supermarket_data[[#This Row],[DateTime]],"ddd")</f>
        <v>Fri</v>
      </c>
      <c r="M2969" t="str">
        <f>TEXT(Pqp_supermarket_data[[#This Row],[DateTime]],"mmm")</f>
        <v>Jan</v>
      </c>
      <c r="N2969" t="str">
        <f>TEXT(Pqp_supermarket_data[[#This Row],[DateTime]],"yyy")</f>
        <v>2022</v>
      </c>
    </row>
    <row r="2970" spans="1:14" x14ac:dyDescent="0.35">
      <c r="A2970" t="s">
        <v>6028</v>
      </c>
      <c r="B2970" s="1">
        <v>45650.568803564813</v>
      </c>
      <c r="C2970" t="s">
        <v>6029</v>
      </c>
      <c r="D2970" t="s">
        <v>30</v>
      </c>
      <c r="E2970" t="s">
        <v>35</v>
      </c>
      <c r="F2970">
        <v>1.2</v>
      </c>
      <c r="G2970">
        <v>4</v>
      </c>
      <c r="H2970" t="s">
        <v>14</v>
      </c>
      <c r="I2970" t="s">
        <v>36</v>
      </c>
      <c r="J2970" t="s">
        <v>178</v>
      </c>
      <c r="K2970">
        <f>Pqp_supermarket_data[[#This Row],[Unit_Price]]*Pqp_supermarket_data[[#This Row],[Quantity]]</f>
        <v>4.8</v>
      </c>
      <c r="L2970" t="str">
        <f>TEXT(Pqp_supermarket_data[[#This Row],[DateTime]],"ddd")</f>
        <v>Tue</v>
      </c>
      <c r="M2970" t="str">
        <f>TEXT(Pqp_supermarket_data[[#This Row],[DateTime]],"mmm")</f>
        <v>Dec</v>
      </c>
      <c r="N2970" t="str">
        <f>TEXT(Pqp_supermarket_data[[#This Row],[DateTime]],"yyy")</f>
        <v>2024</v>
      </c>
    </row>
    <row r="2971" spans="1:14" x14ac:dyDescent="0.35">
      <c r="A2971" t="s">
        <v>6030</v>
      </c>
      <c r="B2971" s="1">
        <v>44620.75283135417</v>
      </c>
      <c r="C2971" t="s">
        <v>6031</v>
      </c>
      <c r="D2971" t="s">
        <v>69</v>
      </c>
      <c r="E2971" t="s">
        <v>119</v>
      </c>
      <c r="F2971">
        <v>4</v>
      </c>
      <c r="G2971">
        <v>8</v>
      </c>
      <c r="H2971" t="s">
        <v>14</v>
      </c>
      <c r="I2971" t="s">
        <v>40</v>
      </c>
      <c r="J2971" t="s">
        <v>267</v>
      </c>
      <c r="K2971">
        <f>Pqp_supermarket_data[[#This Row],[Unit_Price]]*Pqp_supermarket_data[[#This Row],[Quantity]]</f>
        <v>32</v>
      </c>
      <c r="L2971" t="str">
        <f>TEXT(Pqp_supermarket_data[[#This Row],[DateTime]],"ddd")</f>
        <v>Mon</v>
      </c>
      <c r="M2971" t="str">
        <f>TEXT(Pqp_supermarket_data[[#This Row],[DateTime]],"mmm")</f>
        <v>Feb</v>
      </c>
      <c r="N2971" t="str">
        <f>TEXT(Pqp_supermarket_data[[#This Row],[DateTime]],"yyy")</f>
        <v>2022</v>
      </c>
    </row>
    <row r="2972" spans="1:14" x14ac:dyDescent="0.35">
      <c r="A2972" t="s">
        <v>6032</v>
      </c>
      <c r="B2972" s="1">
        <v>45587.247970243057</v>
      </c>
      <c r="C2972" t="s">
        <v>6033</v>
      </c>
      <c r="D2972" t="s">
        <v>77</v>
      </c>
      <c r="E2972" t="s">
        <v>111</v>
      </c>
      <c r="F2972">
        <v>2.2000000000000002</v>
      </c>
      <c r="G2972">
        <v>5</v>
      </c>
      <c r="H2972" t="s">
        <v>14</v>
      </c>
      <c r="I2972" t="s">
        <v>15</v>
      </c>
      <c r="J2972" t="s">
        <v>22</v>
      </c>
      <c r="K2972">
        <f>Pqp_supermarket_data[[#This Row],[Unit_Price]]*Pqp_supermarket_data[[#This Row],[Quantity]]</f>
        <v>11</v>
      </c>
      <c r="L2972" t="str">
        <f>TEXT(Pqp_supermarket_data[[#This Row],[DateTime]],"ddd")</f>
        <v>Tue</v>
      </c>
      <c r="M2972" t="str">
        <f>TEXT(Pqp_supermarket_data[[#This Row],[DateTime]],"mmm")</f>
        <v>Oct</v>
      </c>
      <c r="N2972" t="str">
        <f>TEXT(Pqp_supermarket_data[[#This Row],[DateTime]],"yyy")</f>
        <v>2024</v>
      </c>
    </row>
    <row r="2973" spans="1:14" x14ac:dyDescent="0.35">
      <c r="A2973" t="s">
        <v>6034</v>
      </c>
      <c r="B2973" s="1">
        <v>45050.837553576392</v>
      </c>
      <c r="C2973" t="s">
        <v>6035</v>
      </c>
      <c r="D2973" t="s">
        <v>85</v>
      </c>
      <c r="E2973" t="s">
        <v>53</v>
      </c>
      <c r="F2973">
        <v>2.8</v>
      </c>
      <c r="G2973">
        <v>7</v>
      </c>
      <c r="H2973" t="s">
        <v>14</v>
      </c>
      <c r="I2973" t="s">
        <v>61</v>
      </c>
      <c r="J2973" t="s">
        <v>302</v>
      </c>
      <c r="K2973">
        <f>Pqp_supermarket_data[[#This Row],[Unit_Price]]*Pqp_supermarket_data[[#This Row],[Quantity]]</f>
        <v>19.599999999999998</v>
      </c>
      <c r="L2973" t="str">
        <f>TEXT(Pqp_supermarket_data[[#This Row],[DateTime]],"ddd")</f>
        <v>Thu</v>
      </c>
      <c r="M2973" t="str">
        <f>TEXT(Pqp_supermarket_data[[#This Row],[DateTime]],"mmm")</f>
        <v>May</v>
      </c>
      <c r="N2973" t="str">
        <f>TEXT(Pqp_supermarket_data[[#This Row],[DateTime]],"yyy")</f>
        <v>2023</v>
      </c>
    </row>
    <row r="2974" spans="1:14" x14ac:dyDescent="0.35">
      <c r="A2974" t="s">
        <v>6036</v>
      </c>
      <c r="B2974" s="1">
        <v>45520.272275798612</v>
      </c>
      <c r="C2974" t="s">
        <v>6037</v>
      </c>
      <c r="D2974" t="s">
        <v>208</v>
      </c>
      <c r="E2974" t="s">
        <v>13</v>
      </c>
      <c r="F2974">
        <v>3.1</v>
      </c>
      <c r="G2974">
        <v>2</v>
      </c>
      <c r="H2974" t="s">
        <v>14</v>
      </c>
      <c r="I2974" t="s">
        <v>36</v>
      </c>
      <c r="J2974" t="s">
        <v>267</v>
      </c>
      <c r="K2974">
        <f>Pqp_supermarket_data[[#This Row],[Unit_Price]]*Pqp_supermarket_data[[#This Row],[Quantity]]</f>
        <v>6.2</v>
      </c>
      <c r="L2974" t="str">
        <f>TEXT(Pqp_supermarket_data[[#This Row],[DateTime]],"ddd")</f>
        <v>Fri</v>
      </c>
      <c r="M2974" t="str">
        <f>TEXT(Pqp_supermarket_data[[#This Row],[DateTime]],"mmm")</f>
        <v>Aug</v>
      </c>
      <c r="N2974" t="str">
        <f>TEXT(Pqp_supermarket_data[[#This Row],[DateTime]],"yyy")</f>
        <v>2024</v>
      </c>
    </row>
    <row r="2975" spans="1:14" x14ac:dyDescent="0.35">
      <c r="A2975" t="s">
        <v>6038</v>
      </c>
      <c r="B2975" s="1">
        <v>45467.553525810188</v>
      </c>
      <c r="C2975" t="s">
        <v>6039</v>
      </c>
      <c r="D2975" t="s">
        <v>98</v>
      </c>
      <c r="E2975" t="s">
        <v>137</v>
      </c>
      <c r="F2975">
        <v>2.5</v>
      </c>
      <c r="G2975">
        <v>7</v>
      </c>
      <c r="H2975" t="s">
        <v>14</v>
      </c>
      <c r="I2975" t="s">
        <v>40</v>
      </c>
      <c r="J2975" t="s">
        <v>116</v>
      </c>
      <c r="K2975">
        <f>Pqp_supermarket_data[[#This Row],[Unit_Price]]*Pqp_supermarket_data[[#This Row],[Quantity]]</f>
        <v>17.5</v>
      </c>
      <c r="L2975" t="str">
        <f>TEXT(Pqp_supermarket_data[[#This Row],[DateTime]],"ddd")</f>
        <v>Mon</v>
      </c>
      <c r="M2975" t="str">
        <f>TEXT(Pqp_supermarket_data[[#This Row],[DateTime]],"mmm")</f>
        <v>Jun</v>
      </c>
      <c r="N2975" t="str">
        <f>TEXT(Pqp_supermarket_data[[#This Row],[DateTime]],"yyy")</f>
        <v>2024</v>
      </c>
    </row>
    <row r="2976" spans="1:14" x14ac:dyDescent="0.35">
      <c r="A2976" t="s">
        <v>6040</v>
      </c>
      <c r="B2976" s="1">
        <v>44529.330609155091</v>
      </c>
      <c r="C2976" t="s">
        <v>6041</v>
      </c>
      <c r="D2976" t="s">
        <v>25</v>
      </c>
      <c r="E2976" t="s">
        <v>20</v>
      </c>
      <c r="F2976">
        <v>1</v>
      </c>
      <c r="G2976">
        <v>8</v>
      </c>
      <c r="H2976" t="s">
        <v>14</v>
      </c>
      <c r="I2976" t="s">
        <v>61</v>
      </c>
      <c r="J2976" t="s">
        <v>387</v>
      </c>
      <c r="K2976">
        <f>Pqp_supermarket_data[[#This Row],[Unit_Price]]*Pqp_supermarket_data[[#This Row],[Quantity]]</f>
        <v>8</v>
      </c>
      <c r="L2976" t="str">
        <f>TEXT(Pqp_supermarket_data[[#This Row],[DateTime]],"ddd")</f>
        <v>Mon</v>
      </c>
      <c r="M2976" t="str">
        <f>TEXT(Pqp_supermarket_data[[#This Row],[DateTime]],"mmm")</f>
        <v>Nov</v>
      </c>
      <c r="N2976" t="str">
        <f>TEXT(Pqp_supermarket_data[[#This Row],[DateTime]],"yyy")</f>
        <v>2021</v>
      </c>
    </row>
    <row r="2977" spans="1:14" x14ac:dyDescent="0.35">
      <c r="A2977" t="s">
        <v>6042</v>
      </c>
      <c r="B2977" s="1">
        <v>45445.741025821757</v>
      </c>
      <c r="C2977" t="s">
        <v>6043</v>
      </c>
      <c r="D2977" t="s">
        <v>208</v>
      </c>
      <c r="E2977" t="s">
        <v>70</v>
      </c>
      <c r="F2977">
        <v>5</v>
      </c>
      <c r="G2977">
        <v>2</v>
      </c>
      <c r="H2977" t="s">
        <v>14</v>
      </c>
      <c r="I2977" t="s">
        <v>86</v>
      </c>
      <c r="J2977" t="s">
        <v>22</v>
      </c>
      <c r="K2977">
        <f>Pqp_supermarket_data[[#This Row],[Unit_Price]]*Pqp_supermarket_data[[#This Row],[Quantity]]</f>
        <v>10</v>
      </c>
      <c r="L2977" t="str">
        <f>TEXT(Pqp_supermarket_data[[#This Row],[DateTime]],"ddd")</f>
        <v>Sun</v>
      </c>
      <c r="M2977" t="str">
        <f>TEXT(Pqp_supermarket_data[[#This Row],[DateTime]],"mmm")</f>
        <v>Jun</v>
      </c>
      <c r="N2977" t="str">
        <f>TEXT(Pqp_supermarket_data[[#This Row],[DateTime]],"yyy")</f>
        <v>2024</v>
      </c>
    </row>
    <row r="2978" spans="1:14" x14ac:dyDescent="0.35">
      <c r="A2978" t="s">
        <v>6044</v>
      </c>
      <c r="B2978" s="1">
        <v>44577.541720277775</v>
      </c>
      <c r="C2978" t="s">
        <v>6045</v>
      </c>
      <c r="D2978" t="s">
        <v>25</v>
      </c>
      <c r="E2978" t="s">
        <v>111</v>
      </c>
      <c r="F2978">
        <v>2.2000000000000002</v>
      </c>
      <c r="G2978">
        <v>3</v>
      </c>
      <c r="H2978" t="s">
        <v>14</v>
      </c>
      <c r="I2978" t="s">
        <v>61</v>
      </c>
      <c r="J2978" t="s">
        <v>716</v>
      </c>
      <c r="K2978">
        <f>Pqp_supermarket_data[[#This Row],[Unit_Price]]*Pqp_supermarket_data[[#This Row],[Quantity]]</f>
        <v>6.6000000000000005</v>
      </c>
      <c r="L2978" t="str">
        <f>TEXT(Pqp_supermarket_data[[#This Row],[DateTime]],"ddd")</f>
        <v>Sun</v>
      </c>
      <c r="M2978" t="str">
        <f>TEXT(Pqp_supermarket_data[[#This Row],[DateTime]],"mmm")</f>
        <v>Jan</v>
      </c>
      <c r="N2978" t="str">
        <f>TEXT(Pqp_supermarket_data[[#This Row],[DateTime]],"yyy")</f>
        <v>2022</v>
      </c>
    </row>
    <row r="2979" spans="1:14" x14ac:dyDescent="0.35">
      <c r="A2979" t="s">
        <v>6046</v>
      </c>
      <c r="B2979" s="1">
        <v>44455.420192511578</v>
      </c>
      <c r="C2979" t="s">
        <v>6047</v>
      </c>
      <c r="D2979" t="s">
        <v>44</v>
      </c>
      <c r="E2979" t="s">
        <v>13</v>
      </c>
      <c r="F2979">
        <v>3.1</v>
      </c>
      <c r="G2979">
        <v>3</v>
      </c>
      <c r="H2979" t="s">
        <v>14</v>
      </c>
      <c r="I2979" t="s">
        <v>36</v>
      </c>
      <c r="J2979" t="s">
        <v>134</v>
      </c>
      <c r="K2979">
        <f>Pqp_supermarket_data[[#This Row],[Unit_Price]]*Pqp_supermarket_data[[#This Row],[Quantity]]</f>
        <v>9.3000000000000007</v>
      </c>
      <c r="L2979" t="str">
        <f>TEXT(Pqp_supermarket_data[[#This Row],[DateTime]],"ddd")</f>
        <v>Thu</v>
      </c>
      <c r="M2979" t="str">
        <f>TEXT(Pqp_supermarket_data[[#This Row],[DateTime]],"mmm")</f>
        <v>Sep</v>
      </c>
      <c r="N2979" t="str">
        <f>TEXT(Pqp_supermarket_data[[#This Row],[DateTime]],"yyy")</f>
        <v>2021</v>
      </c>
    </row>
    <row r="2980" spans="1:14" x14ac:dyDescent="0.35">
      <c r="A2980" t="s">
        <v>6048</v>
      </c>
      <c r="B2980" s="1">
        <v>44472.550053634259</v>
      </c>
      <c r="C2980" t="s">
        <v>6049</v>
      </c>
      <c r="D2980" t="s">
        <v>12</v>
      </c>
      <c r="E2980" t="s">
        <v>57</v>
      </c>
      <c r="F2980">
        <v>4.5</v>
      </c>
      <c r="G2980">
        <v>1</v>
      </c>
      <c r="H2980" t="s">
        <v>14</v>
      </c>
      <c r="I2980" t="s">
        <v>15</v>
      </c>
      <c r="J2980" t="s">
        <v>387</v>
      </c>
      <c r="K2980">
        <f>Pqp_supermarket_data[[#This Row],[Unit_Price]]*Pqp_supermarket_data[[#This Row],[Quantity]]</f>
        <v>4.5</v>
      </c>
      <c r="L2980" t="str">
        <f>TEXT(Pqp_supermarket_data[[#This Row],[DateTime]],"ddd")</f>
        <v>Sun</v>
      </c>
      <c r="M2980" t="str">
        <f>TEXT(Pqp_supermarket_data[[#This Row],[DateTime]],"mmm")</f>
        <v>Oct</v>
      </c>
      <c r="N2980" t="str">
        <f>TEXT(Pqp_supermarket_data[[#This Row],[DateTime]],"yyy")</f>
        <v>2021</v>
      </c>
    </row>
    <row r="2981" spans="1:14" x14ac:dyDescent="0.35">
      <c r="A2981" t="s">
        <v>6050</v>
      </c>
      <c r="B2981" s="1">
        <v>45531.532692523149</v>
      </c>
      <c r="C2981" t="s">
        <v>6051</v>
      </c>
      <c r="D2981" t="s">
        <v>44</v>
      </c>
      <c r="E2981" t="s">
        <v>49</v>
      </c>
      <c r="F2981">
        <v>7</v>
      </c>
      <c r="G2981">
        <v>8</v>
      </c>
      <c r="H2981" t="s">
        <v>14</v>
      </c>
      <c r="I2981" t="s">
        <v>21</v>
      </c>
      <c r="J2981" t="s">
        <v>426</v>
      </c>
      <c r="K2981">
        <f>Pqp_supermarket_data[[#This Row],[Unit_Price]]*Pqp_supermarket_data[[#This Row],[Quantity]]</f>
        <v>56</v>
      </c>
      <c r="L2981" t="str">
        <f>TEXT(Pqp_supermarket_data[[#This Row],[DateTime]],"ddd")</f>
        <v>Tue</v>
      </c>
      <c r="M2981" t="str">
        <f>TEXT(Pqp_supermarket_data[[#This Row],[DateTime]],"mmm")</f>
        <v>Aug</v>
      </c>
      <c r="N2981" t="str">
        <f>TEXT(Pqp_supermarket_data[[#This Row],[DateTime]],"yyy")</f>
        <v>2024</v>
      </c>
    </row>
    <row r="2982" spans="1:14" x14ac:dyDescent="0.35">
      <c r="A2982" t="s">
        <v>6052</v>
      </c>
      <c r="B2982" s="1">
        <v>44475.960470312501</v>
      </c>
      <c r="C2982" t="s">
        <v>6053</v>
      </c>
      <c r="D2982" t="s">
        <v>82</v>
      </c>
      <c r="E2982" t="s">
        <v>57</v>
      </c>
      <c r="F2982">
        <v>4.5</v>
      </c>
      <c r="G2982">
        <v>10</v>
      </c>
      <c r="H2982" t="s">
        <v>14</v>
      </c>
      <c r="I2982" t="s">
        <v>40</v>
      </c>
      <c r="J2982" t="s">
        <v>186</v>
      </c>
      <c r="K2982">
        <f>Pqp_supermarket_data[[#This Row],[Unit_Price]]*Pqp_supermarket_data[[#This Row],[Quantity]]</f>
        <v>45</v>
      </c>
      <c r="L2982" t="str">
        <f>TEXT(Pqp_supermarket_data[[#This Row],[DateTime]],"ddd")</f>
        <v>Wed</v>
      </c>
      <c r="M2982" t="str">
        <f>TEXT(Pqp_supermarket_data[[#This Row],[DateTime]],"mmm")</f>
        <v>Oct</v>
      </c>
      <c r="N2982" t="str">
        <f>TEXT(Pqp_supermarket_data[[#This Row],[DateTime]],"yyy")</f>
        <v>2021</v>
      </c>
    </row>
    <row r="2983" spans="1:14" x14ac:dyDescent="0.35">
      <c r="A2983" t="s">
        <v>6054</v>
      </c>
      <c r="B2983" s="1">
        <v>44879.779914756946</v>
      </c>
      <c r="C2983" t="s">
        <v>6055</v>
      </c>
      <c r="D2983" t="s">
        <v>226</v>
      </c>
      <c r="E2983" t="s">
        <v>53</v>
      </c>
      <c r="F2983">
        <v>2.8</v>
      </c>
      <c r="G2983">
        <v>6</v>
      </c>
      <c r="H2983" t="s">
        <v>14</v>
      </c>
      <c r="I2983" t="s">
        <v>61</v>
      </c>
      <c r="J2983" t="s">
        <v>22</v>
      </c>
      <c r="K2983">
        <f>Pqp_supermarket_data[[#This Row],[Unit_Price]]*Pqp_supermarket_data[[#This Row],[Quantity]]</f>
        <v>16.799999999999997</v>
      </c>
      <c r="L2983" t="str">
        <f>TEXT(Pqp_supermarket_data[[#This Row],[DateTime]],"ddd")</f>
        <v>Mon</v>
      </c>
      <c r="M2983" t="str">
        <f>TEXT(Pqp_supermarket_data[[#This Row],[DateTime]],"mmm")</f>
        <v>Nov</v>
      </c>
      <c r="N2983" t="str">
        <f>TEXT(Pqp_supermarket_data[[#This Row],[DateTime]],"yyy")</f>
        <v>2022</v>
      </c>
    </row>
    <row r="2984" spans="1:14" x14ac:dyDescent="0.35">
      <c r="A2984" t="s">
        <v>6056</v>
      </c>
      <c r="B2984" s="1">
        <v>45433.256998101853</v>
      </c>
      <c r="C2984" t="s">
        <v>6057</v>
      </c>
      <c r="D2984" t="s">
        <v>98</v>
      </c>
      <c r="E2984" t="s">
        <v>148</v>
      </c>
      <c r="F2984">
        <v>5.5</v>
      </c>
      <c r="G2984">
        <v>3</v>
      </c>
      <c r="H2984" t="s">
        <v>14</v>
      </c>
      <c r="I2984" t="s">
        <v>61</v>
      </c>
      <c r="J2984" t="s">
        <v>311</v>
      </c>
      <c r="K2984">
        <f>Pqp_supermarket_data[[#This Row],[Unit_Price]]*Pqp_supermarket_data[[#This Row],[Quantity]]</f>
        <v>16.5</v>
      </c>
      <c r="L2984" t="str">
        <f>TEXT(Pqp_supermarket_data[[#This Row],[DateTime]],"ddd")</f>
        <v>Tue</v>
      </c>
      <c r="M2984" t="str">
        <f>TEXT(Pqp_supermarket_data[[#This Row],[DateTime]],"mmm")</f>
        <v>May</v>
      </c>
      <c r="N2984" t="str">
        <f>TEXT(Pqp_supermarket_data[[#This Row],[DateTime]],"yyy")</f>
        <v>2024</v>
      </c>
    </row>
    <row r="2985" spans="1:14" x14ac:dyDescent="0.35">
      <c r="A2985" t="s">
        <v>6058</v>
      </c>
      <c r="B2985" s="1">
        <v>44897.554914768516</v>
      </c>
      <c r="C2985" t="s">
        <v>6059</v>
      </c>
      <c r="D2985" t="s">
        <v>208</v>
      </c>
      <c r="E2985" t="s">
        <v>20</v>
      </c>
      <c r="F2985">
        <v>1</v>
      </c>
      <c r="G2985">
        <v>1</v>
      </c>
      <c r="H2985" t="s">
        <v>14</v>
      </c>
      <c r="I2985" t="s">
        <v>40</v>
      </c>
      <c r="J2985" t="s">
        <v>138</v>
      </c>
      <c r="K2985">
        <f>Pqp_supermarket_data[[#This Row],[Unit_Price]]*Pqp_supermarket_data[[#This Row],[Quantity]]</f>
        <v>1</v>
      </c>
      <c r="L2985" t="str">
        <f>TEXT(Pqp_supermarket_data[[#This Row],[DateTime]],"ddd")</f>
        <v>Fri</v>
      </c>
      <c r="M2985" t="str">
        <f>TEXT(Pqp_supermarket_data[[#This Row],[DateTime]],"mmm")</f>
        <v>Dec</v>
      </c>
      <c r="N2985" t="str">
        <f>TEXT(Pqp_supermarket_data[[#This Row],[DateTime]],"yyy")</f>
        <v>2022</v>
      </c>
    </row>
    <row r="2986" spans="1:14" x14ac:dyDescent="0.35">
      <c r="A2986" t="s">
        <v>6060</v>
      </c>
      <c r="B2986" s="1">
        <v>45535.509081435186</v>
      </c>
      <c r="C2986" t="s">
        <v>6061</v>
      </c>
      <c r="D2986" t="s">
        <v>208</v>
      </c>
      <c r="E2986" t="s">
        <v>145</v>
      </c>
      <c r="F2986">
        <v>1.7</v>
      </c>
      <c r="G2986">
        <v>9</v>
      </c>
      <c r="H2986" t="s">
        <v>14</v>
      </c>
      <c r="I2986" t="s">
        <v>15</v>
      </c>
      <c r="J2986" t="s">
        <v>58</v>
      </c>
      <c r="K2986">
        <f>Pqp_supermarket_data[[#This Row],[Unit_Price]]*Pqp_supermarket_data[[#This Row],[Quantity]]</f>
        <v>15.299999999999999</v>
      </c>
      <c r="L2986" t="str">
        <f>TEXT(Pqp_supermarket_data[[#This Row],[DateTime]],"ddd")</f>
        <v>Sat</v>
      </c>
      <c r="M2986" t="str">
        <f>TEXT(Pqp_supermarket_data[[#This Row],[DateTime]],"mmm")</f>
        <v>Aug</v>
      </c>
      <c r="N2986" t="str">
        <f>TEXT(Pqp_supermarket_data[[#This Row],[DateTime]],"yyy")</f>
        <v>2024</v>
      </c>
    </row>
    <row r="2987" spans="1:14" x14ac:dyDescent="0.35">
      <c r="A2987" t="s">
        <v>6062</v>
      </c>
      <c r="B2987" s="1">
        <v>44866.047970335647</v>
      </c>
      <c r="C2987" t="s">
        <v>6063</v>
      </c>
      <c r="D2987" t="s">
        <v>226</v>
      </c>
      <c r="E2987" t="s">
        <v>65</v>
      </c>
      <c r="F2987">
        <v>3</v>
      </c>
      <c r="G2987">
        <v>8</v>
      </c>
      <c r="H2987" t="s">
        <v>14</v>
      </c>
      <c r="I2987" t="s">
        <v>15</v>
      </c>
      <c r="J2987" t="s">
        <v>22</v>
      </c>
      <c r="K2987">
        <f>Pqp_supermarket_data[[#This Row],[Unit_Price]]*Pqp_supermarket_data[[#This Row],[Quantity]]</f>
        <v>24</v>
      </c>
      <c r="L2987" t="str">
        <f>TEXT(Pqp_supermarket_data[[#This Row],[DateTime]],"ddd")</f>
        <v>Tue</v>
      </c>
      <c r="M2987" t="str">
        <f>TEXT(Pqp_supermarket_data[[#This Row],[DateTime]],"mmm")</f>
        <v>Nov</v>
      </c>
      <c r="N2987" t="str">
        <f>TEXT(Pqp_supermarket_data[[#This Row],[DateTime]],"yyy")</f>
        <v>2022</v>
      </c>
    </row>
    <row r="2988" spans="1:14" x14ac:dyDescent="0.35">
      <c r="A2988" t="s">
        <v>6064</v>
      </c>
      <c r="B2988" s="1">
        <v>44729.494498113425</v>
      </c>
      <c r="C2988" t="s">
        <v>6065</v>
      </c>
      <c r="D2988" t="s">
        <v>208</v>
      </c>
      <c r="E2988" t="s">
        <v>90</v>
      </c>
      <c r="F2988">
        <v>1.8</v>
      </c>
      <c r="G2988">
        <v>2</v>
      </c>
      <c r="H2988" t="s">
        <v>14</v>
      </c>
      <c r="I2988" t="s">
        <v>36</v>
      </c>
      <c r="J2988" t="s">
        <v>178</v>
      </c>
      <c r="K2988">
        <f>Pqp_supermarket_data[[#This Row],[Unit_Price]]*Pqp_supermarket_data[[#This Row],[Quantity]]</f>
        <v>3.6</v>
      </c>
      <c r="L2988" t="str">
        <f>TEXT(Pqp_supermarket_data[[#This Row],[DateTime]],"ddd")</f>
        <v>Fri</v>
      </c>
      <c r="M2988" t="str">
        <f>TEXT(Pqp_supermarket_data[[#This Row],[DateTime]],"mmm")</f>
        <v>Jun</v>
      </c>
      <c r="N2988" t="str">
        <f>TEXT(Pqp_supermarket_data[[#This Row],[DateTime]],"yyy")</f>
        <v>2022</v>
      </c>
    </row>
    <row r="2989" spans="1:14" x14ac:dyDescent="0.35">
      <c r="A2989" t="s">
        <v>6066</v>
      </c>
      <c r="B2989" s="1">
        <v>45035.972275902779</v>
      </c>
      <c r="C2989" t="s">
        <v>2068</v>
      </c>
      <c r="D2989" t="s">
        <v>69</v>
      </c>
      <c r="E2989" t="s">
        <v>119</v>
      </c>
      <c r="F2989">
        <v>4</v>
      </c>
      <c r="G2989">
        <v>1</v>
      </c>
      <c r="H2989" t="s">
        <v>14</v>
      </c>
      <c r="I2989" t="s">
        <v>36</v>
      </c>
      <c r="J2989" t="s">
        <v>192</v>
      </c>
      <c r="K2989">
        <f>Pqp_supermarket_data[[#This Row],[Unit_Price]]*Pqp_supermarket_data[[#This Row],[Quantity]]</f>
        <v>4</v>
      </c>
      <c r="L2989" t="str">
        <f>TEXT(Pqp_supermarket_data[[#This Row],[DateTime]],"ddd")</f>
        <v>Wed</v>
      </c>
      <c r="M2989" t="str">
        <f>TEXT(Pqp_supermarket_data[[#This Row],[DateTime]],"mmm")</f>
        <v>Apr</v>
      </c>
      <c r="N2989" t="str">
        <f>TEXT(Pqp_supermarket_data[[#This Row],[DateTime]],"yyy")</f>
        <v>2023</v>
      </c>
    </row>
    <row r="2990" spans="1:14" x14ac:dyDescent="0.35">
      <c r="A2990" t="s">
        <v>6067</v>
      </c>
      <c r="B2990" s="1">
        <v>45084.641025902776</v>
      </c>
      <c r="C2990" t="s">
        <v>6068</v>
      </c>
      <c r="D2990" t="s">
        <v>98</v>
      </c>
      <c r="E2990" t="s">
        <v>65</v>
      </c>
      <c r="F2990">
        <v>3</v>
      </c>
      <c r="G2990">
        <v>4</v>
      </c>
      <c r="H2990" t="s">
        <v>14</v>
      </c>
      <c r="I2990" t="s">
        <v>21</v>
      </c>
      <c r="J2990" t="s">
        <v>436</v>
      </c>
      <c r="K2990">
        <f>Pqp_supermarket_data[[#This Row],[Unit_Price]]*Pqp_supermarket_data[[#This Row],[Quantity]]</f>
        <v>12</v>
      </c>
      <c r="L2990" t="str">
        <f>TEXT(Pqp_supermarket_data[[#This Row],[DateTime]],"ddd")</f>
        <v>Wed</v>
      </c>
      <c r="M2990" t="str">
        <f>TEXT(Pqp_supermarket_data[[#This Row],[DateTime]],"mmm")</f>
        <v>Jun</v>
      </c>
      <c r="N2990" t="str">
        <f>TEXT(Pqp_supermarket_data[[#This Row],[DateTime]],"yyy")</f>
        <v>2023</v>
      </c>
    </row>
    <row r="2991" spans="1:14" x14ac:dyDescent="0.35">
      <c r="A2991" t="s">
        <v>6069</v>
      </c>
      <c r="B2991" s="1">
        <v>44949.972275902779</v>
      </c>
      <c r="C2991" t="s">
        <v>6070</v>
      </c>
      <c r="D2991" t="s">
        <v>25</v>
      </c>
      <c r="E2991" t="s">
        <v>137</v>
      </c>
      <c r="F2991">
        <v>2.5</v>
      </c>
      <c r="G2991">
        <v>8</v>
      </c>
      <c r="H2991" t="s">
        <v>14</v>
      </c>
      <c r="I2991" t="s">
        <v>36</v>
      </c>
      <c r="J2991" t="s">
        <v>496</v>
      </c>
      <c r="K2991">
        <f>Pqp_supermarket_data[[#This Row],[Unit_Price]]*Pqp_supermarket_data[[#This Row],[Quantity]]</f>
        <v>20</v>
      </c>
      <c r="L2991" t="str">
        <f>TEXT(Pqp_supermarket_data[[#This Row],[DateTime]],"ddd")</f>
        <v>Mon</v>
      </c>
      <c r="M2991" t="str">
        <f>TEXT(Pqp_supermarket_data[[#This Row],[DateTime]],"mmm")</f>
        <v>Jan</v>
      </c>
      <c r="N2991" t="str">
        <f>TEXT(Pqp_supermarket_data[[#This Row],[DateTime]],"yyy")</f>
        <v>2023</v>
      </c>
    </row>
    <row r="2992" spans="1:14" x14ac:dyDescent="0.35">
      <c r="A2992" t="s">
        <v>6071</v>
      </c>
      <c r="B2992" s="1">
        <v>45106.474359247688</v>
      </c>
      <c r="C2992" t="s">
        <v>6072</v>
      </c>
      <c r="D2992" t="s">
        <v>34</v>
      </c>
      <c r="E2992" t="s">
        <v>57</v>
      </c>
      <c r="F2992">
        <v>4.5</v>
      </c>
      <c r="G2992">
        <v>6</v>
      </c>
      <c r="H2992" t="s">
        <v>14</v>
      </c>
      <c r="I2992" t="s">
        <v>21</v>
      </c>
      <c r="J2992" t="s">
        <v>339</v>
      </c>
      <c r="K2992">
        <f>Pqp_supermarket_data[[#This Row],[Unit_Price]]*Pqp_supermarket_data[[#This Row],[Quantity]]</f>
        <v>27</v>
      </c>
      <c r="L2992" t="str">
        <f>TEXT(Pqp_supermarket_data[[#This Row],[DateTime]],"ddd")</f>
        <v>Thu</v>
      </c>
      <c r="M2992" t="str">
        <f>TEXT(Pqp_supermarket_data[[#This Row],[DateTime]],"mmm")</f>
        <v>Jun</v>
      </c>
      <c r="N2992" t="str">
        <f>TEXT(Pqp_supermarket_data[[#This Row],[DateTime]],"yyy")</f>
        <v>2023</v>
      </c>
    </row>
    <row r="2993" spans="1:14" x14ac:dyDescent="0.35">
      <c r="A2993" t="s">
        <v>6073</v>
      </c>
      <c r="B2993" s="1">
        <v>44779.176442581018</v>
      </c>
      <c r="C2993" t="s">
        <v>6074</v>
      </c>
      <c r="D2993" t="s">
        <v>226</v>
      </c>
      <c r="E2993" t="s">
        <v>49</v>
      </c>
      <c r="F2993">
        <v>7</v>
      </c>
      <c r="G2993">
        <v>3</v>
      </c>
      <c r="H2993" t="s">
        <v>14</v>
      </c>
      <c r="I2993" t="s">
        <v>40</v>
      </c>
      <c r="J2993" t="s">
        <v>54</v>
      </c>
      <c r="K2993">
        <f>Pqp_supermarket_data[[#This Row],[Unit_Price]]*Pqp_supermarket_data[[#This Row],[Quantity]]</f>
        <v>21</v>
      </c>
      <c r="L2993" t="str">
        <f>TEXT(Pqp_supermarket_data[[#This Row],[DateTime]],"ddd")</f>
        <v>Sat</v>
      </c>
      <c r="M2993" t="str">
        <f>TEXT(Pqp_supermarket_data[[#This Row],[DateTime]],"mmm")</f>
        <v>Aug</v>
      </c>
      <c r="N2993" t="str">
        <f>TEXT(Pqp_supermarket_data[[#This Row],[DateTime]],"yyy")</f>
        <v>2022</v>
      </c>
    </row>
    <row r="2994" spans="1:14" x14ac:dyDescent="0.35">
      <c r="A2994" t="s">
        <v>6075</v>
      </c>
      <c r="B2994" s="1">
        <v>45384.559081481479</v>
      </c>
      <c r="C2994" t="s">
        <v>6076</v>
      </c>
      <c r="D2994" t="s">
        <v>171</v>
      </c>
      <c r="E2994" t="s">
        <v>145</v>
      </c>
      <c r="F2994">
        <v>1.7</v>
      </c>
      <c r="G2994">
        <v>3</v>
      </c>
      <c r="H2994" t="s">
        <v>14</v>
      </c>
      <c r="I2994" t="s">
        <v>61</v>
      </c>
      <c r="J2994" t="s">
        <v>183</v>
      </c>
      <c r="K2994">
        <f>Pqp_supermarket_data[[#This Row],[Unit_Price]]*Pqp_supermarket_data[[#This Row],[Quantity]]</f>
        <v>5.0999999999999996</v>
      </c>
      <c r="L2994" t="str">
        <f>TEXT(Pqp_supermarket_data[[#This Row],[DateTime]],"ddd")</f>
        <v>Tue</v>
      </c>
      <c r="M2994" t="str">
        <f>TEXT(Pqp_supermarket_data[[#This Row],[DateTime]],"mmm")</f>
        <v>Apr</v>
      </c>
      <c r="N2994" t="str">
        <f>TEXT(Pqp_supermarket_data[[#This Row],[DateTime]],"yyy")</f>
        <v>2024</v>
      </c>
    </row>
    <row r="2995" spans="1:14" x14ac:dyDescent="0.35">
      <c r="A2995" t="s">
        <v>6077</v>
      </c>
      <c r="B2995" s="1">
        <v>44704.669498171294</v>
      </c>
      <c r="C2995" t="s">
        <v>6078</v>
      </c>
      <c r="D2995" t="s">
        <v>98</v>
      </c>
      <c r="E2995" t="s">
        <v>145</v>
      </c>
      <c r="F2995">
        <v>1.7</v>
      </c>
      <c r="G2995">
        <v>7</v>
      </c>
      <c r="H2995" t="s">
        <v>14</v>
      </c>
      <c r="I2995" t="s">
        <v>21</v>
      </c>
      <c r="J2995" t="s">
        <v>364</v>
      </c>
      <c r="K2995">
        <f>Pqp_supermarket_data[[#This Row],[Unit_Price]]*Pqp_supermarket_data[[#This Row],[Quantity]]</f>
        <v>11.9</v>
      </c>
      <c r="L2995" t="str">
        <f>TEXT(Pqp_supermarket_data[[#This Row],[DateTime]],"ddd")</f>
        <v>Mon</v>
      </c>
      <c r="M2995" t="str">
        <f>TEXT(Pqp_supermarket_data[[#This Row],[DateTime]],"mmm")</f>
        <v>May</v>
      </c>
      <c r="N2995" t="str">
        <f>TEXT(Pqp_supermarket_data[[#This Row],[DateTime]],"yyy")</f>
        <v>2022</v>
      </c>
    </row>
    <row r="2996" spans="1:14" x14ac:dyDescent="0.35">
      <c r="A2996" t="s">
        <v>6079</v>
      </c>
      <c r="B2996" s="1">
        <v>44770.550748182868</v>
      </c>
      <c r="C2996" t="s">
        <v>6080</v>
      </c>
      <c r="D2996" t="s">
        <v>77</v>
      </c>
      <c r="E2996" t="s">
        <v>20</v>
      </c>
      <c r="F2996">
        <v>1</v>
      </c>
      <c r="G2996">
        <v>1</v>
      </c>
      <c r="H2996" t="s">
        <v>14</v>
      </c>
      <c r="I2996" t="s">
        <v>61</v>
      </c>
      <c r="J2996" t="s">
        <v>485</v>
      </c>
      <c r="K2996">
        <f>Pqp_supermarket_data[[#This Row],[Unit_Price]]*Pqp_supermarket_data[[#This Row],[Quantity]]</f>
        <v>1</v>
      </c>
      <c r="L2996" t="str">
        <f>TEXT(Pqp_supermarket_data[[#This Row],[DateTime]],"ddd")</f>
        <v>Thu</v>
      </c>
      <c r="M2996" t="str">
        <f>TEXT(Pqp_supermarket_data[[#This Row],[DateTime]],"mmm")</f>
        <v>Jul</v>
      </c>
      <c r="N2996" t="str">
        <f>TEXT(Pqp_supermarket_data[[#This Row],[DateTime]],"yyy")</f>
        <v>2022</v>
      </c>
    </row>
    <row r="2997" spans="1:14" x14ac:dyDescent="0.35">
      <c r="A2997" t="s">
        <v>6081</v>
      </c>
      <c r="B2997" s="1">
        <v>44412.283387094911</v>
      </c>
      <c r="C2997" t="s">
        <v>6082</v>
      </c>
      <c r="D2997" t="s">
        <v>82</v>
      </c>
      <c r="E2997" t="s">
        <v>94</v>
      </c>
      <c r="F2997">
        <v>0.8</v>
      </c>
      <c r="G2997">
        <v>8</v>
      </c>
      <c r="H2997" t="s">
        <v>14</v>
      </c>
      <c r="I2997" t="s">
        <v>61</v>
      </c>
      <c r="J2997" t="s">
        <v>236</v>
      </c>
      <c r="K2997">
        <f>Pqp_supermarket_data[[#This Row],[Unit_Price]]*Pqp_supermarket_data[[#This Row],[Quantity]]</f>
        <v>6.4</v>
      </c>
      <c r="L2997" t="str">
        <f>TEXT(Pqp_supermarket_data[[#This Row],[DateTime]],"ddd")</f>
        <v>Wed</v>
      </c>
      <c r="M2997" t="str">
        <f>TEXT(Pqp_supermarket_data[[#This Row],[DateTime]],"mmm")</f>
        <v>Aug</v>
      </c>
      <c r="N2997" t="str">
        <f>TEXT(Pqp_supermarket_data[[#This Row],[DateTime]],"yyy")</f>
        <v>2021</v>
      </c>
    </row>
    <row r="2998" spans="1:14" x14ac:dyDescent="0.35">
      <c r="A2998" t="s">
        <v>6083</v>
      </c>
      <c r="B2998" s="1">
        <v>44979.981998229166</v>
      </c>
      <c r="C2998" t="s">
        <v>6084</v>
      </c>
      <c r="D2998" t="s">
        <v>69</v>
      </c>
      <c r="E2998" t="s">
        <v>65</v>
      </c>
      <c r="F2998">
        <v>3</v>
      </c>
      <c r="G2998">
        <v>6</v>
      </c>
      <c r="H2998" t="s">
        <v>14</v>
      </c>
      <c r="I2998" t="s">
        <v>21</v>
      </c>
      <c r="J2998" t="s">
        <v>95</v>
      </c>
      <c r="K2998">
        <f>Pqp_supermarket_data[[#This Row],[Unit_Price]]*Pqp_supermarket_data[[#This Row],[Quantity]]</f>
        <v>18</v>
      </c>
      <c r="L2998" t="str">
        <f>TEXT(Pqp_supermarket_data[[#This Row],[DateTime]],"ddd")</f>
        <v>Wed</v>
      </c>
      <c r="M2998" t="str">
        <f>TEXT(Pqp_supermarket_data[[#This Row],[DateTime]],"mmm")</f>
        <v>Feb</v>
      </c>
      <c r="N2998" t="str">
        <f>TEXT(Pqp_supermarket_data[[#This Row],[DateTime]],"yyy")</f>
        <v>2023</v>
      </c>
    </row>
    <row r="2999" spans="1:14" x14ac:dyDescent="0.35">
      <c r="A2999" t="s">
        <v>6085</v>
      </c>
      <c r="B2999" s="1">
        <v>44712.23130378472</v>
      </c>
      <c r="C2999" t="s">
        <v>6086</v>
      </c>
      <c r="D2999" t="s">
        <v>69</v>
      </c>
      <c r="E2999" t="s">
        <v>115</v>
      </c>
      <c r="F2999">
        <v>1.5</v>
      </c>
      <c r="G2999">
        <v>1</v>
      </c>
      <c r="H2999" t="s">
        <v>14</v>
      </c>
      <c r="I2999" t="s">
        <v>40</v>
      </c>
      <c r="J2999" t="s">
        <v>387</v>
      </c>
      <c r="K2999">
        <f>Pqp_supermarket_data[[#This Row],[Unit_Price]]*Pqp_supermarket_data[[#This Row],[Quantity]]</f>
        <v>1.5</v>
      </c>
      <c r="L2999" t="str">
        <f>TEXT(Pqp_supermarket_data[[#This Row],[DateTime]],"ddd")</f>
        <v>Tue</v>
      </c>
      <c r="M2999" t="str">
        <f>TEXT(Pqp_supermarket_data[[#This Row],[DateTime]],"mmm")</f>
        <v>May</v>
      </c>
      <c r="N2999" t="str">
        <f>TEXT(Pqp_supermarket_data[[#This Row],[DateTime]],"yyy")</f>
        <v>2022</v>
      </c>
    </row>
    <row r="3000" spans="1:14" x14ac:dyDescent="0.35">
      <c r="A3000" t="s">
        <v>6087</v>
      </c>
      <c r="B3000" s="1">
        <v>45242.041720462963</v>
      </c>
      <c r="C3000" t="s">
        <v>6088</v>
      </c>
      <c r="D3000" t="s">
        <v>82</v>
      </c>
      <c r="E3000" t="s">
        <v>148</v>
      </c>
      <c r="F3000">
        <v>5.5</v>
      </c>
      <c r="G3000">
        <v>5</v>
      </c>
      <c r="H3000" t="s">
        <v>14</v>
      </c>
      <c r="I3000" t="s">
        <v>61</v>
      </c>
      <c r="J3000" t="s">
        <v>134</v>
      </c>
      <c r="K3000">
        <f>Pqp_supermarket_data[[#This Row],[Unit_Price]]*Pqp_supermarket_data[[#This Row],[Quantity]]</f>
        <v>27.5</v>
      </c>
      <c r="L3000" t="str">
        <f>TEXT(Pqp_supermarket_data[[#This Row],[DateTime]],"ddd")</f>
        <v>Sun</v>
      </c>
      <c r="M3000" t="str">
        <f>TEXT(Pqp_supermarket_data[[#This Row],[DateTime]],"mmm")</f>
        <v>Nov</v>
      </c>
      <c r="N3000" t="str">
        <f>TEXT(Pqp_supermarket_data[[#This Row],[DateTime]],"yyy")</f>
        <v>2023</v>
      </c>
    </row>
    <row r="3001" spans="1:14" x14ac:dyDescent="0.35">
      <c r="A3001" t="s">
        <v>6089</v>
      </c>
      <c r="B3001" s="1">
        <v>44580.526442685186</v>
      </c>
      <c r="C3001" t="s">
        <v>6090</v>
      </c>
      <c r="D3001" t="s">
        <v>77</v>
      </c>
      <c r="E3001" t="s">
        <v>148</v>
      </c>
      <c r="F3001">
        <v>5.5</v>
      </c>
      <c r="G3001">
        <v>1</v>
      </c>
      <c r="H3001" t="s">
        <v>14</v>
      </c>
      <c r="I3001" t="s">
        <v>86</v>
      </c>
      <c r="J3001" t="s">
        <v>131</v>
      </c>
      <c r="K3001">
        <f>Pqp_supermarket_data[[#This Row],[Unit_Price]]*Pqp_supermarket_data[[#This Row],[Quantity]]</f>
        <v>5.5</v>
      </c>
      <c r="L3001" t="str">
        <f>TEXT(Pqp_supermarket_data[[#This Row],[DateTime]],"ddd")</f>
        <v>Wed</v>
      </c>
      <c r="M3001" t="str">
        <f>TEXT(Pqp_supermarket_data[[#This Row],[DateTime]],"mmm")</f>
        <v>Jan</v>
      </c>
      <c r="N3001" t="str">
        <f>TEXT(Pqp_supermarket_data[[#This Row],[DateTime]],"yyy")</f>
        <v>2022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598D73-8A4E-4847-B921-85E2141DB2C7}">
  <sheetPr>
    <tabColor theme="4" tint="0.59999389629810485"/>
  </sheetPr>
  <dimension ref="A2:N1990"/>
  <sheetViews>
    <sheetView workbookViewId="0">
      <selection activeCell="M3" sqref="M3"/>
    </sheetView>
  </sheetViews>
  <sheetFormatPr defaultRowHeight="14.5" x14ac:dyDescent="0.35"/>
  <cols>
    <col min="1" max="1" width="22.54296875" bestFit="1" customWidth="1"/>
    <col min="5" max="5" width="12.36328125" bestFit="1" customWidth="1"/>
    <col min="9" max="9" width="14.36328125" bestFit="1" customWidth="1"/>
    <col min="11" max="11" width="14.54296875" bestFit="1" customWidth="1"/>
    <col min="13" max="13" width="12.36328125" bestFit="1" customWidth="1"/>
  </cols>
  <sheetData>
    <row r="2" spans="1:14" x14ac:dyDescent="0.35">
      <c r="A2" s="2" t="s">
        <v>6095</v>
      </c>
      <c r="E2" s="2" t="s">
        <v>6095</v>
      </c>
      <c r="I2" t="s">
        <v>6099</v>
      </c>
      <c r="K2" t="s">
        <v>6098</v>
      </c>
      <c r="M2" s="2" t="s">
        <v>6095</v>
      </c>
    </row>
    <row r="3" spans="1:14" x14ac:dyDescent="0.35">
      <c r="A3" s="3" t="s">
        <v>2635</v>
      </c>
      <c r="C3">
        <f>COUNTA(A3:A2941)</f>
        <v>1964</v>
      </c>
      <c r="E3" s="3" t="s">
        <v>10</v>
      </c>
      <c r="G3">
        <f>COUNTA(E3:E3002)</f>
        <v>1988</v>
      </c>
      <c r="I3">
        <v>32837.199999999983</v>
      </c>
      <c r="K3">
        <v>11198</v>
      </c>
      <c r="M3" s="3" t="s">
        <v>25</v>
      </c>
      <c r="N3">
        <f>COUNTA(M3:M17)</f>
        <v>15</v>
      </c>
    </row>
    <row r="4" spans="1:14" x14ac:dyDescent="0.35">
      <c r="A4" s="3" t="s">
        <v>3430</v>
      </c>
      <c r="E4" s="3" t="s">
        <v>28</v>
      </c>
      <c r="M4" s="3" t="s">
        <v>171</v>
      </c>
    </row>
    <row r="5" spans="1:14" x14ac:dyDescent="0.35">
      <c r="A5" s="3" t="s">
        <v>3083</v>
      </c>
      <c r="E5" s="3" t="s">
        <v>32</v>
      </c>
      <c r="M5" s="3" t="s">
        <v>85</v>
      </c>
    </row>
    <row r="6" spans="1:14" x14ac:dyDescent="0.35">
      <c r="A6" s="3" t="s">
        <v>1068</v>
      </c>
      <c r="E6" s="3" t="s">
        <v>37</v>
      </c>
      <c r="M6" s="3" t="s">
        <v>77</v>
      </c>
    </row>
    <row r="7" spans="1:14" x14ac:dyDescent="0.35">
      <c r="A7" s="3" t="s">
        <v>1797</v>
      </c>
      <c r="E7" s="3" t="s">
        <v>47</v>
      </c>
      <c r="M7" s="3" t="s">
        <v>34</v>
      </c>
    </row>
    <row r="8" spans="1:14" x14ac:dyDescent="0.35">
      <c r="A8" s="3" t="s">
        <v>5669</v>
      </c>
      <c r="E8" s="3" t="s">
        <v>51</v>
      </c>
      <c r="M8" s="3" t="s">
        <v>19</v>
      </c>
    </row>
    <row r="9" spans="1:14" x14ac:dyDescent="0.35">
      <c r="A9" s="3" t="s">
        <v>4471</v>
      </c>
      <c r="E9" s="3" t="s">
        <v>59</v>
      </c>
      <c r="M9" s="3" t="s">
        <v>30</v>
      </c>
    </row>
    <row r="10" spans="1:14" x14ac:dyDescent="0.35">
      <c r="A10" s="3" t="s">
        <v>4536</v>
      </c>
      <c r="E10" s="3" t="s">
        <v>67</v>
      </c>
      <c r="M10" s="3" t="s">
        <v>208</v>
      </c>
    </row>
    <row r="11" spans="1:14" x14ac:dyDescent="0.35">
      <c r="A11" s="3" t="s">
        <v>5745</v>
      </c>
      <c r="E11" s="3" t="s">
        <v>72</v>
      </c>
      <c r="M11" s="3" t="s">
        <v>69</v>
      </c>
    </row>
    <row r="12" spans="1:14" x14ac:dyDescent="0.35">
      <c r="A12" s="3" t="s">
        <v>2998</v>
      </c>
      <c r="E12" s="3" t="s">
        <v>75</v>
      </c>
      <c r="M12" s="3" t="s">
        <v>98</v>
      </c>
    </row>
    <row r="13" spans="1:14" x14ac:dyDescent="0.35">
      <c r="A13" s="3" t="s">
        <v>923</v>
      </c>
      <c r="E13" s="3" t="s">
        <v>83</v>
      </c>
      <c r="M13" s="3" t="s">
        <v>12</v>
      </c>
    </row>
    <row r="14" spans="1:14" x14ac:dyDescent="0.35">
      <c r="A14" s="3" t="s">
        <v>4653</v>
      </c>
      <c r="E14" s="3" t="s">
        <v>88</v>
      </c>
      <c r="M14" s="3" t="s">
        <v>226</v>
      </c>
    </row>
    <row r="15" spans="1:14" x14ac:dyDescent="0.35">
      <c r="A15" s="3" t="s">
        <v>1563</v>
      </c>
      <c r="E15" s="3" t="s">
        <v>96</v>
      </c>
      <c r="M15" s="3" t="s">
        <v>44</v>
      </c>
    </row>
    <row r="16" spans="1:14" x14ac:dyDescent="0.35">
      <c r="A16" s="3" t="s">
        <v>1739</v>
      </c>
      <c r="E16" s="3" t="s">
        <v>100</v>
      </c>
      <c r="M16" s="3" t="s">
        <v>127</v>
      </c>
    </row>
    <row r="17" spans="1:13" x14ac:dyDescent="0.35">
      <c r="A17" s="3" t="s">
        <v>537</v>
      </c>
      <c r="E17" s="3" t="s">
        <v>106</v>
      </c>
      <c r="M17" s="3" t="s">
        <v>82</v>
      </c>
    </row>
    <row r="18" spans="1:13" x14ac:dyDescent="0.35">
      <c r="A18" s="3" t="s">
        <v>3494</v>
      </c>
      <c r="E18" s="3" t="s">
        <v>109</v>
      </c>
      <c r="M18" s="3" t="s">
        <v>6096</v>
      </c>
    </row>
    <row r="19" spans="1:13" x14ac:dyDescent="0.35">
      <c r="A19" s="3" t="s">
        <v>1940</v>
      </c>
      <c r="E19" s="3" t="s">
        <v>113</v>
      </c>
    </row>
    <row r="20" spans="1:13" x14ac:dyDescent="0.35">
      <c r="A20" s="3" t="s">
        <v>290</v>
      </c>
      <c r="E20" s="3" t="s">
        <v>117</v>
      </c>
    </row>
    <row r="21" spans="1:13" x14ac:dyDescent="0.35">
      <c r="A21" s="3" t="s">
        <v>919</v>
      </c>
      <c r="E21" s="3" t="s">
        <v>120</v>
      </c>
    </row>
    <row r="22" spans="1:13" x14ac:dyDescent="0.35">
      <c r="A22" s="3" t="s">
        <v>4548</v>
      </c>
      <c r="E22" s="3" t="s">
        <v>123</v>
      </c>
    </row>
    <row r="23" spans="1:13" x14ac:dyDescent="0.35">
      <c r="A23" s="3" t="s">
        <v>3236</v>
      </c>
      <c r="E23" s="3" t="s">
        <v>125</v>
      </c>
    </row>
    <row r="24" spans="1:13" x14ac:dyDescent="0.35">
      <c r="A24" s="3" t="s">
        <v>2246</v>
      </c>
      <c r="E24" s="3" t="s">
        <v>129</v>
      </c>
    </row>
    <row r="25" spans="1:13" x14ac:dyDescent="0.35">
      <c r="A25" s="3" t="s">
        <v>4223</v>
      </c>
      <c r="E25" s="3" t="s">
        <v>132</v>
      </c>
    </row>
    <row r="26" spans="1:13" x14ac:dyDescent="0.35">
      <c r="A26" s="3" t="s">
        <v>498</v>
      </c>
      <c r="E26" s="3" t="s">
        <v>141</v>
      </c>
    </row>
    <row r="27" spans="1:13" x14ac:dyDescent="0.35">
      <c r="A27" s="3" t="s">
        <v>5580</v>
      </c>
      <c r="E27" s="3" t="s">
        <v>149</v>
      </c>
    </row>
    <row r="28" spans="1:13" x14ac:dyDescent="0.35">
      <c r="A28" s="3" t="s">
        <v>1831</v>
      </c>
      <c r="E28" s="3" t="s">
        <v>151</v>
      </c>
    </row>
    <row r="29" spans="1:13" x14ac:dyDescent="0.35">
      <c r="A29" s="3" t="s">
        <v>3220</v>
      </c>
      <c r="E29" s="3" t="s">
        <v>156</v>
      </c>
    </row>
    <row r="30" spans="1:13" x14ac:dyDescent="0.35">
      <c r="A30" s="3" t="s">
        <v>1449</v>
      </c>
      <c r="E30" s="3" t="s">
        <v>161</v>
      </c>
    </row>
    <row r="31" spans="1:13" x14ac:dyDescent="0.35">
      <c r="A31" s="3" t="s">
        <v>3307</v>
      </c>
      <c r="E31" s="3" t="s">
        <v>167</v>
      </c>
    </row>
    <row r="32" spans="1:13" x14ac:dyDescent="0.35">
      <c r="A32" s="3" t="s">
        <v>3804</v>
      </c>
      <c r="E32" s="3" t="s">
        <v>173</v>
      </c>
    </row>
    <row r="33" spans="1:5" x14ac:dyDescent="0.35">
      <c r="A33" s="3" t="s">
        <v>1060</v>
      </c>
      <c r="E33" s="3" t="s">
        <v>176</v>
      </c>
    </row>
    <row r="34" spans="1:5" x14ac:dyDescent="0.35">
      <c r="A34" s="3" t="s">
        <v>1545</v>
      </c>
      <c r="E34" s="3" t="s">
        <v>179</v>
      </c>
    </row>
    <row r="35" spans="1:5" x14ac:dyDescent="0.35">
      <c r="A35" s="3" t="s">
        <v>2205</v>
      </c>
      <c r="E35" s="3" t="s">
        <v>187</v>
      </c>
    </row>
    <row r="36" spans="1:5" x14ac:dyDescent="0.35">
      <c r="A36" s="3" t="s">
        <v>4994</v>
      </c>
      <c r="E36" s="3" t="s">
        <v>190</v>
      </c>
    </row>
    <row r="37" spans="1:5" x14ac:dyDescent="0.35">
      <c r="A37" s="3" t="s">
        <v>2006</v>
      </c>
      <c r="E37" s="3" t="s">
        <v>196</v>
      </c>
    </row>
    <row r="38" spans="1:5" x14ac:dyDescent="0.35">
      <c r="A38" s="3" t="s">
        <v>2733</v>
      </c>
      <c r="E38" s="3" t="s">
        <v>198</v>
      </c>
    </row>
    <row r="39" spans="1:5" x14ac:dyDescent="0.35">
      <c r="A39" s="3" t="s">
        <v>1706</v>
      </c>
      <c r="E39" s="3" t="s">
        <v>200</v>
      </c>
    </row>
    <row r="40" spans="1:5" x14ac:dyDescent="0.35">
      <c r="A40" s="3" t="s">
        <v>531</v>
      </c>
      <c r="E40" s="3" t="s">
        <v>203</v>
      </c>
    </row>
    <row r="41" spans="1:5" x14ac:dyDescent="0.35">
      <c r="A41" s="3" t="s">
        <v>11</v>
      </c>
      <c r="E41" s="3" t="s">
        <v>206</v>
      </c>
    </row>
    <row r="42" spans="1:5" x14ac:dyDescent="0.35">
      <c r="A42" s="3" t="s">
        <v>4777</v>
      </c>
      <c r="E42" s="3" t="s">
        <v>210</v>
      </c>
    </row>
    <row r="43" spans="1:5" x14ac:dyDescent="0.35">
      <c r="A43" s="3" t="s">
        <v>2972</v>
      </c>
      <c r="E43" s="3" t="s">
        <v>213</v>
      </c>
    </row>
    <row r="44" spans="1:5" x14ac:dyDescent="0.35">
      <c r="A44" s="3" t="s">
        <v>469</v>
      </c>
      <c r="E44" s="3" t="s">
        <v>219</v>
      </c>
    </row>
    <row r="45" spans="1:5" x14ac:dyDescent="0.35">
      <c r="A45" s="3" t="s">
        <v>4213</v>
      </c>
      <c r="E45" s="3" t="s">
        <v>224</v>
      </c>
    </row>
    <row r="46" spans="1:5" x14ac:dyDescent="0.35">
      <c r="A46" s="3" t="s">
        <v>3325</v>
      </c>
      <c r="E46" s="3" t="s">
        <v>231</v>
      </c>
    </row>
    <row r="47" spans="1:5" x14ac:dyDescent="0.35">
      <c r="A47" s="3" t="s">
        <v>2092</v>
      </c>
      <c r="E47" s="3" t="s">
        <v>234</v>
      </c>
    </row>
    <row r="48" spans="1:5" x14ac:dyDescent="0.35">
      <c r="A48" s="3" t="s">
        <v>3673</v>
      </c>
      <c r="E48" s="3" t="s">
        <v>237</v>
      </c>
    </row>
    <row r="49" spans="1:5" x14ac:dyDescent="0.35">
      <c r="A49" s="3" t="s">
        <v>2020</v>
      </c>
      <c r="E49" s="3" t="s">
        <v>239</v>
      </c>
    </row>
    <row r="50" spans="1:5" x14ac:dyDescent="0.35">
      <c r="A50" s="3" t="s">
        <v>4731</v>
      </c>
      <c r="E50" s="3" t="s">
        <v>241</v>
      </c>
    </row>
    <row r="51" spans="1:5" x14ac:dyDescent="0.35">
      <c r="A51" s="3" t="s">
        <v>2197</v>
      </c>
      <c r="E51" s="3" t="s">
        <v>243</v>
      </c>
    </row>
    <row r="52" spans="1:5" x14ac:dyDescent="0.35">
      <c r="A52" s="3" t="s">
        <v>4986</v>
      </c>
      <c r="E52" s="3" t="s">
        <v>246</v>
      </c>
    </row>
    <row r="53" spans="1:5" x14ac:dyDescent="0.35">
      <c r="A53" s="3" t="s">
        <v>707</v>
      </c>
      <c r="E53" s="3" t="s">
        <v>249</v>
      </c>
    </row>
    <row r="54" spans="1:5" x14ac:dyDescent="0.35">
      <c r="A54" s="3" t="s">
        <v>3382</v>
      </c>
      <c r="E54" s="3" t="s">
        <v>251</v>
      </c>
    </row>
    <row r="55" spans="1:5" x14ac:dyDescent="0.35">
      <c r="A55" s="3" t="s">
        <v>1673</v>
      </c>
      <c r="E55" s="3" t="s">
        <v>253</v>
      </c>
    </row>
    <row r="56" spans="1:5" x14ac:dyDescent="0.35">
      <c r="A56" s="3" t="s">
        <v>3774</v>
      </c>
      <c r="E56" s="3" t="s">
        <v>258</v>
      </c>
    </row>
    <row r="57" spans="1:5" x14ac:dyDescent="0.35">
      <c r="A57" s="3" t="s">
        <v>3386</v>
      </c>
      <c r="E57" s="3" t="s">
        <v>265</v>
      </c>
    </row>
    <row r="58" spans="1:5" x14ac:dyDescent="0.35">
      <c r="A58" s="3" t="s">
        <v>1419</v>
      </c>
      <c r="E58" s="3" t="s">
        <v>268</v>
      </c>
    </row>
    <row r="59" spans="1:5" x14ac:dyDescent="0.35">
      <c r="A59" s="3" t="s">
        <v>3380</v>
      </c>
      <c r="E59" s="3" t="s">
        <v>271</v>
      </c>
    </row>
    <row r="60" spans="1:5" x14ac:dyDescent="0.35">
      <c r="A60" s="3" t="s">
        <v>232</v>
      </c>
      <c r="E60" s="3" t="s">
        <v>274</v>
      </c>
    </row>
    <row r="61" spans="1:5" x14ac:dyDescent="0.35">
      <c r="A61" s="3" t="s">
        <v>4416</v>
      </c>
      <c r="E61" s="3" t="s">
        <v>278</v>
      </c>
    </row>
    <row r="62" spans="1:5" x14ac:dyDescent="0.35">
      <c r="A62" s="3" t="s">
        <v>2471</v>
      </c>
      <c r="E62" s="3" t="s">
        <v>280</v>
      </c>
    </row>
    <row r="63" spans="1:5" x14ac:dyDescent="0.35">
      <c r="A63" s="3" t="s">
        <v>4564</v>
      </c>
      <c r="E63" s="3" t="s">
        <v>284</v>
      </c>
    </row>
    <row r="64" spans="1:5" x14ac:dyDescent="0.35">
      <c r="A64" s="3" t="s">
        <v>2355</v>
      </c>
      <c r="E64" s="3" t="s">
        <v>286</v>
      </c>
    </row>
    <row r="65" spans="1:5" x14ac:dyDescent="0.35">
      <c r="A65" s="3" t="s">
        <v>416</v>
      </c>
      <c r="E65" s="3" t="s">
        <v>289</v>
      </c>
    </row>
    <row r="66" spans="1:5" x14ac:dyDescent="0.35">
      <c r="A66" s="3" t="s">
        <v>1712</v>
      </c>
      <c r="E66" s="3" t="s">
        <v>291</v>
      </c>
    </row>
    <row r="67" spans="1:5" x14ac:dyDescent="0.35">
      <c r="A67" s="3" t="s">
        <v>1457</v>
      </c>
      <c r="E67" s="3" t="s">
        <v>293</v>
      </c>
    </row>
    <row r="68" spans="1:5" x14ac:dyDescent="0.35">
      <c r="A68" s="3" t="s">
        <v>4161</v>
      </c>
      <c r="E68" s="3" t="s">
        <v>296</v>
      </c>
    </row>
    <row r="69" spans="1:5" x14ac:dyDescent="0.35">
      <c r="A69" s="3" t="s">
        <v>1403</v>
      </c>
      <c r="E69" s="3" t="s">
        <v>300</v>
      </c>
    </row>
    <row r="70" spans="1:5" x14ac:dyDescent="0.35">
      <c r="A70" s="3" t="s">
        <v>3633</v>
      </c>
      <c r="E70" s="3" t="s">
        <v>303</v>
      </c>
    </row>
    <row r="71" spans="1:5" x14ac:dyDescent="0.35">
      <c r="A71" s="3" t="s">
        <v>1894</v>
      </c>
      <c r="E71" s="3" t="s">
        <v>307</v>
      </c>
    </row>
    <row r="72" spans="1:5" x14ac:dyDescent="0.35">
      <c r="A72" s="3" t="s">
        <v>2024</v>
      </c>
      <c r="E72" s="3" t="s">
        <v>312</v>
      </c>
    </row>
    <row r="73" spans="1:5" x14ac:dyDescent="0.35">
      <c r="A73" s="3" t="s">
        <v>3028</v>
      </c>
      <c r="E73" s="3" t="s">
        <v>318</v>
      </c>
    </row>
    <row r="74" spans="1:5" x14ac:dyDescent="0.35">
      <c r="A74" s="3" t="s">
        <v>254</v>
      </c>
      <c r="E74" s="3" t="s">
        <v>321</v>
      </c>
    </row>
    <row r="75" spans="1:5" x14ac:dyDescent="0.35">
      <c r="A75" s="3" t="s">
        <v>5928</v>
      </c>
      <c r="E75" s="3" t="s">
        <v>326</v>
      </c>
    </row>
    <row r="76" spans="1:5" x14ac:dyDescent="0.35">
      <c r="A76" s="3" t="s">
        <v>5003</v>
      </c>
      <c r="E76" s="3" t="s">
        <v>328</v>
      </c>
    </row>
    <row r="77" spans="1:5" x14ac:dyDescent="0.35">
      <c r="A77" s="3" t="s">
        <v>2232</v>
      </c>
      <c r="E77" s="3" t="s">
        <v>330</v>
      </c>
    </row>
    <row r="78" spans="1:5" x14ac:dyDescent="0.35">
      <c r="A78" s="3" t="s">
        <v>5584</v>
      </c>
      <c r="E78" s="3" t="s">
        <v>332</v>
      </c>
    </row>
    <row r="79" spans="1:5" x14ac:dyDescent="0.35">
      <c r="A79" s="3" t="s">
        <v>3311</v>
      </c>
      <c r="E79" s="3" t="s">
        <v>334</v>
      </c>
    </row>
    <row r="80" spans="1:5" x14ac:dyDescent="0.35">
      <c r="A80" s="3" t="s">
        <v>821</v>
      </c>
      <c r="E80" s="3" t="s">
        <v>337</v>
      </c>
    </row>
    <row r="81" spans="1:5" x14ac:dyDescent="0.35">
      <c r="A81" s="3" t="s">
        <v>5572</v>
      </c>
      <c r="E81" s="3" t="s">
        <v>340</v>
      </c>
    </row>
    <row r="82" spans="1:5" x14ac:dyDescent="0.35">
      <c r="A82" s="3" t="s">
        <v>627</v>
      </c>
      <c r="E82" s="3" t="s">
        <v>344</v>
      </c>
    </row>
    <row r="83" spans="1:5" x14ac:dyDescent="0.35">
      <c r="A83" s="3" t="s">
        <v>4678</v>
      </c>
      <c r="E83" s="3" t="s">
        <v>348</v>
      </c>
    </row>
    <row r="84" spans="1:5" x14ac:dyDescent="0.35">
      <c r="A84" s="3" t="s">
        <v>2815</v>
      </c>
      <c r="E84" s="3" t="s">
        <v>350</v>
      </c>
    </row>
    <row r="85" spans="1:5" x14ac:dyDescent="0.35">
      <c r="A85" s="3" t="s">
        <v>3180</v>
      </c>
      <c r="E85" s="3" t="s">
        <v>352</v>
      </c>
    </row>
    <row r="86" spans="1:5" x14ac:dyDescent="0.35">
      <c r="A86" s="3" t="s">
        <v>3212</v>
      </c>
      <c r="E86" s="3" t="s">
        <v>354</v>
      </c>
    </row>
    <row r="87" spans="1:5" x14ac:dyDescent="0.35">
      <c r="A87" s="3" t="s">
        <v>618</v>
      </c>
      <c r="E87" s="3" t="s">
        <v>358</v>
      </c>
    </row>
    <row r="88" spans="1:5" x14ac:dyDescent="0.35">
      <c r="A88" s="3" t="s">
        <v>2391</v>
      </c>
      <c r="E88" s="3" t="s">
        <v>362</v>
      </c>
    </row>
    <row r="89" spans="1:5" x14ac:dyDescent="0.35">
      <c r="A89" s="3" t="s">
        <v>5737</v>
      </c>
      <c r="E89" s="3" t="s">
        <v>365</v>
      </c>
    </row>
    <row r="90" spans="1:5" x14ac:dyDescent="0.35">
      <c r="A90" s="3" t="s">
        <v>1253</v>
      </c>
      <c r="E90" s="3" t="s">
        <v>367</v>
      </c>
    </row>
    <row r="91" spans="1:5" x14ac:dyDescent="0.35">
      <c r="A91" s="3" t="s">
        <v>1210</v>
      </c>
      <c r="E91" s="3" t="s">
        <v>370</v>
      </c>
    </row>
    <row r="92" spans="1:5" x14ac:dyDescent="0.35">
      <c r="A92" s="3" t="s">
        <v>3484</v>
      </c>
      <c r="E92" s="3" t="s">
        <v>374</v>
      </c>
    </row>
    <row r="93" spans="1:5" x14ac:dyDescent="0.35">
      <c r="A93" s="3" t="s">
        <v>406</v>
      </c>
      <c r="E93" s="3" t="s">
        <v>385</v>
      </c>
    </row>
    <row r="94" spans="1:5" x14ac:dyDescent="0.35">
      <c r="A94" s="3" t="s">
        <v>3170</v>
      </c>
      <c r="E94" s="3" t="s">
        <v>390</v>
      </c>
    </row>
    <row r="95" spans="1:5" x14ac:dyDescent="0.35">
      <c r="A95" s="3" t="s">
        <v>4655</v>
      </c>
      <c r="E95" s="3" t="s">
        <v>392</v>
      </c>
    </row>
    <row r="96" spans="1:5" x14ac:dyDescent="0.35">
      <c r="A96" s="3" t="s">
        <v>3909</v>
      </c>
      <c r="E96" s="3" t="s">
        <v>395</v>
      </c>
    </row>
    <row r="97" spans="1:5" x14ac:dyDescent="0.35">
      <c r="A97" s="3" t="s">
        <v>2120</v>
      </c>
      <c r="E97" s="3" t="s">
        <v>398</v>
      </c>
    </row>
    <row r="98" spans="1:5" x14ac:dyDescent="0.35">
      <c r="A98" s="3" t="s">
        <v>972</v>
      </c>
      <c r="E98" s="3" t="s">
        <v>400</v>
      </c>
    </row>
    <row r="99" spans="1:5" x14ac:dyDescent="0.35">
      <c r="A99" s="3" t="s">
        <v>259</v>
      </c>
      <c r="E99" s="3" t="s">
        <v>402</v>
      </c>
    </row>
    <row r="100" spans="1:5" x14ac:dyDescent="0.35">
      <c r="A100" s="3" t="s">
        <v>5891</v>
      </c>
      <c r="E100" s="3" t="s">
        <v>405</v>
      </c>
    </row>
    <row r="101" spans="1:5" x14ac:dyDescent="0.35">
      <c r="A101" s="3" t="s">
        <v>4641</v>
      </c>
      <c r="E101" s="3" t="s">
        <v>409</v>
      </c>
    </row>
    <row r="102" spans="1:5" x14ac:dyDescent="0.35">
      <c r="A102" s="3" t="s">
        <v>527</v>
      </c>
      <c r="E102" s="3" t="s">
        <v>411</v>
      </c>
    </row>
    <row r="103" spans="1:5" x14ac:dyDescent="0.35">
      <c r="A103" s="3" t="s">
        <v>3869</v>
      </c>
      <c r="E103" s="3" t="s">
        <v>415</v>
      </c>
    </row>
    <row r="104" spans="1:5" x14ac:dyDescent="0.35">
      <c r="A104" s="3" t="s">
        <v>4017</v>
      </c>
      <c r="E104" s="3" t="s">
        <v>417</v>
      </c>
    </row>
    <row r="105" spans="1:5" x14ac:dyDescent="0.35">
      <c r="A105" s="3" t="s">
        <v>3558</v>
      </c>
      <c r="E105" s="3" t="s">
        <v>421</v>
      </c>
    </row>
    <row r="106" spans="1:5" x14ac:dyDescent="0.35">
      <c r="A106" s="3" t="s">
        <v>4485</v>
      </c>
      <c r="E106" s="3" t="s">
        <v>427</v>
      </c>
    </row>
    <row r="107" spans="1:5" x14ac:dyDescent="0.35">
      <c r="A107" s="3" t="s">
        <v>2401</v>
      </c>
      <c r="E107" s="3" t="s">
        <v>430</v>
      </c>
    </row>
    <row r="108" spans="1:5" x14ac:dyDescent="0.35">
      <c r="A108" s="3" t="s">
        <v>1779</v>
      </c>
      <c r="E108" s="3" t="s">
        <v>432</v>
      </c>
    </row>
    <row r="109" spans="1:5" x14ac:dyDescent="0.35">
      <c r="A109" s="3" t="s">
        <v>3394</v>
      </c>
      <c r="E109" s="3" t="s">
        <v>437</v>
      </c>
    </row>
    <row r="110" spans="1:5" x14ac:dyDescent="0.35">
      <c r="A110" s="3" t="s">
        <v>304</v>
      </c>
      <c r="E110" s="3" t="s">
        <v>441</v>
      </c>
    </row>
    <row r="111" spans="1:5" x14ac:dyDescent="0.35">
      <c r="A111" s="3" t="s">
        <v>6082</v>
      </c>
      <c r="E111" s="3" t="s">
        <v>443</v>
      </c>
    </row>
    <row r="112" spans="1:5" x14ac:dyDescent="0.35">
      <c r="A112" s="3" t="s">
        <v>2571</v>
      </c>
      <c r="E112" s="3" t="s">
        <v>445</v>
      </c>
    </row>
    <row r="113" spans="1:5" x14ac:dyDescent="0.35">
      <c r="A113" s="3" t="s">
        <v>2124</v>
      </c>
      <c r="E113" s="3" t="s">
        <v>447</v>
      </c>
    </row>
    <row r="114" spans="1:5" x14ac:dyDescent="0.35">
      <c r="A114" s="3" t="s">
        <v>5830</v>
      </c>
      <c r="E114" s="3" t="s">
        <v>452</v>
      </c>
    </row>
    <row r="115" spans="1:5" x14ac:dyDescent="0.35">
      <c r="A115" s="3" t="s">
        <v>3119</v>
      </c>
      <c r="E115" s="3" t="s">
        <v>454</v>
      </c>
    </row>
    <row r="116" spans="1:5" x14ac:dyDescent="0.35">
      <c r="A116" s="3" t="s">
        <v>4633</v>
      </c>
      <c r="E116" s="3" t="s">
        <v>456</v>
      </c>
    </row>
    <row r="117" spans="1:5" x14ac:dyDescent="0.35">
      <c r="A117" s="3" t="s">
        <v>4123</v>
      </c>
      <c r="E117" s="3" t="s">
        <v>462</v>
      </c>
    </row>
    <row r="118" spans="1:5" x14ac:dyDescent="0.35">
      <c r="A118" s="3" t="s">
        <v>4129</v>
      </c>
      <c r="E118" s="3" t="s">
        <v>464</v>
      </c>
    </row>
    <row r="119" spans="1:5" x14ac:dyDescent="0.35">
      <c r="A119" s="3" t="s">
        <v>2209</v>
      </c>
      <c r="E119" s="3" t="s">
        <v>468</v>
      </c>
    </row>
    <row r="120" spans="1:5" x14ac:dyDescent="0.35">
      <c r="A120" s="3" t="s">
        <v>2136</v>
      </c>
      <c r="E120" s="3" t="s">
        <v>473</v>
      </c>
    </row>
    <row r="121" spans="1:5" x14ac:dyDescent="0.35">
      <c r="A121" s="3" t="s">
        <v>4410</v>
      </c>
      <c r="E121" s="3" t="s">
        <v>475</v>
      </c>
    </row>
    <row r="122" spans="1:5" x14ac:dyDescent="0.35">
      <c r="A122" s="3" t="s">
        <v>1220</v>
      </c>
      <c r="E122" s="3" t="s">
        <v>479</v>
      </c>
    </row>
    <row r="123" spans="1:5" x14ac:dyDescent="0.35">
      <c r="A123" s="3" t="s">
        <v>168</v>
      </c>
      <c r="E123" s="3" t="s">
        <v>488</v>
      </c>
    </row>
    <row r="124" spans="1:5" x14ac:dyDescent="0.35">
      <c r="A124" s="3" t="s">
        <v>4355</v>
      </c>
      <c r="E124" s="3" t="s">
        <v>492</v>
      </c>
    </row>
    <row r="125" spans="1:5" x14ac:dyDescent="0.35">
      <c r="A125" s="3" t="s">
        <v>3635</v>
      </c>
      <c r="E125" s="3" t="s">
        <v>494</v>
      </c>
    </row>
    <row r="126" spans="1:5" x14ac:dyDescent="0.35">
      <c r="A126" s="3" t="s">
        <v>907</v>
      </c>
      <c r="E126" s="3" t="s">
        <v>497</v>
      </c>
    </row>
    <row r="127" spans="1:5" x14ac:dyDescent="0.35">
      <c r="A127" s="3" t="s">
        <v>3780</v>
      </c>
      <c r="E127" s="3" t="s">
        <v>500</v>
      </c>
    </row>
    <row r="128" spans="1:5" x14ac:dyDescent="0.35">
      <c r="A128" s="3" t="s">
        <v>5627</v>
      </c>
      <c r="E128" s="3" t="s">
        <v>506</v>
      </c>
    </row>
    <row r="129" spans="1:5" x14ac:dyDescent="0.35">
      <c r="A129" s="3" t="s">
        <v>4789</v>
      </c>
      <c r="E129" s="3" t="s">
        <v>508</v>
      </c>
    </row>
    <row r="130" spans="1:5" x14ac:dyDescent="0.35">
      <c r="A130" s="3" t="s">
        <v>130</v>
      </c>
      <c r="E130" s="3" t="s">
        <v>511</v>
      </c>
    </row>
    <row r="131" spans="1:5" x14ac:dyDescent="0.35">
      <c r="A131" s="3" t="s">
        <v>968</v>
      </c>
      <c r="E131" s="3" t="s">
        <v>513</v>
      </c>
    </row>
    <row r="132" spans="1:5" x14ac:dyDescent="0.35">
      <c r="A132" s="3" t="s">
        <v>3506</v>
      </c>
      <c r="E132" s="3" t="s">
        <v>515</v>
      </c>
    </row>
    <row r="133" spans="1:5" x14ac:dyDescent="0.35">
      <c r="A133" s="3" t="s">
        <v>5352</v>
      </c>
      <c r="E133" s="3" t="s">
        <v>518</v>
      </c>
    </row>
    <row r="134" spans="1:5" x14ac:dyDescent="0.35">
      <c r="A134" s="3" t="s">
        <v>5364</v>
      </c>
      <c r="E134" s="3" t="s">
        <v>520</v>
      </c>
    </row>
    <row r="135" spans="1:5" x14ac:dyDescent="0.35">
      <c r="A135" s="3" t="s">
        <v>3738</v>
      </c>
      <c r="E135" s="3" t="s">
        <v>526</v>
      </c>
    </row>
    <row r="136" spans="1:5" x14ac:dyDescent="0.35">
      <c r="A136" s="3" t="s">
        <v>366</v>
      </c>
      <c r="E136" s="3" t="s">
        <v>528</v>
      </c>
    </row>
    <row r="137" spans="1:5" x14ac:dyDescent="0.35">
      <c r="A137" s="3" t="s">
        <v>5549</v>
      </c>
      <c r="E137" s="3" t="s">
        <v>530</v>
      </c>
    </row>
    <row r="138" spans="1:5" x14ac:dyDescent="0.35">
      <c r="A138" s="3" t="s">
        <v>809</v>
      </c>
      <c r="E138" s="3" t="s">
        <v>536</v>
      </c>
    </row>
    <row r="139" spans="1:5" x14ac:dyDescent="0.35">
      <c r="A139" s="3" t="s">
        <v>4609</v>
      </c>
      <c r="E139" s="3" t="s">
        <v>542</v>
      </c>
    </row>
    <row r="140" spans="1:5" x14ac:dyDescent="0.35">
      <c r="A140" s="3" t="s">
        <v>2266</v>
      </c>
      <c r="E140" s="3" t="s">
        <v>544</v>
      </c>
    </row>
    <row r="141" spans="1:5" x14ac:dyDescent="0.35">
      <c r="A141" s="3" t="s">
        <v>3929</v>
      </c>
      <c r="E141" s="3" t="s">
        <v>546</v>
      </c>
    </row>
    <row r="142" spans="1:5" x14ac:dyDescent="0.35">
      <c r="A142" s="3" t="s">
        <v>5525</v>
      </c>
      <c r="E142" s="3" t="s">
        <v>549</v>
      </c>
    </row>
    <row r="143" spans="1:5" x14ac:dyDescent="0.35">
      <c r="A143" s="3" t="s">
        <v>5741</v>
      </c>
      <c r="E143" s="3" t="s">
        <v>551</v>
      </c>
    </row>
    <row r="144" spans="1:5" x14ac:dyDescent="0.35">
      <c r="A144" s="3" t="s">
        <v>3216</v>
      </c>
      <c r="E144" s="3" t="s">
        <v>555</v>
      </c>
    </row>
    <row r="145" spans="1:5" x14ac:dyDescent="0.35">
      <c r="A145" s="3" t="s">
        <v>1837</v>
      </c>
      <c r="E145" s="3" t="s">
        <v>557</v>
      </c>
    </row>
    <row r="146" spans="1:5" x14ac:dyDescent="0.35">
      <c r="A146" s="3" t="s">
        <v>5681</v>
      </c>
      <c r="E146" s="3" t="s">
        <v>559</v>
      </c>
    </row>
    <row r="147" spans="1:5" x14ac:dyDescent="0.35">
      <c r="A147" s="3" t="s">
        <v>785</v>
      </c>
      <c r="E147" s="3" t="s">
        <v>562</v>
      </c>
    </row>
    <row r="148" spans="1:5" x14ac:dyDescent="0.35">
      <c r="A148" s="3" t="s">
        <v>948</v>
      </c>
      <c r="E148" s="3" t="s">
        <v>564</v>
      </c>
    </row>
    <row r="149" spans="1:5" x14ac:dyDescent="0.35">
      <c r="A149" s="3" t="s">
        <v>5873</v>
      </c>
      <c r="E149" s="3" t="s">
        <v>566</v>
      </c>
    </row>
    <row r="150" spans="1:5" x14ac:dyDescent="0.35">
      <c r="A150" s="3" t="s">
        <v>4175</v>
      </c>
      <c r="E150" s="3" t="s">
        <v>570</v>
      </c>
    </row>
    <row r="151" spans="1:5" x14ac:dyDescent="0.35">
      <c r="A151" s="3" t="s">
        <v>2465</v>
      </c>
      <c r="E151" s="3" t="s">
        <v>572</v>
      </c>
    </row>
    <row r="152" spans="1:5" x14ac:dyDescent="0.35">
      <c r="A152" s="3" t="s">
        <v>3095</v>
      </c>
      <c r="E152" s="3" t="s">
        <v>576</v>
      </c>
    </row>
    <row r="153" spans="1:5" x14ac:dyDescent="0.35">
      <c r="A153" s="3" t="s">
        <v>2530</v>
      </c>
      <c r="E153" s="3" t="s">
        <v>578</v>
      </c>
    </row>
    <row r="154" spans="1:5" x14ac:dyDescent="0.35">
      <c r="A154" s="3" t="s">
        <v>5863</v>
      </c>
      <c r="E154" s="3" t="s">
        <v>580</v>
      </c>
    </row>
    <row r="155" spans="1:5" x14ac:dyDescent="0.35">
      <c r="A155" s="3" t="s">
        <v>5819</v>
      </c>
      <c r="E155" s="3" t="s">
        <v>586</v>
      </c>
    </row>
    <row r="156" spans="1:5" x14ac:dyDescent="0.35">
      <c r="A156" s="3" t="s">
        <v>4159</v>
      </c>
      <c r="E156" s="3" t="s">
        <v>592</v>
      </c>
    </row>
    <row r="157" spans="1:5" x14ac:dyDescent="0.35">
      <c r="A157" s="3" t="s">
        <v>4089</v>
      </c>
      <c r="E157" s="3" t="s">
        <v>598</v>
      </c>
    </row>
    <row r="158" spans="1:5" x14ac:dyDescent="0.35">
      <c r="A158" s="3" t="s">
        <v>355</v>
      </c>
      <c r="E158" s="3" t="s">
        <v>602</v>
      </c>
    </row>
    <row r="159" spans="1:5" x14ac:dyDescent="0.35">
      <c r="A159" s="3" t="s">
        <v>1020</v>
      </c>
      <c r="E159" s="3" t="s">
        <v>604</v>
      </c>
    </row>
    <row r="160" spans="1:5" x14ac:dyDescent="0.35">
      <c r="A160" s="3" t="s">
        <v>3661</v>
      </c>
      <c r="E160" s="3" t="s">
        <v>606</v>
      </c>
    </row>
    <row r="161" spans="1:5" x14ac:dyDescent="0.35">
      <c r="A161" s="3" t="s">
        <v>5440</v>
      </c>
      <c r="E161" s="3" t="s">
        <v>608</v>
      </c>
    </row>
    <row r="162" spans="1:5" x14ac:dyDescent="0.35">
      <c r="A162" s="3" t="s">
        <v>5214</v>
      </c>
      <c r="E162" s="3" t="s">
        <v>612</v>
      </c>
    </row>
    <row r="163" spans="1:5" x14ac:dyDescent="0.35">
      <c r="A163" s="3" t="s">
        <v>4878</v>
      </c>
      <c r="E163" s="3" t="s">
        <v>614</v>
      </c>
    </row>
    <row r="164" spans="1:5" x14ac:dyDescent="0.35">
      <c r="A164" s="3" t="s">
        <v>5131</v>
      </c>
      <c r="E164" s="3" t="s">
        <v>617</v>
      </c>
    </row>
    <row r="165" spans="1:5" x14ac:dyDescent="0.35">
      <c r="A165" s="3" t="s">
        <v>4247</v>
      </c>
      <c r="E165" s="3" t="s">
        <v>624</v>
      </c>
    </row>
    <row r="166" spans="1:5" x14ac:dyDescent="0.35">
      <c r="A166" s="3" t="s">
        <v>3366</v>
      </c>
      <c r="E166" s="3" t="s">
        <v>626</v>
      </c>
    </row>
    <row r="167" spans="1:5" x14ac:dyDescent="0.35">
      <c r="A167" s="3" t="s">
        <v>3283</v>
      </c>
      <c r="E167" s="3" t="s">
        <v>628</v>
      </c>
    </row>
    <row r="168" spans="1:5" x14ac:dyDescent="0.35">
      <c r="A168" s="3" t="s">
        <v>653</v>
      </c>
      <c r="E168" s="3" t="s">
        <v>630</v>
      </c>
    </row>
    <row r="169" spans="1:5" x14ac:dyDescent="0.35">
      <c r="A169" s="3" t="s">
        <v>1257</v>
      </c>
      <c r="E169" s="3" t="s">
        <v>632</v>
      </c>
    </row>
    <row r="170" spans="1:5" x14ac:dyDescent="0.35">
      <c r="A170" s="3" t="s">
        <v>4057</v>
      </c>
      <c r="E170" s="3" t="s">
        <v>634</v>
      </c>
    </row>
    <row r="171" spans="1:5" x14ac:dyDescent="0.35">
      <c r="A171" s="3" t="s">
        <v>4611</v>
      </c>
      <c r="E171" s="3" t="s">
        <v>636</v>
      </c>
    </row>
    <row r="172" spans="1:5" x14ac:dyDescent="0.35">
      <c r="A172" s="3" t="s">
        <v>4179</v>
      </c>
      <c r="E172" s="3" t="s">
        <v>638</v>
      </c>
    </row>
    <row r="173" spans="1:5" x14ac:dyDescent="0.35">
      <c r="A173" s="3" t="s">
        <v>3350</v>
      </c>
      <c r="E173" s="3" t="s">
        <v>640</v>
      </c>
    </row>
    <row r="174" spans="1:5" x14ac:dyDescent="0.35">
      <c r="A174" s="3" t="s">
        <v>4693</v>
      </c>
      <c r="E174" s="3" t="s">
        <v>644</v>
      </c>
    </row>
    <row r="175" spans="1:5" x14ac:dyDescent="0.35">
      <c r="A175" s="3" t="s">
        <v>3724</v>
      </c>
      <c r="E175" s="3" t="s">
        <v>646</v>
      </c>
    </row>
    <row r="176" spans="1:5" x14ac:dyDescent="0.35">
      <c r="A176" s="3" t="s">
        <v>5163</v>
      </c>
      <c r="E176" s="3" t="s">
        <v>650</v>
      </c>
    </row>
    <row r="177" spans="1:5" x14ac:dyDescent="0.35">
      <c r="A177" s="3" t="s">
        <v>595</v>
      </c>
      <c r="E177" s="3" t="s">
        <v>652</v>
      </c>
    </row>
    <row r="178" spans="1:5" x14ac:dyDescent="0.35">
      <c r="A178" s="3" t="s">
        <v>2677</v>
      </c>
      <c r="E178" s="3" t="s">
        <v>656</v>
      </c>
    </row>
    <row r="179" spans="1:5" x14ac:dyDescent="0.35">
      <c r="A179" s="3" t="s">
        <v>1783</v>
      </c>
      <c r="E179" s="3" t="s">
        <v>663</v>
      </c>
    </row>
    <row r="180" spans="1:5" x14ac:dyDescent="0.35">
      <c r="A180" s="3" t="s">
        <v>5085</v>
      </c>
      <c r="E180" s="3" t="s">
        <v>665</v>
      </c>
    </row>
    <row r="181" spans="1:5" x14ac:dyDescent="0.35">
      <c r="A181" s="3" t="s">
        <v>2419</v>
      </c>
      <c r="E181" s="3" t="s">
        <v>667</v>
      </c>
    </row>
    <row r="182" spans="1:5" x14ac:dyDescent="0.35">
      <c r="A182" s="3" t="s">
        <v>1226</v>
      </c>
      <c r="E182" s="3" t="s">
        <v>671</v>
      </c>
    </row>
    <row r="183" spans="1:5" x14ac:dyDescent="0.35">
      <c r="A183" s="3" t="s">
        <v>4459</v>
      </c>
      <c r="E183" s="3" t="s">
        <v>675</v>
      </c>
    </row>
    <row r="184" spans="1:5" x14ac:dyDescent="0.35">
      <c r="A184" s="3" t="s">
        <v>4515</v>
      </c>
      <c r="E184" s="3" t="s">
        <v>679</v>
      </c>
    </row>
    <row r="185" spans="1:5" x14ac:dyDescent="0.35">
      <c r="A185" s="3" t="s">
        <v>2165</v>
      </c>
      <c r="E185" s="3" t="s">
        <v>681</v>
      </c>
    </row>
    <row r="186" spans="1:5" x14ac:dyDescent="0.35">
      <c r="A186" s="3" t="s">
        <v>4589</v>
      </c>
      <c r="E186" s="3" t="s">
        <v>683</v>
      </c>
    </row>
    <row r="187" spans="1:5" x14ac:dyDescent="0.35">
      <c r="A187" s="3" t="s">
        <v>1871</v>
      </c>
      <c r="E187" s="3" t="s">
        <v>685</v>
      </c>
    </row>
    <row r="188" spans="1:5" x14ac:dyDescent="0.35">
      <c r="A188" s="3" t="s">
        <v>4493</v>
      </c>
      <c r="E188" s="3" t="s">
        <v>687</v>
      </c>
    </row>
    <row r="189" spans="1:5" x14ac:dyDescent="0.35">
      <c r="A189" s="3" t="s">
        <v>4521</v>
      </c>
      <c r="E189" s="3" t="s">
        <v>689</v>
      </c>
    </row>
    <row r="190" spans="1:5" x14ac:dyDescent="0.35">
      <c r="A190" s="3" t="s">
        <v>4467</v>
      </c>
      <c r="E190" s="3" t="s">
        <v>691</v>
      </c>
    </row>
    <row r="191" spans="1:5" x14ac:dyDescent="0.35">
      <c r="A191" s="3" t="s">
        <v>3190</v>
      </c>
      <c r="E191" s="3" t="s">
        <v>693</v>
      </c>
    </row>
    <row r="192" spans="1:5" x14ac:dyDescent="0.35">
      <c r="A192" s="3" t="s">
        <v>1745</v>
      </c>
      <c r="E192" s="3" t="s">
        <v>695</v>
      </c>
    </row>
    <row r="193" spans="1:5" x14ac:dyDescent="0.35">
      <c r="A193" s="3" t="s">
        <v>5807</v>
      </c>
      <c r="E193" s="3" t="s">
        <v>697</v>
      </c>
    </row>
    <row r="194" spans="1:5" x14ac:dyDescent="0.35">
      <c r="A194" s="3" t="s">
        <v>5039</v>
      </c>
      <c r="E194" s="3" t="s">
        <v>698</v>
      </c>
    </row>
    <row r="195" spans="1:5" x14ac:dyDescent="0.35">
      <c r="A195" s="3" t="s">
        <v>633</v>
      </c>
      <c r="E195" s="3" t="s">
        <v>700</v>
      </c>
    </row>
    <row r="196" spans="1:5" x14ac:dyDescent="0.35">
      <c r="A196" s="3" t="s">
        <v>2606</v>
      </c>
      <c r="E196" s="3" t="s">
        <v>704</v>
      </c>
    </row>
    <row r="197" spans="1:5" x14ac:dyDescent="0.35">
      <c r="A197" s="3" t="s">
        <v>6023</v>
      </c>
      <c r="E197" s="3" t="s">
        <v>706</v>
      </c>
    </row>
    <row r="198" spans="1:5" x14ac:dyDescent="0.35">
      <c r="A198" s="3" t="s">
        <v>2296</v>
      </c>
      <c r="E198" s="3" t="s">
        <v>708</v>
      </c>
    </row>
    <row r="199" spans="1:5" x14ac:dyDescent="0.35">
      <c r="A199" s="3" t="s">
        <v>3059</v>
      </c>
      <c r="E199" s="3" t="s">
        <v>710</v>
      </c>
    </row>
    <row r="200" spans="1:5" x14ac:dyDescent="0.35">
      <c r="A200" s="3" t="s">
        <v>6053</v>
      </c>
      <c r="E200" s="3" t="s">
        <v>712</v>
      </c>
    </row>
    <row r="201" spans="1:5" x14ac:dyDescent="0.35">
      <c r="A201" s="3" t="s">
        <v>3572</v>
      </c>
      <c r="E201" s="3" t="s">
        <v>714</v>
      </c>
    </row>
    <row r="202" spans="1:5" x14ac:dyDescent="0.35">
      <c r="A202" s="3" t="s">
        <v>6027</v>
      </c>
      <c r="E202" s="3" t="s">
        <v>717</v>
      </c>
    </row>
    <row r="203" spans="1:5" x14ac:dyDescent="0.35">
      <c r="A203" s="3" t="s">
        <v>797</v>
      </c>
      <c r="E203" s="3" t="s">
        <v>721</v>
      </c>
    </row>
    <row r="204" spans="1:5" x14ac:dyDescent="0.35">
      <c r="A204" s="3" t="s">
        <v>3277</v>
      </c>
      <c r="E204" s="3" t="s">
        <v>726</v>
      </c>
    </row>
    <row r="205" spans="1:5" x14ac:dyDescent="0.35">
      <c r="A205" s="3" t="s">
        <v>2625</v>
      </c>
      <c r="E205" s="3" t="s">
        <v>728</v>
      </c>
    </row>
    <row r="206" spans="1:5" x14ac:dyDescent="0.35">
      <c r="A206" s="3" t="s">
        <v>1839</v>
      </c>
      <c r="E206" s="3" t="s">
        <v>730</v>
      </c>
    </row>
    <row r="207" spans="1:5" x14ac:dyDescent="0.35">
      <c r="A207" s="3" t="s">
        <v>4035</v>
      </c>
      <c r="E207" s="3" t="s">
        <v>734</v>
      </c>
    </row>
    <row r="208" spans="1:5" x14ac:dyDescent="0.35">
      <c r="A208" s="3" t="s">
        <v>3792</v>
      </c>
      <c r="E208" s="3" t="s">
        <v>738</v>
      </c>
    </row>
    <row r="209" spans="1:5" x14ac:dyDescent="0.35">
      <c r="A209" s="3" t="s">
        <v>3228</v>
      </c>
      <c r="E209" s="3" t="s">
        <v>740</v>
      </c>
    </row>
    <row r="210" spans="1:5" x14ac:dyDescent="0.35">
      <c r="A210" s="3" t="s">
        <v>5266</v>
      </c>
      <c r="E210" s="3" t="s">
        <v>745</v>
      </c>
    </row>
    <row r="211" spans="1:5" x14ac:dyDescent="0.35">
      <c r="A211" s="3" t="s">
        <v>1585</v>
      </c>
      <c r="E211" s="3" t="s">
        <v>749</v>
      </c>
    </row>
    <row r="212" spans="1:5" x14ac:dyDescent="0.35">
      <c r="A212" s="3" t="s">
        <v>4101</v>
      </c>
      <c r="E212" s="3" t="s">
        <v>755</v>
      </c>
    </row>
    <row r="213" spans="1:5" x14ac:dyDescent="0.35">
      <c r="A213" s="3" t="s">
        <v>3996</v>
      </c>
      <c r="E213" s="3" t="s">
        <v>757</v>
      </c>
    </row>
    <row r="214" spans="1:5" x14ac:dyDescent="0.35">
      <c r="A214" s="3" t="s">
        <v>1998</v>
      </c>
      <c r="E214" s="3" t="s">
        <v>763</v>
      </c>
    </row>
    <row r="215" spans="1:5" x14ac:dyDescent="0.35">
      <c r="A215" s="3" t="s">
        <v>1066</v>
      </c>
      <c r="E215" s="3" t="s">
        <v>765</v>
      </c>
    </row>
    <row r="216" spans="1:5" x14ac:dyDescent="0.35">
      <c r="A216" s="3" t="s">
        <v>4930</v>
      </c>
      <c r="E216" s="3" t="s">
        <v>770</v>
      </c>
    </row>
    <row r="217" spans="1:5" x14ac:dyDescent="0.35">
      <c r="A217" s="3" t="s">
        <v>3689</v>
      </c>
      <c r="E217" s="3" t="s">
        <v>772</v>
      </c>
    </row>
    <row r="218" spans="1:5" x14ac:dyDescent="0.35">
      <c r="A218" s="3" t="s">
        <v>211</v>
      </c>
      <c r="E218" s="3" t="s">
        <v>774</v>
      </c>
    </row>
    <row r="219" spans="1:5" x14ac:dyDescent="0.35">
      <c r="A219" s="3" t="s">
        <v>3848</v>
      </c>
      <c r="E219" s="3" t="s">
        <v>776</v>
      </c>
    </row>
    <row r="220" spans="1:5" x14ac:dyDescent="0.35">
      <c r="A220" s="3" t="s">
        <v>803</v>
      </c>
      <c r="E220" s="3" t="s">
        <v>782</v>
      </c>
    </row>
    <row r="221" spans="1:5" x14ac:dyDescent="0.35">
      <c r="A221" s="3" t="s">
        <v>2651</v>
      </c>
      <c r="E221" s="3" t="s">
        <v>784</v>
      </c>
    </row>
    <row r="222" spans="1:5" x14ac:dyDescent="0.35">
      <c r="A222" s="3" t="s">
        <v>4623</v>
      </c>
      <c r="E222" s="3" t="s">
        <v>786</v>
      </c>
    </row>
    <row r="223" spans="1:5" x14ac:dyDescent="0.35">
      <c r="A223" s="3" t="s">
        <v>2960</v>
      </c>
      <c r="E223" s="3" t="s">
        <v>788</v>
      </c>
    </row>
    <row r="224" spans="1:5" x14ac:dyDescent="0.35">
      <c r="A224" s="3" t="s">
        <v>3554</v>
      </c>
      <c r="E224" s="3" t="s">
        <v>790</v>
      </c>
    </row>
    <row r="225" spans="1:5" x14ac:dyDescent="0.35">
      <c r="A225" s="3" t="s">
        <v>3050</v>
      </c>
      <c r="E225" s="3" t="s">
        <v>792</v>
      </c>
    </row>
    <row r="226" spans="1:5" x14ac:dyDescent="0.35">
      <c r="A226" s="3" t="s">
        <v>4781</v>
      </c>
      <c r="E226" s="3" t="s">
        <v>794</v>
      </c>
    </row>
    <row r="227" spans="1:5" x14ac:dyDescent="0.35">
      <c r="A227" s="3" t="s">
        <v>2371</v>
      </c>
      <c r="E227" s="3" t="s">
        <v>796</v>
      </c>
    </row>
    <row r="228" spans="1:5" x14ac:dyDescent="0.35">
      <c r="A228" s="3" t="s">
        <v>2130</v>
      </c>
      <c r="E228" s="3" t="s">
        <v>798</v>
      </c>
    </row>
    <row r="229" spans="1:5" x14ac:dyDescent="0.35">
      <c r="A229" s="3" t="s">
        <v>5887</v>
      </c>
      <c r="E229" s="3" t="s">
        <v>800</v>
      </c>
    </row>
    <row r="230" spans="1:5" x14ac:dyDescent="0.35">
      <c r="A230" s="3" t="s">
        <v>5103</v>
      </c>
      <c r="E230" s="3" t="s">
        <v>802</v>
      </c>
    </row>
    <row r="231" spans="1:5" x14ac:dyDescent="0.35">
      <c r="A231" s="3" t="s">
        <v>2260</v>
      </c>
      <c r="E231" s="3" t="s">
        <v>806</v>
      </c>
    </row>
    <row r="232" spans="1:5" x14ac:dyDescent="0.35">
      <c r="A232" s="3" t="s">
        <v>4155</v>
      </c>
      <c r="E232" s="3" t="s">
        <v>808</v>
      </c>
    </row>
    <row r="233" spans="1:5" x14ac:dyDescent="0.35">
      <c r="A233" s="3" t="s">
        <v>563</v>
      </c>
      <c r="E233" s="3" t="s">
        <v>810</v>
      </c>
    </row>
    <row r="234" spans="1:5" x14ac:dyDescent="0.35">
      <c r="A234" s="3" t="s">
        <v>1363</v>
      </c>
      <c r="E234" s="3" t="s">
        <v>812</v>
      </c>
    </row>
    <row r="235" spans="1:5" x14ac:dyDescent="0.35">
      <c r="A235" s="3" t="s">
        <v>3921</v>
      </c>
      <c r="E235" s="3" t="s">
        <v>816</v>
      </c>
    </row>
    <row r="236" spans="1:5" x14ac:dyDescent="0.35">
      <c r="A236" s="3" t="s">
        <v>5204</v>
      </c>
      <c r="E236" s="3" t="s">
        <v>818</v>
      </c>
    </row>
    <row r="237" spans="1:5" x14ac:dyDescent="0.35">
      <c r="A237" s="3" t="s">
        <v>1867</v>
      </c>
      <c r="E237" s="3" t="s">
        <v>820</v>
      </c>
    </row>
    <row r="238" spans="1:5" x14ac:dyDescent="0.35">
      <c r="A238" s="3" t="s">
        <v>294</v>
      </c>
      <c r="E238" s="3" t="s">
        <v>824</v>
      </c>
    </row>
    <row r="239" spans="1:5" x14ac:dyDescent="0.35">
      <c r="A239" s="3" t="s">
        <v>5653</v>
      </c>
      <c r="E239" s="3" t="s">
        <v>826</v>
      </c>
    </row>
    <row r="240" spans="1:5" x14ac:dyDescent="0.35">
      <c r="A240" s="3" t="s">
        <v>936</v>
      </c>
      <c r="E240" s="3" t="s">
        <v>832</v>
      </c>
    </row>
    <row r="241" spans="1:5" x14ac:dyDescent="0.35">
      <c r="A241" s="3" t="s">
        <v>5875</v>
      </c>
      <c r="E241" s="3" t="s">
        <v>840</v>
      </c>
    </row>
    <row r="242" spans="1:5" x14ac:dyDescent="0.35">
      <c r="A242" s="3" t="s">
        <v>727</v>
      </c>
      <c r="E242" s="3" t="s">
        <v>842</v>
      </c>
    </row>
    <row r="243" spans="1:5" x14ac:dyDescent="0.35">
      <c r="A243" s="3" t="s">
        <v>3279</v>
      </c>
      <c r="E243" s="3" t="s">
        <v>852</v>
      </c>
    </row>
    <row r="244" spans="1:5" x14ac:dyDescent="0.35">
      <c r="A244" s="3" t="s">
        <v>5095</v>
      </c>
      <c r="E244" s="3" t="s">
        <v>854</v>
      </c>
    </row>
    <row r="245" spans="1:5" x14ac:dyDescent="0.35">
      <c r="A245" s="3" t="s">
        <v>5495</v>
      </c>
      <c r="E245" s="3" t="s">
        <v>856</v>
      </c>
    </row>
    <row r="246" spans="1:5" x14ac:dyDescent="0.35">
      <c r="A246" s="3" t="s">
        <v>157</v>
      </c>
      <c r="E246" s="3" t="s">
        <v>858</v>
      </c>
    </row>
    <row r="247" spans="1:5" x14ac:dyDescent="0.35">
      <c r="A247" s="3" t="s">
        <v>1847</v>
      </c>
      <c r="E247" s="3" t="s">
        <v>860</v>
      </c>
    </row>
    <row r="248" spans="1:5" x14ac:dyDescent="0.35">
      <c r="A248" s="3" t="s">
        <v>1052</v>
      </c>
      <c r="E248" s="3" t="s">
        <v>862</v>
      </c>
    </row>
    <row r="249" spans="1:5" x14ac:dyDescent="0.35">
      <c r="A249" s="3" t="s">
        <v>5995</v>
      </c>
      <c r="E249" s="3" t="s">
        <v>866</v>
      </c>
    </row>
    <row r="250" spans="1:5" x14ac:dyDescent="0.35">
      <c r="A250" s="3" t="s">
        <v>3772</v>
      </c>
      <c r="E250" s="3" t="s">
        <v>868</v>
      </c>
    </row>
    <row r="251" spans="1:5" x14ac:dyDescent="0.35">
      <c r="A251" s="3" t="s">
        <v>5893</v>
      </c>
      <c r="E251" s="3" t="s">
        <v>870</v>
      </c>
    </row>
    <row r="252" spans="1:5" x14ac:dyDescent="0.35">
      <c r="A252" s="3" t="s">
        <v>2604</v>
      </c>
      <c r="E252" s="3" t="s">
        <v>872</v>
      </c>
    </row>
    <row r="253" spans="1:5" x14ac:dyDescent="0.35">
      <c r="A253" s="3" t="s">
        <v>2138</v>
      </c>
      <c r="E253" s="3" t="s">
        <v>878</v>
      </c>
    </row>
    <row r="254" spans="1:5" x14ac:dyDescent="0.35">
      <c r="A254" s="3" t="s">
        <v>3972</v>
      </c>
      <c r="E254" s="3" t="s">
        <v>880</v>
      </c>
    </row>
    <row r="255" spans="1:5" x14ac:dyDescent="0.35">
      <c r="A255" s="3" t="s">
        <v>2559</v>
      </c>
      <c r="E255" s="3" t="s">
        <v>882</v>
      </c>
    </row>
    <row r="256" spans="1:5" x14ac:dyDescent="0.35">
      <c r="A256" s="3" t="s">
        <v>1978</v>
      </c>
      <c r="E256" s="3" t="s">
        <v>894</v>
      </c>
    </row>
    <row r="257" spans="1:5" x14ac:dyDescent="0.35">
      <c r="A257" s="3" t="s">
        <v>5607</v>
      </c>
      <c r="E257" s="3" t="s">
        <v>896</v>
      </c>
    </row>
    <row r="258" spans="1:5" x14ac:dyDescent="0.35">
      <c r="A258" s="3" t="s">
        <v>250</v>
      </c>
      <c r="E258" s="3" t="s">
        <v>902</v>
      </c>
    </row>
    <row r="259" spans="1:5" x14ac:dyDescent="0.35">
      <c r="A259" s="3" t="s">
        <v>3492</v>
      </c>
      <c r="E259" s="3" t="s">
        <v>906</v>
      </c>
    </row>
    <row r="260" spans="1:5" x14ac:dyDescent="0.35">
      <c r="A260" s="3" t="s">
        <v>556</v>
      </c>
      <c r="E260" s="3" t="s">
        <v>910</v>
      </c>
    </row>
    <row r="261" spans="1:5" x14ac:dyDescent="0.35">
      <c r="A261" s="3" t="s">
        <v>4110</v>
      </c>
      <c r="E261" s="3" t="s">
        <v>918</v>
      </c>
    </row>
    <row r="262" spans="1:5" x14ac:dyDescent="0.35">
      <c r="A262" s="3" t="s">
        <v>1984</v>
      </c>
      <c r="E262" s="3" t="s">
        <v>920</v>
      </c>
    </row>
    <row r="263" spans="1:5" x14ac:dyDescent="0.35">
      <c r="A263" s="3" t="s">
        <v>2411</v>
      </c>
      <c r="E263" s="3" t="s">
        <v>922</v>
      </c>
    </row>
    <row r="264" spans="1:5" x14ac:dyDescent="0.35">
      <c r="A264" s="3" t="s">
        <v>6088</v>
      </c>
      <c r="E264" s="3" t="s">
        <v>925</v>
      </c>
    </row>
    <row r="265" spans="1:5" x14ac:dyDescent="0.35">
      <c r="A265" s="3" t="s">
        <v>5582</v>
      </c>
      <c r="E265" s="3" t="s">
        <v>927</v>
      </c>
    </row>
    <row r="266" spans="1:5" x14ac:dyDescent="0.35">
      <c r="A266" s="3" t="s">
        <v>4546</v>
      </c>
      <c r="E266" s="3" t="s">
        <v>931</v>
      </c>
    </row>
    <row r="267" spans="1:5" x14ac:dyDescent="0.35">
      <c r="A267" s="3" t="s">
        <v>319</v>
      </c>
      <c r="E267" s="3" t="s">
        <v>933</v>
      </c>
    </row>
    <row r="268" spans="1:5" x14ac:dyDescent="0.35">
      <c r="A268" s="3" t="s">
        <v>2735</v>
      </c>
      <c r="E268" s="3" t="s">
        <v>935</v>
      </c>
    </row>
    <row r="269" spans="1:5" x14ac:dyDescent="0.35">
      <c r="A269" s="3" t="s">
        <v>6005</v>
      </c>
      <c r="E269" s="3" t="s">
        <v>937</v>
      </c>
    </row>
    <row r="270" spans="1:5" x14ac:dyDescent="0.35">
      <c r="A270" s="3" t="s">
        <v>6025</v>
      </c>
      <c r="E270" s="3" t="s">
        <v>943</v>
      </c>
    </row>
    <row r="271" spans="1:5" x14ac:dyDescent="0.35">
      <c r="A271" s="3" t="s">
        <v>5564</v>
      </c>
      <c r="E271" s="3" t="s">
        <v>947</v>
      </c>
    </row>
    <row r="272" spans="1:5" x14ac:dyDescent="0.35">
      <c r="A272" s="3" t="s">
        <v>4511</v>
      </c>
      <c r="E272" s="3" t="s">
        <v>951</v>
      </c>
    </row>
    <row r="273" spans="1:5" x14ac:dyDescent="0.35">
      <c r="A273" s="3" t="s">
        <v>97</v>
      </c>
      <c r="E273" s="3" t="s">
        <v>953</v>
      </c>
    </row>
    <row r="274" spans="1:5" x14ac:dyDescent="0.35">
      <c r="A274" s="3" t="s">
        <v>3960</v>
      </c>
      <c r="E274" s="3" t="s">
        <v>957</v>
      </c>
    </row>
    <row r="275" spans="1:5" x14ac:dyDescent="0.35">
      <c r="A275" s="3" t="s">
        <v>764</v>
      </c>
      <c r="E275" s="3" t="s">
        <v>959</v>
      </c>
    </row>
    <row r="276" spans="1:5" x14ac:dyDescent="0.35">
      <c r="A276" s="3" t="s">
        <v>1698</v>
      </c>
      <c r="E276" s="3" t="s">
        <v>961</v>
      </c>
    </row>
    <row r="277" spans="1:5" x14ac:dyDescent="0.35">
      <c r="A277" s="3" t="s">
        <v>5358</v>
      </c>
      <c r="E277" s="3" t="s">
        <v>963</v>
      </c>
    </row>
    <row r="278" spans="1:5" x14ac:dyDescent="0.35">
      <c r="A278" s="3" t="s">
        <v>5783</v>
      </c>
      <c r="E278" s="3" t="s">
        <v>965</v>
      </c>
    </row>
    <row r="279" spans="1:5" x14ac:dyDescent="0.35">
      <c r="A279" s="3" t="s">
        <v>5411</v>
      </c>
      <c r="E279" s="3" t="s">
        <v>967</v>
      </c>
    </row>
    <row r="280" spans="1:5" x14ac:dyDescent="0.35">
      <c r="A280" s="3" t="s">
        <v>5202</v>
      </c>
      <c r="E280" s="3" t="s">
        <v>971</v>
      </c>
    </row>
    <row r="281" spans="1:5" x14ac:dyDescent="0.35">
      <c r="A281" s="3" t="s">
        <v>1769</v>
      </c>
      <c r="E281" s="3" t="s">
        <v>973</v>
      </c>
    </row>
    <row r="282" spans="1:5" x14ac:dyDescent="0.35">
      <c r="A282" s="3" t="s">
        <v>238</v>
      </c>
      <c r="E282" s="3" t="s">
        <v>975</v>
      </c>
    </row>
    <row r="283" spans="1:5" x14ac:dyDescent="0.35">
      <c r="A283" s="3" t="s">
        <v>4381</v>
      </c>
      <c r="E283" s="3" t="s">
        <v>985</v>
      </c>
    </row>
    <row r="284" spans="1:5" x14ac:dyDescent="0.35">
      <c r="A284" s="3" t="s">
        <v>5346</v>
      </c>
      <c r="E284" s="3" t="s">
        <v>987</v>
      </c>
    </row>
    <row r="285" spans="1:5" x14ac:dyDescent="0.35">
      <c r="A285" s="3" t="s">
        <v>3867</v>
      </c>
      <c r="E285" s="3" t="s">
        <v>991</v>
      </c>
    </row>
    <row r="286" spans="1:5" x14ac:dyDescent="0.35">
      <c r="A286" s="3" t="s">
        <v>2747</v>
      </c>
      <c r="E286" s="3" t="s">
        <v>997</v>
      </c>
    </row>
    <row r="287" spans="1:5" x14ac:dyDescent="0.35">
      <c r="A287" s="3" t="s">
        <v>722</v>
      </c>
      <c r="E287" s="3" t="s">
        <v>999</v>
      </c>
    </row>
    <row r="288" spans="1:5" x14ac:dyDescent="0.35">
      <c r="A288" s="3" t="s">
        <v>2713</v>
      </c>
      <c r="E288" s="3" t="s">
        <v>1001</v>
      </c>
    </row>
    <row r="289" spans="1:5" x14ac:dyDescent="0.35">
      <c r="A289" s="3" t="s">
        <v>986</v>
      </c>
      <c r="E289" s="3" t="s">
        <v>1003</v>
      </c>
    </row>
    <row r="290" spans="1:5" x14ac:dyDescent="0.35">
      <c r="A290" s="3" t="s">
        <v>3552</v>
      </c>
      <c r="E290" s="3" t="s">
        <v>1005</v>
      </c>
    </row>
    <row r="291" spans="1:5" x14ac:dyDescent="0.35">
      <c r="A291" s="3" t="s">
        <v>3641</v>
      </c>
      <c r="E291" s="3" t="s">
        <v>1009</v>
      </c>
    </row>
    <row r="292" spans="1:5" x14ac:dyDescent="0.35">
      <c r="A292" s="3" t="s">
        <v>1351</v>
      </c>
      <c r="E292" s="3" t="s">
        <v>1011</v>
      </c>
    </row>
    <row r="293" spans="1:5" x14ac:dyDescent="0.35">
      <c r="A293" s="3" t="s">
        <v>1391</v>
      </c>
      <c r="E293" s="3" t="s">
        <v>1013</v>
      </c>
    </row>
    <row r="294" spans="1:5" x14ac:dyDescent="0.35">
      <c r="A294" s="3" t="s">
        <v>4404</v>
      </c>
      <c r="E294" s="3" t="s">
        <v>1015</v>
      </c>
    </row>
    <row r="295" spans="1:5" x14ac:dyDescent="0.35">
      <c r="A295" s="3" t="s">
        <v>2671</v>
      </c>
      <c r="E295" s="3" t="s">
        <v>1017</v>
      </c>
    </row>
    <row r="296" spans="1:5" x14ac:dyDescent="0.35">
      <c r="A296" s="3" t="s">
        <v>1966</v>
      </c>
      <c r="E296" s="3" t="s">
        <v>1019</v>
      </c>
    </row>
    <row r="297" spans="1:5" x14ac:dyDescent="0.35">
      <c r="A297" s="3" t="s">
        <v>152</v>
      </c>
      <c r="E297" s="3" t="s">
        <v>1021</v>
      </c>
    </row>
    <row r="298" spans="1:5" x14ac:dyDescent="0.35">
      <c r="A298" s="3" t="s">
        <v>5881</v>
      </c>
      <c r="E298" s="3" t="s">
        <v>1025</v>
      </c>
    </row>
    <row r="299" spans="1:5" x14ac:dyDescent="0.35">
      <c r="A299" s="3" t="s">
        <v>1934</v>
      </c>
      <c r="E299" s="3" t="s">
        <v>1027</v>
      </c>
    </row>
    <row r="300" spans="1:5" x14ac:dyDescent="0.35">
      <c r="A300" s="3" t="s">
        <v>4153</v>
      </c>
      <c r="E300" s="3" t="s">
        <v>1029</v>
      </c>
    </row>
    <row r="301" spans="1:5" x14ac:dyDescent="0.35">
      <c r="A301" s="3" t="s">
        <v>2290</v>
      </c>
      <c r="E301" s="3" t="s">
        <v>1031</v>
      </c>
    </row>
    <row r="302" spans="1:5" x14ac:dyDescent="0.35">
      <c r="A302" s="3" t="s">
        <v>2294</v>
      </c>
      <c r="E302" s="3" t="s">
        <v>1033</v>
      </c>
    </row>
    <row r="303" spans="1:5" x14ac:dyDescent="0.35">
      <c r="A303" s="3" t="s">
        <v>5499</v>
      </c>
      <c r="E303" s="3" t="s">
        <v>1037</v>
      </c>
    </row>
    <row r="304" spans="1:5" x14ac:dyDescent="0.35">
      <c r="A304" s="3" t="s">
        <v>5527</v>
      </c>
      <c r="E304" s="3" t="s">
        <v>1039</v>
      </c>
    </row>
    <row r="305" spans="1:5" x14ac:dyDescent="0.35">
      <c r="A305" s="3" t="s">
        <v>558</v>
      </c>
      <c r="E305" s="3" t="s">
        <v>1041</v>
      </c>
    </row>
    <row r="306" spans="1:5" x14ac:dyDescent="0.35">
      <c r="A306" s="3" t="s">
        <v>1725</v>
      </c>
      <c r="E306" s="3" t="s">
        <v>1047</v>
      </c>
    </row>
    <row r="307" spans="1:5" x14ac:dyDescent="0.35">
      <c r="A307" s="3" t="s">
        <v>4635</v>
      </c>
      <c r="E307" s="3" t="s">
        <v>1049</v>
      </c>
    </row>
    <row r="308" spans="1:5" x14ac:dyDescent="0.35">
      <c r="A308" s="3" t="s">
        <v>3856</v>
      </c>
      <c r="E308" s="3" t="s">
        <v>1051</v>
      </c>
    </row>
    <row r="309" spans="1:5" x14ac:dyDescent="0.35">
      <c r="A309" s="3" t="s">
        <v>5487</v>
      </c>
      <c r="E309" s="3" t="s">
        <v>1053</v>
      </c>
    </row>
    <row r="310" spans="1:5" x14ac:dyDescent="0.35">
      <c r="A310" s="3" t="s">
        <v>1018</v>
      </c>
      <c r="E310" s="3" t="s">
        <v>1057</v>
      </c>
    </row>
    <row r="311" spans="1:5" x14ac:dyDescent="0.35">
      <c r="A311" s="3" t="s">
        <v>3071</v>
      </c>
      <c r="E311" s="3" t="s">
        <v>1059</v>
      </c>
    </row>
    <row r="312" spans="1:5" x14ac:dyDescent="0.35">
      <c r="A312" s="3" t="s">
        <v>921</v>
      </c>
      <c r="E312" s="3" t="s">
        <v>1061</v>
      </c>
    </row>
    <row r="313" spans="1:5" x14ac:dyDescent="0.35">
      <c r="A313" s="3" t="s">
        <v>3498</v>
      </c>
      <c r="E313" s="3" t="s">
        <v>1063</v>
      </c>
    </row>
    <row r="314" spans="1:5" x14ac:dyDescent="0.35">
      <c r="A314" s="3" t="s">
        <v>5924</v>
      </c>
      <c r="E314" s="3" t="s">
        <v>1065</v>
      </c>
    </row>
    <row r="315" spans="1:5" x14ac:dyDescent="0.35">
      <c r="A315" s="3" t="s">
        <v>2811</v>
      </c>
      <c r="E315" s="3" t="s">
        <v>1067</v>
      </c>
    </row>
    <row r="316" spans="1:5" x14ac:dyDescent="0.35">
      <c r="A316" s="3" t="s">
        <v>5338</v>
      </c>
      <c r="E316" s="3" t="s">
        <v>1069</v>
      </c>
    </row>
    <row r="317" spans="1:5" x14ac:dyDescent="0.35">
      <c r="A317" s="3" t="s">
        <v>2914</v>
      </c>
      <c r="E317" s="3" t="s">
        <v>1071</v>
      </c>
    </row>
    <row r="318" spans="1:5" x14ac:dyDescent="0.35">
      <c r="A318" s="3" t="s">
        <v>3562</v>
      </c>
      <c r="E318" s="3" t="s">
        <v>1073</v>
      </c>
    </row>
    <row r="319" spans="1:5" x14ac:dyDescent="0.35">
      <c r="A319" s="3" t="s">
        <v>825</v>
      </c>
      <c r="E319" s="3" t="s">
        <v>1075</v>
      </c>
    </row>
    <row r="320" spans="1:5" x14ac:dyDescent="0.35">
      <c r="A320" s="3" t="s">
        <v>4157</v>
      </c>
      <c r="E320" s="3" t="s">
        <v>1079</v>
      </c>
    </row>
    <row r="321" spans="1:5" x14ac:dyDescent="0.35">
      <c r="A321" s="3" t="s">
        <v>4398</v>
      </c>
      <c r="E321" s="3" t="s">
        <v>1081</v>
      </c>
    </row>
    <row r="322" spans="1:5" x14ac:dyDescent="0.35">
      <c r="A322" s="3" t="s">
        <v>5489</v>
      </c>
      <c r="E322" s="3" t="s">
        <v>1083</v>
      </c>
    </row>
    <row r="323" spans="1:5" x14ac:dyDescent="0.35">
      <c r="A323" s="3" t="s">
        <v>4783</v>
      </c>
      <c r="E323" s="3" t="s">
        <v>1087</v>
      </c>
    </row>
    <row r="324" spans="1:5" x14ac:dyDescent="0.35">
      <c r="A324" s="3" t="s">
        <v>793</v>
      </c>
      <c r="E324" s="3" t="s">
        <v>1089</v>
      </c>
    </row>
    <row r="325" spans="1:5" x14ac:dyDescent="0.35">
      <c r="A325" s="3" t="s">
        <v>1623</v>
      </c>
      <c r="E325" s="3" t="s">
        <v>1091</v>
      </c>
    </row>
    <row r="326" spans="1:5" x14ac:dyDescent="0.35">
      <c r="A326" s="3" t="s">
        <v>1491</v>
      </c>
      <c r="E326" s="3" t="s">
        <v>1093</v>
      </c>
    </row>
    <row r="327" spans="1:5" x14ac:dyDescent="0.35">
      <c r="A327" s="3" t="s">
        <v>1714</v>
      </c>
      <c r="E327" s="3" t="s">
        <v>1095</v>
      </c>
    </row>
    <row r="328" spans="1:5" x14ac:dyDescent="0.35">
      <c r="A328" s="3" t="s">
        <v>5206</v>
      </c>
      <c r="E328" s="3" t="s">
        <v>1101</v>
      </c>
    </row>
    <row r="329" spans="1:5" x14ac:dyDescent="0.35">
      <c r="A329" s="3" t="s">
        <v>3121</v>
      </c>
      <c r="E329" s="3" t="s">
        <v>1103</v>
      </c>
    </row>
    <row r="330" spans="1:5" x14ac:dyDescent="0.35">
      <c r="A330" s="3" t="s">
        <v>4390</v>
      </c>
      <c r="E330" s="3" t="s">
        <v>1111</v>
      </c>
    </row>
    <row r="331" spans="1:5" x14ac:dyDescent="0.35">
      <c r="A331" s="3" t="s">
        <v>3470</v>
      </c>
      <c r="E331" s="3" t="s">
        <v>1113</v>
      </c>
    </row>
    <row r="332" spans="1:5" x14ac:dyDescent="0.35">
      <c r="A332" s="3" t="s">
        <v>4554</v>
      </c>
      <c r="E332" s="3" t="s">
        <v>1115</v>
      </c>
    </row>
    <row r="333" spans="1:5" x14ac:dyDescent="0.35">
      <c r="A333" s="3" t="s">
        <v>1924</v>
      </c>
      <c r="E333" s="3" t="s">
        <v>1117</v>
      </c>
    </row>
    <row r="334" spans="1:5" x14ac:dyDescent="0.35">
      <c r="A334" s="3" t="s">
        <v>5999</v>
      </c>
      <c r="E334" s="3" t="s">
        <v>1119</v>
      </c>
    </row>
    <row r="335" spans="1:5" x14ac:dyDescent="0.35">
      <c r="A335" s="3" t="s">
        <v>867</v>
      </c>
      <c r="E335" s="3" t="s">
        <v>1125</v>
      </c>
    </row>
    <row r="336" spans="1:5" x14ac:dyDescent="0.35">
      <c r="A336" s="3" t="s">
        <v>5578</v>
      </c>
      <c r="E336" s="3" t="s">
        <v>1129</v>
      </c>
    </row>
    <row r="337" spans="1:5" x14ac:dyDescent="0.35">
      <c r="A337" s="3" t="s">
        <v>4187</v>
      </c>
      <c r="E337" s="3" t="s">
        <v>1131</v>
      </c>
    </row>
    <row r="338" spans="1:5" x14ac:dyDescent="0.35">
      <c r="A338" s="3" t="s">
        <v>5855</v>
      </c>
      <c r="E338" s="3" t="s">
        <v>1133</v>
      </c>
    </row>
    <row r="339" spans="1:5" x14ac:dyDescent="0.35">
      <c r="A339" s="3" t="s">
        <v>4809</v>
      </c>
      <c r="E339" s="3" t="s">
        <v>1135</v>
      </c>
    </row>
    <row r="340" spans="1:5" x14ac:dyDescent="0.35">
      <c r="A340" s="3" t="s">
        <v>4562</v>
      </c>
      <c r="E340" s="3" t="s">
        <v>1137</v>
      </c>
    </row>
    <row r="341" spans="1:5" x14ac:dyDescent="0.35">
      <c r="A341" s="3" t="s">
        <v>2142</v>
      </c>
      <c r="E341" s="3" t="s">
        <v>1141</v>
      </c>
    </row>
    <row r="342" spans="1:5" x14ac:dyDescent="0.35">
      <c r="A342" s="3" t="s">
        <v>5763</v>
      </c>
      <c r="E342" s="3" t="s">
        <v>1145</v>
      </c>
    </row>
    <row r="343" spans="1:5" x14ac:dyDescent="0.35">
      <c r="A343" s="3" t="s">
        <v>4371</v>
      </c>
      <c r="E343" s="3" t="s">
        <v>1147</v>
      </c>
    </row>
    <row r="344" spans="1:5" x14ac:dyDescent="0.35">
      <c r="A344" s="3" t="s">
        <v>3099</v>
      </c>
      <c r="E344" s="3" t="s">
        <v>1151</v>
      </c>
    </row>
    <row r="345" spans="1:5" x14ac:dyDescent="0.35">
      <c r="A345" s="3" t="s">
        <v>2507</v>
      </c>
      <c r="E345" s="3" t="s">
        <v>1155</v>
      </c>
    </row>
    <row r="346" spans="1:5" x14ac:dyDescent="0.35">
      <c r="A346" s="3" t="s">
        <v>5348</v>
      </c>
      <c r="E346" s="3" t="s">
        <v>1157</v>
      </c>
    </row>
    <row r="347" spans="1:5" x14ac:dyDescent="0.35">
      <c r="A347" s="3" t="s">
        <v>1710</v>
      </c>
      <c r="E347" s="3" t="s">
        <v>1159</v>
      </c>
    </row>
    <row r="348" spans="1:5" x14ac:dyDescent="0.35">
      <c r="A348" s="3" t="s">
        <v>2725</v>
      </c>
      <c r="E348" s="3" t="s">
        <v>1161</v>
      </c>
    </row>
    <row r="349" spans="1:5" x14ac:dyDescent="0.35">
      <c r="A349" s="3" t="s">
        <v>1982</v>
      </c>
      <c r="E349" s="3" t="s">
        <v>1167</v>
      </c>
    </row>
    <row r="350" spans="1:5" x14ac:dyDescent="0.35">
      <c r="A350" s="3" t="s">
        <v>2457</v>
      </c>
      <c r="E350" s="3" t="s">
        <v>1169</v>
      </c>
    </row>
    <row r="351" spans="1:5" x14ac:dyDescent="0.35">
      <c r="A351" s="3" t="s">
        <v>4550</v>
      </c>
      <c r="E351" s="3" t="s">
        <v>1173</v>
      </c>
    </row>
    <row r="352" spans="1:5" x14ac:dyDescent="0.35">
      <c r="A352" s="3" t="s">
        <v>3919</v>
      </c>
      <c r="E352" s="3" t="s">
        <v>1177</v>
      </c>
    </row>
    <row r="353" spans="1:5" x14ac:dyDescent="0.35">
      <c r="A353" s="3" t="s">
        <v>285</v>
      </c>
      <c r="E353" s="3" t="s">
        <v>1183</v>
      </c>
    </row>
    <row r="354" spans="1:5" x14ac:dyDescent="0.35">
      <c r="A354" s="3" t="s">
        <v>4361</v>
      </c>
      <c r="E354" s="3" t="s">
        <v>1187</v>
      </c>
    </row>
    <row r="355" spans="1:5" x14ac:dyDescent="0.35">
      <c r="A355" s="3" t="s">
        <v>5859</v>
      </c>
      <c r="E355" s="3" t="s">
        <v>1189</v>
      </c>
    </row>
    <row r="356" spans="1:5" x14ac:dyDescent="0.35">
      <c r="A356" s="3" t="s">
        <v>5958</v>
      </c>
      <c r="E356" s="3" t="s">
        <v>1193</v>
      </c>
    </row>
    <row r="357" spans="1:5" x14ac:dyDescent="0.35">
      <c r="A357" s="3" t="s">
        <v>1026</v>
      </c>
      <c r="E357" s="3" t="s">
        <v>1195</v>
      </c>
    </row>
    <row r="358" spans="1:5" x14ac:dyDescent="0.35">
      <c r="A358" s="3" t="s">
        <v>5047</v>
      </c>
      <c r="E358" s="3" t="s">
        <v>1197</v>
      </c>
    </row>
    <row r="359" spans="1:5" x14ac:dyDescent="0.35">
      <c r="A359" s="3" t="s">
        <v>6065</v>
      </c>
      <c r="E359" s="3" t="s">
        <v>1199</v>
      </c>
    </row>
    <row r="360" spans="1:5" x14ac:dyDescent="0.35">
      <c r="A360" s="3" t="s">
        <v>3599</v>
      </c>
      <c r="E360" s="3" t="s">
        <v>1201</v>
      </c>
    </row>
    <row r="361" spans="1:5" x14ac:dyDescent="0.35">
      <c r="A361" s="3" t="s">
        <v>3052</v>
      </c>
      <c r="E361" s="3" t="s">
        <v>1205</v>
      </c>
    </row>
    <row r="362" spans="1:5" x14ac:dyDescent="0.35">
      <c r="A362" s="3" t="s">
        <v>2723</v>
      </c>
      <c r="E362" s="3" t="s">
        <v>1209</v>
      </c>
    </row>
    <row r="363" spans="1:5" x14ac:dyDescent="0.35">
      <c r="A363" s="3" t="s">
        <v>5835</v>
      </c>
      <c r="E363" s="3" t="s">
        <v>1215</v>
      </c>
    </row>
    <row r="364" spans="1:5" x14ac:dyDescent="0.35">
      <c r="A364" s="3" t="s">
        <v>5296</v>
      </c>
      <c r="E364" s="3" t="s">
        <v>1219</v>
      </c>
    </row>
    <row r="365" spans="1:5" x14ac:dyDescent="0.35">
      <c r="A365" s="3" t="s">
        <v>2645</v>
      </c>
      <c r="E365" s="3" t="s">
        <v>1223</v>
      </c>
    </row>
    <row r="366" spans="1:5" x14ac:dyDescent="0.35">
      <c r="A366" s="3" t="s">
        <v>4988</v>
      </c>
      <c r="E366" s="3" t="s">
        <v>1225</v>
      </c>
    </row>
    <row r="367" spans="1:5" x14ac:dyDescent="0.35">
      <c r="A367" s="3" t="s">
        <v>1700</v>
      </c>
      <c r="E367" s="3" t="s">
        <v>1227</v>
      </c>
    </row>
    <row r="368" spans="1:5" x14ac:dyDescent="0.35">
      <c r="A368" s="3" t="s">
        <v>1194</v>
      </c>
      <c r="E368" s="3" t="s">
        <v>1230</v>
      </c>
    </row>
    <row r="369" spans="1:5" x14ac:dyDescent="0.35">
      <c r="A369" s="3" t="s">
        <v>2739</v>
      </c>
      <c r="E369" s="3" t="s">
        <v>1236</v>
      </c>
    </row>
    <row r="370" spans="1:5" x14ac:dyDescent="0.35">
      <c r="A370" s="3" t="s">
        <v>4063</v>
      </c>
      <c r="E370" s="3" t="s">
        <v>1238</v>
      </c>
    </row>
    <row r="371" spans="1:5" x14ac:dyDescent="0.35">
      <c r="A371" s="3" t="s">
        <v>609</v>
      </c>
      <c r="E371" s="3" t="s">
        <v>1240</v>
      </c>
    </row>
    <row r="372" spans="1:5" x14ac:dyDescent="0.35">
      <c r="A372" s="3" t="s">
        <v>2966</v>
      </c>
      <c r="E372" s="3" t="s">
        <v>1248</v>
      </c>
    </row>
    <row r="373" spans="1:5" x14ac:dyDescent="0.35">
      <c r="A373" s="3" t="s">
        <v>3816</v>
      </c>
      <c r="E373" s="3" t="s">
        <v>1252</v>
      </c>
    </row>
    <row r="374" spans="1:5" x14ac:dyDescent="0.35">
      <c r="A374" s="3" t="s">
        <v>565</v>
      </c>
      <c r="E374" s="3" t="s">
        <v>1256</v>
      </c>
    </row>
    <row r="375" spans="1:5" x14ac:dyDescent="0.35">
      <c r="A375" s="3" t="s">
        <v>3531</v>
      </c>
      <c r="E375" s="3" t="s">
        <v>1258</v>
      </c>
    </row>
    <row r="376" spans="1:5" x14ac:dyDescent="0.35">
      <c r="A376" s="3" t="s">
        <v>5274</v>
      </c>
      <c r="E376" s="3" t="s">
        <v>1266</v>
      </c>
    </row>
    <row r="377" spans="1:5" x14ac:dyDescent="0.35">
      <c r="A377" s="3" t="s">
        <v>5739</v>
      </c>
      <c r="E377" s="3" t="s">
        <v>1268</v>
      </c>
    </row>
    <row r="378" spans="1:5" x14ac:dyDescent="0.35">
      <c r="A378" s="3" t="s">
        <v>1241</v>
      </c>
      <c r="E378" s="3" t="s">
        <v>1270</v>
      </c>
    </row>
    <row r="379" spans="1:5" x14ac:dyDescent="0.35">
      <c r="A379" s="3" t="s">
        <v>1803</v>
      </c>
      <c r="E379" s="3" t="s">
        <v>1274</v>
      </c>
    </row>
    <row r="380" spans="1:5" x14ac:dyDescent="0.35">
      <c r="A380" s="3" t="s">
        <v>5787</v>
      </c>
      <c r="E380" s="3" t="s">
        <v>1278</v>
      </c>
    </row>
    <row r="381" spans="1:5" x14ac:dyDescent="0.35">
      <c r="A381" s="3" t="s">
        <v>3075</v>
      </c>
      <c r="E381" s="3" t="s">
        <v>1280</v>
      </c>
    </row>
    <row r="382" spans="1:5" x14ac:dyDescent="0.35">
      <c r="A382" s="3" t="s">
        <v>1704</v>
      </c>
      <c r="E382" s="3" t="s">
        <v>1286</v>
      </c>
    </row>
    <row r="383" spans="1:5" x14ac:dyDescent="0.35">
      <c r="A383" s="3" t="s">
        <v>3293</v>
      </c>
      <c r="E383" s="3" t="s">
        <v>1288</v>
      </c>
    </row>
    <row r="384" spans="1:5" x14ac:dyDescent="0.35">
      <c r="A384" s="3" t="s">
        <v>3976</v>
      </c>
      <c r="E384" s="3" t="s">
        <v>1294</v>
      </c>
    </row>
    <row r="385" spans="1:5" x14ac:dyDescent="0.35">
      <c r="A385" s="3" t="s">
        <v>2018</v>
      </c>
      <c r="E385" s="3" t="s">
        <v>1296</v>
      </c>
    </row>
    <row r="386" spans="1:5" x14ac:dyDescent="0.35">
      <c r="A386" s="3" t="s">
        <v>1731</v>
      </c>
      <c r="E386" s="3" t="s">
        <v>1298</v>
      </c>
    </row>
    <row r="387" spans="1:5" x14ac:dyDescent="0.35">
      <c r="A387" s="3" t="s">
        <v>3085</v>
      </c>
      <c r="E387" s="3" t="s">
        <v>1300</v>
      </c>
    </row>
    <row r="388" spans="1:5" x14ac:dyDescent="0.35">
      <c r="A388" s="3" t="s">
        <v>5389</v>
      </c>
      <c r="E388" s="3" t="s">
        <v>1308</v>
      </c>
    </row>
    <row r="389" spans="1:5" x14ac:dyDescent="0.35">
      <c r="A389" s="3" t="s">
        <v>2781</v>
      </c>
      <c r="E389" s="3" t="s">
        <v>1310</v>
      </c>
    </row>
    <row r="390" spans="1:5" x14ac:dyDescent="0.35">
      <c r="A390" s="3" t="s">
        <v>682</v>
      </c>
      <c r="E390" s="3" t="s">
        <v>1314</v>
      </c>
    </row>
    <row r="391" spans="1:5" x14ac:dyDescent="0.35">
      <c r="A391" s="3" t="s">
        <v>1397</v>
      </c>
      <c r="E391" s="3" t="s">
        <v>1318</v>
      </c>
    </row>
    <row r="392" spans="1:5" x14ac:dyDescent="0.35">
      <c r="A392" s="3" t="s">
        <v>813</v>
      </c>
      <c r="E392" s="3" t="s">
        <v>1320</v>
      </c>
    </row>
    <row r="393" spans="1:5" x14ac:dyDescent="0.35">
      <c r="A393" s="3" t="s">
        <v>789</v>
      </c>
      <c r="E393" s="3" t="s">
        <v>1322</v>
      </c>
    </row>
    <row r="394" spans="1:5" x14ac:dyDescent="0.35">
      <c r="A394" s="3" t="s">
        <v>38</v>
      </c>
      <c r="E394" s="3" t="s">
        <v>1324</v>
      </c>
    </row>
    <row r="395" spans="1:5" x14ac:dyDescent="0.35">
      <c r="A395" s="3" t="s">
        <v>3752</v>
      </c>
      <c r="E395" s="3" t="s">
        <v>1330</v>
      </c>
    </row>
    <row r="396" spans="1:5" x14ac:dyDescent="0.35">
      <c r="A396" s="3" t="s">
        <v>4583</v>
      </c>
      <c r="E396" s="3" t="s">
        <v>1334</v>
      </c>
    </row>
    <row r="397" spans="1:5" x14ac:dyDescent="0.35">
      <c r="A397" s="3" t="s">
        <v>3758</v>
      </c>
      <c r="E397" s="3" t="s">
        <v>1336</v>
      </c>
    </row>
    <row r="398" spans="1:5" x14ac:dyDescent="0.35">
      <c r="A398" s="3" t="s">
        <v>4940</v>
      </c>
      <c r="E398" s="3" t="s">
        <v>1338</v>
      </c>
    </row>
    <row r="399" spans="1:5" x14ac:dyDescent="0.35">
      <c r="A399" s="3" t="s">
        <v>3305</v>
      </c>
      <c r="E399" s="3" t="s">
        <v>1344</v>
      </c>
    </row>
    <row r="400" spans="1:5" x14ac:dyDescent="0.35">
      <c r="A400" s="3" t="s">
        <v>3069</v>
      </c>
      <c r="E400" s="3" t="s">
        <v>1346</v>
      </c>
    </row>
    <row r="401" spans="1:5" x14ac:dyDescent="0.35">
      <c r="A401" s="3" t="s">
        <v>2224</v>
      </c>
      <c r="E401" s="3" t="s">
        <v>1350</v>
      </c>
    </row>
    <row r="402" spans="1:5" x14ac:dyDescent="0.35">
      <c r="A402" s="3" t="s">
        <v>3828</v>
      </c>
      <c r="E402" s="3" t="s">
        <v>1352</v>
      </c>
    </row>
    <row r="403" spans="1:5" x14ac:dyDescent="0.35">
      <c r="A403" s="3" t="s">
        <v>5403</v>
      </c>
      <c r="E403" s="3" t="s">
        <v>1354</v>
      </c>
    </row>
    <row r="404" spans="1:5" x14ac:dyDescent="0.35">
      <c r="A404" s="3" t="s">
        <v>4984</v>
      </c>
      <c r="E404" s="3" t="s">
        <v>1356</v>
      </c>
    </row>
    <row r="405" spans="1:5" x14ac:dyDescent="0.35">
      <c r="A405" s="3" t="s">
        <v>2084</v>
      </c>
      <c r="E405" s="3" t="s">
        <v>1358</v>
      </c>
    </row>
    <row r="406" spans="1:5" x14ac:dyDescent="0.35">
      <c r="A406" s="3" t="s">
        <v>5677</v>
      </c>
      <c r="E406" s="3" t="s">
        <v>1360</v>
      </c>
    </row>
    <row r="407" spans="1:5" x14ac:dyDescent="0.35">
      <c r="A407" s="3" t="s">
        <v>401</v>
      </c>
      <c r="E407" s="3" t="s">
        <v>1362</v>
      </c>
    </row>
    <row r="408" spans="1:5" x14ac:dyDescent="0.35">
      <c r="A408" s="3" t="s">
        <v>1054</v>
      </c>
      <c r="E408" s="3" t="s">
        <v>1364</v>
      </c>
    </row>
    <row r="409" spans="1:5" x14ac:dyDescent="0.35">
      <c r="A409" s="3" t="s">
        <v>2284</v>
      </c>
      <c r="E409" s="3" t="s">
        <v>1372</v>
      </c>
    </row>
    <row r="410" spans="1:5" x14ac:dyDescent="0.35">
      <c r="A410" s="3" t="s">
        <v>883</v>
      </c>
      <c r="E410" s="3" t="s">
        <v>1374</v>
      </c>
    </row>
    <row r="411" spans="1:5" x14ac:dyDescent="0.35">
      <c r="A411" s="3" t="s">
        <v>4375</v>
      </c>
      <c r="E411" s="3" t="s">
        <v>1376</v>
      </c>
    </row>
    <row r="412" spans="1:5" x14ac:dyDescent="0.35">
      <c r="A412" s="3" t="s">
        <v>954</v>
      </c>
      <c r="E412" s="3" t="s">
        <v>1388</v>
      </c>
    </row>
    <row r="413" spans="1:5" x14ac:dyDescent="0.35">
      <c r="A413" s="3" t="s">
        <v>33</v>
      </c>
      <c r="E413" s="3" t="s">
        <v>1390</v>
      </c>
    </row>
    <row r="414" spans="1:5" x14ac:dyDescent="0.35">
      <c r="A414" s="3" t="s">
        <v>3267</v>
      </c>
      <c r="E414" s="3" t="s">
        <v>1392</v>
      </c>
    </row>
    <row r="415" spans="1:5" x14ac:dyDescent="0.35">
      <c r="A415" s="3" t="s">
        <v>2755</v>
      </c>
      <c r="E415" s="3" t="s">
        <v>1396</v>
      </c>
    </row>
    <row r="416" spans="1:5" x14ac:dyDescent="0.35">
      <c r="A416" s="3" t="s">
        <v>2910</v>
      </c>
      <c r="E416" s="3" t="s">
        <v>1398</v>
      </c>
    </row>
    <row r="417" spans="1:5" x14ac:dyDescent="0.35">
      <c r="A417" s="3" t="s">
        <v>3022</v>
      </c>
      <c r="E417" s="3" t="s">
        <v>1402</v>
      </c>
    </row>
    <row r="418" spans="1:5" x14ac:dyDescent="0.35">
      <c r="A418" s="3" t="s">
        <v>3242</v>
      </c>
      <c r="E418" s="3" t="s">
        <v>1404</v>
      </c>
    </row>
    <row r="419" spans="1:5" x14ac:dyDescent="0.35">
      <c r="A419" s="3" t="s">
        <v>1535</v>
      </c>
      <c r="E419" s="3" t="s">
        <v>1408</v>
      </c>
    </row>
    <row r="420" spans="1:5" x14ac:dyDescent="0.35">
      <c r="A420" s="3" t="s">
        <v>3952</v>
      </c>
      <c r="E420" s="3" t="s">
        <v>1410</v>
      </c>
    </row>
    <row r="421" spans="1:5" x14ac:dyDescent="0.35">
      <c r="A421" s="3" t="s">
        <v>3426</v>
      </c>
      <c r="E421" s="3" t="s">
        <v>1418</v>
      </c>
    </row>
    <row r="422" spans="1:5" x14ac:dyDescent="0.35">
      <c r="A422" s="3" t="s">
        <v>4599</v>
      </c>
      <c r="E422" s="3" t="s">
        <v>1420</v>
      </c>
    </row>
    <row r="423" spans="1:5" x14ac:dyDescent="0.35">
      <c r="A423" s="3" t="s">
        <v>1174</v>
      </c>
      <c r="E423" s="3" t="s">
        <v>1422</v>
      </c>
    </row>
    <row r="424" spans="1:5" x14ac:dyDescent="0.35">
      <c r="A424" s="3" t="s">
        <v>2026</v>
      </c>
      <c r="E424" s="3" t="s">
        <v>1428</v>
      </c>
    </row>
    <row r="425" spans="1:5" x14ac:dyDescent="0.35">
      <c r="A425" s="3" t="s">
        <v>4337</v>
      </c>
      <c r="E425" s="3" t="s">
        <v>1430</v>
      </c>
    </row>
    <row r="426" spans="1:5" x14ac:dyDescent="0.35">
      <c r="A426" s="3" t="s">
        <v>1970</v>
      </c>
      <c r="E426" s="3" t="s">
        <v>1434</v>
      </c>
    </row>
    <row r="427" spans="1:5" x14ac:dyDescent="0.35">
      <c r="A427" s="3" t="s">
        <v>2098</v>
      </c>
      <c r="E427" s="3" t="s">
        <v>1438</v>
      </c>
    </row>
    <row r="428" spans="1:5" x14ac:dyDescent="0.35">
      <c r="A428" s="3" t="s">
        <v>5149</v>
      </c>
      <c r="E428" s="3" t="s">
        <v>1440</v>
      </c>
    </row>
    <row r="429" spans="1:5" x14ac:dyDescent="0.35">
      <c r="A429" s="3" t="s">
        <v>5270</v>
      </c>
      <c r="E429" s="3" t="s">
        <v>1442</v>
      </c>
    </row>
    <row r="430" spans="1:5" x14ac:dyDescent="0.35">
      <c r="A430" s="3" t="s">
        <v>833</v>
      </c>
      <c r="E430" s="3" t="s">
        <v>1444</v>
      </c>
    </row>
    <row r="431" spans="1:5" x14ac:dyDescent="0.35">
      <c r="A431" s="3" t="s">
        <v>684</v>
      </c>
      <c r="E431" s="3" t="s">
        <v>1446</v>
      </c>
    </row>
    <row r="432" spans="1:5" x14ac:dyDescent="0.35">
      <c r="A432" s="3" t="s">
        <v>3605</v>
      </c>
      <c r="E432" s="3" t="s">
        <v>1448</v>
      </c>
    </row>
    <row r="433" spans="1:5" x14ac:dyDescent="0.35">
      <c r="A433" s="3" t="s">
        <v>5916</v>
      </c>
      <c r="E433" s="3" t="s">
        <v>1456</v>
      </c>
    </row>
    <row r="434" spans="1:5" x14ac:dyDescent="0.35">
      <c r="A434" s="3" t="s">
        <v>1058</v>
      </c>
      <c r="E434" s="3" t="s">
        <v>1458</v>
      </c>
    </row>
    <row r="435" spans="1:5" x14ac:dyDescent="0.35">
      <c r="A435" s="3" t="s">
        <v>1976</v>
      </c>
      <c r="E435" s="3" t="s">
        <v>1462</v>
      </c>
    </row>
    <row r="436" spans="1:5" x14ac:dyDescent="0.35">
      <c r="A436" s="3" t="s">
        <v>2757</v>
      </c>
      <c r="E436" s="3" t="s">
        <v>1466</v>
      </c>
    </row>
    <row r="437" spans="1:5" x14ac:dyDescent="0.35">
      <c r="A437" s="3" t="s">
        <v>2875</v>
      </c>
      <c r="E437" s="3" t="s">
        <v>1470</v>
      </c>
    </row>
    <row r="438" spans="1:5" x14ac:dyDescent="0.35">
      <c r="A438" s="3" t="s">
        <v>5244</v>
      </c>
      <c r="E438" s="3" t="s">
        <v>1472</v>
      </c>
    </row>
    <row r="439" spans="1:5" x14ac:dyDescent="0.35">
      <c r="A439" s="3" t="s">
        <v>1645</v>
      </c>
      <c r="E439" s="3" t="s">
        <v>1476</v>
      </c>
    </row>
    <row r="440" spans="1:5" x14ac:dyDescent="0.35">
      <c r="A440" s="3" t="s">
        <v>5173</v>
      </c>
      <c r="E440" s="3" t="s">
        <v>1478</v>
      </c>
    </row>
    <row r="441" spans="1:5" x14ac:dyDescent="0.35">
      <c r="A441" s="3" t="s">
        <v>1659</v>
      </c>
      <c r="E441" s="3" t="s">
        <v>1484</v>
      </c>
    </row>
    <row r="442" spans="1:5" x14ac:dyDescent="0.35">
      <c r="A442" s="3" t="s">
        <v>819</v>
      </c>
      <c r="E442" s="3" t="s">
        <v>1486</v>
      </c>
    </row>
    <row r="443" spans="1:5" x14ac:dyDescent="0.35">
      <c r="A443" s="3" t="s">
        <v>1922</v>
      </c>
      <c r="E443" s="3" t="s">
        <v>1490</v>
      </c>
    </row>
    <row r="444" spans="1:5" x14ac:dyDescent="0.35">
      <c r="A444" s="3" t="s">
        <v>281</v>
      </c>
      <c r="E444" s="3" t="s">
        <v>1492</v>
      </c>
    </row>
    <row r="445" spans="1:5" x14ac:dyDescent="0.35">
      <c r="A445" s="3" t="s">
        <v>1771</v>
      </c>
      <c r="E445" s="3" t="s">
        <v>1496</v>
      </c>
    </row>
    <row r="446" spans="1:5" x14ac:dyDescent="0.35">
      <c r="A446" s="3" t="s">
        <v>3691</v>
      </c>
      <c r="E446" s="3" t="s">
        <v>1504</v>
      </c>
    </row>
    <row r="447" spans="1:5" x14ac:dyDescent="0.35">
      <c r="A447" s="3" t="s">
        <v>2643</v>
      </c>
      <c r="E447" s="3" t="s">
        <v>1506</v>
      </c>
    </row>
    <row r="448" spans="1:5" x14ac:dyDescent="0.35">
      <c r="A448" s="3" t="s">
        <v>2062</v>
      </c>
      <c r="E448" s="3" t="s">
        <v>1508</v>
      </c>
    </row>
    <row r="449" spans="1:5" x14ac:dyDescent="0.35">
      <c r="A449" s="3" t="s">
        <v>391</v>
      </c>
      <c r="E449" s="3" t="s">
        <v>1512</v>
      </c>
    </row>
    <row r="450" spans="1:5" x14ac:dyDescent="0.35">
      <c r="A450" s="3" t="s">
        <v>4083</v>
      </c>
      <c r="E450" s="3" t="s">
        <v>1518</v>
      </c>
    </row>
    <row r="451" spans="1:5" x14ac:dyDescent="0.35">
      <c r="A451" s="3" t="s">
        <v>474</v>
      </c>
      <c r="E451" s="3" t="s">
        <v>1520</v>
      </c>
    </row>
    <row r="452" spans="1:5" x14ac:dyDescent="0.35">
      <c r="A452" s="3" t="s">
        <v>1299</v>
      </c>
      <c r="E452" s="3" t="s">
        <v>1522</v>
      </c>
    </row>
    <row r="453" spans="1:5" x14ac:dyDescent="0.35">
      <c r="A453" s="3" t="s">
        <v>5123</v>
      </c>
      <c r="E453" s="3" t="s">
        <v>1524</v>
      </c>
    </row>
    <row r="454" spans="1:5" x14ac:dyDescent="0.35">
      <c r="A454" s="3" t="s">
        <v>4585</v>
      </c>
      <c r="E454" s="3" t="s">
        <v>1526</v>
      </c>
    </row>
    <row r="455" spans="1:5" x14ac:dyDescent="0.35">
      <c r="A455" s="3" t="s">
        <v>29</v>
      </c>
      <c r="E455" s="3" t="s">
        <v>1528</v>
      </c>
    </row>
    <row r="456" spans="1:5" x14ac:dyDescent="0.35">
      <c r="A456" s="3" t="s">
        <v>2567</v>
      </c>
      <c r="E456" s="3" t="s">
        <v>1530</v>
      </c>
    </row>
    <row r="457" spans="1:5" x14ac:dyDescent="0.35">
      <c r="A457" s="3" t="s">
        <v>4603</v>
      </c>
      <c r="E457" s="3" t="s">
        <v>1532</v>
      </c>
    </row>
    <row r="458" spans="1:5" x14ac:dyDescent="0.35">
      <c r="A458" s="3" t="s">
        <v>2863</v>
      </c>
      <c r="E458" s="3" t="s">
        <v>1534</v>
      </c>
    </row>
    <row r="459" spans="1:5" x14ac:dyDescent="0.35">
      <c r="A459" s="3" t="s">
        <v>5709</v>
      </c>
      <c r="E459" s="3" t="s">
        <v>1536</v>
      </c>
    </row>
    <row r="460" spans="1:5" x14ac:dyDescent="0.35">
      <c r="A460" s="3" t="s">
        <v>3200</v>
      </c>
      <c r="E460" s="3" t="s">
        <v>1538</v>
      </c>
    </row>
    <row r="461" spans="1:5" x14ac:dyDescent="0.35">
      <c r="A461" s="3" t="s">
        <v>5258</v>
      </c>
      <c r="E461" s="3" t="s">
        <v>1544</v>
      </c>
    </row>
    <row r="462" spans="1:5" x14ac:dyDescent="0.35">
      <c r="A462" s="3" t="s">
        <v>1996</v>
      </c>
      <c r="E462" s="3" t="s">
        <v>1550</v>
      </c>
    </row>
    <row r="463" spans="1:5" x14ac:dyDescent="0.35">
      <c r="A463" s="3" t="s">
        <v>1948</v>
      </c>
      <c r="E463" s="3" t="s">
        <v>1552</v>
      </c>
    </row>
    <row r="464" spans="1:5" x14ac:dyDescent="0.35">
      <c r="A464" s="3" t="s">
        <v>4771</v>
      </c>
      <c r="E464" s="3" t="s">
        <v>1554</v>
      </c>
    </row>
    <row r="465" spans="1:5" x14ac:dyDescent="0.35">
      <c r="A465" s="3" t="s">
        <v>5711</v>
      </c>
      <c r="E465" s="3" t="s">
        <v>1556</v>
      </c>
    </row>
    <row r="466" spans="1:5" x14ac:dyDescent="0.35">
      <c r="A466" s="3" t="s">
        <v>4049</v>
      </c>
      <c r="E466" s="3" t="s">
        <v>1558</v>
      </c>
    </row>
    <row r="467" spans="1:5" x14ac:dyDescent="0.35">
      <c r="A467" s="3" t="s">
        <v>191</v>
      </c>
      <c r="E467" s="3" t="s">
        <v>1560</v>
      </c>
    </row>
    <row r="468" spans="1:5" x14ac:dyDescent="0.35">
      <c r="A468" s="3" t="s">
        <v>5073</v>
      </c>
      <c r="E468" s="3" t="s">
        <v>1562</v>
      </c>
    </row>
    <row r="469" spans="1:5" x14ac:dyDescent="0.35">
      <c r="A469" s="3" t="s">
        <v>403</v>
      </c>
      <c r="E469" s="3" t="s">
        <v>1568</v>
      </c>
    </row>
    <row r="470" spans="1:5" x14ac:dyDescent="0.35">
      <c r="A470" s="3" t="s">
        <v>4836</v>
      </c>
      <c r="E470" s="3" t="s">
        <v>1572</v>
      </c>
    </row>
    <row r="471" spans="1:5" x14ac:dyDescent="0.35">
      <c r="A471" s="3" t="s">
        <v>2300</v>
      </c>
      <c r="E471" s="3" t="s">
        <v>1574</v>
      </c>
    </row>
    <row r="472" spans="1:5" x14ac:dyDescent="0.35">
      <c r="A472" s="3" t="s">
        <v>1581</v>
      </c>
      <c r="E472" s="3" t="s">
        <v>1576</v>
      </c>
    </row>
    <row r="473" spans="1:5" x14ac:dyDescent="0.35">
      <c r="A473" s="3" t="s">
        <v>620</v>
      </c>
      <c r="E473" s="3" t="s">
        <v>1578</v>
      </c>
    </row>
    <row r="474" spans="1:5" x14ac:dyDescent="0.35">
      <c r="A474" s="3" t="s">
        <v>410</v>
      </c>
      <c r="E474" s="3" t="s">
        <v>1580</v>
      </c>
    </row>
    <row r="475" spans="1:5" x14ac:dyDescent="0.35">
      <c r="A475" s="3" t="s">
        <v>1309</v>
      </c>
      <c r="E475" s="3" t="s">
        <v>1582</v>
      </c>
    </row>
    <row r="476" spans="1:5" x14ac:dyDescent="0.35">
      <c r="A476" s="3" t="s">
        <v>5161</v>
      </c>
      <c r="E476" s="3" t="s">
        <v>1584</v>
      </c>
    </row>
    <row r="477" spans="1:5" x14ac:dyDescent="0.35">
      <c r="A477" s="3" t="s">
        <v>5566</v>
      </c>
      <c r="E477" s="3" t="s">
        <v>1590</v>
      </c>
    </row>
    <row r="478" spans="1:5" x14ac:dyDescent="0.35">
      <c r="A478" s="3" t="s">
        <v>4441</v>
      </c>
      <c r="E478" s="3" t="s">
        <v>1596</v>
      </c>
    </row>
    <row r="479" spans="1:5" x14ac:dyDescent="0.35">
      <c r="A479" s="3" t="s">
        <v>3500</v>
      </c>
      <c r="E479" s="3" t="s">
        <v>1604</v>
      </c>
    </row>
    <row r="480" spans="1:5" x14ac:dyDescent="0.35">
      <c r="A480" s="3" t="s">
        <v>1365</v>
      </c>
      <c r="E480" s="3" t="s">
        <v>1608</v>
      </c>
    </row>
    <row r="481" spans="1:5" x14ac:dyDescent="0.35">
      <c r="A481" s="3" t="s">
        <v>4904</v>
      </c>
      <c r="E481" s="3" t="s">
        <v>1610</v>
      </c>
    </row>
    <row r="482" spans="1:5" x14ac:dyDescent="0.35">
      <c r="A482" s="3" t="s">
        <v>3297</v>
      </c>
      <c r="E482" s="3" t="s">
        <v>1616</v>
      </c>
    </row>
    <row r="483" spans="1:5" x14ac:dyDescent="0.35">
      <c r="A483" s="3" t="s">
        <v>1377</v>
      </c>
      <c r="E483" s="3" t="s">
        <v>1618</v>
      </c>
    </row>
    <row r="484" spans="1:5" x14ac:dyDescent="0.35">
      <c r="A484" s="3" t="s">
        <v>2542</v>
      </c>
      <c r="E484" s="3" t="s">
        <v>1622</v>
      </c>
    </row>
    <row r="485" spans="1:5" x14ac:dyDescent="0.35">
      <c r="A485" s="3" t="s">
        <v>1950</v>
      </c>
      <c r="E485" s="3" t="s">
        <v>1628</v>
      </c>
    </row>
    <row r="486" spans="1:5" x14ac:dyDescent="0.35">
      <c r="A486" s="3" t="s">
        <v>2912</v>
      </c>
      <c r="E486" s="3" t="s">
        <v>1630</v>
      </c>
    </row>
    <row r="487" spans="1:5" x14ac:dyDescent="0.35">
      <c r="A487" s="3" t="s">
        <v>4948</v>
      </c>
      <c r="E487" s="3" t="s">
        <v>1634</v>
      </c>
    </row>
    <row r="488" spans="1:5" x14ac:dyDescent="0.35">
      <c r="A488" s="3" t="s">
        <v>2106</v>
      </c>
      <c r="E488" s="3" t="s">
        <v>1638</v>
      </c>
    </row>
    <row r="489" spans="1:5" x14ac:dyDescent="0.35">
      <c r="A489" s="3" t="s">
        <v>729</v>
      </c>
      <c r="E489" s="3" t="s">
        <v>1640</v>
      </c>
    </row>
    <row r="490" spans="1:5" x14ac:dyDescent="0.35">
      <c r="A490" s="3" t="s">
        <v>2292</v>
      </c>
      <c r="E490" s="3" t="s">
        <v>1642</v>
      </c>
    </row>
    <row r="491" spans="1:5" x14ac:dyDescent="0.35">
      <c r="A491" s="3" t="s">
        <v>3315</v>
      </c>
      <c r="E491" s="3" t="s">
        <v>1644</v>
      </c>
    </row>
    <row r="492" spans="1:5" x14ac:dyDescent="0.35">
      <c r="A492" s="3" t="s">
        <v>2988</v>
      </c>
      <c r="E492" s="3" t="s">
        <v>1646</v>
      </c>
    </row>
    <row r="493" spans="1:5" x14ac:dyDescent="0.35">
      <c r="A493" s="3" t="s">
        <v>2663</v>
      </c>
      <c r="E493" s="3" t="s">
        <v>1648</v>
      </c>
    </row>
    <row r="494" spans="1:5" x14ac:dyDescent="0.35">
      <c r="A494" s="3" t="s">
        <v>5797</v>
      </c>
      <c r="E494" s="3" t="s">
        <v>1654</v>
      </c>
    </row>
    <row r="495" spans="1:5" x14ac:dyDescent="0.35">
      <c r="A495" s="3" t="s">
        <v>431</v>
      </c>
      <c r="E495" s="3" t="s">
        <v>1658</v>
      </c>
    </row>
    <row r="496" spans="1:5" x14ac:dyDescent="0.35">
      <c r="A496" s="3" t="s">
        <v>4276</v>
      </c>
      <c r="E496" s="3" t="s">
        <v>1660</v>
      </c>
    </row>
    <row r="497" spans="1:5" x14ac:dyDescent="0.35">
      <c r="A497" s="3" t="s">
        <v>4335</v>
      </c>
      <c r="E497" s="3" t="s">
        <v>1662</v>
      </c>
    </row>
    <row r="498" spans="1:5" x14ac:dyDescent="0.35">
      <c r="A498" s="3" t="s">
        <v>1112</v>
      </c>
      <c r="E498" s="3" t="s">
        <v>1666</v>
      </c>
    </row>
    <row r="499" spans="1:5" x14ac:dyDescent="0.35">
      <c r="A499" s="3" t="s">
        <v>2557</v>
      </c>
      <c r="E499" s="3" t="s">
        <v>1668</v>
      </c>
    </row>
    <row r="500" spans="1:5" x14ac:dyDescent="0.35">
      <c r="A500" s="3" t="s">
        <v>2789</v>
      </c>
      <c r="E500" s="3" t="s">
        <v>1672</v>
      </c>
    </row>
    <row r="501" spans="1:5" x14ac:dyDescent="0.35">
      <c r="A501" s="3" t="s">
        <v>4834</v>
      </c>
      <c r="E501" s="3" t="s">
        <v>1676</v>
      </c>
    </row>
    <row r="502" spans="1:5" x14ac:dyDescent="0.35">
      <c r="A502" s="3" t="s">
        <v>3226</v>
      </c>
      <c r="E502" s="3" t="s">
        <v>1681</v>
      </c>
    </row>
    <row r="503" spans="1:5" x14ac:dyDescent="0.35">
      <c r="A503" s="3" t="s">
        <v>4422</v>
      </c>
      <c r="E503" s="3" t="s">
        <v>1683</v>
      </c>
    </row>
    <row r="504" spans="1:5" x14ac:dyDescent="0.35">
      <c r="A504" s="3" t="s">
        <v>2134</v>
      </c>
      <c r="E504" s="3" t="s">
        <v>1689</v>
      </c>
    </row>
    <row r="505" spans="1:5" x14ac:dyDescent="0.35">
      <c r="A505" s="3" t="s">
        <v>4227</v>
      </c>
      <c r="E505" s="3" t="s">
        <v>1691</v>
      </c>
    </row>
    <row r="506" spans="1:5" x14ac:dyDescent="0.35">
      <c r="A506" s="3" t="s">
        <v>308</v>
      </c>
      <c r="E506" s="3" t="s">
        <v>1693</v>
      </c>
    </row>
    <row r="507" spans="1:5" x14ac:dyDescent="0.35">
      <c r="A507" s="3" t="s">
        <v>5693</v>
      </c>
      <c r="E507" s="3" t="s">
        <v>1695</v>
      </c>
    </row>
    <row r="508" spans="1:5" x14ac:dyDescent="0.35">
      <c r="A508" s="3" t="s">
        <v>2675</v>
      </c>
      <c r="E508" s="3" t="s">
        <v>1697</v>
      </c>
    </row>
    <row r="509" spans="1:5" x14ac:dyDescent="0.35">
      <c r="A509" s="3" t="s">
        <v>3115</v>
      </c>
      <c r="E509" s="3" t="s">
        <v>1699</v>
      </c>
    </row>
    <row r="510" spans="1:5" x14ac:dyDescent="0.35">
      <c r="A510" s="3" t="s">
        <v>2213</v>
      </c>
      <c r="E510" s="3" t="s">
        <v>1701</v>
      </c>
    </row>
    <row r="511" spans="1:5" x14ac:dyDescent="0.35">
      <c r="A511" s="3" t="s">
        <v>521</v>
      </c>
      <c r="E511" s="3" t="s">
        <v>1703</v>
      </c>
    </row>
    <row r="512" spans="1:5" x14ac:dyDescent="0.35">
      <c r="A512" s="3" t="s">
        <v>6074</v>
      </c>
      <c r="E512" s="3" t="s">
        <v>1705</v>
      </c>
    </row>
    <row r="513" spans="1:5" x14ac:dyDescent="0.35">
      <c r="A513" s="3" t="s">
        <v>1910</v>
      </c>
      <c r="E513" s="3" t="s">
        <v>1709</v>
      </c>
    </row>
    <row r="514" spans="1:5" x14ac:dyDescent="0.35">
      <c r="A514" s="3" t="s">
        <v>664</v>
      </c>
      <c r="E514" s="3" t="s">
        <v>1711</v>
      </c>
    </row>
    <row r="515" spans="1:5" x14ac:dyDescent="0.35">
      <c r="A515" s="3" t="s">
        <v>3077</v>
      </c>
      <c r="E515" s="3" t="s">
        <v>1713</v>
      </c>
    </row>
    <row r="516" spans="1:5" x14ac:dyDescent="0.35">
      <c r="A516" s="3" t="s">
        <v>297</v>
      </c>
      <c r="E516" s="3" t="s">
        <v>1715</v>
      </c>
    </row>
    <row r="517" spans="1:5" x14ac:dyDescent="0.35">
      <c r="A517" s="3" t="s">
        <v>3291</v>
      </c>
      <c r="E517" s="3" t="s">
        <v>1717</v>
      </c>
    </row>
    <row r="518" spans="1:5" x14ac:dyDescent="0.35">
      <c r="A518" s="3" t="s">
        <v>567</v>
      </c>
      <c r="E518" s="3" t="s">
        <v>1719</v>
      </c>
    </row>
    <row r="519" spans="1:5" x14ac:dyDescent="0.35">
      <c r="A519" s="3" t="s">
        <v>2950</v>
      </c>
      <c r="E519" s="3" t="s">
        <v>1721</v>
      </c>
    </row>
    <row r="520" spans="1:5" x14ac:dyDescent="0.35">
      <c r="A520" s="3" t="s">
        <v>4043</v>
      </c>
      <c r="E520" s="3" t="s">
        <v>1724</v>
      </c>
    </row>
    <row r="521" spans="1:5" x14ac:dyDescent="0.35">
      <c r="A521" s="3" t="s">
        <v>4189</v>
      </c>
      <c r="E521" s="3" t="s">
        <v>1730</v>
      </c>
    </row>
    <row r="522" spans="1:5" x14ac:dyDescent="0.35">
      <c r="A522" s="3" t="s">
        <v>1716</v>
      </c>
      <c r="E522" s="3" t="s">
        <v>1732</v>
      </c>
    </row>
    <row r="523" spans="1:5" x14ac:dyDescent="0.35">
      <c r="A523" s="3" t="s">
        <v>2152</v>
      </c>
      <c r="E523" s="3" t="s">
        <v>1734</v>
      </c>
    </row>
    <row r="524" spans="1:5" x14ac:dyDescent="0.35">
      <c r="A524" s="3" t="s">
        <v>2373</v>
      </c>
      <c r="E524" s="3" t="s">
        <v>1736</v>
      </c>
    </row>
    <row r="525" spans="1:5" x14ac:dyDescent="0.35">
      <c r="A525" s="3" t="s">
        <v>2104</v>
      </c>
      <c r="E525" s="3" t="s">
        <v>1738</v>
      </c>
    </row>
    <row r="526" spans="1:5" x14ac:dyDescent="0.35">
      <c r="A526" s="3" t="s">
        <v>89</v>
      </c>
      <c r="E526" s="3" t="s">
        <v>1742</v>
      </c>
    </row>
    <row r="527" spans="1:5" x14ac:dyDescent="0.35">
      <c r="A527" s="3" t="s">
        <v>1609</v>
      </c>
      <c r="E527" s="3" t="s">
        <v>1744</v>
      </c>
    </row>
    <row r="528" spans="1:5" x14ac:dyDescent="0.35">
      <c r="A528" s="3" t="s">
        <v>2154</v>
      </c>
      <c r="E528" s="3" t="s">
        <v>1746</v>
      </c>
    </row>
    <row r="529" spans="1:5" x14ac:dyDescent="0.35">
      <c r="A529" s="3" t="s">
        <v>5825</v>
      </c>
      <c r="E529" s="3" t="s">
        <v>1750</v>
      </c>
    </row>
    <row r="530" spans="1:5" x14ac:dyDescent="0.35">
      <c r="A530" s="3" t="s">
        <v>5733</v>
      </c>
      <c r="E530" s="3" t="s">
        <v>1752</v>
      </c>
    </row>
    <row r="531" spans="1:5" x14ac:dyDescent="0.35">
      <c r="A531" s="3" t="s">
        <v>5617</v>
      </c>
      <c r="E531" s="3" t="s">
        <v>1754</v>
      </c>
    </row>
    <row r="532" spans="1:5" x14ac:dyDescent="0.35">
      <c r="A532" s="3" t="s">
        <v>5129</v>
      </c>
      <c r="E532" s="3" t="s">
        <v>1758</v>
      </c>
    </row>
    <row r="533" spans="1:5" x14ac:dyDescent="0.35">
      <c r="A533" s="3" t="s">
        <v>438</v>
      </c>
      <c r="E533" s="3" t="s">
        <v>1762</v>
      </c>
    </row>
    <row r="534" spans="1:5" x14ac:dyDescent="0.35">
      <c r="A534" s="3" t="s">
        <v>3262</v>
      </c>
      <c r="E534" s="3" t="s">
        <v>1766</v>
      </c>
    </row>
    <row r="535" spans="1:5" x14ac:dyDescent="0.35">
      <c r="A535" s="3" t="s">
        <v>4003</v>
      </c>
      <c r="E535" s="3" t="s">
        <v>1768</v>
      </c>
    </row>
    <row r="536" spans="1:5" x14ac:dyDescent="0.35">
      <c r="A536" s="3" t="s">
        <v>351</v>
      </c>
      <c r="E536" s="3" t="s">
        <v>1770</v>
      </c>
    </row>
    <row r="537" spans="1:5" x14ac:dyDescent="0.35">
      <c r="A537" s="3" t="s">
        <v>4396</v>
      </c>
      <c r="E537" s="3" t="s">
        <v>1776</v>
      </c>
    </row>
    <row r="538" spans="1:5" x14ac:dyDescent="0.35">
      <c r="A538" s="3" t="s">
        <v>4682</v>
      </c>
      <c r="E538" s="3" t="s">
        <v>1778</v>
      </c>
    </row>
    <row r="539" spans="1:5" x14ac:dyDescent="0.35">
      <c r="A539" s="3" t="s">
        <v>2779</v>
      </c>
      <c r="E539" s="3" t="s">
        <v>1780</v>
      </c>
    </row>
    <row r="540" spans="1:5" x14ac:dyDescent="0.35">
      <c r="A540" s="3" t="s">
        <v>3834</v>
      </c>
      <c r="E540" s="3" t="s">
        <v>1782</v>
      </c>
    </row>
    <row r="541" spans="1:5" x14ac:dyDescent="0.35">
      <c r="A541" s="3" t="s">
        <v>3490</v>
      </c>
      <c r="E541" s="3" t="s">
        <v>1784</v>
      </c>
    </row>
    <row r="542" spans="1:5" x14ac:dyDescent="0.35">
      <c r="A542" s="3" t="s">
        <v>1747</v>
      </c>
      <c r="E542" s="3" t="s">
        <v>1786</v>
      </c>
    </row>
    <row r="543" spans="1:5" x14ac:dyDescent="0.35">
      <c r="A543" s="3" t="s">
        <v>5360</v>
      </c>
      <c r="E543" s="3" t="s">
        <v>1790</v>
      </c>
    </row>
    <row r="544" spans="1:5" x14ac:dyDescent="0.35">
      <c r="A544" s="3" t="s">
        <v>3942</v>
      </c>
      <c r="E544" s="3" t="s">
        <v>1796</v>
      </c>
    </row>
    <row r="545" spans="1:5" x14ac:dyDescent="0.35">
      <c r="A545" s="3" t="s">
        <v>225</v>
      </c>
      <c r="E545" s="3" t="s">
        <v>1802</v>
      </c>
    </row>
    <row r="546" spans="1:5" x14ac:dyDescent="0.35">
      <c r="A546" s="3" t="s">
        <v>2536</v>
      </c>
      <c r="E546" s="3" t="s">
        <v>1806</v>
      </c>
    </row>
    <row r="547" spans="1:5" x14ac:dyDescent="0.35">
      <c r="A547" s="3" t="s">
        <v>2518</v>
      </c>
      <c r="E547" s="3" t="s">
        <v>1808</v>
      </c>
    </row>
    <row r="548" spans="1:5" x14ac:dyDescent="0.35">
      <c r="A548" s="3" t="s">
        <v>1216</v>
      </c>
      <c r="E548" s="3" t="s">
        <v>1812</v>
      </c>
    </row>
    <row r="549" spans="1:5" x14ac:dyDescent="0.35">
      <c r="A549" s="3" t="s">
        <v>3629</v>
      </c>
      <c r="E549" s="3" t="s">
        <v>1814</v>
      </c>
    </row>
    <row r="550" spans="1:5" x14ac:dyDescent="0.35">
      <c r="A550" s="3" t="s">
        <v>637</v>
      </c>
      <c r="E550" s="3" t="s">
        <v>1824</v>
      </c>
    </row>
    <row r="551" spans="1:5" x14ac:dyDescent="0.35">
      <c r="A551" s="3" t="s">
        <v>6049</v>
      </c>
      <c r="E551" s="3" t="s">
        <v>1830</v>
      </c>
    </row>
    <row r="552" spans="1:5" x14ac:dyDescent="0.35">
      <c r="A552" s="3" t="s">
        <v>4668</v>
      </c>
      <c r="E552" s="3" t="s">
        <v>1836</v>
      </c>
    </row>
    <row r="553" spans="1:5" x14ac:dyDescent="0.35">
      <c r="A553" s="3" t="s">
        <v>2207</v>
      </c>
      <c r="E553" s="3" t="s">
        <v>1838</v>
      </c>
    </row>
    <row r="554" spans="1:5" x14ac:dyDescent="0.35">
      <c r="A554" s="3" t="s">
        <v>1936</v>
      </c>
      <c r="E554" s="3" t="s">
        <v>1842</v>
      </c>
    </row>
    <row r="555" spans="1:5" x14ac:dyDescent="0.35">
      <c r="A555" s="3" t="s">
        <v>5342</v>
      </c>
      <c r="E555" s="3" t="s">
        <v>1844</v>
      </c>
    </row>
    <row r="556" spans="1:5" x14ac:dyDescent="0.35">
      <c r="A556" s="3" t="s">
        <v>509</v>
      </c>
      <c r="E556" s="3" t="s">
        <v>1846</v>
      </c>
    </row>
    <row r="557" spans="1:5" x14ac:dyDescent="0.35">
      <c r="A557" s="3" t="s">
        <v>6063</v>
      </c>
      <c r="E557" s="3" t="s">
        <v>1848</v>
      </c>
    </row>
    <row r="558" spans="1:5" x14ac:dyDescent="0.35">
      <c r="A558" s="3" t="s">
        <v>3615</v>
      </c>
      <c r="E558" s="3" t="s">
        <v>1850</v>
      </c>
    </row>
    <row r="559" spans="1:5" x14ac:dyDescent="0.35">
      <c r="A559" s="3" t="s">
        <v>3313</v>
      </c>
      <c r="E559" s="3" t="s">
        <v>1852</v>
      </c>
    </row>
    <row r="560" spans="1:5" x14ac:dyDescent="0.35">
      <c r="A560" s="3" t="s">
        <v>5635</v>
      </c>
      <c r="E560" s="3" t="s">
        <v>1856</v>
      </c>
    </row>
    <row r="561" spans="1:5" x14ac:dyDescent="0.35">
      <c r="A561" s="3" t="s">
        <v>771</v>
      </c>
      <c r="E561" s="3" t="s">
        <v>1858</v>
      </c>
    </row>
    <row r="562" spans="1:5" x14ac:dyDescent="0.35">
      <c r="A562" s="3" t="s">
        <v>2173</v>
      </c>
      <c r="E562" s="3" t="s">
        <v>1860</v>
      </c>
    </row>
    <row r="563" spans="1:5" x14ac:dyDescent="0.35">
      <c r="A563" s="3" t="s">
        <v>2918</v>
      </c>
      <c r="E563" s="3" t="s">
        <v>1862</v>
      </c>
    </row>
    <row r="564" spans="1:5" x14ac:dyDescent="0.35">
      <c r="A564" s="3" t="s">
        <v>560</v>
      </c>
      <c r="E564" s="3" t="s">
        <v>1864</v>
      </c>
    </row>
    <row r="565" spans="1:5" x14ac:dyDescent="0.35">
      <c r="A565" s="3" t="s">
        <v>1064</v>
      </c>
      <c r="E565" s="3" t="s">
        <v>1866</v>
      </c>
    </row>
    <row r="566" spans="1:5" x14ac:dyDescent="0.35">
      <c r="A566" s="3" t="s">
        <v>386</v>
      </c>
      <c r="E566" s="3" t="s">
        <v>1870</v>
      </c>
    </row>
    <row r="567" spans="1:5" x14ac:dyDescent="0.35">
      <c r="A567" s="3" t="s">
        <v>1323</v>
      </c>
      <c r="E567" s="3" t="s">
        <v>1872</v>
      </c>
    </row>
    <row r="568" spans="1:5" x14ac:dyDescent="0.35">
      <c r="A568" s="3" t="s">
        <v>76</v>
      </c>
      <c r="E568" s="3" t="s">
        <v>1874</v>
      </c>
    </row>
    <row r="569" spans="1:5" x14ac:dyDescent="0.35">
      <c r="A569" s="3" t="s">
        <v>5707</v>
      </c>
      <c r="E569" s="3" t="s">
        <v>1880</v>
      </c>
    </row>
    <row r="570" spans="1:5" x14ac:dyDescent="0.35">
      <c r="A570" s="3" t="s">
        <v>2948</v>
      </c>
      <c r="E570" s="3" t="s">
        <v>1883</v>
      </c>
    </row>
    <row r="571" spans="1:5" x14ac:dyDescent="0.35">
      <c r="A571" s="3" t="s">
        <v>3331</v>
      </c>
      <c r="E571" s="3" t="s">
        <v>1887</v>
      </c>
    </row>
    <row r="572" spans="1:5" x14ac:dyDescent="0.35">
      <c r="A572" s="3" t="s">
        <v>1617</v>
      </c>
      <c r="E572" s="3" t="s">
        <v>1889</v>
      </c>
    </row>
    <row r="573" spans="1:5" x14ac:dyDescent="0.35">
      <c r="A573" s="3" t="s">
        <v>2144</v>
      </c>
      <c r="E573" s="3" t="s">
        <v>1891</v>
      </c>
    </row>
    <row r="574" spans="1:5" x14ac:dyDescent="0.35">
      <c r="A574" s="3" t="s">
        <v>2845</v>
      </c>
      <c r="E574" s="3" t="s">
        <v>1893</v>
      </c>
    </row>
    <row r="575" spans="1:5" x14ac:dyDescent="0.35">
      <c r="A575" s="3" t="s">
        <v>3081</v>
      </c>
      <c r="E575" s="3" t="s">
        <v>1895</v>
      </c>
    </row>
    <row r="576" spans="1:5" x14ac:dyDescent="0.35">
      <c r="A576" s="3" t="s">
        <v>2022</v>
      </c>
      <c r="E576" s="3" t="s">
        <v>1897</v>
      </c>
    </row>
    <row r="577" spans="1:5" x14ac:dyDescent="0.35">
      <c r="A577" s="3" t="s">
        <v>2140</v>
      </c>
      <c r="E577" s="3" t="s">
        <v>1901</v>
      </c>
    </row>
    <row r="578" spans="1:5" x14ac:dyDescent="0.35">
      <c r="A578" s="3" t="s">
        <v>2308</v>
      </c>
      <c r="E578" s="3" t="s">
        <v>1903</v>
      </c>
    </row>
    <row r="579" spans="1:5" x14ac:dyDescent="0.35">
      <c r="A579" s="3" t="s">
        <v>5657</v>
      </c>
      <c r="E579" s="3" t="s">
        <v>1907</v>
      </c>
    </row>
    <row r="580" spans="1:5" x14ac:dyDescent="0.35">
      <c r="A580" s="3" t="s">
        <v>1439</v>
      </c>
      <c r="E580" s="3" t="s">
        <v>1909</v>
      </c>
    </row>
    <row r="581" spans="1:5" x14ac:dyDescent="0.35">
      <c r="A581" s="3" t="s">
        <v>718</v>
      </c>
      <c r="E581" s="3" t="s">
        <v>1911</v>
      </c>
    </row>
    <row r="582" spans="1:5" x14ac:dyDescent="0.35">
      <c r="A582" s="3" t="s">
        <v>5065</v>
      </c>
      <c r="E582" s="3" t="s">
        <v>1915</v>
      </c>
    </row>
    <row r="583" spans="1:5" x14ac:dyDescent="0.35">
      <c r="A583" s="3" t="s">
        <v>5560</v>
      </c>
      <c r="E583" s="3" t="s">
        <v>1917</v>
      </c>
    </row>
    <row r="584" spans="1:5" x14ac:dyDescent="0.35">
      <c r="A584" s="3" t="s">
        <v>4997</v>
      </c>
      <c r="E584" s="3" t="s">
        <v>1919</v>
      </c>
    </row>
    <row r="585" spans="1:5" x14ac:dyDescent="0.35">
      <c r="A585" s="3" t="s">
        <v>4251</v>
      </c>
      <c r="E585" s="3" t="s">
        <v>1921</v>
      </c>
    </row>
    <row r="586" spans="1:5" x14ac:dyDescent="0.35">
      <c r="A586" s="3" t="s">
        <v>3168</v>
      </c>
      <c r="E586" s="3" t="s">
        <v>1923</v>
      </c>
    </row>
    <row r="587" spans="1:5" x14ac:dyDescent="0.35">
      <c r="A587" s="3" t="s">
        <v>4418</v>
      </c>
      <c r="E587" s="3" t="s">
        <v>1925</v>
      </c>
    </row>
    <row r="588" spans="1:5" x14ac:dyDescent="0.35">
      <c r="A588" s="3" t="s">
        <v>4270</v>
      </c>
      <c r="E588" s="3" t="s">
        <v>1927</v>
      </c>
    </row>
    <row r="589" spans="1:5" x14ac:dyDescent="0.35">
      <c r="A589" s="3" t="s">
        <v>2920</v>
      </c>
      <c r="E589" s="3" t="s">
        <v>1929</v>
      </c>
    </row>
    <row r="590" spans="1:5" x14ac:dyDescent="0.35">
      <c r="A590" s="3" t="s">
        <v>1861</v>
      </c>
      <c r="E590" s="3" t="s">
        <v>1931</v>
      </c>
    </row>
    <row r="591" spans="1:5" x14ac:dyDescent="0.35">
      <c r="A591" s="3" t="s">
        <v>3428</v>
      </c>
      <c r="E591" s="3" t="s">
        <v>1933</v>
      </c>
    </row>
    <row r="592" spans="1:5" x14ac:dyDescent="0.35">
      <c r="A592" s="3" t="s">
        <v>5944</v>
      </c>
      <c r="E592" s="3" t="s">
        <v>1935</v>
      </c>
    </row>
    <row r="593" spans="1:5" x14ac:dyDescent="0.35">
      <c r="A593" s="3" t="s">
        <v>1389</v>
      </c>
      <c r="E593" s="3" t="s">
        <v>1939</v>
      </c>
    </row>
    <row r="594" spans="1:5" x14ac:dyDescent="0.35">
      <c r="A594" s="3" t="s">
        <v>2503</v>
      </c>
      <c r="E594" s="3" t="s">
        <v>1947</v>
      </c>
    </row>
    <row r="595" spans="1:5" x14ac:dyDescent="0.35">
      <c r="A595" s="3" t="s">
        <v>5593</v>
      </c>
      <c r="E595" s="3" t="s">
        <v>1949</v>
      </c>
    </row>
    <row r="596" spans="1:5" x14ac:dyDescent="0.35">
      <c r="A596" s="3" t="s">
        <v>547</v>
      </c>
      <c r="E596" s="3" t="s">
        <v>1953</v>
      </c>
    </row>
    <row r="597" spans="1:5" x14ac:dyDescent="0.35">
      <c r="A597" s="3" t="s">
        <v>4864</v>
      </c>
      <c r="E597" s="3" t="s">
        <v>1957</v>
      </c>
    </row>
    <row r="598" spans="1:5" x14ac:dyDescent="0.35">
      <c r="A598" s="3" t="s">
        <v>5793</v>
      </c>
      <c r="E598" s="3" t="s">
        <v>1961</v>
      </c>
    </row>
    <row r="599" spans="1:5" x14ac:dyDescent="0.35">
      <c r="A599" s="3" t="s">
        <v>5885</v>
      </c>
      <c r="E599" s="3" t="s">
        <v>1963</v>
      </c>
    </row>
    <row r="600" spans="1:5" x14ac:dyDescent="0.35">
      <c r="A600" s="3" t="s">
        <v>2146</v>
      </c>
      <c r="E600" s="3" t="s">
        <v>1965</v>
      </c>
    </row>
    <row r="601" spans="1:5" x14ac:dyDescent="0.35">
      <c r="A601" s="3" t="s">
        <v>895</v>
      </c>
      <c r="E601" s="3" t="s">
        <v>1967</v>
      </c>
    </row>
    <row r="602" spans="1:5" x14ac:dyDescent="0.35">
      <c r="A602" s="3" t="s">
        <v>2968</v>
      </c>
      <c r="E602" s="3" t="s">
        <v>1969</v>
      </c>
    </row>
    <row r="603" spans="1:5" x14ac:dyDescent="0.35">
      <c r="A603" s="3" t="s">
        <v>2540</v>
      </c>
      <c r="E603" s="3" t="s">
        <v>1973</v>
      </c>
    </row>
    <row r="604" spans="1:5" x14ac:dyDescent="0.35">
      <c r="A604" s="3" t="s">
        <v>1006</v>
      </c>
      <c r="E604" s="3" t="s">
        <v>1975</v>
      </c>
    </row>
    <row r="605" spans="1:5" x14ac:dyDescent="0.35">
      <c r="A605" s="3" t="s">
        <v>4315</v>
      </c>
      <c r="E605" s="3" t="s">
        <v>1977</v>
      </c>
    </row>
    <row r="606" spans="1:5" x14ac:dyDescent="0.35">
      <c r="A606" s="3" t="s">
        <v>4832</v>
      </c>
      <c r="E606" s="3" t="s">
        <v>1979</v>
      </c>
    </row>
    <row r="607" spans="1:5" x14ac:dyDescent="0.35">
      <c r="A607" s="3" t="s">
        <v>5272</v>
      </c>
      <c r="E607" s="3" t="s">
        <v>1981</v>
      </c>
    </row>
    <row r="608" spans="1:5" x14ac:dyDescent="0.35">
      <c r="A608" s="3" t="s">
        <v>3446</v>
      </c>
      <c r="E608" s="3" t="s">
        <v>1983</v>
      </c>
    </row>
    <row r="609" spans="1:5" x14ac:dyDescent="0.35">
      <c r="A609" s="3" t="s">
        <v>5079</v>
      </c>
      <c r="E609" s="3" t="s">
        <v>1985</v>
      </c>
    </row>
    <row r="610" spans="1:5" x14ac:dyDescent="0.35">
      <c r="A610" s="3" t="s">
        <v>1974</v>
      </c>
      <c r="E610" s="3" t="s">
        <v>1987</v>
      </c>
    </row>
    <row r="611" spans="1:5" x14ac:dyDescent="0.35">
      <c r="A611" s="3" t="s">
        <v>2393</v>
      </c>
      <c r="E611" s="3" t="s">
        <v>1991</v>
      </c>
    </row>
    <row r="612" spans="1:5" x14ac:dyDescent="0.35">
      <c r="A612" s="3" t="s">
        <v>1473</v>
      </c>
      <c r="E612" s="3" t="s">
        <v>1995</v>
      </c>
    </row>
    <row r="613" spans="1:5" x14ac:dyDescent="0.35">
      <c r="A613" s="3" t="s">
        <v>1228</v>
      </c>
      <c r="E613" s="3" t="s">
        <v>1997</v>
      </c>
    </row>
    <row r="614" spans="1:5" x14ac:dyDescent="0.35">
      <c r="A614" s="3" t="s">
        <v>4093</v>
      </c>
      <c r="E614" s="3" t="s">
        <v>2001</v>
      </c>
    </row>
    <row r="615" spans="1:5" x14ac:dyDescent="0.35">
      <c r="A615" s="3" t="s">
        <v>5661</v>
      </c>
      <c r="E615" s="3" t="s">
        <v>2005</v>
      </c>
    </row>
    <row r="616" spans="1:5" x14ac:dyDescent="0.35">
      <c r="A616" s="3" t="s">
        <v>5218</v>
      </c>
      <c r="E616" s="3" t="s">
        <v>2011</v>
      </c>
    </row>
    <row r="617" spans="1:5" x14ac:dyDescent="0.35">
      <c r="A617" s="3" t="s">
        <v>4950</v>
      </c>
      <c r="E617" s="3" t="s">
        <v>2015</v>
      </c>
    </row>
    <row r="618" spans="1:5" x14ac:dyDescent="0.35">
      <c r="A618" s="3" t="s">
        <v>2060</v>
      </c>
      <c r="E618" s="3" t="s">
        <v>2017</v>
      </c>
    </row>
    <row r="619" spans="1:5" x14ac:dyDescent="0.35">
      <c r="A619" s="3" t="s">
        <v>3208</v>
      </c>
      <c r="E619" s="3" t="s">
        <v>2019</v>
      </c>
    </row>
    <row r="620" spans="1:5" x14ac:dyDescent="0.35">
      <c r="A620" s="3" t="s">
        <v>2220</v>
      </c>
      <c r="E620" s="3" t="s">
        <v>2021</v>
      </c>
    </row>
    <row r="621" spans="1:5" x14ac:dyDescent="0.35">
      <c r="A621" s="3" t="s">
        <v>1694</v>
      </c>
      <c r="E621" s="3" t="s">
        <v>2023</v>
      </c>
    </row>
    <row r="622" spans="1:5" x14ac:dyDescent="0.35">
      <c r="A622" s="3" t="s">
        <v>5330</v>
      </c>
      <c r="E622" s="3" t="s">
        <v>2025</v>
      </c>
    </row>
    <row r="623" spans="1:5" x14ac:dyDescent="0.35">
      <c r="A623" s="3" t="s">
        <v>3464</v>
      </c>
      <c r="E623" s="3" t="s">
        <v>2029</v>
      </c>
    </row>
    <row r="624" spans="1:5" x14ac:dyDescent="0.35">
      <c r="A624" s="3" t="s">
        <v>1631</v>
      </c>
      <c r="E624" s="3" t="s">
        <v>2031</v>
      </c>
    </row>
    <row r="625" spans="1:5" x14ac:dyDescent="0.35">
      <c r="A625" s="3" t="s">
        <v>4785</v>
      </c>
      <c r="E625" s="3" t="s">
        <v>2033</v>
      </c>
    </row>
    <row r="626" spans="1:5" x14ac:dyDescent="0.35">
      <c r="A626" s="3" t="s">
        <v>1463</v>
      </c>
      <c r="E626" s="3" t="s">
        <v>2035</v>
      </c>
    </row>
    <row r="627" spans="1:5" x14ac:dyDescent="0.35">
      <c r="A627" s="3" t="s">
        <v>1074</v>
      </c>
      <c r="E627" s="3" t="s">
        <v>2037</v>
      </c>
    </row>
    <row r="628" spans="1:5" x14ac:dyDescent="0.35">
      <c r="A628" s="3" t="s">
        <v>4479</v>
      </c>
      <c r="E628" s="3" t="s">
        <v>2039</v>
      </c>
    </row>
    <row r="629" spans="1:5" x14ac:dyDescent="0.35">
      <c r="A629" s="3" t="s">
        <v>3202</v>
      </c>
      <c r="E629" s="3" t="s">
        <v>2047</v>
      </c>
    </row>
    <row r="630" spans="1:5" x14ac:dyDescent="0.35">
      <c r="A630" s="3" t="s">
        <v>2068</v>
      </c>
      <c r="E630" s="3" t="s">
        <v>2049</v>
      </c>
    </row>
    <row r="631" spans="1:5" x14ac:dyDescent="0.35">
      <c r="A631" s="3" t="s">
        <v>2583</v>
      </c>
      <c r="E631" s="3" t="s">
        <v>2059</v>
      </c>
    </row>
    <row r="632" spans="1:5" x14ac:dyDescent="0.35">
      <c r="A632" s="3" t="s">
        <v>2974</v>
      </c>
      <c r="E632" s="3" t="s">
        <v>2061</v>
      </c>
    </row>
    <row r="633" spans="1:5" x14ac:dyDescent="0.35">
      <c r="A633" s="3" t="s">
        <v>3790</v>
      </c>
      <c r="E633" s="3" t="s">
        <v>2063</v>
      </c>
    </row>
    <row r="634" spans="1:5" x14ac:dyDescent="0.35">
      <c r="A634" s="3" t="s">
        <v>5747</v>
      </c>
      <c r="E634" s="3" t="s">
        <v>2065</v>
      </c>
    </row>
    <row r="635" spans="1:5" x14ac:dyDescent="0.35">
      <c r="A635" s="3" t="s">
        <v>4305</v>
      </c>
      <c r="E635" s="3" t="s">
        <v>2071</v>
      </c>
    </row>
    <row r="636" spans="1:5" x14ac:dyDescent="0.35">
      <c r="A636" s="3" t="s">
        <v>552</v>
      </c>
      <c r="E636" s="3" t="s">
        <v>2073</v>
      </c>
    </row>
    <row r="637" spans="1:5" x14ac:dyDescent="0.35">
      <c r="A637" s="3" t="s">
        <v>2423</v>
      </c>
      <c r="E637" s="3" t="s">
        <v>2077</v>
      </c>
    </row>
    <row r="638" spans="1:5" x14ac:dyDescent="0.35">
      <c r="A638" s="3" t="s">
        <v>107</v>
      </c>
      <c r="E638" s="3" t="s">
        <v>2079</v>
      </c>
    </row>
    <row r="639" spans="1:5" x14ac:dyDescent="0.35">
      <c r="A639" s="3" t="s">
        <v>3134</v>
      </c>
      <c r="E639" s="3" t="s">
        <v>2083</v>
      </c>
    </row>
    <row r="640" spans="1:5" x14ac:dyDescent="0.35">
      <c r="A640" s="3" t="s">
        <v>2314</v>
      </c>
      <c r="E640" s="3" t="s">
        <v>2087</v>
      </c>
    </row>
    <row r="641" spans="1:5" x14ac:dyDescent="0.35">
      <c r="A641" s="3" t="s">
        <v>2661</v>
      </c>
      <c r="E641" s="3" t="s">
        <v>2091</v>
      </c>
    </row>
    <row r="642" spans="1:5" x14ac:dyDescent="0.35">
      <c r="A642" s="3" t="s">
        <v>5212</v>
      </c>
      <c r="E642" s="3" t="s">
        <v>2095</v>
      </c>
    </row>
    <row r="643" spans="1:5" x14ac:dyDescent="0.35">
      <c r="A643" s="3" t="s">
        <v>3978</v>
      </c>
      <c r="E643" s="3" t="s">
        <v>2097</v>
      </c>
    </row>
    <row r="644" spans="1:5" x14ac:dyDescent="0.35">
      <c r="A644" s="3" t="s">
        <v>335</v>
      </c>
      <c r="E644" s="3" t="s">
        <v>2099</v>
      </c>
    </row>
    <row r="645" spans="1:5" x14ac:dyDescent="0.35">
      <c r="A645" s="3" t="s">
        <v>1116</v>
      </c>
      <c r="E645" s="3" t="s">
        <v>2103</v>
      </c>
    </row>
    <row r="646" spans="1:5" x14ac:dyDescent="0.35">
      <c r="A646" s="3" t="s">
        <v>1000</v>
      </c>
      <c r="E646" s="3" t="s">
        <v>2105</v>
      </c>
    </row>
    <row r="647" spans="1:5" x14ac:dyDescent="0.35">
      <c r="A647" s="3" t="s">
        <v>4910</v>
      </c>
      <c r="E647" s="3" t="s">
        <v>2107</v>
      </c>
    </row>
    <row r="648" spans="1:5" x14ac:dyDescent="0.35">
      <c r="A648" s="3" t="s">
        <v>2036</v>
      </c>
      <c r="E648" s="3" t="s">
        <v>2109</v>
      </c>
    </row>
    <row r="649" spans="1:5" x14ac:dyDescent="0.35">
      <c r="A649" s="3" t="s">
        <v>5903</v>
      </c>
      <c r="E649" s="3" t="s">
        <v>2111</v>
      </c>
    </row>
    <row r="650" spans="1:5" x14ac:dyDescent="0.35">
      <c r="A650" s="3" t="s">
        <v>4061</v>
      </c>
      <c r="E650" s="3" t="s">
        <v>2113</v>
      </c>
    </row>
    <row r="651" spans="1:5" x14ac:dyDescent="0.35">
      <c r="A651" s="3" t="s">
        <v>5025</v>
      </c>
      <c r="E651" s="3" t="s">
        <v>2119</v>
      </c>
    </row>
    <row r="652" spans="1:5" x14ac:dyDescent="0.35">
      <c r="A652" s="3" t="s">
        <v>641</v>
      </c>
      <c r="E652" s="3" t="s">
        <v>2121</v>
      </c>
    </row>
    <row r="653" spans="1:5" x14ac:dyDescent="0.35">
      <c r="A653" s="3" t="s">
        <v>1375</v>
      </c>
      <c r="E653" s="3" t="s">
        <v>2123</v>
      </c>
    </row>
    <row r="654" spans="1:5" x14ac:dyDescent="0.35">
      <c r="A654" s="3" t="s">
        <v>162</v>
      </c>
      <c r="E654" s="3" t="s">
        <v>2125</v>
      </c>
    </row>
    <row r="655" spans="1:5" x14ac:dyDescent="0.35">
      <c r="A655" s="3" t="s">
        <v>52</v>
      </c>
      <c r="E655" s="3" t="s">
        <v>2129</v>
      </c>
    </row>
    <row r="656" spans="1:5" x14ac:dyDescent="0.35">
      <c r="A656" s="3" t="s">
        <v>349</v>
      </c>
      <c r="E656" s="3" t="s">
        <v>2131</v>
      </c>
    </row>
    <row r="657" spans="1:5" x14ac:dyDescent="0.35">
      <c r="A657" s="3" t="s">
        <v>3875</v>
      </c>
      <c r="E657" s="3" t="s">
        <v>2133</v>
      </c>
    </row>
    <row r="658" spans="1:5" x14ac:dyDescent="0.35">
      <c r="A658" s="3" t="s">
        <v>4143</v>
      </c>
      <c r="E658" s="3" t="s">
        <v>2135</v>
      </c>
    </row>
    <row r="659" spans="1:5" x14ac:dyDescent="0.35">
      <c r="A659" s="3" t="s">
        <v>4914</v>
      </c>
      <c r="E659" s="3" t="s">
        <v>2137</v>
      </c>
    </row>
    <row r="660" spans="1:5" x14ac:dyDescent="0.35">
      <c r="A660" s="3" t="s">
        <v>5586</v>
      </c>
      <c r="E660" s="3" t="s">
        <v>2139</v>
      </c>
    </row>
    <row r="661" spans="1:5" x14ac:dyDescent="0.35">
      <c r="A661" s="3" t="s">
        <v>992</v>
      </c>
      <c r="E661" s="3" t="s">
        <v>2141</v>
      </c>
    </row>
    <row r="662" spans="1:5" x14ac:dyDescent="0.35">
      <c r="A662" s="3" t="s">
        <v>1635</v>
      </c>
      <c r="E662" s="3" t="s">
        <v>2143</v>
      </c>
    </row>
    <row r="663" spans="1:5" x14ac:dyDescent="0.35">
      <c r="A663" s="3" t="s">
        <v>220</v>
      </c>
      <c r="E663" s="3" t="s">
        <v>2145</v>
      </c>
    </row>
    <row r="664" spans="1:5" x14ac:dyDescent="0.35">
      <c r="A664" s="3" t="s">
        <v>4613</v>
      </c>
      <c r="E664" s="3" t="s">
        <v>2147</v>
      </c>
    </row>
    <row r="665" spans="1:5" x14ac:dyDescent="0.35">
      <c r="A665" s="3" t="s">
        <v>48</v>
      </c>
      <c r="E665" s="3" t="s">
        <v>2149</v>
      </c>
    </row>
    <row r="666" spans="1:5" x14ac:dyDescent="0.35">
      <c r="A666" s="3" t="s">
        <v>4990</v>
      </c>
      <c r="E666" s="3" t="s">
        <v>2151</v>
      </c>
    </row>
    <row r="667" spans="1:5" x14ac:dyDescent="0.35">
      <c r="A667" s="3" t="s">
        <v>903</v>
      </c>
      <c r="E667" s="3" t="s">
        <v>2153</v>
      </c>
    </row>
    <row r="668" spans="1:5" x14ac:dyDescent="0.35">
      <c r="A668" s="3" t="s">
        <v>3024</v>
      </c>
      <c r="E668" s="3" t="s">
        <v>2156</v>
      </c>
    </row>
    <row r="669" spans="1:5" x14ac:dyDescent="0.35">
      <c r="A669" s="3" t="s">
        <v>2467</v>
      </c>
      <c r="E669" s="3" t="s">
        <v>2158</v>
      </c>
    </row>
    <row r="670" spans="1:5" x14ac:dyDescent="0.35">
      <c r="A670" s="3" t="s">
        <v>6009</v>
      </c>
      <c r="E670" s="3" t="s">
        <v>2160</v>
      </c>
    </row>
    <row r="671" spans="1:5" x14ac:dyDescent="0.35">
      <c r="A671" s="3" t="s">
        <v>3651</v>
      </c>
      <c r="E671" s="3" t="s">
        <v>2164</v>
      </c>
    </row>
    <row r="672" spans="1:5" x14ac:dyDescent="0.35">
      <c r="A672" s="3" t="s">
        <v>5761</v>
      </c>
      <c r="E672" s="3" t="s">
        <v>2166</v>
      </c>
    </row>
    <row r="673" spans="1:5" x14ac:dyDescent="0.35">
      <c r="A673" s="3" t="s">
        <v>3863</v>
      </c>
      <c r="E673" s="3" t="s">
        <v>2168</v>
      </c>
    </row>
    <row r="674" spans="1:5" x14ac:dyDescent="0.35">
      <c r="A674" s="3" t="s">
        <v>2509</v>
      </c>
      <c r="E674" s="3" t="s">
        <v>2170</v>
      </c>
    </row>
    <row r="675" spans="1:5" x14ac:dyDescent="0.35">
      <c r="A675" s="3" t="s">
        <v>4741</v>
      </c>
      <c r="E675" s="3" t="s">
        <v>2172</v>
      </c>
    </row>
    <row r="676" spans="1:5" x14ac:dyDescent="0.35">
      <c r="A676" s="3" t="s">
        <v>1443</v>
      </c>
      <c r="E676" s="3" t="s">
        <v>2176</v>
      </c>
    </row>
    <row r="677" spans="1:5" x14ac:dyDescent="0.35">
      <c r="A677" s="3" t="s">
        <v>2256</v>
      </c>
      <c r="E677" s="3" t="s">
        <v>2178</v>
      </c>
    </row>
    <row r="678" spans="1:5" x14ac:dyDescent="0.35">
      <c r="A678" s="3" t="s">
        <v>1315</v>
      </c>
      <c r="E678" s="3" t="s">
        <v>2180</v>
      </c>
    </row>
    <row r="679" spans="1:5" x14ac:dyDescent="0.35">
      <c r="A679" s="3" t="s">
        <v>1002</v>
      </c>
      <c r="E679" s="3" t="s">
        <v>2184</v>
      </c>
    </row>
    <row r="680" spans="1:5" x14ac:dyDescent="0.35">
      <c r="A680" s="3" t="s">
        <v>4217</v>
      </c>
      <c r="E680" s="3" t="s">
        <v>2190</v>
      </c>
    </row>
    <row r="681" spans="1:5" x14ac:dyDescent="0.35">
      <c r="A681" s="3" t="s">
        <v>3948</v>
      </c>
      <c r="E681" s="3" t="s">
        <v>2192</v>
      </c>
    </row>
    <row r="682" spans="1:5" x14ac:dyDescent="0.35">
      <c r="A682" s="3" t="s">
        <v>1684</v>
      </c>
      <c r="E682" s="3" t="s">
        <v>2194</v>
      </c>
    </row>
    <row r="683" spans="1:5" x14ac:dyDescent="0.35">
      <c r="A683" s="3" t="s">
        <v>3659</v>
      </c>
      <c r="E683" s="3" t="s">
        <v>2196</v>
      </c>
    </row>
    <row r="684" spans="1:5" x14ac:dyDescent="0.35">
      <c r="A684" s="3" t="s">
        <v>1196</v>
      </c>
      <c r="E684" s="3" t="s">
        <v>2198</v>
      </c>
    </row>
    <row r="685" spans="1:5" x14ac:dyDescent="0.35">
      <c r="A685" s="3" t="s">
        <v>2236</v>
      </c>
      <c r="E685" s="3" t="s">
        <v>2200</v>
      </c>
    </row>
    <row r="686" spans="1:5" x14ac:dyDescent="0.35">
      <c r="A686" s="3" t="s">
        <v>3172</v>
      </c>
      <c r="E686" s="3" t="s">
        <v>2204</v>
      </c>
    </row>
    <row r="687" spans="1:5" x14ac:dyDescent="0.35">
      <c r="A687" s="3" t="s">
        <v>3254</v>
      </c>
      <c r="E687" s="3" t="s">
        <v>2206</v>
      </c>
    </row>
    <row r="688" spans="1:5" x14ac:dyDescent="0.35">
      <c r="A688" s="3" t="s">
        <v>1134</v>
      </c>
      <c r="E688" s="3" t="s">
        <v>2208</v>
      </c>
    </row>
    <row r="689" spans="1:5" x14ac:dyDescent="0.35">
      <c r="A689" s="3" t="s">
        <v>2565</v>
      </c>
      <c r="E689" s="3" t="s">
        <v>2212</v>
      </c>
    </row>
    <row r="690" spans="1:5" x14ac:dyDescent="0.35">
      <c r="A690" s="3" t="s">
        <v>5049</v>
      </c>
      <c r="E690" s="3" t="s">
        <v>2216</v>
      </c>
    </row>
    <row r="691" spans="1:5" x14ac:dyDescent="0.35">
      <c r="A691" s="3" t="s">
        <v>4643</v>
      </c>
      <c r="E691" s="3" t="s">
        <v>2219</v>
      </c>
    </row>
    <row r="692" spans="1:5" x14ac:dyDescent="0.35">
      <c r="A692" s="3" t="s">
        <v>1767</v>
      </c>
      <c r="E692" s="3" t="s">
        <v>2221</v>
      </c>
    </row>
    <row r="693" spans="1:5" x14ac:dyDescent="0.35">
      <c r="A693" s="3" t="s">
        <v>2719</v>
      </c>
      <c r="E693" s="3" t="s">
        <v>2223</v>
      </c>
    </row>
    <row r="694" spans="1:5" x14ac:dyDescent="0.35">
      <c r="A694" s="3" t="s">
        <v>1132</v>
      </c>
      <c r="E694" s="3" t="s">
        <v>2227</v>
      </c>
    </row>
    <row r="695" spans="1:5" x14ac:dyDescent="0.35">
      <c r="A695" s="3" t="s">
        <v>1667</v>
      </c>
      <c r="E695" s="3" t="s">
        <v>2231</v>
      </c>
    </row>
    <row r="696" spans="1:5" x14ac:dyDescent="0.35">
      <c r="A696" s="3" t="s">
        <v>2459</v>
      </c>
      <c r="E696" s="3" t="s">
        <v>2235</v>
      </c>
    </row>
    <row r="697" spans="1:5" x14ac:dyDescent="0.35">
      <c r="A697" s="3" t="s">
        <v>4329</v>
      </c>
      <c r="E697" s="3" t="s">
        <v>2237</v>
      </c>
    </row>
    <row r="698" spans="1:5" x14ac:dyDescent="0.35">
      <c r="A698" s="3" t="s">
        <v>4237</v>
      </c>
      <c r="E698" s="3" t="s">
        <v>2239</v>
      </c>
    </row>
    <row r="699" spans="1:5" x14ac:dyDescent="0.35">
      <c r="A699" s="3" t="s">
        <v>4651</v>
      </c>
      <c r="E699" s="3" t="s">
        <v>2245</v>
      </c>
    </row>
    <row r="700" spans="1:5" x14ac:dyDescent="0.35">
      <c r="A700" s="3" t="s">
        <v>2952</v>
      </c>
      <c r="E700" s="3" t="s">
        <v>2251</v>
      </c>
    </row>
    <row r="701" spans="1:5" x14ac:dyDescent="0.35">
      <c r="A701" s="3" t="s">
        <v>5743</v>
      </c>
      <c r="E701" s="3" t="s">
        <v>2253</v>
      </c>
    </row>
    <row r="702" spans="1:5" x14ac:dyDescent="0.35">
      <c r="A702" s="3" t="s">
        <v>371</v>
      </c>
      <c r="E702" s="3" t="s">
        <v>2255</v>
      </c>
    </row>
    <row r="703" spans="1:5" x14ac:dyDescent="0.35">
      <c r="A703" s="3" t="s">
        <v>5671</v>
      </c>
      <c r="E703" s="3" t="s">
        <v>2257</v>
      </c>
    </row>
    <row r="704" spans="1:5" x14ac:dyDescent="0.35">
      <c r="A704" s="3" t="s">
        <v>4135</v>
      </c>
      <c r="E704" s="3" t="s">
        <v>2259</v>
      </c>
    </row>
    <row r="705" spans="1:5" x14ac:dyDescent="0.35">
      <c r="A705" s="3" t="s">
        <v>3156</v>
      </c>
      <c r="E705" s="3" t="s">
        <v>2263</v>
      </c>
    </row>
    <row r="706" spans="1:5" x14ac:dyDescent="0.35">
      <c r="A706" s="3" t="s">
        <v>1916</v>
      </c>
      <c r="E706" s="3" t="s">
        <v>2265</v>
      </c>
    </row>
    <row r="707" spans="1:5" x14ac:dyDescent="0.35">
      <c r="A707" s="3" t="s">
        <v>1038</v>
      </c>
      <c r="E707" s="3" t="s">
        <v>2277</v>
      </c>
    </row>
    <row r="708" spans="1:5" x14ac:dyDescent="0.35">
      <c r="A708" s="3" t="s">
        <v>1873</v>
      </c>
      <c r="E708" s="3" t="s">
        <v>2281</v>
      </c>
    </row>
    <row r="709" spans="1:5" x14ac:dyDescent="0.35">
      <c r="A709" s="3" t="s">
        <v>84</v>
      </c>
      <c r="E709" s="3" t="s">
        <v>2283</v>
      </c>
    </row>
    <row r="710" spans="1:5" x14ac:dyDescent="0.35">
      <c r="A710" s="3" t="s">
        <v>1114</v>
      </c>
      <c r="E710" s="3" t="s">
        <v>2285</v>
      </c>
    </row>
    <row r="711" spans="1:5" x14ac:dyDescent="0.35">
      <c r="A711" s="3" t="s">
        <v>5210</v>
      </c>
      <c r="E711" s="3" t="s">
        <v>2287</v>
      </c>
    </row>
    <row r="712" spans="1:5" x14ac:dyDescent="0.35">
      <c r="A712" s="3" t="s">
        <v>5183</v>
      </c>
      <c r="E712" s="3" t="s">
        <v>2289</v>
      </c>
    </row>
    <row r="713" spans="1:5" x14ac:dyDescent="0.35">
      <c r="A713" s="3" t="s">
        <v>5685</v>
      </c>
      <c r="E713" s="3" t="s">
        <v>2291</v>
      </c>
    </row>
    <row r="714" spans="1:5" x14ac:dyDescent="0.35">
      <c r="A714" s="3" t="s">
        <v>2669</v>
      </c>
      <c r="E714" s="3" t="s">
        <v>2293</v>
      </c>
    </row>
    <row r="715" spans="1:5" x14ac:dyDescent="0.35">
      <c r="A715" s="3" t="s">
        <v>647</v>
      </c>
      <c r="E715" s="3" t="s">
        <v>2295</v>
      </c>
    </row>
    <row r="716" spans="1:5" x14ac:dyDescent="0.35">
      <c r="A716" s="3" t="s">
        <v>2787</v>
      </c>
      <c r="E716" s="3" t="s">
        <v>2299</v>
      </c>
    </row>
    <row r="717" spans="1:5" x14ac:dyDescent="0.35">
      <c r="A717" s="3" t="s">
        <v>1014</v>
      </c>
      <c r="E717" s="3" t="s">
        <v>2303</v>
      </c>
    </row>
    <row r="718" spans="1:5" x14ac:dyDescent="0.35">
      <c r="A718" s="3" t="s">
        <v>4727</v>
      </c>
      <c r="E718" s="3" t="s">
        <v>2305</v>
      </c>
    </row>
    <row r="719" spans="1:5" x14ac:dyDescent="0.35">
      <c r="A719" s="3" t="s">
        <v>4013</v>
      </c>
      <c r="E719" s="3" t="s">
        <v>2307</v>
      </c>
    </row>
    <row r="720" spans="1:5" x14ac:dyDescent="0.35">
      <c r="A720" s="3" t="s">
        <v>3136</v>
      </c>
      <c r="E720" s="3" t="s">
        <v>2311</v>
      </c>
    </row>
    <row r="721" spans="1:5" x14ac:dyDescent="0.35">
      <c r="A721" s="3" t="s">
        <v>3113</v>
      </c>
      <c r="E721" s="3" t="s">
        <v>2313</v>
      </c>
    </row>
    <row r="722" spans="1:5" x14ac:dyDescent="0.35">
      <c r="A722" s="3" t="s">
        <v>2791</v>
      </c>
      <c r="E722" s="3" t="s">
        <v>2317</v>
      </c>
    </row>
    <row r="723" spans="1:5" x14ac:dyDescent="0.35">
      <c r="A723" s="3" t="s">
        <v>3105</v>
      </c>
      <c r="E723" s="3" t="s">
        <v>2319</v>
      </c>
    </row>
    <row r="724" spans="1:5" x14ac:dyDescent="0.35">
      <c r="A724" s="3" t="s">
        <v>2351</v>
      </c>
      <c r="E724" s="3" t="s">
        <v>2321</v>
      </c>
    </row>
    <row r="725" spans="1:5" x14ac:dyDescent="0.35">
      <c r="A725" s="3" t="s">
        <v>2703</v>
      </c>
      <c r="E725" s="3" t="s">
        <v>2323</v>
      </c>
    </row>
    <row r="726" spans="1:5" x14ac:dyDescent="0.35">
      <c r="A726" s="3" t="s">
        <v>5373</v>
      </c>
      <c r="E726" s="3" t="s">
        <v>2325</v>
      </c>
    </row>
    <row r="727" spans="1:5" x14ac:dyDescent="0.35">
      <c r="A727" s="3" t="s">
        <v>2906</v>
      </c>
      <c r="E727" s="3" t="s">
        <v>2331</v>
      </c>
    </row>
    <row r="728" spans="1:5" x14ac:dyDescent="0.35">
      <c r="A728" s="3" t="s">
        <v>2002</v>
      </c>
      <c r="E728" s="3" t="s">
        <v>2333</v>
      </c>
    </row>
    <row r="729" spans="1:5" x14ac:dyDescent="0.35">
      <c r="A729" s="3" t="s">
        <v>5037</v>
      </c>
      <c r="E729" s="3" t="s">
        <v>2336</v>
      </c>
    </row>
    <row r="730" spans="1:5" x14ac:dyDescent="0.35">
      <c r="A730" s="3" t="s">
        <v>3850</v>
      </c>
      <c r="E730" s="3" t="s">
        <v>2338</v>
      </c>
    </row>
    <row r="731" spans="1:5" x14ac:dyDescent="0.35">
      <c r="A731" s="3" t="s">
        <v>1932</v>
      </c>
      <c r="E731" s="3" t="s">
        <v>2340</v>
      </c>
    </row>
    <row r="732" spans="1:5" x14ac:dyDescent="0.35">
      <c r="A732" s="3" t="s">
        <v>3144</v>
      </c>
      <c r="E732" s="3" t="s">
        <v>2342</v>
      </c>
    </row>
    <row r="733" spans="1:5" x14ac:dyDescent="0.35">
      <c r="A733" s="3" t="s">
        <v>1146</v>
      </c>
      <c r="E733" s="3" t="s">
        <v>2350</v>
      </c>
    </row>
    <row r="734" spans="1:5" x14ac:dyDescent="0.35">
      <c r="A734" s="3" t="s">
        <v>240</v>
      </c>
      <c r="E734" s="3" t="s">
        <v>2352</v>
      </c>
    </row>
    <row r="735" spans="1:5" x14ac:dyDescent="0.35">
      <c r="A735" s="3" t="s">
        <v>3584</v>
      </c>
      <c r="E735" s="3" t="s">
        <v>2354</v>
      </c>
    </row>
    <row r="736" spans="1:5" x14ac:dyDescent="0.35">
      <c r="A736" s="3" t="s">
        <v>1231</v>
      </c>
      <c r="E736" s="3" t="s">
        <v>2356</v>
      </c>
    </row>
    <row r="737" spans="1:5" x14ac:dyDescent="0.35">
      <c r="A737" s="3" t="s">
        <v>5007</v>
      </c>
      <c r="E737" s="3" t="s">
        <v>2364</v>
      </c>
    </row>
    <row r="738" spans="1:5" x14ac:dyDescent="0.35">
      <c r="A738" s="3" t="s">
        <v>5895</v>
      </c>
      <c r="E738" s="3" t="s">
        <v>2368</v>
      </c>
    </row>
    <row r="739" spans="1:5" x14ac:dyDescent="0.35">
      <c r="A739" s="3" t="s">
        <v>2405</v>
      </c>
      <c r="E739" s="3" t="s">
        <v>2370</v>
      </c>
    </row>
    <row r="740" spans="1:5" x14ac:dyDescent="0.35">
      <c r="A740" s="3" t="s">
        <v>2240</v>
      </c>
      <c r="E740" s="3" t="s">
        <v>2372</v>
      </c>
    </row>
    <row r="741" spans="1:5" x14ac:dyDescent="0.35">
      <c r="A741" s="3" t="s">
        <v>3252</v>
      </c>
      <c r="E741" s="3" t="s">
        <v>2374</v>
      </c>
    </row>
    <row r="742" spans="1:5" x14ac:dyDescent="0.35">
      <c r="A742" s="3" t="s">
        <v>2805</v>
      </c>
      <c r="E742" s="3" t="s">
        <v>2376</v>
      </c>
    </row>
    <row r="743" spans="1:5" x14ac:dyDescent="0.35">
      <c r="A743" s="3" t="s">
        <v>5029</v>
      </c>
      <c r="E743" s="3" t="s">
        <v>2380</v>
      </c>
    </row>
    <row r="744" spans="1:5" x14ac:dyDescent="0.35">
      <c r="A744" s="3" t="s">
        <v>2181</v>
      </c>
      <c r="E744" s="3" t="s">
        <v>2384</v>
      </c>
    </row>
    <row r="745" spans="1:5" x14ac:dyDescent="0.35">
      <c r="A745" s="3" t="s">
        <v>2108</v>
      </c>
      <c r="E745" s="3" t="s">
        <v>2388</v>
      </c>
    </row>
    <row r="746" spans="1:5" x14ac:dyDescent="0.35">
      <c r="A746" s="3" t="s">
        <v>926</v>
      </c>
      <c r="E746" s="3" t="s">
        <v>2390</v>
      </c>
    </row>
    <row r="747" spans="1:5" x14ac:dyDescent="0.35">
      <c r="A747" s="3" t="s">
        <v>5242</v>
      </c>
      <c r="E747" s="3" t="s">
        <v>2392</v>
      </c>
    </row>
    <row r="748" spans="1:5" x14ac:dyDescent="0.35">
      <c r="A748" s="3" t="s">
        <v>4934</v>
      </c>
      <c r="E748" s="3" t="s">
        <v>2394</v>
      </c>
    </row>
    <row r="749" spans="1:5" x14ac:dyDescent="0.35">
      <c r="A749" s="3" t="s">
        <v>4195</v>
      </c>
      <c r="E749" s="3" t="s">
        <v>2396</v>
      </c>
    </row>
    <row r="750" spans="1:5" x14ac:dyDescent="0.35">
      <c r="A750" s="3" t="s">
        <v>1561</v>
      </c>
      <c r="E750" s="3" t="s">
        <v>2398</v>
      </c>
    </row>
    <row r="751" spans="1:5" x14ac:dyDescent="0.35">
      <c r="A751" s="3" t="s">
        <v>2195</v>
      </c>
      <c r="E751" s="3" t="s">
        <v>2400</v>
      </c>
    </row>
    <row r="752" spans="1:5" x14ac:dyDescent="0.35">
      <c r="A752" s="3" t="s">
        <v>1553</v>
      </c>
      <c r="E752" s="3" t="s">
        <v>2404</v>
      </c>
    </row>
    <row r="753" spans="1:5" x14ac:dyDescent="0.35">
      <c r="A753" s="3" t="s">
        <v>4754</v>
      </c>
      <c r="E753" s="3" t="s">
        <v>2406</v>
      </c>
    </row>
    <row r="754" spans="1:5" x14ac:dyDescent="0.35">
      <c r="A754" s="3" t="s">
        <v>1519</v>
      </c>
      <c r="E754" s="3" t="s">
        <v>2408</v>
      </c>
    </row>
    <row r="755" spans="1:5" x14ac:dyDescent="0.35">
      <c r="A755" s="3" t="s">
        <v>1319</v>
      </c>
      <c r="E755" s="3" t="s">
        <v>2410</v>
      </c>
    </row>
    <row r="756" spans="1:5" x14ac:dyDescent="0.35">
      <c r="A756" s="3" t="s">
        <v>3356</v>
      </c>
      <c r="E756" s="3" t="s">
        <v>2412</v>
      </c>
    </row>
    <row r="757" spans="1:5" x14ac:dyDescent="0.35">
      <c r="A757" s="3" t="s">
        <v>5430</v>
      </c>
      <c r="E757" s="3" t="s">
        <v>2416</v>
      </c>
    </row>
    <row r="758" spans="1:5" x14ac:dyDescent="0.35">
      <c r="A758" s="3" t="s">
        <v>6068</v>
      </c>
      <c r="E758" s="3" t="s">
        <v>2418</v>
      </c>
    </row>
    <row r="759" spans="1:5" x14ac:dyDescent="0.35">
      <c r="A759" s="3" t="s">
        <v>3556</v>
      </c>
      <c r="E759" s="3" t="s">
        <v>2422</v>
      </c>
    </row>
    <row r="760" spans="1:5" x14ac:dyDescent="0.35">
      <c r="A760" s="3" t="s">
        <v>2717</v>
      </c>
      <c r="E760" s="3" t="s">
        <v>2424</v>
      </c>
    </row>
    <row r="761" spans="1:5" x14ac:dyDescent="0.35">
      <c r="A761" s="3" t="s">
        <v>476</v>
      </c>
      <c r="E761" s="3" t="s">
        <v>2426</v>
      </c>
    </row>
    <row r="762" spans="1:5" x14ac:dyDescent="0.35">
      <c r="A762" s="3" t="s">
        <v>5432</v>
      </c>
      <c r="E762" s="3" t="s">
        <v>2428</v>
      </c>
    </row>
    <row r="763" spans="1:5" x14ac:dyDescent="0.35">
      <c r="A763" s="3" t="s">
        <v>3712</v>
      </c>
      <c r="E763" s="3" t="s">
        <v>2432</v>
      </c>
    </row>
    <row r="764" spans="1:5" x14ac:dyDescent="0.35">
      <c r="A764" s="3" t="s">
        <v>1429</v>
      </c>
      <c r="E764" s="3" t="s">
        <v>2434</v>
      </c>
    </row>
    <row r="765" spans="1:5" x14ac:dyDescent="0.35">
      <c r="A765" s="3" t="s">
        <v>5332</v>
      </c>
      <c r="E765" s="3" t="s">
        <v>2448</v>
      </c>
    </row>
    <row r="766" spans="1:5" x14ac:dyDescent="0.35">
      <c r="A766" s="3" t="s">
        <v>5305</v>
      </c>
      <c r="E766" s="3" t="s">
        <v>2450</v>
      </c>
    </row>
    <row r="767" spans="1:5" x14ac:dyDescent="0.35">
      <c r="A767" s="3" t="s">
        <v>2585</v>
      </c>
      <c r="E767" s="3" t="s">
        <v>2454</v>
      </c>
    </row>
    <row r="768" spans="1:5" x14ac:dyDescent="0.35">
      <c r="A768" s="3" t="s">
        <v>5871</v>
      </c>
      <c r="E768" s="3" t="s">
        <v>2456</v>
      </c>
    </row>
    <row r="769" spans="1:5" x14ac:dyDescent="0.35">
      <c r="A769" s="3" t="s">
        <v>2495</v>
      </c>
      <c r="E769" s="3" t="s">
        <v>2458</v>
      </c>
    </row>
    <row r="770" spans="1:5" x14ac:dyDescent="0.35">
      <c r="A770" s="3" t="s">
        <v>688</v>
      </c>
      <c r="E770" s="3" t="s">
        <v>2460</v>
      </c>
    </row>
    <row r="771" spans="1:5" x14ac:dyDescent="0.35">
      <c r="A771" s="3" t="s">
        <v>1120</v>
      </c>
      <c r="E771" s="3" t="s">
        <v>2462</v>
      </c>
    </row>
    <row r="772" spans="1:5" x14ac:dyDescent="0.35">
      <c r="A772" s="3" t="s">
        <v>6086</v>
      </c>
      <c r="E772" s="3" t="s">
        <v>2464</v>
      </c>
    </row>
    <row r="773" spans="1:5" x14ac:dyDescent="0.35">
      <c r="A773" s="3" t="s">
        <v>1084</v>
      </c>
      <c r="E773" s="3" t="s">
        <v>2466</v>
      </c>
    </row>
    <row r="774" spans="1:5" x14ac:dyDescent="0.35">
      <c r="A774" s="3" t="s">
        <v>4601</v>
      </c>
      <c r="E774" s="3" t="s">
        <v>2470</v>
      </c>
    </row>
    <row r="775" spans="1:5" x14ac:dyDescent="0.35">
      <c r="A775" s="3" t="s">
        <v>4274</v>
      </c>
      <c r="E775" s="3" t="s">
        <v>2472</v>
      </c>
    </row>
    <row r="776" spans="1:5" x14ac:dyDescent="0.35">
      <c r="A776" s="3" t="s">
        <v>3460</v>
      </c>
      <c r="E776" s="3" t="s">
        <v>2474</v>
      </c>
    </row>
    <row r="777" spans="1:5" x14ac:dyDescent="0.35">
      <c r="A777" s="3" t="s">
        <v>5735</v>
      </c>
      <c r="E777" s="3" t="s">
        <v>2478</v>
      </c>
    </row>
    <row r="778" spans="1:5" x14ac:dyDescent="0.35">
      <c r="A778" s="3" t="s">
        <v>2501</v>
      </c>
      <c r="E778" s="3" t="s">
        <v>2480</v>
      </c>
    </row>
    <row r="779" spans="1:5" x14ac:dyDescent="0.35">
      <c r="A779" s="3" t="s">
        <v>4946</v>
      </c>
      <c r="E779" s="3" t="s">
        <v>2482</v>
      </c>
    </row>
    <row r="780" spans="1:5" x14ac:dyDescent="0.35">
      <c r="A780" s="3" t="s">
        <v>3342</v>
      </c>
      <c r="E780" s="3" t="s">
        <v>2484</v>
      </c>
    </row>
    <row r="781" spans="1:5" x14ac:dyDescent="0.35">
      <c r="A781" s="3" t="s">
        <v>1980</v>
      </c>
      <c r="E781" s="3" t="s">
        <v>2488</v>
      </c>
    </row>
    <row r="782" spans="1:5" x14ac:dyDescent="0.35">
      <c r="A782" s="3" t="s">
        <v>1335</v>
      </c>
      <c r="E782" s="3" t="s">
        <v>2490</v>
      </c>
    </row>
    <row r="783" spans="1:5" x14ac:dyDescent="0.35">
      <c r="A783" s="3" t="s">
        <v>4807</v>
      </c>
      <c r="E783" s="3" t="s">
        <v>2492</v>
      </c>
    </row>
    <row r="784" spans="1:5" x14ac:dyDescent="0.35">
      <c r="A784" s="3" t="s">
        <v>4791</v>
      </c>
      <c r="E784" s="3" t="s">
        <v>2494</v>
      </c>
    </row>
    <row r="785" spans="1:5" x14ac:dyDescent="0.35">
      <c r="A785" s="3" t="s">
        <v>3539</v>
      </c>
      <c r="E785" s="3" t="s">
        <v>2500</v>
      </c>
    </row>
    <row r="786" spans="1:5" x14ac:dyDescent="0.35">
      <c r="A786" s="3" t="s">
        <v>1030</v>
      </c>
      <c r="E786" s="3" t="s">
        <v>2502</v>
      </c>
    </row>
    <row r="787" spans="1:5" x14ac:dyDescent="0.35">
      <c r="A787" s="3" t="s">
        <v>4031</v>
      </c>
      <c r="E787" s="3" t="s">
        <v>2504</v>
      </c>
    </row>
    <row r="788" spans="1:5" x14ac:dyDescent="0.35">
      <c r="A788" s="3" t="s">
        <v>446</v>
      </c>
      <c r="E788" s="3" t="s">
        <v>2506</v>
      </c>
    </row>
    <row r="789" spans="1:5" x14ac:dyDescent="0.35">
      <c r="A789" s="3" t="s">
        <v>5196</v>
      </c>
      <c r="E789" s="3" t="s">
        <v>2508</v>
      </c>
    </row>
    <row r="790" spans="1:5" x14ac:dyDescent="0.35">
      <c r="A790" s="3" t="s">
        <v>1090</v>
      </c>
      <c r="E790" s="3" t="s">
        <v>2516</v>
      </c>
    </row>
    <row r="791" spans="1:5" x14ac:dyDescent="0.35">
      <c r="A791" s="3" t="s">
        <v>5477</v>
      </c>
      <c r="E791" s="3" t="s">
        <v>2517</v>
      </c>
    </row>
    <row r="792" spans="1:5" x14ac:dyDescent="0.35">
      <c r="A792" s="3" t="s">
        <v>5570</v>
      </c>
      <c r="E792" s="3" t="s">
        <v>2519</v>
      </c>
    </row>
    <row r="793" spans="1:5" x14ac:dyDescent="0.35">
      <c r="A793" s="3" t="s">
        <v>3905</v>
      </c>
      <c r="E793" s="3" t="s">
        <v>2521</v>
      </c>
    </row>
    <row r="794" spans="1:5" x14ac:dyDescent="0.35">
      <c r="A794" s="3" t="s">
        <v>5417</v>
      </c>
      <c r="E794" s="3" t="s">
        <v>2525</v>
      </c>
    </row>
    <row r="795" spans="1:5" x14ac:dyDescent="0.35">
      <c r="A795" s="3" t="s">
        <v>2996</v>
      </c>
      <c r="E795" s="3" t="s">
        <v>2529</v>
      </c>
    </row>
    <row r="796" spans="1:5" x14ac:dyDescent="0.35">
      <c r="A796" s="3" t="s">
        <v>359</v>
      </c>
      <c r="E796" s="3" t="s">
        <v>2531</v>
      </c>
    </row>
    <row r="797" spans="1:5" x14ac:dyDescent="0.35">
      <c r="A797" s="3" t="s">
        <v>4491</v>
      </c>
      <c r="E797" s="3" t="s">
        <v>2535</v>
      </c>
    </row>
    <row r="798" spans="1:5" x14ac:dyDescent="0.35">
      <c r="A798" s="3" t="s">
        <v>2399</v>
      </c>
      <c r="E798" s="3" t="s">
        <v>2539</v>
      </c>
    </row>
    <row r="799" spans="1:5" x14ac:dyDescent="0.35">
      <c r="A799" s="3" t="s">
        <v>6070</v>
      </c>
      <c r="E799" s="3" t="s">
        <v>2541</v>
      </c>
    </row>
    <row r="800" spans="1:5" x14ac:dyDescent="0.35">
      <c r="A800" s="3" t="s">
        <v>1082</v>
      </c>
      <c r="E800" s="3" t="s">
        <v>2545</v>
      </c>
    </row>
    <row r="801" spans="1:5" x14ac:dyDescent="0.35">
      <c r="A801" s="3" t="s">
        <v>988</v>
      </c>
      <c r="E801" s="3" t="s">
        <v>2549</v>
      </c>
    </row>
    <row r="802" spans="1:5" x14ac:dyDescent="0.35">
      <c r="A802" s="3" t="s">
        <v>5307</v>
      </c>
      <c r="E802" s="3" t="s">
        <v>2551</v>
      </c>
    </row>
    <row r="803" spans="1:5" x14ac:dyDescent="0.35">
      <c r="A803" s="3" t="s">
        <v>5679</v>
      </c>
      <c r="E803" s="3" t="s">
        <v>2552</v>
      </c>
    </row>
    <row r="804" spans="1:5" x14ac:dyDescent="0.35">
      <c r="A804" s="3" t="s">
        <v>1004</v>
      </c>
      <c r="E804" s="3" t="s">
        <v>2556</v>
      </c>
    </row>
    <row r="805" spans="1:5" x14ac:dyDescent="0.35">
      <c r="A805" s="3" t="s">
        <v>1647</v>
      </c>
      <c r="E805" s="3" t="s">
        <v>2558</v>
      </c>
    </row>
    <row r="806" spans="1:5" x14ac:dyDescent="0.35">
      <c r="A806" s="3" t="s">
        <v>455</v>
      </c>
      <c r="E806" s="3" t="s">
        <v>2562</v>
      </c>
    </row>
    <row r="807" spans="1:5" x14ac:dyDescent="0.35">
      <c r="A807" s="3" t="s">
        <v>5481</v>
      </c>
      <c r="E807" s="3" t="s">
        <v>2564</v>
      </c>
    </row>
    <row r="808" spans="1:5" x14ac:dyDescent="0.35">
      <c r="A808" s="3" t="s">
        <v>1152</v>
      </c>
      <c r="E808" s="3" t="s">
        <v>2566</v>
      </c>
    </row>
    <row r="809" spans="1:5" x14ac:dyDescent="0.35">
      <c r="A809" s="3" t="s">
        <v>944</v>
      </c>
      <c r="E809" s="3" t="s">
        <v>2568</v>
      </c>
    </row>
    <row r="810" spans="1:5" x14ac:dyDescent="0.35">
      <c r="A810" s="3" t="s">
        <v>3125</v>
      </c>
      <c r="E810" s="3" t="s">
        <v>2570</v>
      </c>
    </row>
    <row r="811" spans="1:5" x14ac:dyDescent="0.35">
      <c r="A811" s="3" t="s">
        <v>4676</v>
      </c>
      <c r="E811" s="3" t="s">
        <v>2574</v>
      </c>
    </row>
    <row r="812" spans="1:5" x14ac:dyDescent="0.35">
      <c r="A812" s="3" t="s">
        <v>5280</v>
      </c>
      <c r="E812" s="3" t="s">
        <v>2576</v>
      </c>
    </row>
    <row r="813" spans="1:5" x14ac:dyDescent="0.35">
      <c r="A813" s="3" t="s">
        <v>3287</v>
      </c>
      <c r="E813" s="3" t="s">
        <v>2580</v>
      </c>
    </row>
    <row r="814" spans="1:5" x14ac:dyDescent="0.35">
      <c r="A814" s="3" t="s">
        <v>5503</v>
      </c>
      <c r="E814" s="3" t="s">
        <v>2582</v>
      </c>
    </row>
    <row r="815" spans="1:5" x14ac:dyDescent="0.35">
      <c r="A815" s="3" t="s">
        <v>1579</v>
      </c>
      <c r="E815" s="3" t="s">
        <v>2584</v>
      </c>
    </row>
    <row r="816" spans="1:5" x14ac:dyDescent="0.35">
      <c r="A816" s="3" t="s">
        <v>5905</v>
      </c>
      <c r="E816" s="3" t="s">
        <v>2590</v>
      </c>
    </row>
    <row r="817" spans="1:5" x14ac:dyDescent="0.35">
      <c r="A817" s="3" t="s">
        <v>1447</v>
      </c>
      <c r="E817" s="3" t="s">
        <v>2592</v>
      </c>
    </row>
    <row r="818" spans="1:5" x14ac:dyDescent="0.35">
      <c r="A818" s="3" t="s">
        <v>5117</v>
      </c>
      <c r="E818" s="3" t="s">
        <v>2594</v>
      </c>
    </row>
    <row r="819" spans="1:5" x14ac:dyDescent="0.35">
      <c r="A819" s="3" t="s">
        <v>1928</v>
      </c>
      <c r="E819" s="3" t="s">
        <v>2596</v>
      </c>
    </row>
    <row r="820" spans="1:5" x14ac:dyDescent="0.35">
      <c r="A820" s="3" t="s">
        <v>3327</v>
      </c>
      <c r="E820" s="3" t="s">
        <v>2598</v>
      </c>
    </row>
    <row r="821" spans="1:5" x14ac:dyDescent="0.35">
      <c r="A821" s="3" t="s">
        <v>2161</v>
      </c>
      <c r="E821" s="3" t="s">
        <v>2599</v>
      </c>
    </row>
    <row r="822" spans="1:5" x14ac:dyDescent="0.35">
      <c r="A822" s="3" t="s">
        <v>5340</v>
      </c>
      <c r="E822" s="3" t="s">
        <v>2601</v>
      </c>
    </row>
    <row r="823" spans="1:5" x14ac:dyDescent="0.35">
      <c r="A823" s="3" t="s">
        <v>1353</v>
      </c>
      <c r="E823" s="3" t="s">
        <v>2603</v>
      </c>
    </row>
    <row r="824" spans="1:5" x14ac:dyDescent="0.35">
      <c r="A824" s="3" t="s">
        <v>5167</v>
      </c>
      <c r="E824" s="3" t="s">
        <v>2607</v>
      </c>
    </row>
    <row r="825" spans="1:5" x14ac:dyDescent="0.35">
      <c r="A825" s="3" t="s">
        <v>4047</v>
      </c>
      <c r="E825" s="3" t="s">
        <v>2611</v>
      </c>
    </row>
    <row r="826" spans="1:5" x14ac:dyDescent="0.35">
      <c r="A826" s="3" t="s">
        <v>2954</v>
      </c>
      <c r="E826" s="3" t="s">
        <v>2612</v>
      </c>
    </row>
    <row r="827" spans="1:5" x14ac:dyDescent="0.35">
      <c r="A827" s="3" t="s">
        <v>4775</v>
      </c>
      <c r="E827" s="3" t="s">
        <v>2614</v>
      </c>
    </row>
    <row r="828" spans="1:5" x14ac:dyDescent="0.35">
      <c r="A828" s="3" t="s">
        <v>4844</v>
      </c>
      <c r="E828" s="3" t="s">
        <v>2618</v>
      </c>
    </row>
    <row r="829" spans="1:5" x14ac:dyDescent="0.35">
      <c r="A829" s="3" t="s">
        <v>587</v>
      </c>
      <c r="E829" s="3" t="s">
        <v>2620</v>
      </c>
    </row>
    <row r="830" spans="1:5" x14ac:dyDescent="0.35">
      <c r="A830" s="3" t="s">
        <v>4631</v>
      </c>
      <c r="E830" s="3" t="s">
        <v>2624</v>
      </c>
    </row>
    <row r="831" spans="1:5" x14ac:dyDescent="0.35">
      <c r="A831" s="3" t="s">
        <v>5395</v>
      </c>
      <c r="E831" s="3" t="s">
        <v>2626</v>
      </c>
    </row>
    <row r="832" spans="1:5" x14ac:dyDescent="0.35">
      <c r="A832" s="3" t="s">
        <v>1032</v>
      </c>
      <c r="E832" s="3" t="s">
        <v>2632</v>
      </c>
    </row>
    <row r="833" spans="1:5" x14ac:dyDescent="0.35">
      <c r="A833" s="3" t="s">
        <v>807</v>
      </c>
      <c r="E833" s="3" t="s">
        <v>2634</v>
      </c>
    </row>
    <row r="834" spans="1:5" x14ac:dyDescent="0.35">
      <c r="A834" s="3" t="s">
        <v>1325</v>
      </c>
      <c r="E834" s="3" t="s">
        <v>2636</v>
      </c>
    </row>
    <row r="835" spans="1:5" x14ac:dyDescent="0.35">
      <c r="A835" s="3" t="s">
        <v>966</v>
      </c>
      <c r="E835" s="3" t="s">
        <v>2638</v>
      </c>
    </row>
    <row r="836" spans="1:5" x14ac:dyDescent="0.35">
      <c r="A836" s="3" t="s">
        <v>1737</v>
      </c>
      <c r="E836" s="3" t="s">
        <v>2642</v>
      </c>
    </row>
    <row r="837" spans="1:5" x14ac:dyDescent="0.35">
      <c r="A837" s="3" t="s">
        <v>2745</v>
      </c>
      <c r="E837" s="3" t="s">
        <v>2644</v>
      </c>
    </row>
    <row r="838" spans="1:5" x14ac:dyDescent="0.35">
      <c r="A838" s="3" t="s">
        <v>2657</v>
      </c>
      <c r="E838" s="3" t="s">
        <v>2646</v>
      </c>
    </row>
    <row r="839" spans="1:5" x14ac:dyDescent="0.35">
      <c r="A839" s="3" t="s">
        <v>1611</v>
      </c>
      <c r="E839" s="3" t="s">
        <v>2648</v>
      </c>
    </row>
    <row r="840" spans="1:5" x14ac:dyDescent="0.35">
      <c r="A840" s="3" t="s">
        <v>5292</v>
      </c>
      <c r="E840" s="3" t="s">
        <v>2650</v>
      </c>
    </row>
    <row r="841" spans="1:5" x14ac:dyDescent="0.35">
      <c r="A841" s="3" t="s">
        <v>2461</v>
      </c>
      <c r="E841" s="3" t="s">
        <v>2654</v>
      </c>
    </row>
    <row r="842" spans="1:5" x14ac:dyDescent="0.35">
      <c r="A842" s="3" t="s">
        <v>1690</v>
      </c>
      <c r="E842" s="3" t="s">
        <v>2656</v>
      </c>
    </row>
    <row r="843" spans="1:5" x14ac:dyDescent="0.35">
      <c r="A843" s="3" t="s">
        <v>1896</v>
      </c>
      <c r="E843" s="3" t="s">
        <v>2658</v>
      </c>
    </row>
    <row r="844" spans="1:5" x14ac:dyDescent="0.35">
      <c r="A844" s="3" t="s">
        <v>861</v>
      </c>
      <c r="E844" s="3" t="s">
        <v>2660</v>
      </c>
    </row>
    <row r="845" spans="1:5" x14ac:dyDescent="0.35">
      <c r="A845" s="3" t="s">
        <v>863</v>
      </c>
      <c r="E845" s="3" t="s">
        <v>2662</v>
      </c>
    </row>
    <row r="846" spans="1:5" x14ac:dyDescent="0.35">
      <c r="A846" s="3" t="s">
        <v>3392</v>
      </c>
      <c r="E846" s="3" t="s">
        <v>2664</v>
      </c>
    </row>
    <row r="847" spans="1:5" x14ac:dyDescent="0.35">
      <c r="A847" s="3" t="s">
        <v>1845</v>
      </c>
      <c r="E847" s="3" t="s">
        <v>2666</v>
      </c>
    </row>
    <row r="848" spans="1:5" x14ac:dyDescent="0.35">
      <c r="A848" s="3" t="s">
        <v>4813</v>
      </c>
      <c r="E848" s="3" t="s">
        <v>2668</v>
      </c>
    </row>
    <row r="849" spans="1:5" x14ac:dyDescent="0.35">
      <c r="A849" s="3" t="s">
        <v>4890</v>
      </c>
      <c r="E849" s="3" t="s">
        <v>2670</v>
      </c>
    </row>
    <row r="850" spans="1:5" x14ac:dyDescent="0.35">
      <c r="A850" s="3" t="s">
        <v>711</v>
      </c>
      <c r="E850" s="3" t="s">
        <v>2674</v>
      </c>
    </row>
    <row r="851" spans="1:5" x14ac:dyDescent="0.35">
      <c r="A851" s="3" t="s">
        <v>4552</v>
      </c>
      <c r="E851" s="3" t="s">
        <v>2676</v>
      </c>
    </row>
    <row r="852" spans="1:5" x14ac:dyDescent="0.35">
      <c r="A852" s="3" t="s">
        <v>519</v>
      </c>
      <c r="E852" s="3" t="s">
        <v>2680</v>
      </c>
    </row>
    <row r="853" spans="1:5" x14ac:dyDescent="0.35">
      <c r="A853" s="3" t="s">
        <v>188</v>
      </c>
      <c r="E853" s="3" t="s">
        <v>2690</v>
      </c>
    </row>
    <row r="854" spans="1:5" x14ac:dyDescent="0.35">
      <c r="A854" s="3" t="s">
        <v>4311</v>
      </c>
      <c r="E854" s="3" t="s">
        <v>2692</v>
      </c>
    </row>
    <row r="855" spans="1:5" x14ac:dyDescent="0.35">
      <c r="A855" s="3" t="s">
        <v>2665</v>
      </c>
      <c r="E855" s="3" t="s">
        <v>2696</v>
      </c>
    </row>
    <row r="856" spans="1:5" x14ac:dyDescent="0.35">
      <c r="A856" s="3" t="s">
        <v>4281</v>
      </c>
      <c r="E856" s="3" t="s">
        <v>2698</v>
      </c>
    </row>
    <row r="857" spans="1:5" x14ac:dyDescent="0.35">
      <c r="A857" s="3" t="s">
        <v>5043</v>
      </c>
      <c r="E857" s="3" t="s">
        <v>2702</v>
      </c>
    </row>
    <row r="858" spans="1:5" x14ac:dyDescent="0.35">
      <c r="A858" s="3" t="s">
        <v>3036</v>
      </c>
      <c r="E858" s="3" t="s">
        <v>2704</v>
      </c>
    </row>
    <row r="859" spans="1:5" x14ac:dyDescent="0.35">
      <c r="A859" s="3" t="s">
        <v>5631</v>
      </c>
      <c r="E859" s="3" t="s">
        <v>2712</v>
      </c>
    </row>
    <row r="860" spans="1:5" x14ac:dyDescent="0.35">
      <c r="A860" s="3" t="s">
        <v>4133</v>
      </c>
      <c r="E860" s="3" t="s">
        <v>2714</v>
      </c>
    </row>
    <row r="861" spans="1:5" x14ac:dyDescent="0.35">
      <c r="A861" s="3" t="s">
        <v>310</v>
      </c>
      <c r="E861" s="3" t="s">
        <v>2716</v>
      </c>
    </row>
    <row r="862" spans="1:5" x14ac:dyDescent="0.35">
      <c r="A862" s="3" t="s">
        <v>605</v>
      </c>
      <c r="E862" s="3" t="s">
        <v>2718</v>
      </c>
    </row>
    <row r="863" spans="1:5" x14ac:dyDescent="0.35">
      <c r="A863" s="3" t="s">
        <v>5318</v>
      </c>
      <c r="E863" s="3" t="s">
        <v>2722</v>
      </c>
    </row>
    <row r="864" spans="1:5" x14ac:dyDescent="0.35">
      <c r="A864" s="3" t="s">
        <v>5379</v>
      </c>
      <c r="E864" s="3" t="s">
        <v>2724</v>
      </c>
    </row>
    <row r="865" spans="1:5" x14ac:dyDescent="0.35">
      <c r="A865" s="3" t="s">
        <v>5553</v>
      </c>
      <c r="E865" s="3" t="s">
        <v>2728</v>
      </c>
    </row>
    <row r="866" spans="1:5" x14ac:dyDescent="0.35">
      <c r="A866" s="3" t="s">
        <v>4147</v>
      </c>
      <c r="E866" s="3" t="s">
        <v>2732</v>
      </c>
    </row>
    <row r="867" spans="1:5" x14ac:dyDescent="0.35">
      <c r="A867" s="3" t="s">
        <v>2449</v>
      </c>
      <c r="E867" s="3" t="s">
        <v>2734</v>
      </c>
    </row>
    <row r="868" spans="1:5" x14ac:dyDescent="0.35">
      <c r="A868" s="3" t="s">
        <v>4621</v>
      </c>
      <c r="E868" s="3" t="s">
        <v>2738</v>
      </c>
    </row>
    <row r="869" spans="1:5" x14ac:dyDescent="0.35">
      <c r="A869" s="3" t="s">
        <v>4649</v>
      </c>
      <c r="E869" s="3" t="s">
        <v>2742</v>
      </c>
    </row>
    <row r="870" spans="1:5" x14ac:dyDescent="0.35">
      <c r="A870" s="3" t="s">
        <v>1034</v>
      </c>
      <c r="E870" s="3" t="s">
        <v>2744</v>
      </c>
    </row>
    <row r="871" spans="1:5" x14ac:dyDescent="0.35">
      <c r="A871" s="3" t="s">
        <v>3764</v>
      </c>
      <c r="E871" s="3" t="s">
        <v>2746</v>
      </c>
    </row>
    <row r="872" spans="1:5" x14ac:dyDescent="0.35">
      <c r="A872" s="3" t="s">
        <v>960</v>
      </c>
      <c r="E872" s="3" t="s">
        <v>2748</v>
      </c>
    </row>
    <row r="873" spans="1:5" x14ac:dyDescent="0.35">
      <c r="A873" s="3" t="s">
        <v>2926</v>
      </c>
      <c r="E873" s="3" t="s">
        <v>2754</v>
      </c>
    </row>
    <row r="874" spans="1:5" x14ac:dyDescent="0.35">
      <c r="A874" s="3" t="s">
        <v>3601</v>
      </c>
      <c r="E874" s="3" t="s">
        <v>2756</v>
      </c>
    </row>
    <row r="875" spans="1:5" x14ac:dyDescent="0.35">
      <c r="A875" s="3" t="s">
        <v>5350</v>
      </c>
      <c r="E875" s="3" t="s">
        <v>2759</v>
      </c>
    </row>
    <row r="876" spans="1:5" x14ac:dyDescent="0.35">
      <c r="A876" s="3" t="s">
        <v>1162</v>
      </c>
      <c r="E876" s="3" t="s">
        <v>2763</v>
      </c>
    </row>
    <row r="877" spans="1:5" x14ac:dyDescent="0.35">
      <c r="A877" s="3" t="s">
        <v>4695</v>
      </c>
      <c r="E877" s="3" t="s">
        <v>2764</v>
      </c>
    </row>
    <row r="878" spans="1:5" x14ac:dyDescent="0.35">
      <c r="A878" s="3" t="s">
        <v>4838</v>
      </c>
      <c r="E878" s="3" t="s">
        <v>2766</v>
      </c>
    </row>
    <row r="879" spans="1:5" x14ac:dyDescent="0.35">
      <c r="A879" s="3" t="s">
        <v>3748</v>
      </c>
      <c r="E879" s="3" t="s">
        <v>2770</v>
      </c>
    </row>
    <row r="880" spans="1:5" x14ac:dyDescent="0.35">
      <c r="A880" s="3" t="s">
        <v>2012</v>
      </c>
      <c r="E880" s="3" t="s">
        <v>2772</v>
      </c>
    </row>
    <row r="881" spans="1:5" x14ac:dyDescent="0.35">
      <c r="A881" s="3" t="s">
        <v>465</v>
      </c>
      <c r="E881" s="3" t="s">
        <v>2774</v>
      </c>
    </row>
    <row r="882" spans="1:5" x14ac:dyDescent="0.35">
      <c r="A882" s="3" t="s">
        <v>2902</v>
      </c>
      <c r="E882" s="3" t="s">
        <v>2778</v>
      </c>
    </row>
    <row r="883" spans="1:5" x14ac:dyDescent="0.35">
      <c r="A883" s="3" t="s">
        <v>3529</v>
      </c>
      <c r="E883" s="3" t="s">
        <v>2780</v>
      </c>
    </row>
    <row r="884" spans="1:5" x14ac:dyDescent="0.35">
      <c r="A884" s="3" t="s">
        <v>529</v>
      </c>
      <c r="E884" s="3" t="s">
        <v>2782</v>
      </c>
    </row>
    <row r="885" spans="1:5" x14ac:dyDescent="0.35">
      <c r="A885" s="3" t="s">
        <v>1281</v>
      </c>
      <c r="E885" s="3" t="s">
        <v>2784</v>
      </c>
    </row>
    <row r="886" spans="1:5" x14ac:dyDescent="0.35">
      <c r="A886" s="3" t="s">
        <v>214</v>
      </c>
      <c r="E886" s="3" t="s">
        <v>2786</v>
      </c>
    </row>
    <row r="887" spans="1:5" x14ac:dyDescent="0.35">
      <c r="A887" s="3" t="s">
        <v>5302</v>
      </c>
      <c r="E887" s="3" t="s">
        <v>2788</v>
      </c>
    </row>
    <row r="888" spans="1:5" x14ac:dyDescent="0.35">
      <c r="A888" s="3" t="s">
        <v>2389</v>
      </c>
      <c r="E888" s="3" t="s">
        <v>2790</v>
      </c>
    </row>
    <row r="889" spans="1:5" x14ac:dyDescent="0.35">
      <c r="A889" s="3" t="s">
        <v>4556</v>
      </c>
      <c r="E889" s="3" t="s">
        <v>2798</v>
      </c>
    </row>
    <row r="890" spans="1:5" x14ac:dyDescent="0.35">
      <c r="A890" s="3" t="s">
        <v>3030</v>
      </c>
      <c r="E890" s="3" t="s">
        <v>2800</v>
      </c>
    </row>
    <row r="891" spans="1:5" x14ac:dyDescent="0.35">
      <c r="A891" s="3" t="s">
        <v>3504</v>
      </c>
      <c r="E891" s="3" t="s">
        <v>2802</v>
      </c>
    </row>
    <row r="892" spans="1:5" x14ac:dyDescent="0.35">
      <c r="A892" s="3" t="s">
        <v>3881</v>
      </c>
      <c r="E892" s="3" t="s">
        <v>2804</v>
      </c>
    </row>
    <row r="893" spans="1:5" x14ac:dyDescent="0.35">
      <c r="A893" s="3" t="s">
        <v>3705</v>
      </c>
      <c r="E893" s="3" t="s">
        <v>2806</v>
      </c>
    </row>
    <row r="894" spans="1:5" x14ac:dyDescent="0.35">
      <c r="A894" s="3" t="s">
        <v>3716</v>
      </c>
      <c r="E894" s="3" t="s">
        <v>2808</v>
      </c>
    </row>
    <row r="895" spans="1:5" x14ac:dyDescent="0.35">
      <c r="A895" s="3" t="s">
        <v>2760</v>
      </c>
      <c r="E895" s="3" t="s">
        <v>2810</v>
      </c>
    </row>
    <row r="896" spans="1:5" x14ac:dyDescent="0.35">
      <c r="A896" s="3" t="s">
        <v>5675</v>
      </c>
      <c r="E896" s="3" t="s">
        <v>2814</v>
      </c>
    </row>
    <row r="897" spans="1:5" x14ac:dyDescent="0.35">
      <c r="A897" s="3" t="s">
        <v>4171</v>
      </c>
      <c r="E897" s="3" t="s">
        <v>2816</v>
      </c>
    </row>
    <row r="898" spans="1:5" x14ac:dyDescent="0.35">
      <c r="A898" s="3" t="s">
        <v>4367</v>
      </c>
      <c r="E898" s="3" t="s">
        <v>2818</v>
      </c>
    </row>
    <row r="899" spans="1:5" x14ac:dyDescent="0.35">
      <c r="A899" s="3" t="s">
        <v>2883</v>
      </c>
      <c r="E899" s="3" t="s">
        <v>2822</v>
      </c>
    </row>
    <row r="900" spans="1:5" x14ac:dyDescent="0.35">
      <c r="A900" s="3" t="s">
        <v>177</v>
      </c>
      <c r="E900" s="3" t="s">
        <v>2824</v>
      </c>
    </row>
    <row r="901" spans="1:5" x14ac:dyDescent="0.35">
      <c r="A901" s="3" t="s">
        <v>4173</v>
      </c>
      <c r="E901" s="3" t="s">
        <v>2832</v>
      </c>
    </row>
    <row r="902" spans="1:5" x14ac:dyDescent="0.35">
      <c r="A902" s="3" t="s">
        <v>4799</v>
      </c>
      <c r="E902" s="3" t="s">
        <v>2836</v>
      </c>
    </row>
    <row r="903" spans="1:5" x14ac:dyDescent="0.35">
      <c r="A903" s="3" t="s">
        <v>2992</v>
      </c>
      <c r="E903" s="3" t="s">
        <v>2840</v>
      </c>
    </row>
    <row r="904" spans="1:5" x14ac:dyDescent="0.35">
      <c r="A904" s="3" t="s">
        <v>4842</v>
      </c>
      <c r="E904" s="3" t="s">
        <v>2844</v>
      </c>
    </row>
    <row r="905" spans="1:5" x14ac:dyDescent="0.35">
      <c r="A905" s="3" t="s">
        <v>301</v>
      </c>
      <c r="E905" s="3" t="s">
        <v>2846</v>
      </c>
    </row>
    <row r="906" spans="1:5" x14ac:dyDescent="0.35">
      <c r="A906" s="3" t="s">
        <v>739</v>
      </c>
      <c r="E906" s="3" t="s">
        <v>2850</v>
      </c>
    </row>
    <row r="907" spans="1:5" x14ac:dyDescent="0.35">
      <c r="A907" s="3" t="s">
        <v>3852</v>
      </c>
      <c r="E907" s="3" t="s">
        <v>2852</v>
      </c>
    </row>
    <row r="908" spans="1:5" x14ac:dyDescent="0.35">
      <c r="A908" s="3" t="s">
        <v>1958</v>
      </c>
      <c r="E908" s="3" t="s">
        <v>2858</v>
      </c>
    </row>
    <row r="909" spans="1:5" x14ac:dyDescent="0.35">
      <c r="A909" s="3" t="s">
        <v>795</v>
      </c>
      <c r="E909" s="3" t="s">
        <v>2862</v>
      </c>
    </row>
    <row r="910" spans="1:5" x14ac:dyDescent="0.35">
      <c r="A910" s="3" t="s">
        <v>4866</v>
      </c>
      <c r="E910" s="3" t="s">
        <v>2870</v>
      </c>
    </row>
    <row r="911" spans="1:5" x14ac:dyDescent="0.35">
      <c r="A911" s="3" t="s">
        <v>4580</v>
      </c>
      <c r="E911" s="3" t="s">
        <v>2872</v>
      </c>
    </row>
    <row r="912" spans="1:5" x14ac:dyDescent="0.35">
      <c r="A912" s="3" t="s">
        <v>5155</v>
      </c>
      <c r="E912" s="3" t="s">
        <v>2874</v>
      </c>
    </row>
    <row r="913" spans="1:5" x14ac:dyDescent="0.35">
      <c r="A913" s="3" t="s">
        <v>2377</v>
      </c>
      <c r="E913" s="3" t="s">
        <v>2878</v>
      </c>
    </row>
    <row r="914" spans="1:5" x14ac:dyDescent="0.35">
      <c r="A914" s="3" t="s">
        <v>2691</v>
      </c>
      <c r="E914" s="3" t="s">
        <v>2882</v>
      </c>
    </row>
    <row r="915" spans="1:5" x14ac:dyDescent="0.35">
      <c r="A915" s="3" t="s">
        <v>1537</v>
      </c>
      <c r="E915" s="3" t="s">
        <v>2886</v>
      </c>
    </row>
    <row r="916" spans="1:5" x14ac:dyDescent="0.35">
      <c r="A916" s="3" t="s">
        <v>2904</v>
      </c>
      <c r="E916" s="3" t="s">
        <v>2893</v>
      </c>
    </row>
    <row r="917" spans="1:5" x14ac:dyDescent="0.35">
      <c r="A917" s="3" t="s">
        <v>692</v>
      </c>
      <c r="E917" s="3" t="s">
        <v>2895</v>
      </c>
    </row>
    <row r="918" spans="1:5" x14ac:dyDescent="0.35">
      <c r="A918" s="3" t="s">
        <v>5282</v>
      </c>
      <c r="E918" s="3" t="s">
        <v>2897</v>
      </c>
    </row>
    <row r="919" spans="1:5" x14ac:dyDescent="0.35">
      <c r="A919" s="3" t="s">
        <v>2569</v>
      </c>
      <c r="E919" s="3" t="s">
        <v>2901</v>
      </c>
    </row>
    <row r="920" spans="1:5" x14ac:dyDescent="0.35">
      <c r="A920" s="3" t="s">
        <v>512</v>
      </c>
      <c r="E920" s="3" t="s">
        <v>2903</v>
      </c>
    </row>
    <row r="921" spans="1:5" x14ac:dyDescent="0.35">
      <c r="A921" s="3" t="s">
        <v>5298</v>
      </c>
      <c r="E921" s="3" t="s">
        <v>2905</v>
      </c>
    </row>
    <row r="922" spans="1:5" x14ac:dyDescent="0.35">
      <c r="A922" s="3" t="s">
        <v>3182</v>
      </c>
      <c r="E922" s="3" t="s">
        <v>2909</v>
      </c>
    </row>
    <row r="923" spans="1:5" x14ac:dyDescent="0.35">
      <c r="A923" s="3" t="s">
        <v>3639</v>
      </c>
      <c r="E923" s="3" t="s">
        <v>2911</v>
      </c>
    </row>
    <row r="924" spans="1:5" x14ac:dyDescent="0.35">
      <c r="A924" s="3" t="s">
        <v>4960</v>
      </c>
      <c r="E924" s="3" t="s">
        <v>2913</v>
      </c>
    </row>
    <row r="925" spans="1:5" x14ac:dyDescent="0.35">
      <c r="A925" s="3" t="s">
        <v>244</v>
      </c>
      <c r="E925" s="3" t="s">
        <v>2915</v>
      </c>
    </row>
    <row r="926" spans="1:5" x14ac:dyDescent="0.35">
      <c r="A926" s="3" t="s">
        <v>4469</v>
      </c>
      <c r="E926" s="3" t="s">
        <v>2917</v>
      </c>
    </row>
    <row r="927" spans="1:5" x14ac:dyDescent="0.35">
      <c r="A927" s="3" t="s">
        <v>4886</v>
      </c>
      <c r="E927" s="3" t="s">
        <v>2919</v>
      </c>
    </row>
    <row r="928" spans="1:5" x14ac:dyDescent="0.35">
      <c r="A928" s="3" t="s">
        <v>5021</v>
      </c>
      <c r="E928" s="3" t="s">
        <v>2923</v>
      </c>
    </row>
    <row r="929" spans="1:5" x14ac:dyDescent="0.35">
      <c r="A929" s="3" t="s">
        <v>5731</v>
      </c>
      <c r="E929" s="3" t="s">
        <v>2925</v>
      </c>
    </row>
    <row r="930" spans="1:5" x14ac:dyDescent="0.35">
      <c r="A930" s="3" t="s">
        <v>1920</v>
      </c>
      <c r="E930" s="3" t="s">
        <v>2939</v>
      </c>
    </row>
    <row r="931" spans="1:5" x14ac:dyDescent="0.35">
      <c r="A931" s="3" t="s">
        <v>4007</v>
      </c>
      <c r="E931" s="3" t="s">
        <v>2943</v>
      </c>
    </row>
    <row r="932" spans="1:5" x14ac:dyDescent="0.35">
      <c r="A932" s="3" t="s">
        <v>1080</v>
      </c>
      <c r="E932" s="3" t="s">
        <v>2947</v>
      </c>
    </row>
    <row r="933" spans="1:5" x14ac:dyDescent="0.35">
      <c r="A933" s="3" t="s">
        <v>2553</v>
      </c>
      <c r="E933" s="3" t="s">
        <v>2949</v>
      </c>
    </row>
    <row r="934" spans="1:5" x14ac:dyDescent="0.35">
      <c r="A934" s="3" t="s">
        <v>1507</v>
      </c>
      <c r="E934" s="3" t="s">
        <v>2951</v>
      </c>
    </row>
    <row r="935" spans="1:5" x14ac:dyDescent="0.35">
      <c r="A935" s="3" t="s">
        <v>3625</v>
      </c>
      <c r="E935" s="3" t="s">
        <v>2953</v>
      </c>
    </row>
    <row r="936" spans="1:5" x14ac:dyDescent="0.35">
      <c r="A936" s="3" t="s">
        <v>5075</v>
      </c>
      <c r="E936" s="3" t="s">
        <v>2955</v>
      </c>
    </row>
    <row r="937" spans="1:5" x14ac:dyDescent="0.35">
      <c r="A937" s="3" t="s">
        <v>396</v>
      </c>
      <c r="E937" s="3" t="s">
        <v>2959</v>
      </c>
    </row>
    <row r="938" spans="1:5" x14ac:dyDescent="0.35">
      <c r="A938" s="3" t="s">
        <v>5841</v>
      </c>
      <c r="E938" s="3" t="s">
        <v>2961</v>
      </c>
    </row>
    <row r="939" spans="1:5" x14ac:dyDescent="0.35">
      <c r="A939" s="3" t="s">
        <v>550</v>
      </c>
      <c r="E939" s="3" t="s">
        <v>2963</v>
      </c>
    </row>
    <row r="940" spans="1:5" x14ac:dyDescent="0.35">
      <c r="A940" s="3" t="s">
        <v>2193</v>
      </c>
      <c r="E940" s="3" t="s">
        <v>2965</v>
      </c>
    </row>
    <row r="941" spans="1:5" x14ac:dyDescent="0.35">
      <c r="A941" s="3" t="s">
        <v>3822</v>
      </c>
      <c r="E941" s="3" t="s">
        <v>2967</v>
      </c>
    </row>
    <row r="942" spans="1:5" x14ac:dyDescent="0.35">
      <c r="A942" s="3" t="s">
        <v>5595</v>
      </c>
      <c r="E942" s="3" t="s">
        <v>2971</v>
      </c>
    </row>
    <row r="943" spans="1:5" x14ac:dyDescent="0.35">
      <c r="A943" s="3" t="s">
        <v>2429</v>
      </c>
      <c r="E943" s="3" t="s">
        <v>2973</v>
      </c>
    </row>
    <row r="944" spans="1:5" x14ac:dyDescent="0.35">
      <c r="A944" s="3" t="s">
        <v>1505</v>
      </c>
      <c r="E944" s="3" t="s">
        <v>2975</v>
      </c>
    </row>
    <row r="945" spans="1:5" x14ac:dyDescent="0.35">
      <c r="A945" s="3" t="s">
        <v>5115</v>
      </c>
      <c r="E945" s="3" t="s">
        <v>2979</v>
      </c>
    </row>
    <row r="946" spans="1:5" x14ac:dyDescent="0.35">
      <c r="A946" s="3" t="s">
        <v>3018</v>
      </c>
      <c r="E946" s="3" t="s">
        <v>2981</v>
      </c>
    </row>
    <row r="947" spans="1:5" x14ac:dyDescent="0.35">
      <c r="A947" s="3" t="s">
        <v>4067</v>
      </c>
      <c r="E947" s="3" t="s">
        <v>2985</v>
      </c>
    </row>
    <row r="948" spans="1:5" x14ac:dyDescent="0.35">
      <c r="A948" s="3" t="s">
        <v>3883</v>
      </c>
      <c r="E948" s="3" t="s">
        <v>2987</v>
      </c>
    </row>
    <row r="949" spans="1:5" x14ac:dyDescent="0.35">
      <c r="A949" s="3" t="s">
        <v>5179</v>
      </c>
      <c r="E949" s="3" t="s">
        <v>2991</v>
      </c>
    </row>
    <row r="950" spans="1:5" x14ac:dyDescent="0.35">
      <c r="A950" s="3" t="s">
        <v>1551</v>
      </c>
      <c r="E950" s="3" t="s">
        <v>2993</v>
      </c>
    </row>
    <row r="951" spans="1:5" x14ac:dyDescent="0.35">
      <c r="A951" s="3" t="s">
        <v>1202</v>
      </c>
      <c r="E951" s="3" t="s">
        <v>2995</v>
      </c>
    </row>
    <row r="952" spans="1:5" x14ac:dyDescent="0.35">
      <c r="A952" s="3" t="s">
        <v>1843</v>
      </c>
      <c r="E952" s="3" t="s">
        <v>2997</v>
      </c>
    </row>
    <row r="953" spans="1:5" x14ac:dyDescent="0.35">
      <c r="A953" s="3" t="s">
        <v>5424</v>
      </c>
      <c r="E953" s="3" t="s">
        <v>3001</v>
      </c>
    </row>
    <row r="954" spans="1:5" x14ac:dyDescent="0.35">
      <c r="A954" s="3" t="s">
        <v>4426</v>
      </c>
      <c r="E954" s="3" t="s">
        <v>3005</v>
      </c>
    </row>
    <row r="955" spans="1:5" x14ac:dyDescent="0.35">
      <c r="A955" s="3" t="s">
        <v>4079</v>
      </c>
      <c r="E955" s="3" t="s">
        <v>3013</v>
      </c>
    </row>
    <row r="956" spans="1:5" x14ac:dyDescent="0.35">
      <c r="A956" s="3" t="s">
        <v>2157</v>
      </c>
      <c r="E956" s="3" t="s">
        <v>3017</v>
      </c>
    </row>
    <row r="957" spans="1:5" x14ac:dyDescent="0.35">
      <c r="A957" s="3" t="s">
        <v>3576</v>
      </c>
      <c r="E957" s="3" t="s">
        <v>3021</v>
      </c>
    </row>
    <row r="958" spans="1:5" x14ac:dyDescent="0.35">
      <c r="A958" s="3" t="s">
        <v>3398</v>
      </c>
      <c r="E958" s="3" t="s">
        <v>3023</v>
      </c>
    </row>
    <row r="959" spans="1:5" x14ac:dyDescent="0.35">
      <c r="A959" s="3" t="s">
        <v>3271</v>
      </c>
      <c r="E959" s="3" t="s">
        <v>3027</v>
      </c>
    </row>
    <row r="960" spans="1:5" x14ac:dyDescent="0.35">
      <c r="A960" s="3" t="s">
        <v>480</v>
      </c>
      <c r="E960" s="3" t="s">
        <v>3029</v>
      </c>
    </row>
    <row r="961" spans="1:5" x14ac:dyDescent="0.35">
      <c r="A961" s="3" t="s">
        <v>2112</v>
      </c>
      <c r="E961" s="3" t="s">
        <v>3031</v>
      </c>
    </row>
    <row r="962" spans="1:5" x14ac:dyDescent="0.35">
      <c r="A962" s="3" t="s">
        <v>3224</v>
      </c>
      <c r="E962" s="3" t="s">
        <v>3035</v>
      </c>
    </row>
    <row r="963" spans="1:5" x14ac:dyDescent="0.35">
      <c r="A963" s="3" t="s">
        <v>5975</v>
      </c>
      <c r="E963" s="3" t="s">
        <v>3049</v>
      </c>
    </row>
    <row r="964" spans="1:5" x14ac:dyDescent="0.35">
      <c r="A964" s="3" t="s">
        <v>5765</v>
      </c>
      <c r="E964" s="3" t="s">
        <v>3051</v>
      </c>
    </row>
    <row r="965" spans="1:5" x14ac:dyDescent="0.35">
      <c r="A965" s="3" t="s">
        <v>4672</v>
      </c>
      <c r="E965" s="3" t="s">
        <v>3053</v>
      </c>
    </row>
    <row r="966" spans="1:5" x14ac:dyDescent="0.35">
      <c r="A966" s="3" t="s">
        <v>3980</v>
      </c>
      <c r="E966" s="3" t="s">
        <v>3054</v>
      </c>
    </row>
    <row r="967" spans="1:5" x14ac:dyDescent="0.35">
      <c r="A967" s="3" t="s">
        <v>3273</v>
      </c>
      <c r="E967" s="3" t="s">
        <v>3058</v>
      </c>
    </row>
    <row r="968" spans="1:5" x14ac:dyDescent="0.35">
      <c r="A968" s="3" t="s">
        <v>5119</v>
      </c>
      <c r="E968" s="3" t="s">
        <v>3060</v>
      </c>
    </row>
    <row r="969" spans="1:5" x14ac:dyDescent="0.35">
      <c r="A969" s="3" t="s">
        <v>5655</v>
      </c>
      <c r="E969" s="3" t="s">
        <v>3068</v>
      </c>
    </row>
    <row r="970" spans="1:5" x14ac:dyDescent="0.35">
      <c r="A970" s="3" t="s">
        <v>444</v>
      </c>
      <c r="E970" s="3" t="s">
        <v>3070</v>
      </c>
    </row>
    <row r="971" spans="1:5" x14ac:dyDescent="0.35">
      <c r="A971" s="3" t="s">
        <v>1435</v>
      </c>
      <c r="E971" s="3" t="s">
        <v>3072</v>
      </c>
    </row>
    <row r="972" spans="1:5" x14ac:dyDescent="0.35">
      <c r="A972" s="3" t="s">
        <v>1168</v>
      </c>
      <c r="E972" s="3" t="s">
        <v>3074</v>
      </c>
    </row>
    <row r="973" spans="1:5" x14ac:dyDescent="0.35">
      <c r="A973" s="3" t="s">
        <v>2032</v>
      </c>
      <c r="E973" s="3" t="s">
        <v>3076</v>
      </c>
    </row>
    <row r="974" spans="1:5" x14ac:dyDescent="0.35">
      <c r="A974" s="3" t="s">
        <v>3782</v>
      </c>
      <c r="E974" s="3" t="s">
        <v>3078</v>
      </c>
    </row>
    <row r="975" spans="1:5" x14ac:dyDescent="0.35">
      <c r="A975" s="3" t="s">
        <v>5791</v>
      </c>
      <c r="E975" s="3" t="s">
        <v>3080</v>
      </c>
    </row>
    <row r="976" spans="1:5" x14ac:dyDescent="0.35">
      <c r="A976" s="3" t="s">
        <v>696</v>
      </c>
      <c r="E976" s="3" t="s">
        <v>3082</v>
      </c>
    </row>
    <row r="977" spans="1:5" x14ac:dyDescent="0.35">
      <c r="A977" s="3" t="s">
        <v>418</v>
      </c>
      <c r="E977" s="3" t="s">
        <v>3084</v>
      </c>
    </row>
    <row r="978" spans="1:5" x14ac:dyDescent="0.35">
      <c r="A978" s="3" t="s">
        <v>4327</v>
      </c>
      <c r="E978" s="3" t="s">
        <v>3086</v>
      </c>
    </row>
    <row r="979" spans="1:5" x14ac:dyDescent="0.35">
      <c r="A979" s="3" t="s">
        <v>5145</v>
      </c>
      <c r="E979" s="3" t="s">
        <v>3088</v>
      </c>
    </row>
    <row r="980" spans="1:5" x14ac:dyDescent="0.35">
      <c r="A980" s="3" t="s">
        <v>3248</v>
      </c>
      <c r="E980" s="3" t="s">
        <v>3094</v>
      </c>
    </row>
    <row r="981" spans="1:5" x14ac:dyDescent="0.35">
      <c r="A981" s="3" t="s">
        <v>3939</v>
      </c>
      <c r="E981" s="3" t="s">
        <v>3096</v>
      </c>
    </row>
    <row r="982" spans="1:5" x14ac:dyDescent="0.35">
      <c r="A982" s="3" t="s">
        <v>118</v>
      </c>
      <c r="E982" s="3" t="s">
        <v>3098</v>
      </c>
    </row>
    <row r="983" spans="1:5" x14ac:dyDescent="0.35">
      <c r="A983" s="3" t="s">
        <v>4748</v>
      </c>
      <c r="E983" s="3" t="s">
        <v>3102</v>
      </c>
    </row>
    <row r="984" spans="1:5" x14ac:dyDescent="0.35">
      <c r="A984" s="3" t="s">
        <v>2649</v>
      </c>
      <c r="E984" s="3" t="s">
        <v>3104</v>
      </c>
    </row>
    <row r="985" spans="1:5" x14ac:dyDescent="0.35">
      <c r="A985" s="3" t="s">
        <v>5135</v>
      </c>
      <c r="E985" s="3" t="s">
        <v>3106</v>
      </c>
    </row>
    <row r="986" spans="1:5" x14ac:dyDescent="0.35">
      <c r="A986" s="3" t="s">
        <v>3478</v>
      </c>
      <c r="E986" s="3" t="s">
        <v>3108</v>
      </c>
    </row>
    <row r="987" spans="1:5" x14ac:dyDescent="0.35">
      <c r="A987" s="3" t="s">
        <v>345</v>
      </c>
      <c r="E987" s="3" t="s">
        <v>3110</v>
      </c>
    </row>
    <row r="988" spans="1:5" x14ac:dyDescent="0.35">
      <c r="A988" s="3" t="s">
        <v>976</v>
      </c>
      <c r="E988" s="3" t="s">
        <v>3112</v>
      </c>
    </row>
    <row r="989" spans="1:5" x14ac:dyDescent="0.35">
      <c r="A989" s="3" t="s">
        <v>4037</v>
      </c>
      <c r="E989" s="3" t="s">
        <v>3114</v>
      </c>
    </row>
    <row r="990" spans="1:5" x14ac:dyDescent="0.35">
      <c r="A990" s="3" t="s">
        <v>573</v>
      </c>
      <c r="E990" s="3" t="s">
        <v>3118</v>
      </c>
    </row>
    <row r="991" spans="1:5" x14ac:dyDescent="0.35">
      <c r="A991" s="3" t="s">
        <v>3516</v>
      </c>
      <c r="E991" s="3" t="s">
        <v>3120</v>
      </c>
    </row>
    <row r="992" spans="1:5" x14ac:dyDescent="0.35">
      <c r="A992" s="3" t="s">
        <v>1102</v>
      </c>
      <c r="E992" s="3" t="s">
        <v>3122</v>
      </c>
    </row>
    <row r="993" spans="1:5" x14ac:dyDescent="0.35">
      <c r="A993" s="3" t="s">
        <v>4041</v>
      </c>
      <c r="E993" s="3" t="s">
        <v>3124</v>
      </c>
    </row>
    <row r="994" spans="1:5" x14ac:dyDescent="0.35">
      <c r="A994" s="3" t="s">
        <v>121</v>
      </c>
      <c r="E994" s="3" t="s">
        <v>3130</v>
      </c>
    </row>
    <row r="995" spans="1:5" x14ac:dyDescent="0.35">
      <c r="A995" s="3" t="s">
        <v>5083</v>
      </c>
      <c r="E995" s="3" t="s">
        <v>3131</v>
      </c>
    </row>
    <row r="996" spans="1:5" x14ac:dyDescent="0.35">
      <c r="A996" s="3" t="s">
        <v>3196</v>
      </c>
      <c r="E996" s="3" t="s">
        <v>3133</v>
      </c>
    </row>
    <row r="997" spans="1:5" x14ac:dyDescent="0.35">
      <c r="A997" s="3" t="s">
        <v>4805</v>
      </c>
      <c r="E997" s="3" t="s">
        <v>3135</v>
      </c>
    </row>
    <row r="998" spans="1:5" x14ac:dyDescent="0.35">
      <c r="A998" s="3" t="s">
        <v>3111</v>
      </c>
      <c r="E998" s="3" t="s">
        <v>3137</v>
      </c>
    </row>
    <row r="999" spans="1:5" x14ac:dyDescent="0.35">
      <c r="A999" s="3" t="s">
        <v>5539</v>
      </c>
      <c r="E999" s="3" t="s">
        <v>3143</v>
      </c>
    </row>
    <row r="1000" spans="1:5" x14ac:dyDescent="0.35">
      <c r="A1000" s="3" t="s">
        <v>581</v>
      </c>
      <c r="E1000" s="3" t="s">
        <v>3153</v>
      </c>
    </row>
    <row r="1001" spans="1:5" x14ac:dyDescent="0.35">
      <c r="A1001" s="3" t="s">
        <v>1513</v>
      </c>
      <c r="E1001" s="3" t="s">
        <v>3155</v>
      </c>
    </row>
    <row r="1002" spans="1:5" x14ac:dyDescent="0.35">
      <c r="A1002" s="3" t="s">
        <v>4345</v>
      </c>
      <c r="E1002" s="3" t="s">
        <v>3161</v>
      </c>
    </row>
    <row r="1003" spans="1:5" x14ac:dyDescent="0.35">
      <c r="A1003" s="3" t="s">
        <v>3776</v>
      </c>
      <c r="E1003" s="3" t="s">
        <v>3165</v>
      </c>
    </row>
    <row r="1004" spans="1:5" x14ac:dyDescent="0.35">
      <c r="A1004" s="3" t="s">
        <v>4560</v>
      </c>
      <c r="E1004" s="3" t="s">
        <v>3167</v>
      </c>
    </row>
    <row r="1005" spans="1:5" x14ac:dyDescent="0.35">
      <c r="A1005" s="3" t="s">
        <v>4045</v>
      </c>
      <c r="E1005" s="3" t="s">
        <v>3169</v>
      </c>
    </row>
    <row r="1006" spans="1:5" x14ac:dyDescent="0.35">
      <c r="A1006" s="3" t="s">
        <v>2463</v>
      </c>
      <c r="E1006" s="3" t="s">
        <v>3171</v>
      </c>
    </row>
    <row r="1007" spans="1:5" x14ac:dyDescent="0.35">
      <c r="A1007" s="3" t="s">
        <v>4497</v>
      </c>
      <c r="E1007" s="3" t="s">
        <v>3173</v>
      </c>
    </row>
    <row r="1008" spans="1:5" x14ac:dyDescent="0.35">
      <c r="A1008" s="3" t="s">
        <v>2126</v>
      </c>
      <c r="E1008" s="3" t="s">
        <v>3179</v>
      </c>
    </row>
    <row r="1009" spans="1:5" x14ac:dyDescent="0.35">
      <c r="A1009" s="3" t="s">
        <v>5897</v>
      </c>
      <c r="E1009" s="3" t="s">
        <v>3181</v>
      </c>
    </row>
    <row r="1010" spans="1:5" x14ac:dyDescent="0.35">
      <c r="A1010" s="3" t="s">
        <v>3586</v>
      </c>
      <c r="E1010" s="3" t="s">
        <v>3183</v>
      </c>
    </row>
    <row r="1011" spans="1:5" x14ac:dyDescent="0.35">
      <c r="A1011" s="3" t="s">
        <v>1663</v>
      </c>
      <c r="E1011" s="3" t="s">
        <v>3185</v>
      </c>
    </row>
    <row r="1012" spans="1:5" x14ac:dyDescent="0.35">
      <c r="A1012" s="3" t="s">
        <v>5125</v>
      </c>
      <c r="E1012" s="3" t="s">
        <v>3189</v>
      </c>
    </row>
    <row r="1013" spans="1:5" x14ac:dyDescent="0.35">
      <c r="A1013" s="3" t="s">
        <v>3374</v>
      </c>
      <c r="E1013" s="3" t="s">
        <v>3193</v>
      </c>
    </row>
    <row r="1014" spans="1:5" x14ac:dyDescent="0.35">
      <c r="A1014" s="3" t="s">
        <v>3667</v>
      </c>
      <c r="E1014" s="3" t="s">
        <v>3195</v>
      </c>
    </row>
    <row r="1015" spans="1:5" x14ac:dyDescent="0.35">
      <c r="A1015" s="3" t="s">
        <v>5171</v>
      </c>
      <c r="E1015" s="3" t="s">
        <v>3199</v>
      </c>
    </row>
    <row r="1016" spans="1:5" x14ac:dyDescent="0.35">
      <c r="A1016" s="3" t="s">
        <v>3649</v>
      </c>
      <c r="E1016" s="3" t="s">
        <v>3201</v>
      </c>
    </row>
    <row r="1017" spans="1:5" x14ac:dyDescent="0.35">
      <c r="A1017" s="3" t="s">
        <v>4447</v>
      </c>
      <c r="E1017" s="3" t="s">
        <v>3203</v>
      </c>
    </row>
    <row r="1018" spans="1:5" x14ac:dyDescent="0.35">
      <c r="A1018" s="3" t="s">
        <v>1555</v>
      </c>
      <c r="E1018" s="3" t="s">
        <v>3207</v>
      </c>
    </row>
    <row r="1019" spans="1:5" x14ac:dyDescent="0.35">
      <c r="A1019" s="3" t="s">
        <v>911</v>
      </c>
      <c r="E1019" s="3" t="s">
        <v>3209</v>
      </c>
    </row>
    <row r="1020" spans="1:5" x14ac:dyDescent="0.35">
      <c r="A1020" s="3" t="s">
        <v>4313</v>
      </c>
      <c r="E1020" s="3" t="s">
        <v>3211</v>
      </c>
    </row>
    <row r="1021" spans="1:5" x14ac:dyDescent="0.35">
      <c r="A1021" s="3" t="s">
        <v>3760</v>
      </c>
      <c r="E1021" s="3" t="s">
        <v>3215</v>
      </c>
    </row>
    <row r="1022" spans="1:5" x14ac:dyDescent="0.35">
      <c r="A1022" s="3" t="s">
        <v>2322</v>
      </c>
      <c r="E1022" s="3" t="s">
        <v>3217</v>
      </c>
    </row>
    <row r="1023" spans="1:5" x14ac:dyDescent="0.35">
      <c r="A1023" s="3" t="s">
        <v>3734</v>
      </c>
      <c r="E1023" s="3" t="s">
        <v>3219</v>
      </c>
    </row>
    <row r="1024" spans="1:5" x14ac:dyDescent="0.35">
      <c r="A1024" s="3" t="s">
        <v>5109</v>
      </c>
      <c r="E1024" s="3" t="s">
        <v>3223</v>
      </c>
    </row>
    <row r="1025" spans="1:5" x14ac:dyDescent="0.35">
      <c r="A1025" s="3" t="s">
        <v>1160</v>
      </c>
      <c r="E1025" s="3" t="s">
        <v>3225</v>
      </c>
    </row>
    <row r="1026" spans="1:5" x14ac:dyDescent="0.35">
      <c r="A1026" s="3" t="s">
        <v>571</v>
      </c>
      <c r="E1026" s="3" t="s">
        <v>3227</v>
      </c>
    </row>
    <row r="1027" spans="1:5" x14ac:dyDescent="0.35">
      <c r="A1027" s="3" t="s">
        <v>1527</v>
      </c>
      <c r="E1027" s="3" t="s">
        <v>3229</v>
      </c>
    </row>
    <row r="1028" spans="1:5" x14ac:dyDescent="0.35">
      <c r="A1028" s="3" t="s">
        <v>5531</v>
      </c>
      <c r="E1028" s="3" t="s">
        <v>3233</v>
      </c>
    </row>
    <row r="1029" spans="1:5" x14ac:dyDescent="0.35">
      <c r="A1029" s="3" t="s">
        <v>1735</v>
      </c>
      <c r="E1029" s="3" t="s">
        <v>3235</v>
      </c>
    </row>
    <row r="1030" spans="1:5" x14ac:dyDescent="0.35">
      <c r="A1030" s="3" t="s">
        <v>3416</v>
      </c>
      <c r="E1030" s="3" t="s">
        <v>3237</v>
      </c>
    </row>
    <row r="1031" spans="1:5" x14ac:dyDescent="0.35">
      <c r="A1031" s="3" t="s">
        <v>1237</v>
      </c>
      <c r="E1031" s="3" t="s">
        <v>3241</v>
      </c>
    </row>
    <row r="1032" spans="1:5" x14ac:dyDescent="0.35">
      <c r="A1032" s="3" t="s">
        <v>958</v>
      </c>
      <c r="E1032" s="3" t="s">
        <v>3247</v>
      </c>
    </row>
    <row r="1033" spans="1:5" x14ac:dyDescent="0.35">
      <c r="A1033" s="3" t="s">
        <v>2306</v>
      </c>
      <c r="E1033" s="3" t="s">
        <v>3251</v>
      </c>
    </row>
    <row r="1034" spans="1:5" x14ac:dyDescent="0.35">
      <c r="A1034" s="3" t="s">
        <v>2167</v>
      </c>
      <c r="E1034" s="3" t="s">
        <v>3253</v>
      </c>
    </row>
    <row r="1035" spans="1:5" x14ac:dyDescent="0.35">
      <c r="A1035" s="3" t="s">
        <v>2034</v>
      </c>
      <c r="E1035" s="3" t="s">
        <v>3255</v>
      </c>
    </row>
    <row r="1036" spans="1:5" x14ac:dyDescent="0.35">
      <c r="A1036" s="3" t="s">
        <v>615</v>
      </c>
      <c r="E1036" s="3" t="s">
        <v>3261</v>
      </c>
    </row>
    <row r="1037" spans="1:5" x14ac:dyDescent="0.35">
      <c r="A1037" s="3" t="s">
        <v>1088</v>
      </c>
      <c r="E1037" s="3" t="s">
        <v>3263</v>
      </c>
    </row>
    <row r="1038" spans="1:5" x14ac:dyDescent="0.35">
      <c r="A1038" s="3" t="s">
        <v>4206</v>
      </c>
      <c r="E1038" s="3" t="s">
        <v>3264</v>
      </c>
    </row>
    <row r="1039" spans="1:5" x14ac:dyDescent="0.35">
      <c r="A1039" s="3" t="s">
        <v>668</v>
      </c>
      <c r="E1039" s="3" t="s">
        <v>3266</v>
      </c>
    </row>
    <row r="1040" spans="1:5" x14ac:dyDescent="0.35">
      <c r="A1040" s="3" t="s">
        <v>4495</v>
      </c>
      <c r="E1040" s="3" t="s">
        <v>3268</v>
      </c>
    </row>
    <row r="1041" spans="1:5" x14ac:dyDescent="0.35">
      <c r="A1041" s="3" t="s">
        <v>5051</v>
      </c>
      <c r="E1041" s="3" t="s">
        <v>3272</v>
      </c>
    </row>
    <row r="1042" spans="1:5" x14ac:dyDescent="0.35">
      <c r="A1042" s="3" t="s">
        <v>1968</v>
      </c>
      <c r="E1042" s="3" t="s">
        <v>3276</v>
      </c>
    </row>
    <row r="1043" spans="1:5" x14ac:dyDescent="0.35">
      <c r="A1043" s="3" t="s">
        <v>746</v>
      </c>
      <c r="E1043" s="3" t="s">
        <v>3278</v>
      </c>
    </row>
    <row r="1044" spans="1:5" x14ac:dyDescent="0.35">
      <c r="A1044" s="3" t="s">
        <v>2312</v>
      </c>
      <c r="E1044" s="3" t="s">
        <v>3282</v>
      </c>
    </row>
    <row r="1045" spans="1:5" x14ac:dyDescent="0.35">
      <c r="A1045" s="3" t="s">
        <v>5147</v>
      </c>
      <c r="E1045" s="3" t="s">
        <v>3284</v>
      </c>
    </row>
    <row r="1046" spans="1:5" x14ac:dyDescent="0.35">
      <c r="A1046" s="3" t="s">
        <v>3992</v>
      </c>
      <c r="E1046" s="3" t="s">
        <v>3286</v>
      </c>
    </row>
    <row r="1047" spans="1:5" x14ac:dyDescent="0.35">
      <c r="A1047" s="3" t="s">
        <v>1357</v>
      </c>
      <c r="E1047" s="3" t="s">
        <v>3288</v>
      </c>
    </row>
    <row r="1048" spans="1:5" x14ac:dyDescent="0.35">
      <c r="A1048" s="3" t="s">
        <v>5555</v>
      </c>
      <c r="E1048" s="3" t="s">
        <v>3290</v>
      </c>
    </row>
    <row r="1049" spans="1:5" x14ac:dyDescent="0.35">
      <c r="A1049" s="3" t="s">
        <v>4299</v>
      </c>
      <c r="E1049" s="3" t="s">
        <v>3292</v>
      </c>
    </row>
    <row r="1050" spans="1:5" x14ac:dyDescent="0.35">
      <c r="A1050" s="3" t="s">
        <v>269</v>
      </c>
      <c r="E1050" s="3" t="s">
        <v>3296</v>
      </c>
    </row>
    <row r="1051" spans="1:5" x14ac:dyDescent="0.35">
      <c r="A1051" s="3" t="s">
        <v>4457</v>
      </c>
      <c r="E1051" s="3" t="s">
        <v>3300</v>
      </c>
    </row>
    <row r="1052" spans="1:5" x14ac:dyDescent="0.35">
      <c r="A1052" s="3" t="s">
        <v>1301</v>
      </c>
      <c r="E1052" s="3" t="s">
        <v>3302</v>
      </c>
    </row>
    <row r="1053" spans="1:5" x14ac:dyDescent="0.35">
      <c r="A1053" s="3" t="s">
        <v>3323</v>
      </c>
      <c r="E1053" s="3" t="s">
        <v>3304</v>
      </c>
    </row>
    <row r="1054" spans="1:5" x14ac:dyDescent="0.35">
      <c r="A1054" s="3" t="s">
        <v>1962</v>
      </c>
      <c r="E1054" s="3" t="s">
        <v>3306</v>
      </c>
    </row>
    <row r="1055" spans="1:5" x14ac:dyDescent="0.35">
      <c r="A1055" s="3" t="s">
        <v>2520</v>
      </c>
      <c r="E1055" s="3" t="s">
        <v>3310</v>
      </c>
    </row>
    <row r="1056" spans="1:5" x14ac:dyDescent="0.35">
      <c r="A1056" s="3" t="s">
        <v>5133</v>
      </c>
      <c r="E1056" s="3" t="s">
        <v>3312</v>
      </c>
    </row>
    <row r="1057" spans="1:5" x14ac:dyDescent="0.35">
      <c r="A1057" s="3" t="s">
        <v>2833</v>
      </c>
      <c r="E1057" s="3" t="s">
        <v>3314</v>
      </c>
    </row>
    <row r="1058" spans="1:5" x14ac:dyDescent="0.35">
      <c r="A1058" s="3" t="s">
        <v>3103</v>
      </c>
      <c r="E1058" s="3" t="s">
        <v>3316</v>
      </c>
    </row>
    <row r="1059" spans="1:5" x14ac:dyDescent="0.35">
      <c r="A1059" s="3" t="s">
        <v>5551</v>
      </c>
      <c r="E1059" s="3" t="s">
        <v>3322</v>
      </c>
    </row>
    <row r="1060" spans="1:5" x14ac:dyDescent="0.35">
      <c r="A1060" s="3" t="s">
        <v>4513</v>
      </c>
      <c r="E1060" s="3" t="s">
        <v>3324</v>
      </c>
    </row>
    <row r="1061" spans="1:5" x14ac:dyDescent="0.35">
      <c r="A1061" s="3" t="s">
        <v>5647</v>
      </c>
      <c r="E1061" s="3" t="s">
        <v>3326</v>
      </c>
    </row>
    <row r="1062" spans="1:5" x14ac:dyDescent="0.35">
      <c r="A1062" s="3" t="s">
        <v>4705</v>
      </c>
      <c r="E1062" s="3" t="s">
        <v>3330</v>
      </c>
    </row>
    <row r="1063" spans="1:5" x14ac:dyDescent="0.35">
      <c r="A1063" s="3" t="s">
        <v>1072</v>
      </c>
      <c r="E1063" s="3" t="s">
        <v>3334</v>
      </c>
    </row>
    <row r="1064" spans="1:5" x14ac:dyDescent="0.35">
      <c r="A1064" s="3" t="s">
        <v>2040</v>
      </c>
      <c r="E1064" s="3" t="s">
        <v>3339</v>
      </c>
    </row>
    <row r="1065" spans="1:5" x14ac:dyDescent="0.35">
      <c r="A1065" s="3" t="s">
        <v>4900</v>
      </c>
      <c r="E1065" s="3" t="s">
        <v>3341</v>
      </c>
    </row>
    <row r="1066" spans="1:5" x14ac:dyDescent="0.35">
      <c r="A1066" s="3" t="s">
        <v>1807</v>
      </c>
      <c r="E1066" s="3" t="s">
        <v>3347</v>
      </c>
    </row>
    <row r="1067" spans="1:5" x14ac:dyDescent="0.35">
      <c r="A1067" s="3" t="s">
        <v>881</v>
      </c>
      <c r="E1067" s="3" t="s">
        <v>3349</v>
      </c>
    </row>
    <row r="1068" spans="1:5" x14ac:dyDescent="0.35">
      <c r="A1068" s="3" t="s">
        <v>363</v>
      </c>
      <c r="E1068" s="3" t="s">
        <v>3355</v>
      </c>
    </row>
    <row r="1069" spans="1:5" x14ac:dyDescent="0.35">
      <c r="A1069" s="3" t="s">
        <v>1918</v>
      </c>
      <c r="E1069" s="3" t="s">
        <v>3357</v>
      </c>
    </row>
    <row r="1070" spans="1:5" x14ac:dyDescent="0.35">
      <c r="A1070" s="3" t="s">
        <v>4231</v>
      </c>
      <c r="E1070" s="3" t="s">
        <v>3361</v>
      </c>
    </row>
    <row r="1071" spans="1:5" x14ac:dyDescent="0.35">
      <c r="A1071" s="3" t="s">
        <v>4944</v>
      </c>
      <c r="E1071" s="3" t="s">
        <v>3363</v>
      </c>
    </row>
    <row r="1072" spans="1:5" x14ac:dyDescent="0.35">
      <c r="A1072" s="3" t="s">
        <v>855</v>
      </c>
      <c r="E1072" s="3" t="s">
        <v>3365</v>
      </c>
    </row>
    <row r="1073" spans="1:5" x14ac:dyDescent="0.35">
      <c r="A1073" s="3" t="s">
        <v>3230</v>
      </c>
      <c r="E1073" s="3" t="s">
        <v>3373</v>
      </c>
    </row>
    <row r="1074" spans="1:5" x14ac:dyDescent="0.35">
      <c r="A1074" s="3" t="s">
        <v>4707</v>
      </c>
      <c r="E1074" s="3" t="s">
        <v>3377</v>
      </c>
    </row>
    <row r="1075" spans="1:5" x14ac:dyDescent="0.35">
      <c r="A1075" s="3" t="s">
        <v>5997</v>
      </c>
      <c r="E1075" s="3" t="s">
        <v>3379</v>
      </c>
    </row>
    <row r="1076" spans="1:5" x14ac:dyDescent="0.35">
      <c r="A1076" s="3" t="s">
        <v>2659</v>
      </c>
      <c r="E1076" s="3" t="s">
        <v>3381</v>
      </c>
    </row>
    <row r="1077" spans="1:5" x14ac:dyDescent="0.35">
      <c r="A1077" s="3" t="s">
        <v>1409</v>
      </c>
      <c r="E1077" s="3" t="s">
        <v>3383</v>
      </c>
    </row>
    <row r="1078" spans="1:5" x14ac:dyDescent="0.35">
      <c r="A1078" s="3" t="s">
        <v>2681</v>
      </c>
      <c r="E1078" s="3" t="s">
        <v>3385</v>
      </c>
    </row>
    <row r="1079" spans="1:5" x14ac:dyDescent="0.35">
      <c r="A1079" s="3" t="s">
        <v>2773</v>
      </c>
      <c r="E1079" s="3" t="s">
        <v>3391</v>
      </c>
    </row>
    <row r="1080" spans="1:5" x14ac:dyDescent="0.35">
      <c r="A1080" s="3" t="s">
        <v>5912</v>
      </c>
      <c r="E1080" s="3" t="s">
        <v>3393</v>
      </c>
    </row>
    <row r="1081" spans="1:5" x14ac:dyDescent="0.35">
      <c r="A1081" s="3" t="s">
        <v>3645</v>
      </c>
      <c r="E1081" s="3" t="s">
        <v>3397</v>
      </c>
    </row>
    <row r="1082" spans="1:5" x14ac:dyDescent="0.35">
      <c r="A1082" s="3" t="s">
        <v>5366</v>
      </c>
      <c r="E1082" s="3" t="s">
        <v>3399</v>
      </c>
    </row>
    <row r="1083" spans="1:5" x14ac:dyDescent="0.35">
      <c r="A1083" s="3" t="s">
        <v>5041</v>
      </c>
      <c r="E1083" s="3" t="s">
        <v>3405</v>
      </c>
    </row>
    <row r="1084" spans="1:5" x14ac:dyDescent="0.35">
      <c r="A1084" s="3" t="s">
        <v>4077</v>
      </c>
      <c r="E1084" s="3" t="s">
        <v>3411</v>
      </c>
    </row>
    <row r="1085" spans="1:5" x14ac:dyDescent="0.35">
      <c r="A1085" s="3" t="s">
        <v>2898</v>
      </c>
      <c r="E1085" s="3" t="s">
        <v>3415</v>
      </c>
    </row>
    <row r="1086" spans="1:5" x14ac:dyDescent="0.35">
      <c r="A1086" s="3" t="s">
        <v>631</v>
      </c>
      <c r="E1086" s="3" t="s">
        <v>3417</v>
      </c>
    </row>
    <row r="1087" spans="1:5" x14ac:dyDescent="0.35">
      <c r="A1087" s="3" t="s">
        <v>766</v>
      </c>
      <c r="E1087" s="3" t="s">
        <v>3421</v>
      </c>
    </row>
    <row r="1088" spans="1:5" x14ac:dyDescent="0.35">
      <c r="A1088" s="3" t="s">
        <v>4087</v>
      </c>
      <c r="E1088" s="3" t="s">
        <v>3423</v>
      </c>
    </row>
    <row r="1089" spans="1:5" x14ac:dyDescent="0.35">
      <c r="A1089" s="3" t="s">
        <v>3514</v>
      </c>
      <c r="E1089" s="3" t="s">
        <v>3425</v>
      </c>
    </row>
    <row r="1090" spans="1:5" x14ac:dyDescent="0.35">
      <c r="A1090" s="3" t="s">
        <v>3933</v>
      </c>
      <c r="E1090" s="3" t="s">
        <v>3427</v>
      </c>
    </row>
    <row r="1091" spans="1:5" x14ac:dyDescent="0.35">
      <c r="A1091" s="3" t="s">
        <v>3665</v>
      </c>
      <c r="E1091" s="3" t="s">
        <v>3429</v>
      </c>
    </row>
    <row r="1092" spans="1:5" x14ac:dyDescent="0.35">
      <c r="A1092" s="3" t="s">
        <v>1441</v>
      </c>
      <c r="E1092" s="3" t="s">
        <v>3431</v>
      </c>
    </row>
    <row r="1093" spans="1:5" x14ac:dyDescent="0.35">
      <c r="A1093" s="3" t="s">
        <v>5910</v>
      </c>
      <c r="E1093" s="3" t="s">
        <v>3439</v>
      </c>
    </row>
    <row r="1094" spans="1:5" x14ac:dyDescent="0.35">
      <c r="A1094" s="3" t="s">
        <v>2627</v>
      </c>
      <c r="E1094" s="3" t="s">
        <v>3441</v>
      </c>
    </row>
    <row r="1095" spans="1:5" x14ac:dyDescent="0.35">
      <c r="A1095" s="3" t="s">
        <v>680</v>
      </c>
      <c r="E1095" s="3" t="s">
        <v>3443</v>
      </c>
    </row>
    <row r="1096" spans="1:5" x14ac:dyDescent="0.35">
      <c r="A1096" s="3" t="s">
        <v>645</v>
      </c>
      <c r="E1096" s="3" t="s">
        <v>3445</v>
      </c>
    </row>
    <row r="1097" spans="1:5" x14ac:dyDescent="0.35">
      <c r="A1097" s="3" t="s">
        <v>2962</v>
      </c>
      <c r="E1097" s="3" t="s">
        <v>3447</v>
      </c>
    </row>
    <row r="1098" spans="1:5" x14ac:dyDescent="0.35">
      <c r="A1098" s="3" t="s">
        <v>2613</v>
      </c>
      <c r="E1098" s="3" t="s">
        <v>3453</v>
      </c>
    </row>
    <row r="1099" spans="1:5" x14ac:dyDescent="0.35">
      <c r="A1099" s="3" t="s">
        <v>1888</v>
      </c>
      <c r="E1099" s="3" t="s">
        <v>3455</v>
      </c>
    </row>
    <row r="1100" spans="1:5" x14ac:dyDescent="0.35">
      <c r="A1100" s="3" t="s">
        <v>2976</v>
      </c>
      <c r="E1100" s="3" t="s">
        <v>3457</v>
      </c>
    </row>
    <row r="1101" spans="1:5" x14ac:dyDescent="0.35">
      <c r="A1101" s="3" t="s">
        <v>853</v>
      </c>
      <c r="E1101" s="3" t="s">
        <v>3459</v>
      </c>
    </row>
    <row r="1102" spans="1:5" x14ac:dyDescent="0.35">
      <c r="A1102" s="3" t="s">
        <v>3907</v>
      </c>
      <c r="E1102" s="3" t="s">
        <v>3463</v>
      </c>
    </row>
    <row r="1103" spans="1:5" x14ac:dyDescent="0.35">
      <c r="A1103" s="3" t="s">
        <v>1347</v>
      </c>
      <c r="E1103" s="3" t="s">
        <v>3465</v>
      </c>
    </row>
    <row r="1104" spans="1:5" x14ac:dyDescent="0.35">
      <c r="A1104" s="3" t="s">
        <v>2595</v>
      </c>
      <c r="E1104" s="3" t="s">
        <v>3469</v>
      </c>
    </row>
    <row r="1105" spans="1:5" x14ac:dyDescent="0.35">
      <c r="A1105" s="3" t="s">
        <v>639</v>
      </c>
      <c r="E1105" s="3" t="s">
        <v>3477</v>
      </c>
    </row>
    <row r="1106" spans="1:5" x14ac:dyDescent="0.35">
      <c r="A1106" s="3" t="s">
        <v>1200</v>
      </c>
      <c r="E1106" s="3" t="s">
        <v>3481</v>
      </c>
    </row>
    <row r="1107" spans="1:5" x14ac:dyDescent="0.35">
      <c r="A1107" s="3" t="s">
        <v>1751</v>
      </c>
      <c r="E1107" s="3" t="s">
        <v>3483</v>
      </c>
    </row>
    <row r="1108" spans="1:5" x14ac:dyDescent="0.35">
      <c r="A1108" s="3" t="s">
        <v>657</v>
      </c>
      <c r="E1108" s="3" t="s">
        <v>3489</v>
      </c>
    </row>
    <row r="1109" spans="1:5" x14ac:dyDescent="0.35">
      <c r="A1109" s="3" t="s">
        <v>5795</v>
      </c>
      <c r="E1109" s="3" t="s">
        <v>3491</v>
      </c>
    </row>
    <row r="1110" spans="1:5" x14ac:dyDescent="0.35">
      <c r="A1110" s="3" t="s">
        <v>3079</v>
      </c>
      <c r="E1110" s="3" t="s">
        <v>3493</v>
      </c>
    </row>
    <row r="1111" spans="1:5" x14ac:dyDescent="0.35">
      <c r="A1111" s="3" t="s">
        <v>5823</v>
      </c>
      <c r="E1111" s="3" t="s">
        <v>3497</v>
      </c>
    </row>
    <row r="1112" spans="1:5" x14ac:dyDescent="0.35">
      <c r="A1112" s="3" t="s">
        <v>2633</v>
      </c>
      <c r="E1112" s="3" t="s">
        <v>3499</v>
      </c>
    </row>
    <row r="1113" spans="1:5" x14ac:dyDescent="0.35">
      <c r="A1113" s="3" t="s">
        <v>2159</v>
      </c>
      <c r="E1113" s="3" t="s">
        <v>3503</v>
      </c>
    </row>
    <row r="1114" spans="1:5" x14ac:dyDescent="0.35">
      <c r="A1114" s="3" t="s">
        <v>1926</v>
      </c>
      <c r="E1114" s="3" t="s">
        <v>3505</v>
      </c>
    </row>
    <row r="1115" spans="1:5" x14ac:dyDescent="0.35">
      <c r="A1115" s="3" t="s">
        <v>2608</v>
      </c>
      <c r="E1115" s="3" t="s">
        <v>3507</v>
      </c>
    </row>
    <row r="1116" spans="1:5" x14ac:dyDescent="0.35">
      <c r="A1116" s="3" t="s">
        <v>2435</v>
      </c>
      <c r="E1116" s="3" t="s">
        <v>3509</v>
      </c>
    </row>
    <row r="1117" spans="1:5" x14ac:dyDescent="0.35">
      <c r="A1117" s="3" t="s">
        <v>1493</v>
      </c>
      <c r="E1117" s="3" t="s">
        <v>3511</v>
      </c>
    </row>
    <row r="1118" spans="1:5" x14ac:dyDescent="0.35">
      <c r="A1118" s="3" t="s">
        <v>4928</v>
      </c>
      <c r="E1118" s="3" t="s">
        <v>3513</v>
      </c>
    </row>
    <row r="1119" spans="1:5" x14ac:dyDescent="0.35">
      <c r="A1119" s="3" t="s">
        <v>2851</v>
      </c>
      <c r="E1119" s="3" t="s">
        <v>3515</v>
      </c>
    </row>
    <row r="1120" spans="1:5" x14ac:dyDescent="0.35">
      <c r="A1120" s="3" t="s">
        <v>2191</v>
      </c>
      <c r="E1120" s="3" t="s">
        <v>3517</v>
      </c>
    </row>
    <row r="1121" spans="1:5" x14ac:dyDescent="0.35">
      <c r="A1121" s="3" t="s">
        <v>2982</v>
      </c>
      <c r="E1121" s="3" t="s">
        <v>3519</v>
      </c>
    </row>
    <row r="1122" spans="1:5" x14ac:dyDescent="0.35">
      <c r="A1122" s="3" t="s">
        <v>4876</v>
      </c>
      <c r="E1122" s="3" t="s">
        <v>3524</v>
      </c>
    </row>
    <row r="1123" spans="1:5" x14ac:dyDescent="0.35">
      <c r="A1123" s="3" t="s">
        <v>3456</v>
      </c>
      <c r="E1123" s="3" t="s">
        <v>3528</v>
      </c>
    </row>
    <row r="1124" spans="1:5" x14ac:dyDescent="0.35">
      <c r="A1124" s="3" t="s">
        <v>3186</v>
      </c>
      <c r="E1124" s="3" t="s">
        <v>3530</v>
      </c>
    </row>
    <row r="1125" spans="1:5" x14ac:dyDescent="0.35">
      <c r="A1125" s="3" t="s">
        <v>2493</v>
      </c>
      <c r="E1125" s="3" t="s">
        <v>3536</v>
      </c>
    </row>
    <row r="1126" spans="1:5" x14ac:dyDescent="0.35">
      <c r="A1126" s="3" t="s">
        <v>2825</v>
      </c>
      <c r="E1126" s="3" t="s">
        <v>3538</v>
      </c>
    </row>
    <row r="1127" spans="1:5" x14ac:dyDescent="0.35">
      <c r="A1127" s="3" t="s">
        <v>4145</v>
      </c>
      <c r="E1127" s="3" t="s">
        <v>3540</v>
      </c>
    </row>
    <row r="1128" spans="1:5" x14ac:dyDescent="0.35">
      <c r="A1128" s="3" t="s">
        <v>5775</v>
      </c>
      <c r="E1128" s="3" t="s">
        <v>3542</v>
      </c>
    </row>
    <row r="1129" spans="1:5" x14ac:dyDescent="0.35">
      <c r="A1129" s="3" t="s">
        <v>3508</v>
      </c>
      <c r="E1129" s="3" t="s">
        <v>3549</v>
      </c>
    </row>
    <row r="1130" spans="1:5" x14ac:dyDescent="0.35">
      <c r="A1130" s="3" t="s">
        <v>2980</v>
      </c>
      <c r="E1130" s="3" t="s">
        <v>3551</v>
      </c>
    </row>
    <row r="1131" spans="1:5" x14ac:dyDescent="0.35">
      <c r="A1131" s="3" t="s">
        <v>5320</v>
      </c>
      <c r="E1131" s="3" t="s">
        <v>3553</v>
      </c>
    </row>
    <row r="1132" spans="1:5" x14ac:dyDescent="0.35">
      <c r="A1132" s="3" t="s">
        <v>1130</v>
      </c>
      <c r="E1132" s="3" t="s">
        <v>3555</v>
      </c>
    </row>
    <row r="1133" spans="1:5" x14ac:dyDescent="0.35">
      <c r="A1133" s="3" t="s">
        <v>4009</v>
      </c>
      <c r="E1133" s="3" t="s">
        <v>3557</v>
      </c>
    </row>
    <row r="1134" spans="1:5" x14ac:dyDescent="0.35">
      <c r="A1134" s="3" t="s">
        <v>1267</v>
      </c>
      <c r="E1134" s="3" t="s">
        <v>3559</v>
      </c>
    </row>
    <row r="1135" spans="1:5" x14ac:dyDescent="0.35">
      <c r="A1135" s="3" t="s">
        <v>4204</v>
      </c>
      <c r="E1135" s="3" t="s">
        <v>3561</v>
      </c>
    </row>
    <row r="1136" spans="1:5" x14ac:dyDescent="0.35">
      <c r="A1136" s="3" t="s">
        <v>3609</v>
      </c>
      <c r="E1136" s="3" t="s">
        <v>3571</v>
      </c>
    </row>
    <row r="1137" spans="1:5" x14ac:dyDescent="0.35">
      <c r="A1137" s="3" t="s">
        <v>5493</v>
      </c>
      <c r="E1137" s="3" t="s">
        <v>3573</v>
      </c>
    </row>
    <row r="1138" spans="1:5" x14ac:dyDescent="0.35">
      <c r="A1138" s="3" t="s">
        <v>741</v>
      </c>
      <c r="E1138" s="3" t="s">
        <v>3575</v>
      </c>
    </row>
    <row r="1139" spans="1:5" x14ac:dyDescent="0.35">
      <c r="A1139" s="3" t="s">
        <v>1405</v>
      </c>
      <c r="E1139" s="3" t="s">
        <v>3577</v>
      </c>
    </row>
    <row r="1140" spans="1:5" x14ac:dyDescent="0.35">
      <c r="A1140" s="3" t="s">
        <v>1912</v>
      </c>
      <c r="E1140" s="3" t="s">
        <v>3579</v>
      </c>
    </row>
    <row r="1141" spans="1:5" x14ac:dyDescent="0.35">
      <c r="A1141" s="3" t="s">
        <v>4519</v>
      </c>
      <c r="E1141" s="3" t="s">
        <v>3583</v>
      </c>
    </row>
    <row r="1142" spans="1:5" x14ac:dyDescent="0.35">
      <c r="A1142" s="3" t="s">
        <v>2282</v>
      </c>
      <c r="E1142" s="3" t="s">
        <v>3585</v>
      </c>
    </row>
    <row r="1143" spans="1:5" x14ac:dyDescent="0.35">
      <c r="A1143" s="3" t="s">
        <v>934</v>
      </c>
      <c r="E1143" s="3" t="s">
        <v>3589</v>
      </c>
    </row>
    <row r="1144" spans="1:5" x14ac:dyDescent="0.35">
      <c r="A1144" s="3" t="s">
        <v>3732</v>
      </c>
      <c r="E1144" s="3" t="s">
        <v>3591</v>
      </c>
    </row>
    <row r="1145" spans="1:5" x14ac:dyDescent="0.35">
      <c r="A1145" s="3" t="s">
        <v>2944</v>
      </c>
      <c r="E1145" s="3" t="s">
        <v>3598</v>
      </c>
    </row>
    <row r="1146" spans="1:5" x14ac:dyDescent="0.35">
      <c r="A1146" s="3" t="s">
        <v>3166</v>
      </c>
      <c r="E1146" s="3" t="s">
        <v>3600</v>
      </c>
    </row>
    <row r="1147" spans="1:5" x14ac:dyDescent="0.35">
      <c r="A1147" s="3" t="s">
        <v>5405</v>
      </c>
      <c r="E1147" s="3" t="s">
        <v>3604</v>
      </c>
    </row>
    <row r="1148" spans="1:5" x14ac:dyDescent="0.35">
      <c r="A1148" s="3" t="s">
        <v>2783</v>
      </c>
      <c r="E1148" s="3" t="s">
        <v>3608</v>
      </c>
    </row>
    <row r="1149" spans="1:5" x14ac:dyDescent="0.35">
      <c r="A1149" s="3" t="s">
        <v>783</v>
      </c>
      <c r="E1149" s="3" t="s">
        <v>3612</v>
      </c>
    </row>
    <row r="1150" spans="1:5" x14ac:dyDescent="0.35">
      <c r="A1150" s="3" t="s">
        <v>4053</v>
      </c>
      <c r="E1150" s="3" t="s">
        <v>3614</v>
      </c>
    </row>
    <row r="1151" spans="1:5" x14ac:dyDescent="0.35">
      <c r="A1151" s="3" t="s">
        <v>252</v>
      </c>
      <c r="E1151" s="3" t="s">
        <v>3620</v>
      </c>
    </row>
    <row r="1152" spans="1:5" x14ac:dyDescent="0.35">
      <c r="A1152" s="3" t="s">
        <v>3923</v>
      </c>
      <c r="E1152" s="3" t="s">
        <v>3624</v>
      </c>
    </row>
    <row r="1153" spans="1:5" x14ac:dyDescent="0.35">
      <c r="A1153" s="3" t="s">
        <v>1720</v>
      </c>
      <c r="E1153" s="3" t="s">
        <v>3628</v>
      </c>
    </row>
    <row r="1154" spans="1:5" x14ac:dyDescent="0.35">
      <c r="A1154" s="3" t="s">
        <v>1577</v>
      </c>
      <c r="E1154" s="3" t="s">
        <v>3630</v>
      </c>
    </row>
    <row r="1155" spans="1:5" x14ac:dyDescent="0.35">
      <c r="A1155" s="3" t="s">
        <v>873</v>
      </c>
      <c r="E1155" s="3" t="s">
        <v>3632</v>
      </c>
    </row>
    <row r="1156" spans="1:5" x14ac:dyDescent="0.35">
      <c r="A1156" s="3" t="s">
        <v>1331</v>
      </c>
      <c r="E1156" s="3" t="s">
        <v>3634</v>
      </c>
    </row>
    <row r="1157" spans="1:5" x14ac:dyDescent="0.35">
      <c r="A1157" s="3" t="s">
        <v>5127</v>
      </c>
      <c r="E1157" s="3" t="s">
        <v>3638</v>
      </c>
    </row>
    <row r="1158" spans="1:5" x14ac:dyDescent="0.35">
      <c r="A1158" s="3" t="s">
        <v>4455</v>
      </c>
      <c r="E1158" s="3" t="s">
        <v>3640</v>
      </c>
    </row>
    <row r="1159" spans="1:5" x14ac:dyDescent="0.35">
      <c r="A1159" s="3" t="s">
        <v>493</v>
      </c>
      <c r="E1159" s="3" t="s">
        <v>3644</v>
      </c>
    </row>
    <row r="1160" spans="1:5" x14ac:dyDescent="0.35">
      <c r="A1160" s="3" t="s">
        <v>1142</v>
      </c>
      <c r="E1160" s="3" t="s">
        <v>3646</v>
      </c>
    </row>
    <row r="1161" spans="1:5" x14ac:dyDescent="0.35">
      <c r="A1161" s="3" t="s">
        <v>3683</v>
      </c>
      <c r="E1161" s="3" t="s">
        <v>3648</v>
      </c>
    </row>
    <row r="1162" spans="1:5" x14ac:dyDescent="0.35">
      <c r="A1162" s="3" t="s">
        <v>5613</v>
      </c>
      <c r="E1162" s="3" t="s">
        <v>3650</v>
      </c>
    </row>
    <row r="1163" spans="1:5" x14ac:dyDescent="0.35">
      <c r="A1163" s="3" t="s">
        <v>2199</v>
      </c>
      <c r="E1163" s="3" t="s">
        <v>3652</v>
      </c>
    </row>
    <row r="1164" spans="1:5" x14ac:dyDescent="0.35">
      <c r="A1164" s="3" t="s">
        <v>1649</v>
      </c>
      <c r="E1164" s="3" t="s">
        <v>3654</v>
      </c>
    </row>
    <row r="1165" spans="1:5" x14ac:dyDescent="0.35">
      <c r="A1165" s="3" t="s">
        <v>2475</v>
      </c>
      <c r="E1165" s="3" t="s">
        <v>3656</v>
      </c>
    </row>
    <row r="1166" spans="1:5" x14ac:dyDescent="0.35">
      <c r="A1166" s="3" t="s">
        <v>5603</v>
      </c>
      <c r="E1166" s="3" t="s">
        <v>3658</v>
      </c>
    </row>
    <row r="1167" spans="1:5" x14ac:dyDescent="0.35">
      <c r="A1167" s="3" t="s">
        <v>5246</v>
      </c>
      <c r="E1167" s="3" t="s">
        <v>3660</v>
      </c>
    </row>
    <row r="1168" spans="1:5" x14ac:dyDescent="0.35">
      <c r="A1168" s="3" t="s">
        <v>1629</v>
      </c>
      <c r="E1168" s="3" t="s">
        <v>3664</v>
      </c>
    </row>
    <row r="1169" spans="1:5" x14ac:dyDescent="0.35">
      <c r="A1169" s="3" t="s">
        <v>3482</v>
      </c>
      <c r="E1169" s="3" t="s">
        <v>3666</v>
      </c>
    </row>
    <row r="1170" spans="1:5" x14ac:dyDescent="0.35">
      <c r="A1170" s="3" t="s">
        <v>817</v>
      </c>
      <c r="E1170" s="3" t="s">
        <v>3672</v>
      </c>
    </row>
    <row r="1171" spans="1:5" x14ac:dyDescent="0.35">
      <c r="A1171" s="3" t="s">
        <v>1857</v>
      </c>
      <c r="E1171" s="3" t="s">
        <v>3674</v>
      </c>
    </row>
    <row r="1172" spans="1:5" x14ac:dyDescent="0.35">
      <c r="A1172" s="3" t="s">
        <v>507</v>
      </c>
      <c r="E1172" s="3" t="s">
        <v>3676</v>
      </c>
    </row>
    <row r="1173" spans="1:5" x14ac:dyDescent="0.35">
      <c r="A1173" s="3" t="s">
        <v>5450</v>
      </c>
      <c r="E1173" s="3" t="s">
        <v>3680</v>
      </c>
    </row>
    <row r="1174" spans="1:5" x14ac:dyDescent="0.35">
      <c r="A1174" s="3" t="s">
        <v>5843</v>
      </c>
      <c r="E1174" s="3" t="s">
        <v>3682</v>
      </c>
    </row>
    <row r="1175" spans="1:5" x14ac:dyDescent="0.35">
      <c r="A1175" s="3" t="s">
        <v>457</v>
      </c>
      <c r="E1175" s="3" t="s">
        <v>3688</v>
      </c>
    </row>
    <row r="1176" spans="1:5" x14ac:dyDescent="0.35">
      <c r="A1176" s="3" t="s">
        <v>287</v>
      </c>
      <c r="E1176" s="3" t="s">
        <v>3690</v>
      </c>
    </row>
    <row r="1177" spans="1:5" x14ac:dyDescent="0.35">
      <c r="A1177" s="3" t="s">
        <v>266</v>
      </c>
      <c r="E1177" s="3" t="s">
        <v>3694</v>
      </c>
    </row>
    <row r="1178" spans="1:5" x14ac:dyDescent="0.35">
      <c r="A1178" s="3" t="s">
        <v>3234</v>
      </c>
      <c r="E1178" s="3" t="s">
        <v>3698</v>
      </c>
    </row>
    <row r="1179" spans="1:5" x14ac:dyDescent="0.35">
      <c r="A1179" s="3" t="s">
        <v>1722</v>
      </c>
      <c r="E1179" s="3" t="s">
        <v>3700</v>
      </c>
    </row>
    <row r="1180" spans="1:5" x14ac:dyDescent="0.35">
      <c r="A1180" s="3" t="s">
        <v>2264</v>
      </c>
      <c r="E1180" s="3" t="s">
        <v>3704</v>
      </c>
    </row>
    <row r="1181" spans="1:5" x14ac:dyDescent="0.35">
      <c r="A1181" s="3" t="s">
        <v>4746</v>
      </c>
      <c r="E1181" s="3" t="s">
        <v>3706</v>
      </c>
    </row>
    <row r="1182" spans="1:5" x14ac:dyDescent="0.35">
      <c r="A1182" s="3" t="s">
        <v>3378</v>
      </c>
      <c r="E1182" s="3" t="s">
        <v>3710</v>
      </c>
    </row>
    <row r="1183" spans="1:5" x14ac:dyDescent="0.35">
      <c r="A1183" s="3" t="s">
        <v>4085</v>
      </c>
      <c r="E1183" s="3" t="s">
        <v>3711</v>
      </c>
    </row>
    <row r="1184" spans="1:5" x14ac:dyDescent="0.35">
      <c r="A1184" s="3" t="s">
        <v>2581</v>
      </c>
      <c r="E1184" s="3" t="s">
        <v>3713</v>
      </c>
    </row>
    <row r="1185" spans="1:5" x14ac:dyDescent="0.35">
      <c r="A1185" s="3" t="s">
        <v>68</v>
      </c>
      <c r="E1185" s="3" t="s">
        <v>3715</v>
      </c>
    </row>
    <row r="1186" spans="1:5" x14ac:dyDescent="0.35">
      <c r="A1186" s="3" t="s">
        <v>974</v>
      </c>
      <c r="E1186" s="3" t="s">
        <v>3723</v>
      </c>
    </row>
    <row r="1187" spans="1:5" x14ac:dyDescent="0.35">
      <c r="A1187" s="3" t="s">
        <v>5260</v>
      </c>
      <c r="E1187" s="3" t="s">
        <v>3731</v>
      </c>
    </row>
    <row r="1188" spans="1:5" x14ac:dyDescent="0.35">
      <c r="A1188" s="3" t="s">
        <v>3301</v>
      </c>
      <c r="E1188" s="3" t="s">
        <v>3733</v>
      </c>
    </row>
    <row r="1189" spans="1:5" x14ac:dyDescent="0.35">
      <c r="A1189" s="3" t="s">
        <v>2185</v>
      </c>
      <c r="E1189" s="3" t="s">
        <v>3737</v>
      </c>
    </row>
    <row r="1190" spans="1:5" x14ac:dyDescent="0.35">
      <c r="A1190" s="3" t="s">
        <v>4936</v>
      </c>
      <c r="E1190" s="3" t="s">
        <v>3743</v>
      </c>
    </row>
    <row r="1191" spans="1:5" x14ac:dyDescent="0.35">
      <c r="A1191" s="3" t="s">
        <v>5597</v>
      </c>
      <c r="E1191" s="3" t="s">
        <v>3747</v>
      </c>
    </row>
    <row r="1192" spans="1:5" x14ac:dyDescent="0.35">
      <c r="A1192" s="3" t="s">
        <v>3014</v>
      </c>
      <c r="E1192" s="3" t="s">
        <v>3751</v>
      </c>
    </row>
    <row r="1193" spans="1:5" x14ac:dyDescent="0.35">
      <c r="A1193" s="3" t="s">
        <v>1393</v>
      </c>
      <c r="E1193" s="3" t="s">
        <v>3755</v>
      </c>
    </row>
    <row r="1194" spans="1:5" x14ac:dyDescent="0.35">
      <c r="A1194" s="3" t="s">
        <v>1884</v>
      </c>
      <c r="E1194" s="3" t="s">
        <v>3757</v>
      </c>
    </row>
    <row r="1195" spans="1:5" x14ac:dyDescent="0.35">
      <c r="A1195" s="3" t="s">
        <v>1287</v>
      </c>
      <c r="E1195" s="3" t="s">
        <v>3759</v>
      </c>
    </row>
    <row r="1196" spans="1:5" x14ac:dyDescent="0.35">
      <c r="A1196" s="3" t="s">
        <v>2455</v>
      </c>
      <c r="E1196" s="3" t="s">
        <v>3763</v>
      </c>
    </row>
    <row r="1197" spans="1:5" x14ac:dyDescent="0.35">
      <c r="A1197" s="3" t="s">
        <v>5397</v>
      </c>
      <c r="E1197" s="3" t="s">
        <v>3771</v>
      </c>
    </row>
    <row r="1198" spans="1:5" x14ac:dyDescent="0.35">
      <c r="A1198" s="3" t="s">
        <v>4055</v>
      </c>
      <c r="E1198" s="3" t="s">
        <v>3773</v>
      </c>
    </row>
    <row r="1199" spans="1:5" x14ac:dyDescent="0.35">
      <c r="A1199" s="3" t="s">
        <v>4267</v>
      </c>
      <c r="E1199" s="3" t="s">
        <v>3775</v>
      </c>
    </row>
    <row r="1200" spans="1:5" x14ac:dyDescent="0.35">
      <c r="A1200" s="3" t="s">
        <v>4699</v>
      </c>
      <c r="E1200" s="3" t="s">
        <v>3777</v>
      </c>
    </row>
    <row r="1201" spans="1:5" x14ac:dyDescent="0.35">
      <c r="A1201" s="3" t="s">
        <v>2177</v>
      </c>
      <c r="E1201" s="3" t="s">
        <v>3779</v>
      </c>
    </row>
    <row r="1202" spans="1:5" x14ac:dyDescent="0.35">
      <c r="A1202" s="3" t="s">
        <v>603</v>
      </c>
      <c r="E1202" s="3" t="s">
        <v>3781</v>
      </c>
    </row>
    <row r="1203" spans="1:5" x14ac:dyDescent="0.35">
      <c r="A1203" s="3" t="s">
        <v>964</v>
      </c>
      <c r="E1203" s="3" t="s">
        <v>3783</v>
      </c>
    </row>
    <row r="1204" spans="1:5" x14ac:dyDescent="0.35">
      <c r="A1204" s="3" t="s">
        <v>1096</v>
      </c>
      <c r="E1204" s="3" t="s">
        <v>3785</v>
      </c>
    </row>
    <row r="1205" spans="1:5" x14ac:dyDescent="0.35">
      <c r="A1205" s="3" t="s">
        <v>5861</v>
      </c>
      <c r="E1205" s="3" t="s">
        <v>3787</v>
      </c>
    </row>
    <row r="1206" spans="1:5" x14ac:dyDescent="0.35">
      <c r="A1206" s="3" t="s">
        <v>1881</v>
      </c>
      <c r="E1206" s="3" t="s">
        <v>3789</v>
      </c>
    </row>
    <row r="1207" spans="1:5" x14ac:dyDescent="0.35">
      <c r="A1207" s="3" t="s">
        <v>3335</v>
      </c>
      <c r="E1207" s="3" t="s">
        <v>3791</v>
      </c>
    </row>
    <row r="1208" spans="1:5" x14ac:dyDescent="0.35">
      <c r="A1208" s="3" t="s">
        <v>1269</v>
      </c>
      <c r="E1208" s="3" t="s">
        <v>3793</v>
      </c>
    </row>
    <row r="1209" spans="1:5" x14ac:dyDescent="0.35">
      <c r="A1209" s="3" t="s">
        <v>5141</v>
      </c>
      <c r="E1209" s="3" t="s">
        <v>3797</v>
      </c>
    </row>
    <row r="1210" spans="1:5" x14ac:dyDescent="0.35">
      <c r="A1210" s="3" t="s">
        <v>2324</v>
      </c>
      <c r="E1210" s="3" t="s">
        <v>3799</v>
      </c>
    </row>
    <row r="1211" spans="1:5" x14ac:dyDescent="0.35">
      <c r="A1211" s="3" t="s">
        <v>5725</v>
      </c>
      <c r="E1211" s="3" t="s">
        <v>3801</v>
      </c>
    </row>
    <row r="1212" spans="1:5" x14ac:dyDescent="0.35">
      <c r="A1212" s="3" t="s">
        <v>5877</v>
      </c>
      <c r="E1212" s="3" t="s">
        <v>3803</v>
      </c>
    </row>
    <row r="1213" spans="1:5" x14ac:dyDescent="0.35">
      <c r="A1213" s="3" t="s">
        <v>5665</v>
      </c>
      <c r="E1213" s="3" t="s">
        <v>3807</v>
      </c>
    </row>
    <row r="1214" spans="1:5" x14ac:dyDescent="0.35">
      <c r="A1214" s="3" t="s">
        <v>4764</v>
      </c>
      <c r="E1214" s="3" t="s">
        <v>3811</v>
      </c>
    </row>
    <row r="1215" spans="1:5" x14ac:dyDescent="0.35">
      <c r="A1215" s="3" t="s">
        <v>4400</v>
      </c>
      <c r="E1215" s="3" t="s">
        <v>3813</v>
      </c>
    </row>
    <row r="1216" spans="1:5" x14ac:dyDescent="0.35">
      <c r="A1216" s="3" t="s">
        <v>516</v>
      </c>
      <c r="E1216" s="3" t="s">
        <v>3815</v>
      </c>
    </row>
    <row r="1217" spans="1:5" x14ac:dyDescent="0.35">
      <c r="A1217" s="3" t="s">
        <v>962</v>
      </c>
      <c r="E1217" s="3" t="s">
        <v>3821</v>
      </c>
    </row>
    <row r="1218" spans="1:5" x14ac:dyDescent="0.35">
      <c r="A1218" s="3" t="s">
        <v>3915</v>
      </c>
      <c r="E1218" s="3" t="s">
        <v>3823</v>
      </c>
    </row>
    <row r="1219" spans="1:5" x14ac:dyDescent="0.35">
      <c r="A1219" s="3" t="s">
        <v>2655</v>
      </c>
      <c r="E1219" s="3" t="s">
        <v>3827</v>
      </c>
    </row>
    <row r="1220" spans="1:5" x14ac:dyDescent="0.35">
      <c r="A1220" s="3" t="s">
        <v>5962</v>
      </c>
      <c r="E1220" s="3" t="s">
        <v>3829</v>
      </c>
    </row>
    <row r="1221" spans="1:5" x14ac:dyDescent="0.35">
      <c r="A1221" s="3" t="s">
        <v>329</v>
      </c>
      <c r="E1221" s="3" t="s">
        <v>3831</v>
      </c>
    </row>
    <row r="1222" spans="1:5" x14ac:dyDescent="0.35">
      <c r="A1222" s="3" t="s">
        <v>4183</v>
      </c>
      <c r="E1222" s="3" t="s">
        <v>3833</v>
      </c>
    </row>
    <row r="1223" spans="1:5" x14ac:dyDescent="0.35">
      <c r="A1223" s="3" t="s">
        <v>735</v>
      </c>
      <c r="E1223" s="3" t="s">
        <v>3835</v>
      </c>
    </row>
    <row r="1224" spans="1:5" x14ac:dyDescent="0.35">
      <c r="A1224" s="3" t="s">
        <v>1718</v>
      </c>
      <c r="E1224" s="3" t="s">
        <v>3837</v>
      </c>
    </row>
    <row r="1225" spans="1:5" x14ac:dyDescent="0.35">
      <c r="A1225" s="3" t="s">
        <v>101</v>
      </c>
      <c r="E1225" s="3" t="s">
        <v>3847</v>
      </c>
    </row>
    <row r="1226" spans="1:5" x14ac:dyDescent="0.35">
      <c r="A1226" s="3" t="s">
        <v>5979</v>
      </c>
      <c r="E1226" s="3" t="s">
        <v>3849</v>
      </c>
    </row>
    <row r="1227" spans="1:5" x14ac:dyDescent="0.35">
      <c r="A1227" s="3" t="s">
        <v>1669</v>
      </c>
      <c r="E1227" s="3" t="s">
        <v>3851</v>
      </c>
    </row>
    <row r="1228" spans="1:5" x14ac:dyDescent="0.35">
      <c r="A1228" s="3" t="s">
        <v>4659</v>
      </c>
      <c r="E1228" s="3" t="s">
        <v>3855</v>
      </c>
    </row>
    <row r="1229" spans="1:5" x14ac:dyDescent="0.35">
      <c r="A1229" s="3" t="s">
        <v>1529</v>
      </c>
      <c r="E1229" s="3" t="s">
        <v>3857</v>
      </c>
    </row>
    <row r="1230" spans="1:5" x14ac:dyDescent="0.35">
      <c r="A1230" s="3" t="s">
        <v>2602</v>
      </c>
      <c r="E1230" s="3" t="s">
        <v>3859</v>
      </c>
    </row>
    <row r="1231" spans="1:5" x14ac:dyDescent="0.35">
      <c r="A1231" s="3" t="s">
        <v>2254</v>
      </c>
      <c r="E1231" s="3" t="s">
        <v>3860</v>
      </c>
    </row>
    <row r="1232" spans="1:5" x14ac:dyDescent="0.35">
      <c r="A1232" s="3" t="s">
        <v>1733</v>
      </c>
      <c r="E1232" s="3" t="s">
        <v>3862</v>
      </c>
    </row>
    <row r="1233" spans="1:5" x14ac:dyDescent="0.35">
      <c r="A1233" s="3" t="s">
        <v>6045</v>
      </c>
      <c r="E1233" s="3" t="s">
        <v>3864</v>
      </c>
    </row>
    <row r="1234" spans="1:5" x14ac:dyDescent="0.35">
      <c r="A1234" s="3" t="s">
        <v>1012</v>
      </c>
      <c r="E1234" s="3" t="s">
        <v>3866</v>
      </c>
    </row>
    <row r="1235" spans="1:5" x14ac:dyDescent="0.35">
      <c r="A1235" s="3" t="s">
        <v>1523</v>
      </c>
      <c r="E1235" s="3" t="s">
        <v>3868</v>
      </c>
    </row>
    <row r="1236" spans="1:5" x14ac:dyDescent="0.35">
      <c r="A1236" s="3" t="s">
        <v>758</v>
      </c>
      <c r="E1236" s="3" t="s">
        <v>3870</v>
      </c>
    </row>
    <row r="1237" spans="1:5" x14ac:dyDescent="0.35">
      <c r="A1237" s="3" t="s">
        <v>5252</v>
      </c>
      <c r="E1237" s="3" t="s">
        <v>3872</v>
      </c>
    </row>
    <row r="1238" spans="1:5" x14ac:dyDescent="0.35">
      <c r="A1238" s="3" t="s">
        <v>4377</v>
      </c>
      <c r="E1238" s="3" t="s">
        <v>3874</v>
      </c>
    </row>
    <row r="1239" spans="1:5" x14ac:dyDescent="0.35">
      <c r="A1239" s="3" t="s">
        <v>4848</v>
      </c>
      <c r="E1239" s="3" t="s">
        <v>3880</v>
      </c>
    </row>
    <row r="1240" spans="1:5" x14ac:dyDescent="0.35">
      <c r="A1240" s="3" t="s">
        <v>2407</v>
      </c>
      <c r="E1240" s="3" t="s">
        <v>3882</v>
      </c>
    </row>
    <row r="1241" spans="1:5" x14ac:dyDescent="0.35">
      <c r="A1241" s="3" t="s">
        <v>2767</v>
      </c>
      <c r="E1241" s="3" t="s">
        <v>3884</v>
      </c>
    </row>
    <row r="1242" spans="1:5" x14ac:dyDescent="0.35">
      <c r="A1242" s="3" t="s">
        <v>701</v>
      </c>
      <c r="E1242" s="3" t="s">
        <v>3890</v>
      </c>
    </row>
    <row r="1243" spans="1:5" x14ac:dyDescent="0.35">
      <c r="A1243" s="3" t="s">
        <v>1062</v>
      </c>
      <c r="E1243" s="3" t="s">
        <v>3894</v>
      </c>
    </row>
    <row r="1244" spans="1:5" x14ac:dyDescent="0.35">
      <c r="A1244" s="3" t="s">
        <v>2080</v>
      </c>
      <c r="E1244" s="3" t="s">
        <v>3896</v>
      </c>
    </row>
    <row r="1245" spans="1:5" x14ac:dyDescent="0.35">
      <c r="A1245" s="3" t="s">
        <v>4255</v>
      </c>
      <c r="E1245" s="3" t="s">
        <v>3900</v>
      </c>
    </row>
    <row r="1246" spans="1:5" x14ac:dyDescent="0.35">
      <c r="A1246" s="3" t="s">
        <v>3123</v>
      </c>
      <c r="E1246" s="3" t="s">
        <v>3904</v>
      </c>
    </row>
    <row r="1247" spans="1:5" x14ac:dyDescent="0.35">
      <c r="A1247" s="3" t="s">
        <v>5507</v>
      </c>
      <c r="E1247" s="3" t="s">
        <v>3906</v>
      </c>
    </row>
    <row r="1248" spans="1:5" x14ac:dyDescent="0.35">
      <c r="A1248" s="3" t="s">
        <v>1791</v>
      </c>
      <c r="E1248" s="3" t="s">
        <v>3908</v>
      </c>
    </row>
    <row r="1249" spans="1:5" x14ac:dyDescent="0.35">
      <c r="A1249" s="3" t="s">
        <v>3744</v>
      </c>
      <c r="E1249" s="3" t="s">
        <v>3914</v>
      </c>
    </row>
    <row r="1250" spans="1:5" x14ac:dyDescent="0.35">
      <c r="A1250" s="3" t="s">
        <v>579</v>
      </c>
      <c r="E1250" s="3" t="s">
        <v>3918</v>
      </c>
    </row>
    <row r="1251" spans="1:5" x14ac:dyDescent="0.35">
      <c r="A1251" s="3" t="s">
        <v>5151</v>
      </c>
      <c r="E1251" s="3" t="s">
        <v>3920</v>
      </c>
    </row>
    <row r="1252" spans="1:5" x14ac:dyDescent="0.35">
      <c r="A1252" s="3" t="s">
        <v>3657</v>
      </c>
      <c r="E1252" s="3" t="s">
        <v>3922</v>
      </c>
    </row>
    <row r="1253" spans="1:5" x14ac:dyDescent="0.35">
      <c r="A1253" s="3" t="s">
        <v>1138</v>
      </c>
      <c r="E1253" s="3" t="s">
        <v>3928</v>
      </c>
    </row>
    <row r="1254" spans="1:5" x14ac:dyDescent="0.35">
      <c r="A1254" s="3" t="s">
        <v>3901</v>
      </c>
      <c r="E1254" s="3" t="s">
        <v>3930</v>
      </c>
    </row>
    <row r="1255" spans="1:5" x14ac:dyDescent="0.35">
      <c r="A1255" s="3" t="s">
        <v>4906</v>
      </c>
      <c r="E1255" s="3" t="s">
        <v>3932</v>
      </c>
    </row>
    <row r="1256" spans="1:5" x14ac:dyDescent="0.35">
      <c r="A1256" s="3" t="s">
        <v>4359</v>
      </c>
      <c r="E1256" s="3" t="s">
        <v>3934</v>
      </c>
    </row>
    <row r="1257" spans="1:5" x14ac:dyDescent="0.35">
      <c r="A1257" s="3" t="s">
        <v>5336</v>
      </c>
      <c r="E1257" s="3" t="s">
        <v>3936</v>
      </c>
    </row>
    <row r="1258" spans="1:5" x14ac:dyDescent="0.35">
      <c r="A1258" s="3" t="s">
        <v>5228</v>
      </c>
      <c r="E1258" s="3" t="s">
        <v>3938</v>
      </c>
    </row>
    <row r="1259" spans="1:5" x14ac:dyDescent="0.35">
      <c r="A1259" s="3" t="s">
        <v>4926</v>
      </c>
      <c r="E1259" s="3" t="s">
        <v>3941</v>
      </c>
    </row>
    <row r="1260" spans="1:5" x14ac:dyDescent="0.35">
      <c r="A1260" s="3" t="s">
        <v>3812</v>
      </c>
      <c r="E1260" s="3" t="s">
        <v>3943</v>
      </c>
    </row>
    <row r="1261" spans="1:5" x14ac:dyDescent="0.35">
      <c r="A1261" s="3" t="s">
        <v>5097</v>
      </c>
      <c r="E1261" s="3" t="s">
        <v>3947</v>
      </c>
    </row>
    <row r="1262" spans="1:5" x14ac:dyDescent="0.35">
      <c r="A1262" s="3" t="s">
        <v>3756</v>
      </c>
      <c r="E1262" s="3" t="s">
        <v>3951</v>
      </c>
    </row>
    <row r="1263" spans="1:5" x14ac:dyDescent="0.35">
      <c r="A1263" s="3" t="s">
        <v>197</v>
      </c>
      <c r="E1263" s="3" t="s">
        <v>3957</v>
      </c>
    </row>
    <row r="1264" spans="1:5" x14ac:dyDescent="0.35">
      <c r="A1264" s="3" t="s">
        <v>4823</v>
      </c>
      <c r="E1264" s="3" t="s">
        <v>3959</v>
      </c>
    </row>
    <row r="1265" spans="1:5" x14ac:dyDescent="0.35">
      <c r="A1265" s="3" t="s">
        <v>2318</v>
      </c>
      <c r="E1265" s="3" t="s">
        <v>3967</v>
      </c>
    </row>
    <row r="1266" spans="1:5" x14ac:dyDescent="0.35">
      <c r="A1266" s="3" t="s">
        <v>4177</v>
      </c>
      <c r="E1266" s="3" t="s">
        <v>3969</v>
      </c>
    </row>
    <row r="1267" spans="1:5" x14ac:dyDescent="0.35">
      <c r="A1267" s="3" t="s">
        <v>2940</v>
      </c>
      <c r="E1267" s="3" t="s">
        <v>3971</v>
      </c>
    </row>
    <row r="1268" spans="1:5" x14ac:dyDescent="0.35">
      <c r="A1268" s="3" t="s">
        <v>5356</v>
      </c>
      <c r="E1268" s="3" t="s">
        <v>3975</v>
      </c>
    </row>
    <row r="1269" spans="1:5" x14ac:dyDescent="0.35">
      <c r="A1269" s="3" t="s">
        <v>5757</v>
      </c>
      <c r="E1269" s="3" t="s">
        <v>3977</v>
      </c>
    </row>
    <row r="1270" spans="1:5" x14ac:dyDescent="0.35">
      <c r="A1270" s="3" t="s">
        <v>4489</v>
      </c>
      <c r="E1270" s="3" t="s">
        <v>3979</v>
      </c>
    </row>
    <row r="1271" spans="1:5" x14ac:dyDescent="0.35">
      <c r="A1271" s="3" t="s">
        <v>2357</v>
      </c>
      <c r="E1271" s="3" t="s">
        <v>3983</v>
      </c>
    </row>
    <row r="1272" spans="1:5" x14ac:dyDescent="0.35">
      <c r="A1272" s="3" t="s">
        <v>5234</v>
      </c>
      <c r="E1272" s="3" t="s">
        <v>3985</v>
      </c>
    </row>
    <row r="1273" spans="1:5" x14ac:dyDescent="0.35">
      <c r="A1273" s="3" t="s">
        <v>5968</v>
      </c>
      <c r="E1273" s="3" t="s">
        <v>3989</v>
      </c>
    </row>
    <row r="1274" spans="1:5" x14ac:dyDescent="0.35">
      <c r="A1274" s="3" t="s">
        <v>2801</v>
      </c>
      <c r="E1274" s="3" t="s">
        <v>3991</v>
      </c>
    </row>
    <row r="1275" spans="1:5" x14ac:dyDescent="0.35">
      <c r="A1275" s="3" t="s">
        <v>5387</v>
      </c>
      <c r="E1275" s="3" t="s">
        <v>3993</v>
      </c>
    </row>
    <row r="1276" spans="1:5" x14ac:dyDescent="0.35">
      <c r="A1276" s="3" t="s">
        <v>2743</v>
      </c>
      <c r="E1276" s="3" t="s">
        <v>3995</v>
      </c>
    </row>
    <row r="1277" spans="1:5" x14ac:dyDescent="0.35">
      <c r="A1277" s="3" t="s">
        <v>998</v>
      </c>
      <c r="E1277" s="3" t="s">
        <v>3999</v>
      </c>
    </row>
    <row r="1278" spans="1:5" x14ac:dyDescent="0.35">
      <c r="A1278" s="3" t="s">
        <v>2563</v>
      </c>
      <c r="E1278" s="3" t="s">
        <v>4002</v>
      </c>
    </row>
    <row r="1279" spans="1:5" x14ac:dyDescent="0.35">
      <c r="A1279" s="3" t="s">
        <v>3695</v>
      </c>
      <c r="E1279" s="3" t="s">
        <v>4006</v>
      </c>
    </row>
    <row r="1280" spans="1:5" x14ac:dyDescent="0.35">
      <c r="A1280" s="3" t="s">
        <v>2397</v>
      </c>
      <c r="E1280" s="3" t="s">
        <v>4008</v>
      </c>
    </row>
    <row r="1281" spans="1:5" x14ac:dyDescent="0.35">
      <c r="A1281" s="3" t="s">
        <v>1539</v>
      </c>
      <c r="E1281" s="3" t="s">
        <v>4012</v>
      </c>
    </row>
    <row r="1282" spans="1:5" x14ac:dyDescent="0.35">
      <c r="A1282" s="3" t="s">
        <v>5069</v>
      </c>
      <c r="E1282" s="3" t="s">
        <v>4016</v>
      </c>
    </row>
    <row r="1283" spans="1:5" x14ac:dyDescent="0.35">
      <c r="A1283" s="3" t="s">
        <v>1599</v>
      </c>
      <c r="E1283" s="3" t="s">
        <v>4022</v>
      </c>
    </row>
    <row r="1284" spans="1:5" x14ac:dyDescent="0.35">
      <c r="A1284" s="3" t="s">
        <v>2365</v>
      </c>
      <c r="E1284" s="3" t="s">
        <v>4026</v>
      </c>
    </row>
    <row r="1285" spans="1:5" x14ac:dyDescent="0.35">
      <c r="A1285" s="3" t="s">
        <v>4752</v>
      </c>
      <c r="E1285" s="3" t="s">
        <v>4030</v>
      </c>
    </row>
    <row r="1286" spans="1:5" x14ac:dyDescent="0.35">
      <c r="A1286" s="3" t="s">
        <v>3089</v>
      </c>
      <c r="E1286" s="3" t="s">
        <v>4034</v>
      </c>
    </row>
    <row r="1287" spans="1:5" x14ac:dyDescent="0.35">
      <c r="A1287" s="3" t="s">
        <v>5413</v>
      </c>
      <c r="E1287" s="3" t="s">
        <v>4036</v>
      </c>
    </row>
    <row r="1288" spans="1:5" x14ac:dyDescent="0.35">
      <c r="A1288" s="3" t="s">
        <v>5751</v>
      </c>
      <c r="E1288" s="3" t="s">
        <v>4040</v>
      </c>
    </row>
    <row r="1289" spans="1:5" x14ac:dyDescent="0.35">
      <c r="A1289" s="3" t="s">
        <v>3891</v>
      </c>
      <c r="E1289" s="3" t="s">
        <v>4042</v>
      </c>
    </row>
    <row r="1290" spans="1:5" x14ac:dyDescent="0.35">
      <c r="A1290" s="3" t="s">
        <v>2148</v>
      </c>
      <c r="E1290" s="3" t="s">
        <v>4044</v>
      </c>
    </row>
    <row r="1291" spans="1:5" x14ac:dyDescent="0.35">
      <c r="A1291" s="3" t="s">
        <v>114</v>
      </c>
      <c r="E1291" s="3" t="s">
        <v>4046</v>
      </c>
    </row>
    <row r="1292" spans="1:5" x14ac:dyDescent="0.35">
      <c r="A1292" s="3" t="s">
        <v>2451</v>
      </c>
      <c r="E1292" s="3" t="s">
        <v>4048</v>
      </c>
    </row>
    <row r="1293" spans="1:5" x14ac:dyDescent="0.35">
      <c r="A1293" s="3" t="s">
        <v>2715</v>
      </c>
      <c r="E1293" s="3" t="s">
        <v>4050</v>
      </c>
    </row>
    <row r="1294" spans="1:5" x14ac:dyDescent="0.35">
      <c r="A1294" s="3" t="s">
        <v>5113</v>
      </c>
      <c r="E1294" s="3" t="s">
        <v>4052</v>
      </c>
    </row>
    <row r="1295" spans="1:5" x14ac:dyDescent="0.35">
      <c r="A1295" s="3" t="s">
        <v>292</v>
      </c>
      <c r="E1295" s="3" t="s">
        <v>4054</v>
      </c>
    </row>
    <row r="1296" spans="1:5" x14ac:dyDescent="0.35">
      <c r="A1296" s="3" t="s">
        <v>629</v>
      </c>
      <c r="E1296" s="3" t="s">
        <v>4056</v>
      </c>
    </row>
    <row r="1297" spans="1:5" x14ac:dyDescent="0.35">
      <c r="A1297" s="3" t="s">
        <v>593</v>
      </c>
      <c r="E1297" s="3" t="s">
        <v>4060</v>
      </c>
    </row>
    <row r="1298" spans="1:5" x14ac:dyDescent="0.35">
      <c r="A1298" s="3" t="s">
        <v>5869</v>
      </c>
      <c r="E1298" s="3" t="s">
        <v>4062</v>
      </c>
    </row>
    <row r="1299" spans="1:5" x14ac:dyDescent="0.35">
      <c r="A1299" s="3" t="s">
        <v>1954</v>
      </c>
      <c r="E1299" s="3" t="s">
        <v>4064</v>
      </c>
    </row>
    <row r="1300" spans="1:5" x14ac:dyDescent="0.35">
      <c r="A1300" s="3" t="s">
        <v>4219</v>
      </c>
      <c r="E1300" s="3" t="s">
        <v>4066</v>
      </c>
    </row>
    <row r="1301" spans="1:5" x14ac:dyDescent="0.35">
      <c r="A1301" s="3" t="s">
        <v>2785</v>
      </c>
      <c r="E1301" s="3" t="s">
        <v>4070</v>
      </c>
    </row>
    <row r="1302" spans="1:5" x14ac:dyDescent="0.35">
      <c r="A1302" s="3" t="s">
        <v>4523</v>
      </c>
      <c r="E1302" s="3" t="s">
        <v>4072</v>
      </c>
    </row>
    <row r="1303" spans="1:5" x14ac:dyDescent="0.35">
      <c r="A1303" s="3" t="s">
        <v>6080</v>
      </c>
      <c r="E1303" s="3" t="s">
        <v>4074</v>
      </c>
    </row>
    <row r="1304" spans="1:5" x14ac:dyDescent="0.35">
      <c r="A1304" s="3" t="s">
        <v>2879</v>
      </c>
      <c r="E1304" s="3" t="s">
        <v>4076</v>
      </c>
    </row>
    <row r="1305" spans="1:5" x14ac:dyDescent="0.35">
      <c r="A1305" s="3" t="s">
        <v>1787</v>
      </c>
      <c r="E1305" s="3" t="s">
        <v>4078</v>
      </c>
    </row>
    <row r="1306" spans="1:5" x14ac:dyDescent="0.35">
      <c r="A1306" s="3" t="s">
        <v>1992</v>
      </c>
      <c r="E1306" s="3" t="s">
        <v>4080</v>
      </c>
    </row>
    <row r="1307" spans="1:5" x14ac:dyDescent="0.35">
      <c r="A1307" s="3" t="s">
        <v>2859</v>
      </c>
      <c r="E1307" s="3" t="s">
        <v>4082</v>
      </c>
    </row>
    <row r="1308" spans="1:5" x14ac:dyDescent="0.35">
      <c r="A1308" s="3" t="s">
        <v>2169</v>
      </c>
      <c r="E1308" s="3" t="s">
        <v>4084</v>
      </c>
    </row>
    <row r="1309" spans="1:5" x14ac:dyDescent="0.35">
      <c r="A1309" s="3" t="s">
        <v>5883</v>
      </c>
      <c r="E1309" s="3" t="s">
        <v>4086</v>
      </c>
    </row>
    <row r="1310" spans="1:5" x14ac:dyDescent="0.35">
      <c r="A1310" s="3" t="s">
        <v>1148</v>
      </c>
      <c r="E1310" s="3" t="s">
        <v>4088</v>
      </c>
    </row>
    <row r="1311" spans="1:5" x14ac:dyDescent="0.35">
      <c r="A1311" s="3" t="s">
        <v>5059</v>
      </c>
      <c r="E1311" s="3" t="s">
        <v>4090</v>
      </c>
    </row>
    <row r="1312" spans="1:5" x14ac:dyDescent="0.35">
      <c r="A1312" s="3" t="s">
        <v>1859</v>
      </c>
      <c r="E1312" s="3" t="s">
        <v>4092</v>
      </c>
    </row>
    <row r="1313" spans="1:5" x14ac:dyDescent="0.35">
      <c r="A1313" s="3" t="s">
        <v>4674</v>
      </c>
      <c r="E1313" s="3" t="s">
        <v>4094</v>
      </c>
    </row>
    <row r="1314" spans="1:5" x14ac:dyDescent="0.35">
      <c r="A1314" s="3" t="s">
        <v>543</v>
      </c>
      <c r="E1314" s="3" t="s">
        <v>4098</v>
      </c>
    </row>
    <row r="1315" spans="1:5" x14ac:dyDescent="0.35">
      <c r="A1315" s="3" t="s">
        <v>5081</v>
      </c>
      <c r="E1315" s="3" t="s">
        <v>4100</v>
      </c>
    </row>
    <row r="1316" spans="1:5" x14ac:dyDescent="0.35">
      <c r="A1316" s="3" t="s">
        <v>2775</v>
      </c>
      <c r="E1316" s="3" t="s">
        <v>4107</v>
      </c>
    </row>
    <row r="1317" spans="1:5" x14ac:dyDescent="0.35">
      <c r="A1317" s="3" t="s">
        <v>4544</v>
      </c>
      <c r="E1317" s="3" t="s">
        <v>4109</v>
      </c>
    </row>
    <row r="1318" spans="1:5" x14ac:dyDescent="0.35">
      <c r="A1318" s="3" t="s">
        <v>448</v>
      </c>
      <c r="E1318" s="3" t="s">
        <v>4111</v>
      </c>
    </row>
    <row r="1319" spans="1:5" x14ac:dyDescent="0.35">
      <c r="A1319" s="3" t="s">
        <v>5914</v>
      </c>
      <c r="E1319" s="3" t="s">
        <v>4119</v>
      </c>
    </row>
    <row r="1320" spans="1:5" x14ac:dyDescent="0.35">
      <c r="A1320" s="3" t="s">
        <v>3510</v>
      </c>
      <c r="E1320" s="3" t="s">
        <v>4120</v>
      </c>
    </row>
    <row r="1321" spans="1:5" x14ac:dyDescent="0.35">
      <c r="A1321" s="3" t="s">
        <v>5574</v>
      </c>
      <c r="E1321" s="3" t="s">
        <v>4122</v>
      </c>
    </row>
    <row r="1322" spans="1:5" x14ac:dyDescent="0.35">
      <c r="A1322" s="3" t="s">
        <v>2807</v>
      </c>
      <c r="E1322" s="3" t="s">
        <v>4126</v>
      </c>
    </row>
    <row r="1323" spans="1:5" x14ac:dyDescent="0.35">
      <c r="A1323" s="3" t="s">
        <v>4406</v>
      </c>
      <c r="E1323" s="3" t="s">
        <v>4128</v>
      </c>
    </row>
    <row r="1324" spans="1:5" x14ac:dyDescent="0.35">
      <c r="A1324" s="3" t="s">
        <v>4670</v>
      </c>
      <c r="E1324" s="3" t="s">
        <v>4132</v>
      </c>
    </row>
    <row r="1325" spans="1:5" x14ac:dyDescent="0.35">
      <c r="A1325" s="3" t="s">
        <v>5717</v>
      </c>
      <c r="E1325" s="3" t="s">
        <v>4134</v>
      </c>
    </row>
    <row r="1326" spans="1:5" x14ac:dyDescent="0.35">
      <c r="A1326" s="3" t="s">
        <v>1557</v>
      </c>
      <c r="E1326" s="3" t="s">
        <v>4138</v>
      </c>
    </row>
    <row r="1327" spans="1:5" x14ac:dyDescent="0.35">
      <c r="A1327" s="3" t="s">
        <v>3778</v>
      </c>
      <c r="E1327" s="3" t="s">
        <v>4140</v>
      </c>
    </row>
    <row r="1328" spans="1:5" x14ac:dyDescent="0.35">
      <c r="A1328" s="3" t="s">
        <v>2597</v>
      </c>
      <c r="E1328" s="3" t="s">
        <v>4142</v>
      </c>
    </row>
    <row r="1329" spans="1:5" x14ac:dyDescent="0.35">
      <c r="A1329" s="3" t="s">
        <v>4075</v>
      </c>
      <c r="E1329" s="3" t="s">
        <v>4144</v>
      </c>
    </row>
    <row r="1330" spans="1:5" x14ac:dyDescent="0.35">
      <c r="A1330" s="3" t="s">
        <v>3362</v>
      </c>
      <c r="E1330" s="3" t="s">
        <v>4146</v>
      </c>
    </row>
    <row r="1331" spans="1:5" x14ac:dyDescent="0.35">
      <c r="A1331" s="3" t="s">
        <v>5464</v>
      </c>
      <c r="E1331" s="3" t="s">
        <v>4150</v>
      </c>
    </row>
    <row r="1332" spans="1:5" x14ac:dyDescent="0.35">
      <c r="A1332" s="3" t="s">
        <v>1892</v>
      </c>
      <c r="E1332" s="3" t="s">
        <v>4152</v>
      </c>
    </row>
    <row r="1333" spans="1:5" x14ac:dyDescent="0.35">
      <c r="A1333" s="3" t="s">
        <v>2132</v>
      </c>
      <c r="E1333" s="3" t="s">
        <v>4154</v>
      </c>
    </row>
    <row r="1334" spans="1:5" x14ac:dyDescent="0.35">
      <c r="A1334" s="3" t="s">
        <v>2409</v>
      </c>
      <c r="E1334" s="3" t="s">
        <v>4156</v>
      </c>
    </row>
    <row r="1335" spans="1:5" x14ac:dyDescent="0.35">
      <c r="A1335" s="3" t="s">
        <v>1186</v>
      </c>
      <c r="E1335" s="3" t="s">
        <v>4158</v>
      </c>
    </row>
    <row r="1336" spans="1:5" x14ac:dyDescent="0.35">
      <c r="A1336" s="3" t="s">
        <v>2433</v>
      </c>
      <c r="E1336" s="3" t="s">
        <v>4160</v>
      </c>
    </row>
    <row r="1337" spans="1:5" x14ac:dyDescent="0.35">
      <c r="A1337" s="3" t="s">
        <v>3994</v>
      </c>
      <c r="E1337" s="3" t="s">
        <v>4168</v>
      </c>
    </row>
    <row r="1338" spans="1:5" x14ac:dyDescent="0.35">
      <c r="A1338" s="3" t="s">
        <v>5409</v>
      </c>
      <c r="E1338" s="3" t="s">
        <v>4170</v>
      </c>
    </row>
    <row r="1339" spans="1:5" x14ac:dyDescent="0.35">
      <c r="A1339" s="3" t="s">
        <v>489</v>
      </c>
      <c r="E1339" s="3" t="s">
        <v>4172</v>
      </c>
    </row>
    <row r="1340" spans="1:5" x14ac:dyDescent="0.35">
      <c r="A1340" s="3" t="s">
        <v>4402</v>
      </c>
      <c r="E1340" s="3" t="s">
        <v>4174</v>
      </c>
    </row>
    <row r="1341" spans="1:5" x14ac:dyDescent="0.35">
      <c r="A1341" s="3" t="s">
        <v>275</v>
      </c>
      <c r="E1341" s="3" t="s">
        <v>4176</v>
      </c>
    </row>
    <row r="1342" spans="1:5" x14ac:dyDescent="0.35">
      <c r="A1342" s="3" t="s">
        <v>857</v>
      </c>
      <c r="E1342" s="3" t="s">
        <v>4178</v>
      </c>
    </row>
    <row r="1343" spans="1:5" x14ac:dyDescent="0.35">
      <c r="A1343" s="3" t="s">
        <v>2799</v>
      </c>
      <c r="E1343" s="3" t="s">
        <v>4182</v>
      </c>
    </row>
    <row r="1344" spans="1:5" x14ac:dyDescent="0.35">
      <c r="A1344" s="3" t="s">
        <v>1655</v>
      </c>
      <c r="E1344" s="3" t="s">
        <v>4184</v>
      </c>
    </row>
    <row r="1345" spans="1:5" x14ac:dyDescent="0.35">
      <c r="A1345" s="3" t="s">
        <v>2522</v>
      </c>
      <c r="E1345" s="3" t="s">
        <v>4186</v>
      </c>
    </row>
    <row r="1346" spans="1:5" x14ac:dyDescent="0.35">
      <c r="A1346" s="3" t="s">
        <v>4443</v>
      </c>
      <c r="E1346" s="3" t="s">
        <v>4188</v>
      </c>
    </row>
    <row r="1347" spans="1:5" x14ac:dyDescent="0.35">
      <c r="A1347" s="3" t="s">
        <v>4528</v>
      </c>
      <c r="E1347" s="3" t="s">
        <v>4190</v>
      </c>
    </row>
    <row r="1348" spans="1:5" x14ac:dyDescent="0.35">
      <c r="A1348" s="3" t="s">
        <v>3204</v>
      </c>
      <c r="E1348" s="3" t="s">
        <v>4194</v>
      </c>
    </row>
    <row r="1349" spans="1:5" x14ac:dyDescent="0.35">
      <c r="A1349" s="3" t="s">
        <v>1643</v>
      </c>
      <c r="E1349" s="3" t="s">
        <v>4199</v>
      </c>
    </row>
    <row r="1350" spans="1:5" x14ac:dyDescent="0.35">
      <c r="A1350" s="3" t="s">
        <v>3400</v>
      </c>
      <c r="E1350" s="3" t="s">
        <v>4201</v>
      </c>
    </row>
    <row r="1351" spans="1:5" x14ac:dyDescent="0.35">
      <c r="A1351" s="3" t="s">
        <v>2258</v>
      </c>
      <c r="E1351" s="3" t="s">
        <v>4203</v>
      </c>
    </row>
    <row r="1352" spans="1:5" x14ac:dyDescent="0.35">
      <c r="A1352" s="3" t="s">
        <v>5311</v>
      </c>
      <c r="E1352" s="3" t="s">
        <v>4205</v>
      </c>
    </row>
    <row r="1353" spans="1:5" x14ac:dyDescent="0.35">
      <c r="A1353" s="3" t="s">
        <v>6041</v>
      </c>
      <c r="E1353" s="3" t="s">
        <v>4207</v>
      </c>
    </row>
    <row r="1354" spans="1:5" x14ac:dyDescent="0.35">
      <c r="A1354" s="3" t="s">
        <v>1289</v>
      </c>
      <c r="E1354" s="3" t="s">
        <v>4212</v>
      </c>
    </row>
    <row r="1355" spans="1:5" x14ac:dyDescent="0.35">
      <c r="A1355" s="3" t="s">
        <v>4202</v>
      </c>
      <c r="E1355" s="3" t="s">
        <v>4216</v>
      </c>
    </row>
    <row r="1356" spans="1:5" x14ac:dyDescent="0.35">
      <c r="A1356" s="3" t="s">
        <v>5479</v>
      </c>
      <c r="E1356" s="3" t="s">
        <v>4218</v>
      </c>
    </row>
    <row r="1357" spans="1:5" x14ac:dyDescent="0.35">
      <c r="A1357" s="3" t="s">
        <v>201</v>
      </c>
      <c r="E1357" s="3" t="s">
        <v>4222</v>
      </c>
    </row>
    <row r="1358" spans="1:5" x14ac:dyDescent="0.35">
      <c r="A1358" s="3" t="s">
        <v>1373</v>
      </c>
      <c r="E1358" s="3" t="s">
        <v>4226</v>
      </c>
    </row>
    <row r="1359" spans="1:5" x14ac:dyDescent="0.35">
      <c r="A1359" s="3" t="s">
        <v>4840</v>
      </c>
      <c r="E1359" s="3" t="s">
        <v>4228</v>
      </c>
    </row>
    <row r="1360" spans="1:5" x14ac:dyDescent="0.35">
      <c r="A1360" s="3" t="s">
        <v>613</v>
      </c>
      <c r="E1360" s="3" t="s">
        <v>4230</v>
      </c>
    </row>
    <row r="1361" spans="1:5" x14ac:dyDescent="0.35">
      <c r="A1361" s="3" t="s">
        <v>3448</v>
      </c>
      <c r="E1361" s="3" t="s">
        <v>4236</v>
      </c>
    </row>
    <row r="1362" spans="1:5" x14ac:dyDescent="0.35">
      <c r="A1362" s="3" t="s">
        <v>2803</v>
      </c>
      <c r="E1362" s="3" t="s">
        <v>4244</v>
      </c>
    </row>
    <row r="1363" spans="1:5" x14ac:dyDescent="0.35">
      <c r="A1363" s="3" t="s">
        <v>3520</v>
      </c>
      <c r="E1363" s="3" t="s">
        <v>4246</v>
      </c>
    </row>
    <row r="1364" spans="1:5" x14ac:dyDescent="0.35">
      <c r="A1364" s="3" t="s">
        <v>5475</v>
      </c>
      <c r="E1364" s="3" t="s">
        <v>4250</v>
      </c>
    </row>
    <row r="1365" spans="1:5" x14ac:dyDescent="0.35">
      <c r="A1365" s="3" t="s">
        <v>4505</v>
      </c>
      <c r="E1365" s="3" t="s">
        <v>4254</v>
      </c>
    </row>
    <row r="1366" spans="1:5" x14ac:dyDescent="0.35">
      <c r="A1366" s="3" t="s">
        <v>4965</v>
      </c>
      <c r="E1366" s="3" t="s">
        <v>4266</v>
      </c>
    </row>
    <row r="1367" spans="1:5" x14ac:dyDescent="0.35">
      <c r="A1367" s="3" t="s">
        <v>3525</v>
      </c>
      <c r="E1367" s="3" t="s">
        <v>4268</v>
      </c>
    </row>
    <row r="1368" spans="1:5" x14ac:dyDescent="0.35">
      <c r="A1368" s="3" t="s">
        <v>1743</v>
      </c>
      <c r="E1368" s="3" t="s">
        <v>4269</v>
      </c>
    </row>
    <row r="1369" spans="1:5" x14ac:dyDescent="0.35">
      <c r="A1369" s="3" t="s">
        <v>2375</v>
      </c>
      <c r="E1369" s="3" t="s">
        <v>4271</v>
      </c>
    </row>
    <row r="1370" spans="1:5" x14ac:dyDescent="0.35">
      <c r="A1370" s="3" t="s">
        <v>1785</v>
      </c>
      <c r="E1370" s="3" t="s">
        <v>4273</v>
      </c>
    </row>
    <row r="1371" spans="1:5" x14ac:dyDescent="0.35">
      <c r="A1371" s="3" t="s">
        <v>463</v>
      </c>
      <c r="E1371" s="3" t="s">
        <v>4275</v>
      </c>
    </row>
    <row r="1372" spans="1:5" x14ac:dyDescent="0.35">
      <c r="A1372" s="3" t="s">
        <v>6090</v>
      </c>
      <c r="E1372" s="3" t="s">
        <v>4277</v>
      </c>
    </row>
    <row r="1373" spans="1:5" x14ac:dyDescent="0.35">
      <c r="A1373" s="3" t="s">
        <v>2417</v>
      </c>
      <c r="E1373" s="3" t="s">
        <v>4278</v>
      </c>
    </row>
    <row r="1374" spans="1:5" x14ac:dyDescent="0.35">
      <c r="A1374" s="3" t="s">
        <v>4617</v>
      </c>
      <c r="E1374" s="3" t="s">
        <v>4280</v>
      </c>
    </row>
    <row r="1375" spans="1:5" x14ac:dyDescent="0.35">
      <c r="A1375" s="3" t="s">
        <v>5185</v>
      </c>
      <c r="E1375" s="3" t="s">
        <v>4284</v>
      </c>
    </row>
    <row r="1376" spans="1:5" x14ac:dyDescent="0.35">
      <c r="A1376" s="3" t="s">
        <v>6078</v>
      </c>
      <c r="E1376" s="3" t="s">
        <v>4286</v>
      </c>
    </row>
    <row r="1377" spans="1:5" x14ac:dyDescent="0.35">
      <c r="A1377" s="3" t="s">
        <v>4369</v>
      </c>
      <c r="E1377" s="3" t="s">
        <v>4288</v>
      </c>
    </row>
    <row r="1378" spans="1:5" x14ac:dyDescent="0.35">
      <c r="A1378" s="3" t="s">
        <v>2332</v>
      </c>
      <c r="E1378" s="3" t="s">
        <v>4294</v>
      </c>
    </row>
    <row r="1379" spans="1:5" x14ac:dyDescent="0.35">
      <c r="A1379" s="3" t="s">
        <v>2896</v>
      </c>
      <c r="E1379" s="3" t="s">
        <v>4298</v>
      </c>
    </row>
    <row r="1380" spans="1:5" x14ac:dyDescent="0.35">
      <c r="A1380" s="3" t="s">
        <v>4664</v>
      </c>
      <c r="E1380" s="3" t="s">
        <v>4300</v>
      </c>
    </row>
    <row r="1381" spans="1:5" x14ac:dyDescent="0.35">
      <c r="A1381" s="3" t="s">
        <v>1431</v>
      </c>
      <c r="E1381" s="3" t="s">
        <v>4304</v>
      </c>
    </row>
    <row r="1382" spans="1:5" x14ac:dyDescent="0.35">
      <c r="A1382" s="3" t="s">
        <v>2016</v>
      </c>
      <c r="E1382" s="3" t="s">
        <v>4306</v>
      </c>
    </row>
    <row r="1383" spans="1:5" x14ac:dyDescent="0.35">
      <c r="A1383" s="3" t="s">
        <v>3798</v>
      </c>
      <c r="E1383" s="3" t="s">
        <v>4310</v>
      </c>
    </row>
    <row r="1384" spans="1:5" x14ac:dyDescent="0.35">
      <c r="A1384" s="3" t="s">
        <v>599</v>
      </c>
      <c r="E1384" s="3" t="s">
        <v>4312</v>
      </c>
    </row>
    <row r="1385" spans="1:5" x14ac:dyDescent="0.35">
      <c r="A1385" s="3" t="s">
        <v>4112</v>
      </c>
      <c r="E1385" s="3" t="s">
        <v>4314</v>
      </c>
    </row>
    <row r="1386" spans="1:5" x14ac:dyDescent="0.35">
      <c r="A1386" s="3" t="s">
        <v>5426</v>
      </c>
      <c r="E1386" s="3" t="s">
        <v>4316</v>
      </c>
    </row>
    <row r="1387" spans="1:5" x14ac:dyDescent="0.35">
      <c r="A1387" s="3" t="s">
        <v>3832</v>
      </c>
      <c r="E1387" s="3" t="s">
        <v>4322</v>
      </c>
    </row>
    <row r="1388" spans="1:5" x14ac:dyDescent="0.35">
      <c r="A1388" s="3" t="s">
        <v>4388</v>
      </c>
      <c r="E1388" s="3" t="s">
        <v>4326</v>
      </c>
    </row>
    <row r="1389" spans="1:5" x14ac:dyDescent="0.35">
      <c r="A1389" s="3" t="s">
        <v>1825</v>
      </c>
      <c r="E1389" s="3" t="s">
        <v>4328</v>
      </c>
    </row>
    <row r="1390" spans="1:5" x14ac:dyDescent="0.35">
      <c r="A1390" s="3" t="s">
        <v>2600</v>
      </c>
      <c r="E1390" s="3" t="s">
        <v>4332</v>
      </c>
    </row>
    <row r="1391" spans="1:5" x14ac:dyDescent="0.35">
      <c r="A1391" s="3" t="s">
        <v>5991</v>
      </c>
      <c r="E1391" s="3" t="s">
        <v>4334</v>
      </c>
    </row>
    <row r="1392" spans="1:5" x14ac:dyDescent="0.35">
      <c r="A1392" s="3" t="s">
        <v>3458</v>
      </c>
      <c r="E1392" s="3" t="s">
        <v>4336</v>
      </c>
    </row>
    <row r="1393" spans="1:5" x14ac:dyDescent="0.35">
      <c r="A1393" s="3" t="s">
        <v>4141</v>
      </c>
      <c r="E1393" s="3" t="s">
        <v>4340</v>
      </c>
    </row>
    <row r="1394" spans="1:5" x14ac:dyDescent="0.35">
      <c r="A1394" s="3" t="s">
        <v>2228</v>
      </c>
      <c r="E1394" s="3" t="s">
        <v>4342</v>
      </c>
    </row>
    <row r="1395" spans="1:5" x14ac:dyDescent="0.35">
      <c r="A1395" s="3" t="s">
        <v>2546</v>
      </c>
      <c r="E1395" s="3" t="s">
        <v>4344</v>
      </c>
    </row>
    <row r="1396" spans="1:5" x14ac:dyDescent="0.35">
      <c r="A1396" s="3" t="s">
        <v>73</v>
      </c>
      <c r="E1396" s="3" t="s">
        <v>4348</v>
      </c>
    </row>
    <row r="1397" spans="1:5" x14ac:dyDescent="0.35">
      <c r="A1397" s="3" t="s">
        <v>442</v>
      </c>
      <c r="E1397" s="3" t="s">
        <v>4354</v>
      </c>
    </row>
    <row r="1398" spans="1:5" x14ac:dyDescent="0.35">
      <c r="A1398" s="3" t="s">
        <v>375</v>
      </c>
      <c r="E1398" s="3" t="s">
        <v>4356</v>
      </c>
    </row>
    <row r="1399" spans="1:5" x14ac:dyDescent="0.35">
      <c r="A1399" s="3" t="s">
        <v>368</v>
      </c>
      <c r="E1399" s="3" t="s">
        <v>4358</v>
      </c>
    </row>
    <row r="1400" spans="1:5" x14ac:dyDescent="0.35">
      <c r="A1400" s="3" t="s">
        <v>1170</v>
      </c>
      <c r="E1400" s="3" t="s">
        <v>4360</v>
      </c>
    </row>
    <row r="1401" spans="1:5" x14ac:dyDescent="0.35">
      <c r="A1401" s="3" t="s">
        <v>4619</v>
      </c>
      <c r="E1401" s="3" t="s">
        <v>4362</v>
      </c>
    </row>
    <row r="1402" spans="1:5" x14ac:dyDescent="0.35">
      <c r="A1402" s="3" t="s">
        <v>1904</v>
      </c>
      <c r="E1402" s="3" t="s">
        <v>4366</v>
      </c>
    </row>
    <row r="1403" spans="1:5" x14ac:dyDescent="0.35">
      <c r="A1403" s="3" t="s">
        <v>1206</v>
      </c>
      <c r="E1403" s="3" t="s">
        <v>4368</v>
      </c>
    </row>
    <row r="1404" spans="1:5" x14ac:dyDescent="0.35">
      <c r="A1404" s="3" t="s">
        <v>3418</v>
      </c>
      <c r="E1404" s="3" t="s">
        <v>4370</v>
      </c>
    </row>
    <row r="1405" spans="1:5" x14ac:dyDescent="0.35">
      <c r="A1405" s="3" t="s">
        <v>5462</v>
      </c>
      <c r="E1405" s="3" t="s">
        <v>4374</v>
      </c>
    </row>
    <row r="1406" spans="1:5" x14ac:dyDescent="0.35">
      <c r="A1406" s="3" t="s">
        <v>3968</v>
      </c>
      <c r="E1406" s="3" t="s">
        <v>4376</v>
      </c>
    </row>
    <row r="1407" spans="1:5" x14ac:dyDescent="0.35">
      <c r="A1407" s="3" t="s">
        <v>4566</v>
      </c>
      <c r="E1407" s="3" t="s">
        <v>4378</v>
      </c>
    </row>
    <row r="1408" spans="1:5" x14ac:dyDescent="0.35">
      <c r="A1408" s="3" t="s">
        <v>5189</v>
      </c>
      <c r="E1408" s="3" t="s">
        <v>4380</v>
      </c>
    </row>
    <row r="1409" spans="1:5" x14ac:dyDescent="0.35">
      <c r="A1409" s="3" t="s">
        <v>2479</v>
      </c>
      <c r="E1409" s="3" t="s">
        <v>4382</v>
      </c>
    </row>
    <row r="1410" spans="1:5" x14ac:dyDescent="0.35">
      <c r="A1410" s="3" t="s">
        <v>5027</v>
      </c>
      <c r="E1410" s="3" t="s">
        <v>4383</v>
      </c>
    </row>
    <row r="1411" spans="1:5" x14ac:dyDescent="0.35">
      <c r="A1411" s="3" t="s">
        <v>2505</v>
      </c>
      <c r="E1411" s="3" t="s">
        <v>4387</v>
      </c>
    </row>
    <row r="1412" spans="1:5" x14ac:dyDescent="0.35">
      <c r="A1412" s="3" t="s">
        <v>272</v>
      </c>
      <c r="E1412" s="3" t="s">
        <v>4389</v>
      </c>
    </row>
    <row r="1413" spans="1:5" x14ac:dyDescent="0.35">
      <c r="A1413" s="3" t="s">
        <v>4200</v>
      </c>
      <c r="E1413" s="3" t="s">
        <v>4395</v>
      </c>
    </row>
    <row r="1414" spans="1:5" x14ac:dyDescent="0.35">
      <c r="A1414" s="3" t="s">
        <v>5309</v>
      </c>
      <c r="E1414" s="3" t="s">
        <v>4397</v>
      </c>
    </row>
    <row r="1415" spans="1:5" x14ac:dyDescent="0.35">
      <c r="A1415" s="3" t="s">
        <v>5809</v>
      </c>
      <c r="E1415" s="3" t="s">
        <v>4399</v>
      </c>
    </row>
    <row r="1416" spans="1:5" x14ac:dyDescent="0.35">
      <c r="A1416" s="3" t="s">
        <v>2817</v>
      </c>
      <c r="E1416" s="3" t="s">
        <v>4401</v>
      </c>
    </row>
    <row r="1417" spans="1:5" x14ac:dyDescent="0.35">
      <c r="A1417" s="3" t="s">
        <v>5501</v>
      </c>
      <c r="E1417" s="3" t="s">
        <v>4403</v>
      </c>
    </row>
    <row r="1418" spans="1:5" x14ac:dyDescent="0.35">
      <c r="A1418" s="3" t="s">
        <v>2385</v>
      </c>
      <c r="E1418" s="3" t="s">
        <v>4405</v>
      </c>
    </row>
    <row r="1419" spans="1:5" x14ac:dyDescent="0.35">
      <c r="A1419" s="3" t="s">
        <v>2473</v>
      </c>
      <c r="E1419" s="3" t="s">
        <v>4407</v>
      </c>
    </row>
    <row r="1420" spans="1:5" x14ac:dyDescent="0.35">
      <c r="A1420" s="3" t="s">
        <v>2066</v>
      </c>
      <c r="E1420" s="3" t="s">
        <v>4409</v>
      </c>
    </row>
    <row r="1421" spans="1:5" x14ac:dyDescent="0.35">
      <c r="A1421" s="3" t="s">
        <v>1445</v>
      </c>
      <c r="E1421" s="3" t="s">
        <v>4411</v>
      </c>
    </row>
    <row r="1422" spans="1:5" x14ac:dyDescent="0.35">
      <c r="A1422" s="3" t="s">
        <v>1279</v>
      </c>
      <c r="E1422" s="3" t="s">
        <v>4415</v>
      </c>
    </row>
    <row r="1423" spans="1:5" x14ac:dyDescent="0.35">
      <c r="A1423" s="3" t="s">
        <v>4121</v>
      </c>
      <c r="E1423" s="3" t="s">
        <v>4417</v>
      </c>
    </row>
    <row r="1424" spans="1:5" x14ac:dyDescent="0.35">
      <c r="A1424" s="3" t="s">
        <v>2491</v>
      </c>
      <c r="E1424" s="3" t="s">
        <v>4419</v>
      </c>
    </row>
    <row r="1425" spans="1:5" x14ac:dyDescent="0.35">
      <c r="A1425" s="3" t="s">
        <v>3285</v>
      </c>
      <c r="E1425" s="3" t="s">
        <v>4421</v>
      </c>
    </row>
    <row r="1426" spans="1:5" x14ac:dyDescent="0.35">
      <c r="A1426" s="3" t="s">
        <v>6007</v>
      </c>
      <c r="E1426" s="3" t="s">
        <v>4423</v>
      </c>
    </row>
    <row r="1427" spans="1:5" x14ac:dyDescent="0.35">
      <c r="A1427" s="3" t="s">
        <v>60</v>
      </c>
      <c r="E1427" s="3" t="s">
        <v>4425</v>
      </c>
    </row>
    <row r="1428" spans="1:5" x14ac:dyDescent="0.35">
      <c r="A1428" s="3" t="s">
        <v>3162</v>
      </c>
      <c r="E1428" s="3" t="s">
        <v>4431</v>
      </c>
    </row>
    <row r="1429" spans="1:5" x14ac:dyDescent="0.35">
      <c r="A1429" s="3" t="s">
        <v>4593</v>
      </c>
      <c r="E1429" s="3" t="s">
        <v>4438</v>
      </c>
    </row>
    <row r="1430" spans="1:5" x14ac:dyDescent="0.35">
      <c r="A1430" s="3" t="s">
        <v>1224</v>
      </c>
      <c r="E1430" s="3" t="s">
        <v>4440</v>
      </c>
    </row>
    <row r="1431" spans="1:5" x14ac:dyDescent="0.35">
      <c r="A1431" s="3" t="s">
        <v>1239</v>
      </c>
      <c r="E1431" s="3" t="s">
        <v>4442</v>
      </c>
    </row>
    <row r="1432" spans="1:5" x14ac:dyDescent="0.35">
      <c r="A1432" s="3" t="s">
        <v>3931</v>
      </c>
      <c r="E1432" s="3" t="s">
        <v>4444</v>
      </c>
    </row>
    <row r="1433" spans="1:5" x14ac:dyDescent="0.35">
      <c r="A1433" s="3" t="s">
        <v>3073</v>
      </c>
      <c r="E1433" s="3" t="s">
        <v>4446</v>
      </c>
    </row>
    <row r="1434" spans="1:5" x14ac:dyDescent="0.35">
      <c r="A1434" s="3" t="s">
        <v>5523</v>
      </c>
      <c r="E1434" s="3" t="s">
        <v>4450</v>
      </c>
    </row>
    <row r="1435" spans="1:5" x14ac:dyDescent="0.35">
      <c r="A1435" s="3" t="s">
        <v>1692</v>
      </c>
      <c r="E1435" s="3" t="s">
        <v>4454</v>
      </c>
    </row>
    <row r="1436" spans="1:5" x14ac:dyDescent="0.35">
      <c r="A1436" s="3" t="s">
        <v>4718</v>
      </c>
      <c r="E1436" s="3" t="s">
        <v>4456</v>
      </c>
    </row>
    <row r="1437" spans="1:5" x14ac:dyDescent="0.35">
      <c r="A1437" s="3" t="s">
        <v>3984</v>
      </c>
      <c r="E1437" s="3" t="s">
        <v>4458</v>
      </c>
    </row>
    <row r="1438" spans="1:5" x14ac:dyDescent="0.35">
      <c r="A1438" s="3" t="s">
        <v>3550</v>
      </c>
      <c r="E1438" s="3" t="s">
        <v>4460</v>
      </c>
    </row>
    <row r="1439" spans="1:5" x14ac:dyDescent="0.35">
      <c r="A1439" s="3" t="s">
        <v>1156</v>
      </c>
      <c r="E1439" s="3" t="s">
        <v>4464</v>
      </c>
    </row>
    <row r="1440" spans="1:5" x14ac:dyDescent="0.35">
      <c r="A1440" s="3" t="s">
        <v>5456</v>
      </c>
      <c r="E1440" s="3" t="s">
        <v>4466</v>
      </c>
    </row>
    <row r="1441" spans="1:5" x14ac:dyDescent="0.35">
      <c r="A1441" s="3" t="s">
        <v>1521</v>
      </c>
      <c r="E1441" s="3" t="s">
        <v>4468</v>
      </c>
    </row>
    <row r="1442" spans="1:5" x14ac:dyDescent="0.35">
      <c r="A1442" s="3" t="s">
        <v>1809</v>
      </c>
      <c r="E1442" s="3" t="s">
        <v>4470</v>
      </c>
    </row>
    <row r="1443" spans="1:5" x14ac:dyDescent="0.35">
      <c r="A1443" s="3" t="s">
        <v>4289</v>
      </c>
      <c r="E1443" s="3" t="s">
        <v>4472</v>
      </c>
    </row>
    <row r="1444" spans="1:5" x14ac:dyDescent="0.35">
      <c r="A1444" s="3" t="s">
        <v>4081</v>
      </c>
      <c r="E1444" s="3" t="s">
        <v>4478</v>
      </c>
    </row>
    <row r="1445" spans="1:5" x14ac:dyDescent="0.35">
      <c r="A1445" s="3" t="s">
        <v>2489</v>
      </c>
      <c r="E1445" s="3" t="s">
        <v>4480</v>
      </c>
    </row>
    <row r="1446" spans="1:5" x14ac:dyDescent="0.35">
      <c r="A1446" s="3" t="s">
        <v>4542</v>
      </c>
      <c r="E1446" s="3" t="s">
        <v>4484</v>
      </c>
    </row>
    <row r="1447" spans="1:5" x14ac:dyDescent="0.35">
      <c r="A1447" s="3" t="s">
        <v>4657</v>
      </c>
      <c r="E1447" s="3" t="s">
        <v>4486</v>
      </c>
    </row>
    <row r="1448" spans="1:5" x14ac:dyDescent="0.35">
      <c r="A1448" s="3" t="s">
        <v>4139</v>
      </c>
      <c r="E1448" s="3" t="s">
        <v>4488</v>
      </c>
    </row>
    <row r="1449" spans="1:5" x14ac:dyDescent="0.35">
      <c r="A1449" s="3" t="s">
        <v>3574</v>
      </c>
      <c r="E1449" s="3" t="s">
        <v>4490</v>
      </c>
    </row>
    <row r="1450" spans="1:5" x14ac:dyDescent="0.35">
      <c r="A1450" s="3" t="s">
        <v>1040</v>
      </c>
      <c r="E1450" s="3" t="s">
        <v>4492</v>
      </c>
    </row>
    <row r="1451" spans="1:5" x14ac:dyDescent="0.35">
      <c r="A1451" s="3" t="s">
        <v>3424</v>
      </c>
      <c r="E1451" s="3" t="s">
        <v>4494</v>
      </c>
    </row>
    <row r="1452" spans="1:5" x14ac:dyDescent="0.35">
      <c r="A1452" s="3" t="s">
        <v>5220</v>
      </c>
      <c r="E1452" s="3" t="s">
        <v>4496</v>
      </c>
    </row>
    <row r="1453" spans="1:5" x14ac:dyDescent="0.35">
      <c r="A1453" s="3" t="s">
        <v>666</v>
      </c>
      <c r="E1453" s="3" t="s">
        <v>4504</v>
      </c>
    </row>
    <row r="1454" spans="1:5" x14ac:dyDescent="0.35">
      <c r="A1454" s="3" t="s">
        <v>1359</v>
      </c>
      <c r="E1454" s="3" t="s">
        <v>4508</v>
      </c>
    </row>
    <row r="1455" spans="1:5" x14ac:dyDescent="0.35">
      <c r="A1455" s="3" t="s">
        <v>4967</v>
      </c>
      <c r="E1455" s="3" t="s">
        <v>4510</v>
      </c>
    </row>
    <row r="1456" spans="1:5" x14ac:dyDescent="0.35">
      <c r="A1456" s="3" t="s">
        <v>5313</v>
      </c>
      <c r="E1456" s="3" t="s">
        <v>4512</v>
      </c>
    </row>
    <row r="1457" spans="1:5" x14ac:dyDescent="0.35">
      <c r="A1457" s="3" t="s">
        <v>1297</v>
      </c>
      <c r="E1457" s="3" t="s">
        <v>4514</v>
      </c>
    </row>
    <row r="1458" spans="1:5" x14ac:dyDescent="0.35">
      <c r="A1458" s="3" t="s">
        <v>1271</v>
      </c>
      <c r="E1458" s="3" t="s">
        <v>4518</v>
      </c>
    </row>
    <row r="1459" spans="1:5" x14ac:dyDescent="0.35">
      <c r="A1459" s="3" t="s">
        <v>5063</v>
      </c>
      <c r="E1459" s="3" t="s">
        <v>4520</v>
      </c>
    </row>
    <row r="1460" spans="1:5" x14ac:dyDescent="0.35">
      <c r="A1460" s="3" t="s">
        <v>1010</v>
      </c>
      <c r="E1460" s="3" t="s">
        <v>4522</v>
      </c>
    </row>
    <row r="1461" spans="1:5" x14ac:dyDescent="0.35">
      <c r="A1461" s="3" t="s">
        <v>4408</v>
      </c>
      <c r="E1461" s="3" t="s">
        <v>4527</v>
      </c>
    </row>
    <row r="1462" spans="1:5" x14ac:dyDescent="0.35">
      <c r="A1462" s="3" t="s">
        <v>1605</v>
      </c>
      <c r="E1462" s="3" t="s">
        <v>4535</v>
      </c>
    </row>
    <row r="1463" spans="1:5" x14ac:dyDescent="0.35">
      <c r="A1463" s="3" t="s">
        <v>2699</v>
      </c>
      <c r="E1463" s="3" t="s">
        <v>4541</v>
      </c>
    </row>
    <row r="1464" spans="1:5" x14ac:dyDescent="0.35">
      <c r="A1464" s="3" t="s">
        <v>799</v>
      </c>
      <c r="E1464" s="3" t="s">
        <v>4543</v>
      </c>
    </row>
    <row r="1465" spans="1:5" x14ac:dyDescent="0.35">
      <c r="A1465" s="3" t="s">
        <v>2217</v>
      </c>
      <c r="E1465" s="3" t="s">
        <v>4545</v>
      </c>
    </row>
    <row r="1466" spans="1:5" x14ac:dyDescent="0.35">
      <c r="A1466" s="3" t="s">
        <v>142</v>
      </c>
      <c r="E1466" s="3" t="s">
        <v>4547</v>
      </c>
    </row>
    <row r="1467" spans="1:5" x14ac:dyDescent="0.35">
      <c r="A1467" s="3" t="s">
        <v>705</v>
      </c>
      <c r="E1467" s="3" t="s">
        <v>4549</v>
      </c>
    </row>
    <row r="1468" spans="1:5" x14ac:dyDescent="0.35">
      <c r="A1468" s="3" t="s">
        <v>1930</v>
      </c>
      <c r="E1468" s="3" t="s">
        <v>4551</v>
      </c>
    </row>
    <row r="1469" spans="1:5" x14ac:dyDescent="0.35">
      <c r="A1469" s="3" t="s">
        <v>2369</v>
      </c>
      <c r="E1469" s="3" t="s">
        <v>4553</v>
      </c>
    </row>
    <row r="1470" spans="1:5" x14ac:dyDescent="0.35">
      <c r="A1470" s="3" t="s">
        <v>3432</v>
      </c>
      <c r="E1470" s="3" t="s">
        <v>4555</v>
      </c>
    </row>
    <row r="1471" spans="1:5" x14ac:dyDescent="0.35">
      <c r="A1471" s="3" t="s">
        <v>1487</v>
      </c>
      <c r="E1471" s="3" t="s">
        <v>4559</v>
      </c>
    </row>
    <row r="1472" spans="1:5" x14ac:dyDescent="0.35">
      <c r="A1472" s="3" t="s">
        <v>2339</v>
      </c>
      <c r="E1472" s="3" t="s">
        <v>4561</v>
      </c>
    </row>
    <row r="1473" spans="1:5" x14ac:dyDescent="0.35">
      <c r="A1473" s="3" t="s">
        <v>4976</v>
      </c>
      <c r="E1473" s="3" t="s">
        <v>4563</v>
      </c>
    </row>
    <row r="1474" spans="1:5" x14ac:dyDescent="0.35">
      <c r="A1474" s="3" t="s">
        <v>5625</v>
      </c>
      <c r="E1474" s="3" t="s">
        <v>4565</v>
      </c>
    </row>
    <row r="1475" spans="1:5" x14ac:dyDescent="0.35">
      <c r="A1475" s="3" t="s">
        <v>3873</v>
      </c>
      <c r="E1475" s="3" t="s">
        <v>4579</v>
      </c>
    </row>
    <row r="1476" spans="1:5" x14ac:dyDescent="0.35">
      <c r="A1476" s="3" t="s">
        <v>3138</v>
      </c>
      <c r="E1476" s="3" t="s">
        <v>4581</v>
      </c>
    </row>
    <row r="1477" spans="1:5" x14ac:dyDescent="0.35">
      <c r="A1477" s="3" t="s">
        <v>2667</v>
      </c>
      <c r="E1477" s="3" t="s">
        <v>4582</v>
      </c>
    </row>
    <row r="1478" spans="1:5" x14ac:dyDescent="0.35">
      <c r="A1478" s="3" t="s">
        <v>3184</v>
      </c>
      <c r="E1478" s="3" t="s">
        <v>4584</v>
      </c>
    </row>
    <row r="1479" spans="1:5" x14ac:dyDescent="0.35">
      <c r="A1479" s="3" t="s">
        <v>2122</v>
      </c>
      <c r="E1479" s="3" t="s">
        <v>4588</v>
      </c>
    </row>
    <row r="1480" spans="1:5" x14ac:dyDescent="0.35">
      <c r="A1480" s="3" t="s">
        <v>2088</v>
      </c>
      <c r="E1480" s="3" t="s">
        <v>4590</v>
      </c>
    </row>
    <row r="1481" spans="1:5" x14ac:dyDescent="0.35">
      <c r="A1481" s="3" t="s">
        <v>2956</v>
      </c>
      <c r="E1481" s="3" t="s">
        <v>4592</v>
      </c>
    </row>
    <row r="1482" spans="1:5" x14ac:dyDescent="0.35">
      <c r="A1482" s="3" t="s">
        <v>3613</v>
      </c>
      <c r="E1482" s="3" t="s">
        <v>4596</v>
      </c>
    </row>
    <row r="1483" spans="1:5" x14ac:dyDescent="0.35">
      <c r="A1483" s="3" t="s">
        <v>5637</v>
      </c>
      <c r="E1483" s="3" t="s">
        <v>4598</v>
      </c>
    </row>
    <row r="1484" spans="1:5" x14ac:dyDescent="0.35">
      <c r="A1484" s="3" t="s">
        <v>5609</v>
      </c>
      <c r="E1484" s="3" t="s">
        <v>4600</v>
      </c>
    </row>
    <row r="1485" spans="1:5" x14ac:dyDescent="0.35">
      <c r="A1485" s="3" t="s">
        <v>3317</v>
      </c>
      <c r="E1485" s="3" t="s">
        <v>4602</v>
      </c>
    </row>
    <row r="1486" spans="1:5" x14ac:dyDescent="0.35">
      <c r="A1486" s="3" t="s">
        <v>2873</v>
      </c>
      <c r="E1486" s="3" t="s">
        <v>4604</v>
      </c>
    </row>
    <row r="1487" spans="1:5" x14ac:dyDescent="0.35">
      <c r="A1487" s="3" t="s">
        <v>3631</v>
      </c>
      <c r="E1487" s="3" t="s">
        <v>4606</v>
      </c>
    </row>
    <row r="1488" spans="1:5" x14ac:dyDescent="0.35">
      <c r="A1488" s="3" t="s">
        <v>2238</v>
      </c>
      <c r="E1488" s="3" t="s">
        <v>4608</v>
      </c>
    </row>
    <row r="1489" spans="1:5" x14ac:dyDescent="0.35">
      <c r="A1489" s="3" t="s">
        <v>4952</v>
      </c>
      <c r="E1489" s="3" t="s">
        <v>4610</v>
      </c>
    </row>
    <row r="1490" spans="1:5" x14ac:dyDescent="0.35">
      <c r="A1490" s="3" t="s">
        <v>5240</v>
      </c>
      <c r="E1490" s="3" t="s">
        <v>4612</v>
      </c>
    </row>
    <row r="1491" spans="1:5" x14ac:dyDescent="0.35">
      <c r="A1491" s="3" t="s">
        <v>3895</v>
      </c>
      <c r="E1491" s="3" t="s">
        <v>4616</v>
      </c>
    </row>
    <row r="1492" spans="1:5" x14ac:dyDescent="0.35">
      <c r="A1492" s="3" t="s">
        <v>4684</v>
      </c>
      <c r="E1492" s="3" t="s">
        <v>4618</v>
      </c>
    </row>
    <row r="1493" spans="1:5" x14ac:dyDescent="0.35">
      <c r="A1493" s="3" t="s">
        <v>1863</v>
      </c>
      <c r="E1493" s="3" t="s">
        <v>4620</v>
      </c>
    </row>
    <row r="1494" spans="1:5" x14ac:dyDescent="0.35">
      <c r="A1494" s="3" t="s">
        <v>2615</v>
      </c>
      <c r="E1494" s="3" t="s">
        <v>4622</v>
      </c>
    </row>
    <row r="1495" spans="1:5" x14ac:dyDescent="0.35">
      <c r="A1495" s="3" t="s">
        <v>5639</v>
      </c>
      <c r="E1495" s="3" t="s">
        <v>4630</v>
      </c>
    </row>
    <row r="1496" spans="1:5" x14ac:dyDescent="0.35">
      <c r="A1496" s="3" t="s">
        <v>5853</v>
      </c>
      <c r="E1496" s="3" t="s">
        <v>4632</v>
      </c>
    </row>
    <row r="1497" spans="1:5" x14ac:dyDescent="0.35">
      <c r="A1497" s="3" t="s">
        <v>3002</v>
      </c>
      <c r="E1497" s="3" t="s">
        <v>4634</v>
      </c>
    </row>
    <row r="1498" spans="1:5" x14ac:dyDescent="0.35">
      <c r="A1498" s="3" t="s">
        <v>5659</v>
      </c>
      <c r="E1498" s="3" t="s">
        <v>4640</v>
      </c>
    </row>
    <row r="1499" spans="1:5" x14ac:dyDescent="0.35">
      <c r="A1499" s="3" t="s">
        <v>433</v>
      </c>
      <c r="E1499" s="3" t="s">
        <v>4642</v>
      </c>
    </row>
    <row r="1500" spans="1:5" x14ac:dyDescent="0.35">
      <c r="A1500" s="3" t="s">
        <v>1249</v>
      </c>
      <c r="E1500" s="3" t="s">
        <v>4646</v>
      </c>
    </row>
    <row r="1501" spans="1:5" x14ac:dyDescent="0.35">
      <c r="A1501" s="3" t="s">
        <v>1533</v>
      </c>
      <c r="E1501" s="3" t="s">
        <v>4648</v>
      </c>
    </row>
    <row r="1502" spans="1:5" x14ac:dyDescent="0.35">
      <c r="A1502" s="3" t="s">
        <v>4846</v>
      </c>
      <c r="E1502" s="3" t="s">
        <v>4650</v>
      </c>
    </row>
    <row r="1503" spans="1:5" x14ac:dyDescent="0.35">
      <c r="A1503" s="3" t="s">
        <v>4341</v>
      </c>
      <c r="E1503" s="3" t="s">
        <v>4652</v>
      </c>
    </row>
    <row r="1504" spans="1:5" x14ac:dyDescent="0.35">
      <c r="A1504" s="3" t="s">
        <v>3794</v>
      </c>
      <c r="E1504" s="3" t="s">
        <v>4654</v>
      </c>
    </row>
    <row r="1505" spans="1:5" x14ac:dyDescent="0.35">
      <c r="A1505" s="3" t="s">
        <v>871</v>
      </c>
      <c r="E1505" s="3" t="s">
        <v>4656</v>
      </c>
    </row>
    <row r="1506" spans="1:5" x14ac:dyDescent="0.35">
      <c r="A1506" s="3" t="s">
        <v>3194</v>
      </c>
      <c r="E1506" s="3" t="s">
        <v>4658</v>
      </c>
    </row>
    <row r="1507" spans="1:5" x14ac:dyDescent="0.35">
      <c r="A1507" s="3" t="s">
        <v>6059</v>
      </c>
      <c r="E1507" s="3" t="s">
        <v>4662</v>
      </c>
    </row>
    <row r="1508" spans="1:5" x14ac:dyDescent="0.35">
      <c r="A1508" s="3" t="s">
        <v>2483</v>
      </c>
      <c r="E1508" s="3" t="s">
        <v>4663</v>
      </c>
    </row>
    <row r="1509" spans="1:5" x14ac:dyDescent="0.35">
      <c r="A1509" s="3" t="s">
        <v>4954</v>
      </c>
      <c r="E1509" s="3" t="s">
        <v>4665</v>
      </c>
    </row>
    <row r="1510" spans="1:5" x14ac:dyDescent="0.35">
      <c r="A1510" s="3" t="s">
        <v>1908</v>
      </c>
      <c r="E1510" s="3" t="s">
        <v>4667</v>
      </c>
    </row>
    <row r="1511" spans="1:5" x14ac:dyDescent="0.35">
      <c r="A1511" s="3" t="s">
        <v>859</v>
      </c>
      <c r="E1511" s="3" t="s">
        <v>4669</v>
      </c>
    </row>
    <row r="1512" spans="1:5" x14ac:dyDescent="0.35">
      <c r="A1512" s="3" t="s">
        <v>2425</v>
      </c>
      <c r="E1512" s="3" t="s">
        <v>4671</v>
      </c>
    </row>
    <row r="1513" spans="1:5" x14ac:dyDescent="0.35">
      <c r="A1513" s="3" t="s">
        <v>412</v>
      </c>
      <c r="E1513" s="3" t="s">
        <v>4673</v>
      </c>
    </row>
    <row r="1514" spans="1:5" x14ac:dyDescent="0.35">
      <c r="A1514" s="3" t="s">
        <v>5942</v>
      </c>
      <c r="E1514" s="3" t="s">
        <v>4677</v>
      </c>
    </row>
    <row r="1515" spans="1:5" x14ac:dyDescent="0.35">
      <c r="A1515" s="3" t="s">
        <v>4666</v>
      </c>
      <c r="E1515" s="3" t="s">
        <v>4681</v>
      </c>
    </row>
    <row r="1516" spans="1:5" x14ac:dyDescent="0.35">
      <c r="A1516" s="3" t="s">
        <v>3838</v>
      </c>
      <c r="E1516" s="3" t="s">
        <v>4683</v>
      </c>
    </row>
    <row r="1517" spans="1:5" x14ac:dyDescent="0.35">
      <c r="A1517" s="3" t="s">
        <v>5993</v>
      </c>
      <c r="E1517" s="3" t="s">
        <v>4685</v>
      </c>
    </row>
    <row r="1518" spans="1:5" x14ac:dyDescent="0.35">
      <c r="A1518" s="3" t="s">
        <v>801</v>
      </c>
      <c r="E1518" s="3" t="s">
        <v>4687</v>
      </c>
    </row>
    <row r="1519" spans="1:5" x14ac:dyDescent="0.35">
      <c r="A1519" s="3" t="s">
        <v>686</v>
      </c>
      <c r="E1519" s="3" t="s">
        <v>4691</v>
      </c>
    </row>
    <row r="1520" spans="1:5" x14ac:dyDescent="0.35">
      <c r="A1520" s="3" t="s">
        <v>1898</v>
      </c>
      <c r="E1520" s="3" t="s">
        <v>4692</v>
      </c>
    </row>
    <row r="1521" spans="1:5" x14ac:dyDescent="0.35">
      <c r="A1521" s="3" t="s">
        <v>3087</v>
      </c>
      <c r="E1521" s="3" t="s">
        <v>4694</v>
      </c>
    </row>
    <row r="1522" spans="1:5" x14ac:dyDescent="0.35">
      <c r="A1522" s="3" t="s">
        <v>453</v>
      </c>
      <c r="E1522" s="3" t="s">
        <v>4698</v>
      </c>
    </row>
    <row r="1523" spans="1:5" x14ac:dyDescent="0.35">
      <c r="A1523" s="3" t="s">
        <v>4797</v>
      </c>
      <c r="E1523" s="3" t="s">
        <v>4704</v>
      </c>
    </row>
    <row r="1524" spans="1:5" x14ac:dyDescent="0.35">
      <c r="A1524" s="3" t="s">
        <v>4597</v>
      </c>
      <c r="E1524" s="3" t="s">
        <v>4706</v>
      </c>
    </row>
    <row r="1525" spans="1:5" x14ac:dyDescent="0.35">
      <c r="A1525" s="3" t="s">
        <v>5964</v>
      </c>
      <c r="E1525" s="3" t="s">
        <v>4710</v>
      </c>
    </row>
    <row r="1526" spans="1:5" x14ac:dyDescent="0.35">
      <c r="A1526" s="3" t="s">
        <v>5415</v>
      </c>
      <c r="E1526" s="3" t="s">
        <v>4717</v>
      </c>
    </row>
    <row r="1527" spans="1:5" x14ac:dyDescent="0.35">
      <c r="A1527" s="3" t="s">
        <v>1851</v>
      </c>
      <c r="E1527" s="3" t="s">
        <v>4719</v>
      </c>
    </row>
    <row r="1528" spans="1:5" x14ac:dyDescent="0.35">
      <c r="A1528" s="3" t="s">
        <v>6084</v>
      </c>
      <c r="E1528" s="3" t="s">
        <v>4721</v>
      </c>
    </row>
    <row r="1529" spans="1:5" x14ac:dyDescent="0.35">
      <c r="A1529" s="3" t="s">
        <v>2575</v>
      </c>
      <c r="E1529" s="3" t="s">
        <v>4722</v>
      </c>
    </row>
    <row r="1530" spans="1:5" x14ac:dyDescent="0.35">
      <c r="A1530" s="3" t="s">
        <v>4185</v>
      </c>
      <c r="E1530" s="3" t="s">
        <v>4726</v>
      </c>
    </row>
    <row r="1531" spans="1:5" x14ac:dyDescent="0.35">
      <c r="A1531" s="3" t="s">
        <v>4071</v>
      </c>
      <c r="E1531" s="3" t="s">
        <v>4730</v>
      </c>
    </row>
    <row r="1532" spans="1:5" x14ac:dyDescent="0.35">
      <c r="A1532" s="3" t="s">
        <v>4795</v>
      </c>
      <c r="E1532" s="3" t="s">
        <v>4732</v>
      </c>
    </row>
    <row r="1533" spans="1:5" x14ac:dyDescent="0.35">
      <c r="A1533" s="3" t="s">
        <v>4307</v>
      </c>
      <c r="E1533" s="3" t="s">
        <v>4736</v>
      </c>
    </row>
    <row r="1534" spans="1:5" x14ac:dyDescent="0.35">
      <c r="A1534" s="3" t="s">
        <v>2038</v>
      </c>
      <c r="E1534" s="3" t="s">
        <v>4740</v>
      </c>
    </row>
    <row r="1535" spans="1:5" x14ac:dyDescent="0.35">
      <c r="A1535" s="3" t="s">
        <v>3466</v>
      </c>
      <c r="E1535" s="3" t="s">
        <v>4742</v>
      </c>
    </row>
    <row r="1536" spans="1:5" x14ac:dyDescent="0.35">
      <c r="A1536" s="3" t="s">
        <v>1188</v>
      </c>
      <c r="E1536" s="3" t="s">
        <v>4743</v>
      </c>
    </row>
    <row r="1537" spans="1:5" x14ac:dyDescent="0.35">
      <c r="A1537" s="3" t="s">
        <v>4894</v>
      </c>
      <c r="E1537" s="3" t="s">
        <v>4745</v>
      </c>
    </row>
    <row r="1538" spans="1:5" x14ac:dyDescent="0.35">
      <c r="A1538" s="3" t="s">
        <v>2171</v>
      </c>
      <c r="E1538" s="3" t="s">
        <v>4747</v>
      </c>
    </row>
    <row r="1539" spans="1:5" x14ac:dyDescent="0.35">
      <c r="A1539" s="3" t="s">
        <v>2395</v>
      </c>
      <c r="E1539" s="3" t="s">
        <v>4749</v>
      </c>
    </row>
    <row r="1540" spans="1:5" x14ac:dyDescent="0.35">
      <c r="A1540" s="3" t="s">
        <v>174</v>
      </c>
      <c r="E1540" s="3" t="s">
        <v>4751</v>
      </c>
    </row>
    <row r="1541" spans="1:5" x14ac:dyDescent="0.35">
      <c r="A1541" s="3" t="s">
        <v>3824</v>
      </c>
      <c r="E1541" s="3" t="s">
        <v>4753</v>
      </c>
    </row>
    <row r="1542" spans="1:5" x14ac:dyDescent="0.35">
      <c r="A1542" s="3" t="s">
        <v>2320</v>
      </c>
      <c r="E1542" s="3" t="s">
        <v>4755</v>
      </c>
    </row>
    <row r="1543" spans="1:5" x14ac:dyDescent="0.35">
      <c r="A1543" s="3" t="s">
        <v>3006</v>
      </c>
      <c r="E1543" s="3" t="s">
        <v>4759</v>
      </c>
    </row>
    <row r="1544" spans="1:5" x14ac:dyDescent="0.35">
      <c r="A1544" s="3" t="s">
        <v>2964</v>
      </c>
      <c r="E1544" s="3" t="s">
        <v>4763</v>
      </c>
    </row>
    <row r="1545" spans="1:5" x14ac:dyDescent="0.35">
      <c r="A1545" s="3" t="s">
        <v>1050</v>
      </c>
      <c r="E1545" s="3" t="s">
        <v>4770</v>
      </c>
    </row>
    <row r="1546" spans="1:5" x14ac:dyDescent="0.35">
      <c r="A1546" s="3" t="s">
        <v>2621</v>
      </c>
      <c r="E1546" s="3" t="s">
        <v>4776</v>
      </c>
    </row>
    <row r="1547" spans="1:5" x14ac:dyDescent="0.35">
      <c r="A1547" s="3" t="s">
        <v>4744</v>
      </c>
      <c r="E1547" s="3" t="s">
        <v>4778</v>
      </c>
    </row>
    <row r="1548" spans="1:5" x14ac:dyDescent="0.35">
      <c r="A1548" s="3" t="s">
        <v>4938</v>
      </c>
      <c r="E1548" s="3" t="s">
        <v>4780</v>
      </c>
    </row>
    <row r="1549" spans="1:5" x14ac:dyDescent="0.35">
      <c r="A1549" s="3" t="s">
        <v>1661</v>
      </c>
      <c r="E1549" s="3" t="s">
        <v>4782</v>
      </c>
    </row>
    <row r="1550" spans="1:5" x14ac:dyDescent="0.35">
      <c r="A1550" s="3" t="s">
        <v>3865</v>
      </c>
      <c r="E1550" s="3" t="s">
        <v>4784</v>
      </c>
    </row>
    <row r="1551" spans="1:5" x14ac:dyDescent="0.35">
      <c r="A1551" s="3" t="s">
        <v>4357</v>
      </c>
      <c r="E1551" s="3" t="s">
        <v>4788</v>
      </c>
    </row>
    <row r="1552" spans="1:5" x14ac:dyDescent="0.35">
      <c r="A1552" s="3" t="s">
        <v>5159</v>
      </c>
      <c r="E1552" s="3" t="s">
        <v>4790</v>
      </c>
    </row>
    <row r="1553" spans="1:5" x14ac:dyDescent="0.35">
      <c r="A1553" s="3" t="s">
        <v>1591</v>
      </c>
      <c r="E1553" s="3" t="s">
        <v>4794</v>
      </c>
    </row>
    <row r="1554" spans="1:5" x14ac:dyDescent="0.35">
      <c r="A1554" s="3" t="s">
        <v>3364</v>
      </c>
      <c r="E1554" s="3" t="s">
        <v>4796</v>
      </c>
    </row>
    <row r="1555" spans="1:5" x14ac:dyDescent="0.35">
      <c r="A1555" s="3" t="s">
        <v>1337</v>
      </c>
      <c r="E1555" s="3" t="s">
        <v>4798</v>
      </c>
    </row>
    <row r="1556" spans="1:5" x14ac:dyDescent="0.35">
      <c r="A1556" s="3" t="s">
        <v>4688</v>
      </c>
      <c r="E1556" s="3" t="s">
        <v>4802</v>
      </c>
    </row>
    <row r="1557" spans="1:5" x14ac:dyDescent="0.35">
      <c r="A1557" s="3" t="s">
        <v>1682</v>
      </c>
      <c r="E1557" s="3" t="s">
        <v>4804</v>
      </c>
    </row>
    <row r="1558" spans="1:5" x14ac:dyDescent="0.35">
      <c r="A1558" s="3" t="s">
        <v>3681</v>
      </c>
      <c r="E1558" s="3" t="s">
        <v>4806</v>
      </c>
    </row>
    <row r="1559" spans="1:5" x14ac:dyDescent="0.35">
      <c r="A1559" s="3" t="s">
        <v>3897</v>
      </c>
      <c r="E1559" s="3" t="s">
        <v>4808</v>
      </c>
    </row>
    <row r="1560" spans="1:5" x14ac:dyDescent="0.35">
      <c r="A1560" s="3" t="s">
        <v>5192</v>
      </c>
      <c r="E1560" s="3" t="s">
        <v>4812</v>
      </c>
    </row>
    <row r="1561" spans="1:5" x14ac:dyDescent="0.35">
      <c r="A1561" s="3" t="s">
        <v>4439</v>
      </c>
      <c r="E1561" s="3" t="s">
        <v>4822</v>
      </c>
    </row>
    <row r="1562" spans="1:5" x14ac:dyDescent="0.35">
      <c r="A1562" s="3" t="s">
        <v>3935</v>
      </c>
      <c r="E1562" s="3" t="s">
        <v>4831</v>
      </c>
    </row>
    <row r="1563" spans="1:5" x14ac:dyDescent="0.35">
      <c r="A1563" s="3" t="s">
        <v>3621</v>
      </c>
      <c r="E1563" s="3" t="s">
        <v>4833</v>
      </c>
    </row>
    <row r="1564" spans="1:5" x14ac:dyDescent="0.35">
      <c r="A1564" s="3" t="s">
        <v>133</v>
      </c>
      <c r="E1564" s="3" t="s">
        <v>4835</v>
      </c>
    </row>
    <row r="1565" spans="1:5" x14ac:dyDescent="0.35">
      <c r="A1565" s="3" t="s">
        <v>2749</v>
      </c>
      <c r="E1565" s="3" t="s">
        <v>4837</v>
      </c>
    </row>
    <row r="1566" spans="1:5" x14ac:dyDescent="0.35">
      <c r="A1566" s="3" t="s">
        <v>393</v>
      </c>
      <c r="E1566" s="3" t="s">
        <v>4839</v>
      </c>
    </row>
    <row r="1567" spans="1:5" x14ac:dyDescent="0.35">
      <c r="A1567" s="3" t="s">
        <v>2048</v>
      </c>
      <c r="E1567" s="3" t="s">
        <v>4841</v>
      </c>
    </row>
    <row r="1568" spans="1:5" x14ac:dyDescent="0.35">
      <c r="A1568" s="3" t="s">
        <v>5695</v>
      </c>
      <c r="E1568" s="3" t="s">
        <v>4843</v>
      </c>
    </row>
    <row r="1569" spans="1:5" x14ac:dyDescent="0.35">
      <c r="A1569" s="3" t="s">
        <v>5005</v>
      </c>
      <c r="E1569" s="3" t="s">
        <v>4845</v>
      </c>
    </row>
    <row r="1570" spans="1:5" x14ac:dyDescent="0.35">
      <c r="A1570" s="3" t="s">
        <v>3537</v>
      </c>
      <c r="E1570" s="3" t="s">
        <v>4847</v>
      </c>
    </row>
    <row r="1571" spans="1:5" x14ac:dyDescent="0.35">
      <c r="A1571" s="3" t="s">
        <v>322</v>
      </c>
      <c r="E1571" s="3" t="s">
        <v>4849</v>
      </c>
    </row>
    <row r="1572" spans="1:5" x14ac:dyDescent="0.35">
      <c r="A1572" s="3" t="s">
        <v>5521</v>
      </c>
      <c r="E1572" s="3" t="s">
        <v>4857</v>
      </c>
    </row>
    <row r="1573" spans="1:5" x14ac:dyDescent="0.35">
      <c r="A1573" s="3" t="s">
        <v>4760</v>
      </c>
      <c r="E1573" s="3" t="s">
        <v>4863</v>
      </c>
    </row>
    <row r="1574" spans="1:5" x14ac:dyDescent="0.35">
      <c r="A1574" s="3" t="s">
        <v>2413</v>
      </c>
      <c r="E1574" s="3" t="s">
        <v>4865</v>
      </c>
    </row>
    <row r="1575" spans="1:5" x14ac:dyDescent="0.35">
      <c r="A1575" s="3" t="s">
        <v>2823</v>
      </c>
      <c r="E1575" s="3" t="s">
        <v>4867</v>
      </c>
    </row>
    <row r="1576" spans="1:5" x14ac:dyDescent="0.35">
      <c r="A1576" s="3" t="s">
        <v>2986</v>
      </c>
      <c r="E1576" s="3" t="s">
        <v>4875</v>
      </c>
    </row>
    <row r="1577" spans="1:5" x14ac:dyDescent="0.35">
      <c r="A1577" s="3" t="s">
        <v>1295</v>
      </c>
      <c r="E1577" s="3" t="s">
        <v>4877</v>
      </c>
    </row>
    <row r="1578" spans="1:5" x14ac:dyDescent="0.35">
      <c r="A1578" s="3" t="s">
        <v>1753</v>
      </c>
      <c r="E1578" s="3" t="s">
        <v>4885</v>
      </c>
    </row>
    <row r="1579" spans="1:5" x14ac:dyDescent="0.35">
      <c r="A1579" s="3" t="s">
        <v>1479</v>
      </c>
      <c r="E1579" s="3" t="s">
        <v>4887</v>
      </c>
    </row>
    <row r="1580" spans="1:5" x14ac:dyDescent="0.35">
      <c r="A1580" s="3" t="s">
        <v>2693</v>
      </c>
      <c r="E1580" s="3" t="s">
        <v>4889</v>
      </c>
    </row>
    <row r="1581" spans="1:5" x14ac:dyDescent="0.35">
      <c r="A1581" s="3" t="s">
        <v>1411</v>
      </c>
      <c r="E1581" s="3" t="s">
        <v>4893</v>
      </c>
    </row>
    <row r="1582" spans="1:5" x14ac:dyDescent="0.35">
      <c r="A1582" s="3" t="s">
        <v>1028</v>
      </c>
      <c r="E1582" s="3" t="s">
        <v>4899</v>
      </c>
    </row>
    <row r="1583" spans="1:5" x14ac:dyDescent="0.35">
      <c r="A1583" s="3" t="s">
        <v>6003</v>
      </c>
      <c r="E1583" s="3" t="s">
        <v>4901</v>
      </c>
    </row>
    <row r="1584" spans="1:5" x14ac:dyDescent="0.35">
      <c r="A1584" s="3" t="s">
        <v>207</v>
      </c>
      <c r="E1584" s="3" t="s">
        <v>4903</v>
      </c>
    </row>
    <row r="1585" spans="1:5" x14ac:dyDescent="0.35">
      <c r="A1585" s="3" t="s">
        <v>3055</v>
      </c>
      <c r="E1585" s="3" t="s">
        <v>4905</v>
      </c>
    </row>
    <row r="1586" spans="1:5" x14ac:dyDescent="0.35">
      <c r="A1586" s="3" t="s">
        <v>1094</v>
      </c>
      <c r="E1586" s="3" t="s">
        <v>4909</v>
      </c>
    </row>
    <row r="1587" spans="1:5" x14ac:dyDescent="0.35">
      <c r="A1587" s="3" t="s">
        <v>5801</v>
      </c>
      <c r="E1587" s="3" t="s">
        <v>4913</v>
      </c>
    </row>
    <row r="1588" spans="1:5" x14ac:dyDescent="0.35">
      <c r="A1588" s="3" t="s">
        <v>5946</v>
      </c>
      <c r="E1588" s="3" t="s">
        <v>4921</v>
      </c>
    </row>
    <row r="1589" spans="1:5" x14ac:dyDescent="0.35">
      <c r="A1589" s="3" t="s">
        <v>3442</v>
      </c>
      <c r="E1589" s="3" t="s">
        <v>4923</v>
      </c>
    </row>
    <row r="1590" spans="1:5" x14ac:dyDescent="0.35">
      <c r="A1590" s="3" t="s">
        <v>327</v>
      </c>
      <c r="E1590" s="3" t="s">
        <v>4925</v>
      </c>
    </row>
    <row r="1591" spans="1:5" x14ac:dyDescent="0.35">
      <c r="A1591" s="3" t="s">
        <v>5091</v>
      </c>
      <c r="E1591" s="3" t="s">
        <v>4927</v>
      </c>
    </row>
    <row r="1592" spans="1:5" x14ac:dyDescent="0.35">
      <c r="A1592" s="3" t="s">
        <v>4487</v>
      </c>
      <c r="E1592" s="3" t="s">
        <v>4929</v>
      </c>
    </row>
    <row r="1593" spans="1:5" x14ac:dyDescent="0.35">
      <c r="A1593" s="3" t="s">
        <v>5785</v>
      </c>
      <c r="E1593" s="3" t="s">
        <v>4933</v>
      </c>
    </row>
    <row r="1594" spans="1:5" x14ac:dyDescent="0.35">
      <c r="A1594" s="3" t="s">
        <v>341</v>
      </c>
      <c r="E1594" s="3" t="s">
        <v>4935</v>
      </c>
    </row>
    <row r="1595" spans="1:5" x14ac:dyDescent="0.35">
      <c r="A1595" s="3" t="s">
        <v>4169</v>
      </c>
      <c r="E1595" s="3" t="s">
        <v>4937</v>
      </c>
    </row>
    <row r="1596" spans="1:5" x14ac:dyDescent="0.35">
      <c r="A1596" s="3" t="s">
        <v>779</v>
      </c>
      <c r="E1596" s="3" t="s">
        <v>4939</v>
      </c>
    </row>
    <row r="1597" spans="1:5" x14ac:dyDescent="0.35">
      <c r="A1597" s="3" t="s">
        <v>2619</v>
      </c>
      <c r="E1597" s="3" t="s">
        <v>4943</v>
      </c>
    </row>
    <row r="1598" spans="1:5" x14ac:dyDescent="0.35">
      <c r="A1598" s="3" t="s">
        <v>545</v>
      </c>
      <c r="E1598" s="3" t="s">
        <v>4945</v>
      </c>
    </row>
    <row r="1599" spans="1:5" x14ac:dyDescent="0.35">
      <c r="A1599" s="3" t="s">
        <v>4108</v>
      </c>
      <c r="E1599" s="3" t="s">
        <v>4947</v>
      </c>
    </row>
    <row r="1600" spans="1:5" x14ac:dyDescent="0.35">
      <c r="A1600" s="3" t="s">
        <v>1076</v>
      </c>
      <c r="E1600" s="3" t="s">
        <v>4949</v>
      </c>
    </row>
    <row r="1601" spans="1:5" x14ac:dyDescent="0.35">
      <c r="A1601" s="3" t="s">
        <v>5468</v>
      </c>
      <c r="E1601" s="3" t="s">
        <v>4951</v>
      </c>
    </row>
    <row r="1602" spans="1:5" x14ac:dyDescent="0.35">
      <c r="A1602" s="3" t="s">
        <v>1178</v>
      </c>
      <c r="E1602" s="3" t="s">
        <v>4953</v>
      </c>
    </row>
    <row r="1603" spans="1:5" x14ac:dyDescent="0.35">
      <c r="A1603" s="3" t="s">
        <v>3836</v>
      </c>
      <c r="E1603" s="3" t="s">
        <v>4959</v>
      </c>
    </row>
    <row r="1604" spans="1:5" x14ac:dyDescent="0.35">
      <c r="A1604" s="3" t="s">
        <v>2771</v>
      </c>
      <c r="E1604" s="3" t="s">
        <v>4961</v>
      </c>
    </row>
    <row r="1605" spans="1:5" x14ac:dyDescent="0.35">
      <c r="A1605" s="3" t="s">
        <v>2729</v>
      </c>
      <c r="E1605" s="3" t="s">
        <v>4964</v>
      </c>
    </row>
    <row r="1606" spans="1:5" x14ac:dyDescent="0.35">
      <c r="A1606" s="3" t="s">
        <v>1459</v>
      </c>
      <c r="E1606" s="3" t="s">
        <v>4966</v>
      </c>
    </row>
    <row r="1607" spans="1:5" x14ac:dyDescent="0.35">
      <c r="A1607" s="3" t="s">
        <v>5087</v>
      </c>
      <c r="E1607" s="3" t="s">
        <v>4968</v>
      </c>
    </row>
    <row r="1608" spans="1:5" x14ac:dyDescent="0.35">
      <c r="A1608" s="3" t="s">
        <v>3543</v>
      </c>
      <c r="E1608" s="3" t="s">
        <v>4975</v>
      </c>
    </row>
    <row r="1609" spans="1:5" x14ac:dyDescent="0.35">
      <c r="A1609" s="3" t="s">
        <v>1763</v>
      </c>
      <c r="E1609" s="3" t="s">
        <v>4979</v>
      </c>
    </row>
    <row r="1610" spans="1:5" x14ac:dyDescent="0.35">
      <c r="A1610" s="3" t="s">
        <v>3647</v>
      </c>
      <c r="E1610" s="3" t="s">
        <v>4983</v>
      </c>
    </row>
    <row r="1611" spans="1:5" x14ac:dyDescent="0.35">
      <c r="A1611" s="3" t="s">
        <v>4647</v>
      </c>
      <c r="E1611" s="3" t="s">
        <v>4985</v>
      </c>
    </row>
    <row r="1612" spans="1:5" x14ac:dyDescent="0.35">
      <c r="A1612" s="3" t="s">
        <v>3788</v>
      </c>
      <c r="E1612" s="3" t="s">
        <v>4987</v>
      </c>
    </row>
    <row r="1613" spans="1:5" x14ac:dyDescent="0.35">
      <c r="A1613" s="3" t="s">
        <v>4285</v>
      </c>
      <c r="E1613" s="3" t="s">
        <v>4989</v>
      </c>
    </row>
    <row r="1614" spans="1:5" x14ac:dyDescent="0.35">
      <c r="A1614" s="3" t="s">
        <v>1525</v>
      </c>
      <c r="E1614" s="3" t="s">
        <v>4993</v>
      </c>
    </row>
    <row r="1615" spans="1:5" x14ac:dyDescent="0.35">
      <c r="A1615" s="3" t="s">
        <v>5970</v>
      </c>
      <c r="E1615" s="3" t="s">
        <v>4996</v>
      </c>
    </row>
    <row r="1616" spans="1:5" x14ac:dyDescent="0.35">
      <c r="A1616" s="3" t="s">
        <v>3512</v>
      </c>
      <c r="E1616" s="3" t="s">
        <v>5000</v>
      </c>
    </row>
    <row r="1617" spans="1:5" x14ac:dyDescent="0.35">
      <c r="A1617" s="3" t="s">
        <v>5315</v>
      </c>
      <c r="E1617" s="3" t="s">
        <v>5002</v>
      </c>
    </row>
    <row r="1618" spans="1:5" x14ac:dyDescent="0.35">
      <c r="A1618" s="3" t="s">
        <v>4091</v>
      </c>
      <c r="E1618" s="3" t="s">
        <v>5004</v>
      </c>
    </row>
    <row r="1619" spans="1:5" x14ac:dyDescent="0.35">
      <c r="A1619" s="3" t="s">
        <v>938</v>
      </c>
      <c r="E1619" s="3" t="s">
        <v>5006</v>
      </c>
    </row>
    <row r="1620" spans="1:5" x14ac:dyDescent="0.35">
      <c r="A1620" s="3" t="s">
        <v>1259</v>
      </c>
      <c r="E1620" s="3" t="s">
        <v>5014</v>
      </c>
    </row>
    <row r="1621" spans="1:5" x14ac:dyDescent="0.35">
      <c r="A1621" s="3" t="s">
        <v>495</v>
      </c>
      <c r="E1621" s="3" t="s">
        <v>5016</v>
      </c>
    </row>
    <row r="1622" spans="1:5" x14ac:dyDescent="0.35">
      <c r="A1622" s="3" t="s">
        <v>399</v>
      </c>
      <c r="E1622" s="3" t="s">
        <v>5020</v>
      </c>
    </row>
    <row r="1623" spans="1:5" x14ac:dyDescent="0.35">
      <c r="A1623" s="3" t="s">
        <v>1275</v>
      </c>
      <c r="E1623" s="3" t="s">
        <v>5024</v>
      </c>
    </row>
    <row r="1624" spans="1:5" x14ac:dyDescent="0.35">
      <c r="A1624" s="3" t="s">
        <v>5175</v>
      </c>
      <c r="E1624" s="3" t="s">
        <v>5026</v>
      </c>
    </row>
    <row r="1625" spans="1:5" x14ac:dyDescent="0.35">
      <c r="A1625" s="3" t="s">
        <v>5045</v>
      </c>
      <c r="E1625" s="3" t="s">
        <v>5028</v>
      </c>
    </row>
    <row r="1626" spans="1:5" x14ac:dyDescent="0.35">
      <c r="A1626" s="3" t="s">
        <v>2916</v>
      </c>
      <c r="E1626" s="3" t="s">
        <v>5034</v>
      </c>
    </row>
    <row r="1627" spans="1:5" x14ac:dyDescent="0.35">
      <c r="A1627" s="3" t="s">
        <v>2252</v>
      </c>
      <c r="E1627" s="3" t="s">
        <v>5036</v>
      </c>
    </row>
    <row r="1628" spans="1:5" x14ac:dyDescent="0.35">
      <c r="A1628" s="3" t="s">
        <v>5907</v>
      </c>
      <c r="E1628" s="3" t="s">
        <v>5038</v>
      </c>
    </row>
    <row r="1629" spans="1:5" x14ac:dyDescent="0.35">
      <c r="A1629" s="3" t="s">
        <v>4686</v>
      </c>
      <c r="E1629" s="3" t="s">
        <v>5040</v>
      </c>
    </row>
    <row r="1630" spans="1:5" x14ac:dyDescent="0.35">
      <c r="A1630" s="3" t="s">
        <v>4099</v>
      </c>
      <c r="E1630" s="3" t="s">
        <v>5042</v>
      </c>
    </row>
    <row r="1631" spans="1:5" x14ac:dyDescent="0.35">
      <c r="A1631" s="3" t="s">
        <v>3786</v>
      </c>
      <c r="E1631" s="3" t="s">
        <v>5044</v>
      </c>
    </row>
    <row r="1632" spans="1:5" x14ac:dyDescent="0.35">
      <c r="A1632" s="3" t="s">
        <v>2924</v>
      </c>
      <c r="E1632" s="3" t="s">
        <v>5046</v>
      </c>
    </row>
    <row r="1633" spans="1:5" x14ac:dyDescent="0.35">
      <c r="A1633" s="3" t="s">
        <v>5558</v>
      </c>
      <c r="E1633" s="3" t="s">
        <v>5048</v>
      </c>
    </row>
    <row r="1634" spans="1:5" x14ac:dyDescent="0.35">
      <c r="A1634" s="3" t="s">
        <v>6047</v>
      </c>
      <c r="E1634" s="3" t="s">
        <v>5050</v>
      </c>
    </row>
    <row r="1635" spans="1:5" x14ac:dyDescent="0.35">
      <c r="A1635" s="3" t="s">
        <v>1104</v>
      </c>
      <c r="E1635" s="3" t="s">
        <v>5058</v>
      </c>
    </row>
    <row r="1636" spans="1:5" x14ac:dyDescent="0.35">
      <c r="A1636" s="3" t="s">
        <v>952</v>
      </c>
      <c r="E1636" s="3" t="s">
        <v>5060</v>
      </c>
    </row>
    <row r="1637" spans="1:5" x14ac:dyDescent="0.35">
      <c r="A1637" s="3" t="s">
        <v>2337</v>
      </c>
      <c r="E1637" s="3" t="s">
        <v>5062</v>
      </c>
    </row>
    <row r="1638" spans="1:5" x14ac:dyDescent="0.35">
      <c r="A1638" s="3" t="s">
        <v>577</v>
      </c>
      <c r="E1638" s="3" t="s">
        <v>5064</v>
      </c>
    </row>
    <row r="1639" spans="1:5" x14ac:dyDescent="0.35">
      <c r="A1639" s="3" t="s">
        <v>5803</v>
      </c>
      <c r="E1639" s="3" t="s">
        <v>5068</v>
      </c>
    </row>
    <row r="1640" spans="1:5" x14ac:dyDescent="0.35">
      <c r="A1640" s="3" t="s">
        <v>1755</v>
      </c>
      <c r="E1640" s="3" t="s">
        <v>5072</v>
      </c>
    </row>
    <row r="1641" spans="1:5" x14ac:dyDescent="0.35">
      <c r="A1641" s="3" t="s">
        <v>4272</v>
      </c>
      <c r="E1641" s="3" t="s">
        <v>5074</v>
      </c>
    </row>
    <row r="1642" spans="1:5" x14ac:dyDescent="0.35">
      <c r="A1642" s="3" t="s">
        <v>5466</v>
      </c>
      <c r="E1642" s="3" t="s">
        <v>5078</v>
      </c>
    </row>
    <row r="1643" spans="1:5" x14ac:dyDescent="0.35">
      <c r="A1643" s="3" t="s">
        <v>869</v>
      </c>
      <c r="E1643" s="3" t="s">
        <v>5080</v>
      </c>
    </row>
    <row r="1644" spans="1:5" x14ac:dyDescent="0.35">
      <c r="A1644" s="3" t="s">
        <v>4607</v>
      </c>
      <c r="E1644" s="3" t="s">
        <v>5082</v>
      </c>
    </row>
    <row r="1645" spans="1:5" x14ac:dyDescent="0.35">
      <c r="A1645" s="3" t="s">
        <v>4279</v>
      </c>
      <c r="E1645" s="3" t="s">
        <v>5084</v>
      </c>
    </row>
    <row r="1646" spans="1:5" x14ac:dyDescent="0.35">
      <c r="A1646" s="3" t="s">
        <v>1759</v>
      </c>
      <c r="E1646" s="3" t="s">
        <v>5086</v>
      </c>
    </row>
    <row r="1647" spans="1:5" x14ac:dyDescent="0.35">
      <c r="A1647" s="3" t="s">
        <v>5952</v>
      </c>
      <c r="E1647" s="3" t="s">
        <v>5090</v>
      </c>
    </row>
    <row r="1648" spans="1:5" x14ac:dyDescent="0.35">
      <c r="A1648" s="3" t="s">
        <v>4850</v>
      </c>
      <c r="E1648" s="3" t="s">
        <v>5094</v>
      </c>
    </row>
    <row r="1649" spans="1:5" x14ac:dyDescent="0.35">
      <c r="A1649" s="3" t="s">
        <v>5966</v>
      </c>
      <c r="E1649" s="3" t="s">
        <v>5096</v>
      </c>
    </row>
    <row r="1650" spans="1:5" x14ac:dyDescent="0.35">
      <c r="A1650" s="3" t="s">
        <v>1070</v>
      </c>
      <c r="E1650" s="3" t="s">
        <v>5102</v>
      </c>
    </row>
    <row r="1651" spans="1:5" x14ac:dyDescent="0.35">
      <c r="A1651" s="3" t="s">
        <v>3097</v>
      </c>
      <c r="E1651" s="3" t="s">
        <v>5104</v>
      </c>
    </row>
    <row r="1652" spans="1:5" x14ac:dyDescent="0.35">
      <c r="A1652" s="3" t="s">
        <v>1988</v>
      </c>
      <c r="E1652" s="3" t="s">
        <v>5108</v>
      </c>
    </row>
    <row r="1653" spans="1:5" x14ac:dyDescent="0.35">
      <c r="A1653" s="3" t="s">
        <v>3032</v>
      </c>
      <c r="E1653" s="3" t="s">
        <v>5112</v>
      </c>
    </row>
    <row r="1654" spans="1:5" x14ac:dyDescent="0.35">
      <c r="A1654" s="3" t="s">
        <v>4151</v>
      </c>
      <c r="E1654" s="3" t="s">
        <v>5114</v>
      </c>
    </row>
    <row r="1655" spans="1:5" x14ac:dyDescent="0.35">
      <c r="A1655" s="3" t="s">
        <v>4922</v>
      </c>
      <c r="E1655" s="3" t="s">
        <v>5116</v>
      </c>
    </row>
    <row r="1656" spans="1:5" x14ac:dyDescent="0.35">
      <c r="A1656" s="3" t="s">
        <v>4245</v>
      </c>
      <c r="E1656" s="3" t="s">
        <v>5118</v>
      </c>
    </row>
    <row r="1657" spans="1:5" x14ac:dyDescent="0.35">
      <c r="A1657" s="3" t="s">
        <v>1531</v>
      </c>
      <c r="E1657" s="3" t="s">
        <v>5120</v>
      </c>
    </row>
    <row r="1658" spans="1:5" x14ac:dyDescent="0.35">
      <c r="A1658" s="3" t="s">
        <v>3422</v>
      </c>
      <c r="E1658" s="3" t="s">
        <v>5122</v>
      </c>
    </row>
    <row r="1659" spans="1:5" x14ac:dyDescent="0.35">
      <c r="A1659" s="3" t="s">
        <v>5254</v>
      </c>
      <c r="E1659" s="3" t="s">
        <v>5124</v>
      </c>
    </row>
    <row r="1660" spans="1:5" x14ac:dyDescent="0.35">
      <c r="A1660" s="3" t="s">
        <v>1048</v>
      </c>
      <c r="E1660" s="3" t="s">
        <v>5126</v>
      </c>
    </row>
    <row r="1661" spans="1:5" x14ac:dyDescent="0.35">
      <c r="A1661" s="3" t="s">
        <v>3802</v>
      </c>
      <c r="E1661" s="3" t="s">
        <v>5128</v>
      </c>
    </row>
    <row r="1662" spans="1:5" x14ac:dyDescent="0.35">
      <c r="A1662" s="3" t="s">
        <v>2526</v>
      </c>
      <c r="E1662" s="3" t="s">
        <v>5130</v>
      </c>
    </row>
    <row r="1663" spans="1:5" x14ac:dyDescent="0.35">
      <c r="A1663" s="3" t="s">
        <v>3784</v>
      </c>
      <c r="E1663" s="3" t="s">
        <v>5132</v>
      </c>
    </row>
    <row r="1664" spans="1:5" x14ac:dyDescent="0.35">
      <c r="A1664" s="3" t="s">
        <v>5284</v>
      </c>
      <c r="E1664" s="3" t="s">
        <v>5134</v>
      </c>
    </row>
    <row r="1665" spans="1:5" x14ac:dyDescent="0.35">
      <c r="A1665" s="3" t="s">
        <v>3885</v>
      </c>
      <c r="E1665" s="3" t="s">
        <v>5140</v>
      </c>
    </row>
    <row r="1666" spans="1:5" x14ac:dyDescent="0.35">
      <c r="A1666" s="3" t="s">
        <v>4073</v>
      </c>
      <c r="E1666" s="3" t="s">
        <v>5144</v>
      </c>
    </row>
    <row r="1667" spans="1:5" x14ac:dyDescent="0.35">
      <c r="A1667" s="3" t="s">
        <v>514</v>
      </c>
      <c r="E1667" s="3" t="s">
        <v>5146</v>
      </c>
    </row>
    <row r="1668" spans="1:5" x14ac:dyDescent="0.35">
      <c r="A1668" s="3" t="s">
        <v>1126</v>
      </c>
      <c r="E1668" s="3" t="s">
        <v>5148</v>
      </c>
    </row>
    <row r="1669" spans="1:5" x14ac:dyDescent="0.35">
      <c r="A1669" s="3" t="s">
        <v>4349</v>
      </c>
      <c r="E1669" s="3" t="s">
        <v>5150</v>
      </c>
    </row>
    <row r="1670" spans="1:5" x14ac:dyDescent="0.35">
      <c r="A1670" s="3" t="s">
        <v>3578</v>
      </c>
      <c r="E1670" s="3" t="s">
        <v>5154</v>
      </c>
    </row>
    <row r="1671" spans="1:5" x14ac:dyDescent="0.35">
      <c r="A1671" s="3" t="s">
        <v>5663</v>
      </c>
      <c r="E1671" s="3" t="s">
        <v>5156</v>
      </c>
    </row>
    <row r="1672" spans="1:5" x14ac:dyDescent="0.35">
      <c r="A1672" s="3" t="s">
        <v>2765</v>
      </c>
      <c r="E1672" s="3" t="s">
        <v>5158</v>
      </c>
    </row>
    <row r="1673" spans="1:5" x14ac:dyDescent="0.35">
      <c r="A1673" s="3" t="s">
        <v>1986</v>
      </c>
      <c r="E1673" s="3" t="s">
        <v>5160</v>
      </c>
    </row>
    <row r="1674" spans="1:5" x14ac:dyDescent="0.35">
      <c r="A1674" s="3" t="s">
        <v>4720</v>
      </c>
      <c r="E1674" s="3" t="s">
        <v>5162</v>
      </c>
    </row>
    <row r="1675" spans="1:5" x14ac:dyDescent="0.35">
      <c r="A1675" s="3" t="s">
        <v>2577</v>
      </c>
      <c r="E1675" s="3" t="s">
        <v>5166</v>
      </c>
    </row>
    <row r="1676" spans="1:5" x14ac:dyDescent="0.35">
      <c r="A1676" s="3" t="s">
        <v>3861</v>
      </c>
      <c r="E1676" s="3" t="s">
        <v>5168</v>
      </c>
    </row>
    <row r="1677" spans="1:5" x14ac:dyDescent="0.35">
      <c r="A1677" s="3" t="s">
        <v>3303</v>
      </c>
      <c r="E1677" s="3" t="s">
        <v>5170</v>
      </c>
    </row>
    <row r="1678" spans="1:5" x14ac:dyDescent="0.35">
      <c r="A1678" s="3" t="s">
        <v>3238</v>
      </c>
      <c r="E1678" s="3" t="s">
        <v>5172</v>
      </c>
    </row>
    <row r="1679" spans="1:5" x14ac:dyDescent="0.35">
      <c r="A1679" s="3" t="s">
        <v>4287</v>
      </c>
      <c r="E1679" s="3" t="s">
        <v>5174</v>
      </c>
    </row>
    <row r="1680" spans="1:5" x14ac:dyDescent="0.35">
      <c r="A1680" s="3" t="s">
        <v>2222</v>
      </c>
      <c r="E1680" s="3" t="s">
        <v>5178</v>
      </c>
    </row>
    <row r="1681" spans="1:5" x14ac:dyDescent="0.35">
      <c r="A1681" s="3" t="s">
        <v>1477</v>
      </c>
      <c r="E1681" s="3" t="s">
        <v>5182</v>
      </c>
    </row>
    <row r="1682" spans="1:5" x14ac:dyDescent="0.35">
      <c r="A1682" s="3" t="s">
        <v>1696</v>
      </c>
      <c r="E1682" s="3" t="s">
        <v>5184</v>
      </c>
    </row>
    <row r="1683" spans="1:5" x14ac:dyDescent="0.35">
      <c r="A1683" s="3" t="s">
        <v>1890</v>
      </c>
      <c r="E1683" s="3" t="s">
        <v>5186</v>
      </c>
    </row>
    <row r="1684" spans="1:5" x14ac:dyDescent="0.35">
      <c r="A1684" s="3" t="s">
        <v>928</v>
      </c>
      <c r="E1684" s="3" t="s">
        <v>5188</v>
      </c>
    </row>
    <row r="1685" spans="1:5" x14ac:dyDescent="0.35">
      <c r="A1685" s="3" t="s">
        <v>4363</v>
      </c>
      <c r="E1685" s="3" t="s">
        <v>5190</v>
      </c>
    </row>
    <row r="1686" spans="1:5" x14ac:dyDescent="0.35">
      <c r="A1686" s="3" t="s">
        <v>3444</v>
      </c>
      <c r="E1686" s="3" t="s">
        <v>5191</v>
      </c>
    </row>
    <row r="1687" spans="1:5" x14ac:dyDescent="0.35">
      <c r="A1687" s="3" t="s">
        <v>5187</v>
      </c>
      <c r="E1687" s="3" t="s">
        <v>5195</v>
      </c>
    </row>
    <row r="1688" spans="1:5" x14ac:dyDescent="0.35">
      <c r="A1688" s="3" t="s">
        <v>3384</v>
      </c>
      <c r="E1688" s="3" t="s">
        <v>5201</v>
      </c>
    </row>
    <row r="1689" spans="1:5" x14ac:dyDescent="0.35">
      <c r="A1689" s="3" t="s">
        <v>756</v>
      </c>
      <c r="E1689" s="3" t="s">
        <v>5203</v>
      </c>
    </row>
    <row r="1690" spans="1:5" x14ac:dyDescent="0.35">
      <c r="A1690" s="3" t="s">
        <v>3970</v>
      </c>
      <c r="E1690" s="3" t="s">
        <v>5205</v>
      </c>
    </row>
    <row r="1691" spans="1:5" x14ac:dyDescent="0.35">
      <c r="A1691" s="3" t="s">
        <v>4323</v>
      </c>
      <c r="E1691" s="3" t="s">
        <v>5209</v>
      </c>
    </row>
    <row r="1692" spans="1:5" x14ac:dyDescent="0.35">
      <c r="A1692" s="3" t="s">
        <v>3454</v>
      </c>
      <c r="E1692" s="3" t="s">
        <v>5211</v>
      </c>
    </row>
    <row r="1693" spans="1:5" x14ac:dyDescent="0.35">
      <c r="A1693" s="3" t="s">
        <v>1198</v>
      </c>
      <c r="E1693" s="3" t="s">
        <v>5213</v>
      </c>
    </row>
    <row r="1694" spans="1:5" x14ac:dyDescent="0.35">
      <c r="A1694" s="3" t="s">
        <v>5767</v>
      </c>
      <c r="E1694" s="3" t="s">
        <v>5217</v>
      </c>
    </row>
    <row r="1695" spans="1:5" x14ac:dyDescent="0.35">
      <c r="A1695" s="3" t="s">
        <v>2288</v>
      </c>
      <c r="E1695" s="3" t="s">
        <v>5219</v>
      </c>
    </row>
    <row r="1696" spans="1:5" x14ac:dyDescent="0.35">
      <c r="A1696" s="3" t="s">
        <v>2647</v>
      </c>
      <c r="E1696" s="3" t="s">
        <v>5227</v>
      </c>
    </row>
    <row r="1697" spans="1:5" x14ac:dyDescent="0.35">
      <c r="A1697" s="3" t="s">
        <v>2050</v>
      </c>
      <c r="E1697" s="3" t="s">
        <v>5233</v>
      </c>
    </row>
    <row r="1698" spans="1:5" x14ac:dyDescent="0.35">
      <c r="A1698" s="3" t="s">
        <v>3958</v>
      </c>
      <c r="E1698" s="3" t="s">
        <v>5237</v>
      </c>
    </row>
    <row r="1699" spans="1:5" x14ac:dyDescent="0.35">
      <c r="A1699" s="3" t="s">
        <v>5434</v>
      </c>
      <c r="E1699" s="3" t="s">
        <v>5239</v>
      </c>
    </row>
    <row r="1700" spans="1:5" x14ac:dyDescent="0.35">
      <c r="A1700" s="3" t="s">
        <v>1813</v>
      </c>
      <c r="E1700" s="3" t="s">
        <v>5241</v>
      </c>
    </row>
    <row r="1701" spans="1:5" x14ac:dyDescent="0.35">
      <c r="A1701" s="3" t="s">
        <v>3699</v>
      </c>
      <c r="E1701" s="3" t="s">
        <v>5243</v>
      </c>
    </row>
    <row r="1702" spans="1:5" x14ac:dyDescent="0.35">
      <c r="A1702" s="3" t="s">
        <v>1777</v>
      </c>
      <c r="E1702" s="3" t="s">
        <v>5245</v>
      </c>
    </row>
    <row r="1703" spans="1:5" x14ac:dyDescent="0.35">
      <c r="A1703" s="3" t="s">
        <v>4149</v>
      </c>
      <c r="E1703" s="3" t="s">
        <v>5251</v>
      </c>
    </row>
    <row r="1704" spans="1:5" x14ac:dyDescent="0.35">
      <c r="A1704" s="3" t="s">
        <v>5621</v>
      </c>
      <c r="E1704" s="3" t="s">
        <v>5253</v>
      </c>
    </row>
    <row r="1705" spans="1:5" x14ac:dyDescent="0.35">
      <c r="A1705" s="3" t="s">
        <v>6035</v>
      </c>
      <c r="E1705" s="3" t="s">
        <v>5257</v>
      </c>
    </row>
    <row r="1706" spans="1:5" x14ac:dyDescent="0.35">
      <c r="A1706" s="3" t="s">
        <v>4779</v>
      </c>
      <c r="E1706" s="3" t="s">
        <v>5259</v>
      </c>
    </row>
    <row r="1707" spans="1:5" x14ac:dyDescent="0.35">
      <c r="A1707" s="3" t="s">
        <v>827</v>
      </c>
      <c r="E1707" s="3" t="s">
        <v>5265</v>
      </c>
    </row>
    <row r="1708" spans="1:5" x14ac:dyDescent="0.35">
      <c r="A1708" s="3" t="s">
        <v>6072</v>
      </c>
      <c r="E1708" s="3" t="s">
        <v>5269</v>
      </c>
    </row>
    <row r="1709" spans="1:5" x14ac:dyDescent="0.35">
      <c r="A1709" s="3" t="s">
        <v>1569</v>
      </c>
      <c r="E1709" s="3" t="s">
        <v>5271</v>
      </c>
    </row>
    <row r="1710" spans="1:5" x14ac:dyDescent="0.35">
      <c r="A1710" s="3" t="s">
        <v>2114</v>
      </c>
      <c r="E1710" s="3" t="s">
        <v>5273</v>
      </c>
    </row>
    <row r="1711" spans="1:5" x14ac:dyDescent="0.35">
      <c r="A1711" s="3" t="s">
        <v>4027</v>
      </c>
      <c r="E1711" s="3" t="s">
        <v>5279</v>
      </c>
    </row>
    <row r="1712" spans="1:5" x14ac:dyDescent="0.35">
      <c r="A1712" s="3" t="s">
        <v>3174</v>
      </c>
      <c r="E1712" s="3" t="s">
        <v>5281</v>
      </c>
    </row>
    <row r="1713" spans="1:5" x14ac:dyDescent="0.35">
      <c r="A1713" s="3" t="s">
        <v>4343</v>
      </c>
      <c r="E1713" s="3" t="s">
        <v>5283</v>
      </c>
    </row>
    <row r="1714" spans="1:5" x14ac:dyDescent="0.35">
      <c r="A1714" s="3" t="s">
        <v>4750</v>
      </c>
      <c r="E1714" s="3" t="s">
        <v>5291</v>
      </c>
    </row>
    <row r="1715" spans="1:5" x14ac:dyDescent="0.35">
      <c r="A1715" s="3" t="s">
        <v>4451</v>
      </c>
      <c r="E1715" s="3" t="s">
        <v>5295</v>
      </c>
    </row>
    <row r="1716" spans="1:5" x14ac:dyDescent="0.35">
      <c r="A1716" s="3" t="s">
        <v>897</v>
      </c>
      <c r="E1716" s="3" t="s">
        <v>5297</v>
      </c>
    </row>
    <row r="1717" spans="1:5" x14ac:dyDescent="0.35">
      <c r="A1717" s="3" t="s">
        <v>180</v>
      </c>
      <c r="E1717" s="3" t="s">
        <v>5299</v>
      </c>
    </row>
    <row r="1718" spans="1:5" x14ac:dyDescent="0.35">
      <c r="A1718" s="3" t="s">
        <v>199</v>
      </c>
      <c r="E1718" s="3" t="s">
        <v>5301</v>
      </c>
    </row>
    <row r="1719" spans="1:5" x14ac:dyDescent="0.35">
      <c r="A1719" s="3" t="s">
        <v>1559</v>
      </c>
      <c r="E1719" s="3" t="s">
        <v>5303</v>
      </c>
    </row>
    <row r="1720" spans="1:5" x14ac:dyDescent="0.35">
      <c r="A1720" s="3" t="s">
        <v>1849</v>
      </c>
      <c r="E1720" s="3" t="s">
        <v>5304</v>
      </c>
    </row>
    <row r="1721" spans="1:5" x14ac:dyDescent="0.35">
      <c r="A1721" s="3" t="s">
        <v>775</v>
      </c>
      <c r="E1721" s="3" t="s">
        <v>5306</v>
      </c>
    </row>
    <row r="1722" spans="1:5" x14ac:dyDescent="0.35">
      <c r="A1722" s="3" t="s">
        <v>635</v>
      </c>
      <c r="E1722" s="3" t="s">
        <v>5308</v>
      </c>
    </row>
    <row r="1723" spans="1:5" x14ac:dyDescent="0.35">
      <c r="A1723" s="3" t="s">
        <v>3677</v>
      </c>
      <c r="E1723" s="3" t="s">
        <v>5310</v>
      </c>
    </row>
    <row r="1724" spans="1:5" x14ac:dyDescent="0.35">
      <c r="A1724" s="3" t="s">
        <v>2072</v>
      </c>
      <c r="E1724" s="3" t="s">
        <v>5312</v>
      </c>
    </row>
    <row r="1725" spans="1:5" x14ac:dyDescent="0.35">
      <c r="A1725" s="3" t="s">
        <v>843</v>
      </c>
      <c r="E1725" s="3" t="s">
        <v>5314</v>
      </c>
    </row>
    <row r="1726" spans="1:5" x14ac:dyDescent="0.35">
      <c r="A1726" s="3" t="s">
        <v>331</v>
      </c>
      <c r="E1726" s="3" t="s">
        <v>5317</v>
      </c>
    </row>
    <row r="1727" spans="1:5" x14ac:dyDescent="0.35">
      <c r="A1727" s="3" t="s">
        <v>338</v>
      </c>
      <c r="E1727" s="3" t="s">
        <v>5319</v>
      </c>
    </row>
    <row r="1728" spans="1:5" x14ac:dyDescent="0.35">
      <c r="A1728" s="3" t="s">
        <v>5922</v>
      </c>
      <c r="E1728" s="3" t="s">
        <v>5323</v>
      </c>
    </row>
    <row r="1729" spans="1:5" x14ac:dyDescent="0.35">
      <c r="A1729" s="3" t="s">
        <v>2532</v>
      </c>
      <c r="E1729" s="3" t="s">
        <v>5329</v>
      </c>
    </row>
    <row r="1730" spans="1:5" x14ac:dyDescent="0.35">
      <c r="A1730" s="3" t="s">
        <v>5511</v>
      </c>
      <c r="E1730" s="3" t="s">
        <v>5331</v>
      </c>
    </row>
    <row r="1731" spans="1:5" x14ac:dyDescent="0.35">
      <c r="A1731" s="3" t="s">
        <v>4723</v>
      </c>
      <c r="E1731" s="3" t="s">
        <v>5333</v>
      </c>
    </row>
    <row r="1732" spans="1:5" x14ac:dyDescent="0.35">
      <c r="A1732" s="3" t="s">
        <v>3580</v>
      </c>
      <c r="E1732" s="3" t="s">
        <v>5335</v>
      </c>
    </row>
    <row r="1733" spans="1:5" x14ac:dyDescent="0.35">
      <c r="A1733" s="3" t="s">
        <v>3944</v>
      </c>
      <c r="E1733" s="3" t="s">
        <v>5337</v>
      </c>
    </row>
    <row r="1734" spans="1:5" x14ac:dyDescent="0.35">
      <c r="A1734" s="3" t="s">
        <v>5334</v>
      </c>
      <c r="E1734" s="3" t="s">
        <v>5339</v>
      </c>
    </row>
    <row r="1735" spans="1:5" x14ac:dyDescent="0.35">
      <c r="A1735" s="3" t="s">
        <v>6031</v>
      </c>
      <c r="E1735" s="3" t="s">
        <v>5341</v>
      </c>
    </row>
    <row r="1736" spans="1:5" x14ac:dyDescent="0.35">
      <c r="A1736" s="3" t="s">
        <v>2353</v>
      </c>
      <c r="E1736" s="3" t="s">
        <v>5345</v>
      </c>
    </row>
    <row r="1737" spans="1:5" x14ac:dyDescent="0.35">
      <c r="A1737" s="3" t="s">
        <v>5936</v>
      </c>
      <c r="E1737" s="3" t="s">
        <v>5347</v>
      </c>
    </row>
    <row r="1738" spans="1:5" x14ac:dyDescent="0.35">
      <c r="A1738" s="3" t="s">
        <v>713</v>
      </c>
      <c r="E1738" s="3" t="s">
        <v>5349</v>
      </c>
    </row>
    <row r="1739" spans="1:5" x14ac:dyDescent="0.35">
      <c r="A1739" s="3" t="s">
        <v>1399</v>
      </c>
      <c r="E1739" s="3" t="s">
        <v>5351</v>
      </c>
    </row>
    <row r="1740" spans="1:5" x14ac:dyDescent="0.35">
      <c r="A1740" s="3" t="s">
        <v>5015</v>
      </c>
      <c r="E1740" s="3" t="s">
        <v>5355</v>
      </c>
    </row>
    <row r="1741" spans="1:5" x14ac:dyDescent="0.35">
      <c r="A1741" s="3" t="s">
        <v>694</v>
      </c>
      <c r="E1741" s="3" t="s">
        <v>5357</v>
      </c>
    </row>
    <row r="1742" spans="1:5" x14ac:dyDescent="0.35">
      <c r="A1742" s="3" t="s">
        <v>150</v>
      </c>
      <c r="E1742" s="3" t="s">
        <v>5359</v>
      </c>
    </row>
    <row r="1743" spans="1:5" x14ac:dyDescent="0.35">
      <c r="A1743" s="3" t="s">
        <v>4424</v>
      </c>
      <c r="E1743" s="3" t="s">
        <v>5363</v>
      </c>
    </row>
    <row r="1744" spans="1:5" x14ac:dyDescent="0.35">
      <c r="A1744" s="3" t="s">
        <v>5619</v>
      </c>
      <c r="E1744" s="3" t="s">
        <v>5365</v>
      </c>
    </row>
    <row r="1745" spans="1:5" x14ac:dyDescent="0.35">
      <c r="A1745" s="3" t="s">
        <v>333</v>
      </c>
      <c r="E1745" s="3" t="s">
        <v>5367</v>
      </c>
    </row>
    <row r="1746" spans="1:5" x14ac:dyDescent="0.35">
      <c r="A1746" s="3" t="s">
        <v>1022</v>
      </c>
      <c r="E1746" s="3" t="s">
        <v>5368</v>
      </c>
    </row>
    <row r="1747" spans="1:5" x14ac:dyDescent="0.35">
      <c r="A1747" s="3" t="s">
        <v>5017</v>
      </c>
      <c r="E1747" s="3" t="s">
        <v>5372</v>
      </c>
    </row>
    <row r="1748" spans="1:5" x14ac:dyDescent="0.35">
      <c r="A1748" s="3" t="s">
        <v>2110</v>
      </c>
      <c r="E1748" s="3" t="s">
        <v>5378</v>
      </c>
    </row>
    <row r="1749" spans="1:5" x14ac:dyDescent="0.35">
      <c r="A1749" s="3" t="s">
        <v>3808</v>
      </c>
      <c r="E1749" s="3" t="s">
        <v>5386</v>
      </c>
    </row>
    <row r="1750" spans="1:5" x14ac:dyDescent="0.35">
      <c r="A1750" s="3" t="s">
        <v>4756</v>
      </c>
      <c r="E1750" s="3" t="s">
        <v>5388</v>
      </c>
    </row>
    <row r="1751" spans="1:5" x14ac:dyDescent="0.35">
      <c r="A1751" s="3" t="s">
        <v>4095</v>
      </c>
      <c r="E1751" s="3" t="s">
        <v>5394</v>
      </c>
    </row>
    <row r="1752" spans="1:5" x14ac:dyDescent="0.35">
      <c r="A1752" s="3" t="s">
        <v>4461</v>
      </c>
      <c r="E1752" s="3" t="s">
        <v>5396</v>
      </c>
    </row>
    <row r="1753" spans="1:5" x14ac:dyDescent="0.35">
      <c r="A1753" s="3" t="s">
        <v>4605</v>
      </c>
      <c r="E1753" s="3" t="s">
        <v>5398</v>
      </c>
    </row>
    <row r="1754" spans="1:5" x14ac:dyDescent="0.35">
      <c r="A1754" s="3" t="s">
        <v>731</v>
      </c>
      <c r="E1754" s="3" t="s">
        <v>5402</v>
      </c>
    </row>
    <row r="1755" spans="1:5" x14ac:dyDescent="0.35">
      <c r="A1755" s="3" t="s">
        <v>2639</v>
      </c>
      <c r="E1755" s="3" t="s">
        <v>5404</v>
      </c>
    </row>
    <row r="1756" spans="1:5" x14ac:dyDescent="0.35">
      <c r="A1756" s="3" t="s">
        <v>1573</v>
      </c>
      <c r="E1756" s="3" t="s">
        <v>5408</v>
      </c>
    </row>
    <row r="1757" spans="1:5" x14ac:dyDescent="0.35">
      <c r="A1757" s="3" t="s">
        <v>3560</v>
      </c>
      <c r="E1757" s="3" t="s">
        <v>5410</v>
      </c>
    </row>
    <row r="1758" spans="1:5" x14ac:dyDescent="0.35">
      <c r="A1758" s="3" t="s">
        <v>3440</v>
      </c>
      <c r="E1758" s="3" t="s">
        <v>5412</v>
      </c>
    </row>
    <row r="1759" spans="1:5" x14ac:dyDescent="0.35">
      <c r="A1759" s="3" t="s">
        <v>3701</v>
      </c>
      <c r="E1759" s="3" t="s">
        <v>5414</v>
      </c>
    </row>
    <row r="1760" spans="1:5" x14ac:dyDescent="0.35">
      <c r="A1760" s="3" t="s">
        <v>428</v>
      </c>
      <c r="E1760" s="3" t="s">
        <v>5416</v>
      </c>
    </row>
    <row r="1761" spans="1:5" x14ac:dyDescent="0.35">
      <c r="A1761" s="3" t="s">
        <v>6055</v>
      </c>
      <c r="E1761" s="3" t="s">
        <v>5422</v>
      </c>
    </row>
    <row r="1762" spans="1:5" x14ac:dyDescent="0.35">
      <c r="A1762" s="3" t="s">
        <v>5238</v>
      </c>
      <c r="E1762" s="3" t="s">
        <v>5423</v>
      </c>
    </row>
    <row r="1763" spans="1:5" x14ac:dyDescent="0.35">
      <c r="A1763" s="3" t="s">
        <v>124</v>
      </c>
      <c r="E1763" s="3" t="s">
        <v>5425</v>
      </c>
    </row>
    <row r="1764" spans="1:5" x14ac:dyDescent="0.35">
      <c r="A1764" s="3" t="s">
        <v>422</v>
      </c>
      <c r="E1764" s="3" t="s">
        <v>5429</v>
      </c>
    </row>
    <row r="1765" spans="1:5" x14ac:dyDescent="0.35">
      <c r="A1765" s="3" t="s">
        <v>715</v>
      </c>
      <c r="E1765" s="3" t="s">
        <v>5431</v>
      </c>
    </row>
    <row r="1766" spans="1:5" x14ac:dyDescent="0.35">
      <c r="A1766" s="3" t="s">
        <v>2341</v>
      </c>
      <c r="E1766" s="3" t="s">
        <v>5433</v>
      </c>
    </row>
    <row r="1767" spans="1:5" x14ac:dyDescent="0.35">
      <c r="A1767" s="3" t="s">
        <v>2100</v>
      </c>
      <c r="E1767" s="3" t="s">
        <v>5439</v>
      </c>
    </row>
    <row r="1768" spans="1:5" x14ac:dyDescent="0.35">
      <c r="A1768" s="3" t="s">
        <v>5035</v>
      </c>
      <c r="E1768" s="3" t="s">
        <v>5441</v>
      </c>
    </row>
    <row r="1769" spans="1:5" x14ac:dyDescent="0.35">
      <c r="A1769" s="3" t="s">
        <v>5799</v>
      </c>
      <c r="E1769" s="3" t="s">
        <v>5445</v>
      </c>
    </row>
    <row r="1770" spans="1:5" x14ac:dyDescent="0.35">
      <c r="A1770" s="3" t="s">
        <v>787</v>
      </c>
      <c r="E1770" s="3" t="s">
        <v>5449</v>
      </c>
    </row>
    <row r="1771" spans="1:5" x14ac:dyDescent="0.35">
      <c r="A1771" s="3" t="s">
        <v>313</v>
      </c>
      <c r="E1771" s="3" t="s">
        <v>5453</v>
      </c>
    </row>
    <row r="1772" spans="1:5" x14ac:dyDescent="0.35">
      <c r="A1772" s="3" t="s">
        <v>2150</v>
      </c>
      <c r="E1772" s="3" t="s">
        <v>5455</v>
      </c>
    </row>
    <row r="1773" spans="1:5" x14ac:dyDescent="0.35">
      <c r="A1773" s="3" t="s">
        <v>3109</v>
      </c>
      <c r="E1773" s="3" t="s">
        <v>5459</v>
      </c>
    </row>
    <row r="1774" spans="1:5" x14ac:dyDescent="0.35">
      <c r="A1774" s="3" t="s">
        <v>1118</v>
      </c>
      <c r="E1774" s="3" t="s">
        <v>5461</v>
      </c>
    </row>
    <row r="1775" spans="1:5" x14ac:dyDescent="0.35">
      <c r="A1775" s="3" t="s">
        <v>2201</v>
      </c>
      <c r="E1775" s="3" t="s">
        <v>5463</v>
      </c>
    </row>
    <row r="1776" spans="1:5" x14ac:dyDescent="0.35">
      <c r="A1776" s="3" t="s">
        <v>1865</v>
      </c>
      <c r="E1776" s="3" t="s">
        <v>5465</v>
      </c>
    </row>
    <row r="1777" spans="1:5" x14ac:dyDescent="0.35">
      <c r="A1777" s="3" t="s">
        <v>5105</v>
      </c>
      <c r="E1777" s="3" t="s">
        <v>5467</v>
      </c>
    </row>
    <row r="1778" spans="1:5" x14ac:dyDescent="0.35">
      <c r="A1778" s="3" t="s">
        <v>2343</v>
      </c>
      <c r="E1778" s="3" t="s">
        <v>5472</v>
      </c>
    </row>
    <row r="1779" spans="1:5" x14ac:dyDescent="0.35">
      <c r="A1779" s="3" t="s">
        <v>2591</v>
      </c>
      <c r="E1779" s="3" t="s">
        <v>5474</v>
      </c>
    </row>
    <row r="1780" spans="1:5" x14ac:dyDescent="0.35">
      <c r="A1780" s="3" t="s">
        <v>4768</v>
      </c>
      <c r="E1780" s="3" t="s">
        <v>5476</v>
      </c>
    </row>
    <row r="1781" spans="1:5" x14ac:dyDescent="0.35">
      <c r="A1781" s="3" t="s">
        <v>4127</v>
      </c>
      <c r="E1781" s="3" t="s">
        <v>5478</v>
      </c>
    </row>
    <row r="1782" spans="1:5" x14ac:dyDescent="0.35">
      <c r="A1782" s="3" t="s">
        <v>1583</v>
      </c>
      <c r="E1782" s="3" t="s">
        <v>5480</v>
      </c>
    </row>
    <row r="1783" spans="1:5" x14ac:dyDescent="0.35">
      <c r="A1783" s="3" t="s">
        <v>4737</v>
      </c>
      <c r="E1783" s="3" t="s">
        <v>5486</v>
      </c>
    </row>
    <row r="1784" spans="1:5" x14ac:dyDescent="0.35">
      <c r="A1784" s="3" t="s">
        <v>1619</v>
      </c>
      <c r="E1784" s="3" t="s">
        <v>5488</v>
      </c>
    </row>
    <row r="1785" spans="1:5" x14ac:dyDescent="0.35">
      <c r="A1785" s="3" t="s">
        <v>4023</v>
      </c>
      <c r="E1785" s="3" t="s">
        <v>5492</v>
      </c>
    </row>
    <row r="1786" spans="1:5" x14ac:dyDescent="0.35">
      <c r="A1786" s="3" t="s">
        <v>2381</v>
      </c>
      <c r="E1786" s="3" t="s">
        <v>5494</v>
      </c>
    </row>
    <row r="1787" spans="1:5" x14ac:dyDescent="0.35">
      <c r="A1787" s="3" t="s">
        <v>3358</v>
      </c>
      <c r="E1787" s="3" t="s">
        <v>5496</v>
      </c>
    </row>
    <row r="1788" spans="1:5" x14ac:dyDescent="0.35">
      <c r="A1788" s="3" t="s">
        <v>1345</v>
      </c>
      <c r="E1788" s="3" t="s">
        <v>5498</v>
      </c>
    </row>
    <row r="1789" spans="1:5" x14ac:dyDescent="0.35">
      <c r="A1789" s="3" t="s">
        <v>3348</v>
      </c>
      <c r="E1789" s="3" t="s">
        <v>5500</v>
      </c>
    </row>
    <row r="1790" spans="1:5" x14ac:dyDescent="0.35">
      <c r="A1790" s="3" t="s">
        <v>5771</v>
      </c>
      <c r="E1790" s="3" t="s">
        <v>5502</v>
      </c>
    </row>
    <row r="1791" spans="1:5" x14ac:dyDescent="0.35">
      <c r="A1791" s="3" t="s">
        <v>2871</v>
      </c>
      <c r="E1791" s="3" t="s">
        <v>5506</v>
      </c>
    </row>
    <row r="1792" spans="1:5" x14ac:dyDescent="0.35">
      <c r="A1792" s="3" t="s">
        <v>2286</v>
      </c>
      <c r="E1792" s="3" t="s">
        <v>5510</v>
      </c>
    </row>
    <row r="1793" spans="1:5" x14ac:dyDescent="0.35">
      <c r="A1793" s="3" t="s">
        <v>5926</v>
      </c>
      <c r="E1793" s="3" t="s">
        <v>5520</v>
      </c>
    </row>
    <row r="1794" spans="1:5" x14ac:dyDescent="0.35">
      <c r="A1794" s="3" t="s">
        <v>607</v>
      </c>
      <c r="E1794" s="3" t="s">
        <v>5522</v>
      </c>
    </row>
    <row r="1795" spans="1:5" x14ac:dyDescent="0.35">
      <c r="A1795" s="3" t="s">
        <v>791</v>
      </c>
      <c r="E1795" s="3" t="s">
        <v>5524</v>
      </c>
    </row>
    <row r="1796" spans="1:5" x14ac:dyDescent="0.35">
      <c r="A1796" s="3" t="s">
        <v>2837</v>
      </c>
      <c r="E1796" s="3" t="s">
        <v>5526</v>
      </c>
    </row>
    <row r="1797" spans="1:5" x14ac:dyDescent="0.35">
      <c r="A1797" s="3" t="s">
        <v>2179</v>
      </c>
      <c r="E1797" s="3" t="s">
        <v>5530</v>
      </c>
    </row>
    <row r="1798" spans="1:5" x14ac:dyDescent="0.35">
      <c r="A1798" s="3" t="s">
        <v>5324</v>
      </c>
      <c r="E1798" s="3" t="s">
        <v>5538</v>
      </c>
    </row>
    <row r="1799" spans="1:5" x14ac:dyDescent="0.35">
      <c r="A1799" s="3" t="s">
        <v>5879</v>
      </c>
      <c r="E1799" s="3" t="s">
        <v>5544</v>
      </c>
    </row>
    <row r="1800" spans="1:5" x14ac:dyDescent="0.35">
      <c r="A1800" s="3" t="s">
        <v>3518</v>
      </c>
      <c r="E1800" s="3" t="s">
        <v>5548</v>
      </c>
    </row>
    <row r="1801" spans="1:5" x14ac:dyDescent="0.35">
      <c r="A1801" s="3" t="s">
        <v>1781</v>
      </c>
      <c r="E1801" s="3" t="s">
        <v>5550</v>
      </c>
    </row>
    <row r="1802" spans="1:5" x14ac:dyDescent="0.35">
      <c r="A1802" s="3" t="s">
        <v>709</v>
      </c>
      <c r="E1802" s="3" t="s">
        <v>5552</v>
      </c>
    </row>
    <row r="1803" spans="1:5" x14ac:dyDescent="0.35">
      <c r="A1803" s="3" t="s">
        <v>1485</v>
      </c>
      <c r="E1803" s="3" t="s">
        <v>5554</v>
      </c>
    </row>
    <row r="1804" spans="1:5" x14ac:dyDescent="0.35">
      <c r="A1804" s="3" t="s">
        <v>5497</v>
      </c>
      <c r="E1804" s="3" t="s">
        <v>5556</v>
      </c>
    </row>
    <row r="1805" spans="1:5" x14ac:dyDescent="0.35">
      <c r="A1805" s="3" t="s">
        <v>3707</v>
      </c>
      <c r="E1805" s="3" t="s">
        <v>5557</v>
      </c>
    </row>
    <row r="1806" spans="1:5" x14ac:dyDescent="0.35">
      <c r="A1806" s="3" t="s">
        <v>1355</v>
      </c>
      <c r="E1806" s="3" t="s">
        <v>5559</v>
      </c>
    </row>
    <row r="1807" spans="1:5" x14ac:dyDescent="0.35">
      <c r="A1807" s="3" t="s">
        <v>3218</v>
      </c>
      <c r="E1807" s="3" t="s">
        <v>5563</v>
      </c>
    </row>
    <row r="1808" spans="1:5" x14ac:dyDescent="0.35">
      <c r="A1808" s="3" t="s">
        <v>3154</v>
      </c>
      <c r="E1808" s="3" t="s">
        <v>5565</v>
      </c>
    </row>
    <row r="1809" spans="1:5" x14ac:dyDescent="0.35">
      <c r="A1809" s="3" t="s">
        <v>4445</v>
      </c>
      <c r="E1809" s="3" t="s">
        <v>5569</v>
      </c>
    </row>
    <row r="1810" spans="1:5" x14ac:dyDescent="0.35">
      <c r="A1810" s="3" t="s">
        <v>4868</v>
      </c>
      <c r="E1810" s="3" t="s">
        <v>5571</v>
      </c>
    </row>
    <row r="1811" spans="1:5" x14ac:dyDescent="0.35">
      <c r="A1811" s="3" t="s">
        <v>750</v>
      </c>
      <c r="E1811" s="3" t="s">
        <v>5573</v>
      </c>
    </row>
    <row r="1812" spans="1:5" x14ac:dyDescent="0.35">
      <c r="A1812" s="3" t="s">
        <v>651</v>
      </c>
      <c r="E1812" s="3" t="s">
        <v>5577</v>
      </c>
    </row>
    <row r="1813" spans="1:5" x14ac:dyDescent="0.35">
      <c r="A1813" s="3" t="s">
        <v>1339</v>
      </c>
      <c r="E1813" s="3" t="s">
        <v>5579</v>
      </c>
    </row>
    <row r="1814" spans="1:5" x14ac:dyDescent="0.35">
      <c r="A1814" s="3" t="s">
        <v>4301</v>
      </c>
      <c r="E1814" s="3" t="s">
        <v>5581</v>
      </c>
    </row>
    <row r="1815" spans="1:5" x14ac:dyDescent="0.35">
      <c r="A1815" s="3" t="s">
        <v>5889</v>
      </c>
      <c r="E1815" s="3" t="s">
        <v>5583</v>
      </c>
    </row>
    <row r="1816" spans="1:5" x14ac:dyDescent="0.35">
      <c r="A1816" s="3" t="s">
        <v>2096</v>
      </c>
      <c r="E1816" s="3" t="s">
        <v>5585</v>
      </c>
    </row>
    <row r="1817" spans="1:5" x14ac:dyDescent="0.35">
      <c r="A1817" s="3" t="s">
        <v>3340</v>
      </c>
      <c r="E1817" s="3" t="s">
        <v>5592</v>
      </c>
    </row>
    <row r="1818" spans="1:5" x14ac:dyDescent="0.35">
      <c r="A1818" s="3" t="s">
        <v>3937</v>
      </c>
      <c r="E1818" s="3" t="s">
        <v>5594</v>
      </c>
    </row>
    <row r="1819" spans="1:5" x14ac:dyDescent="0.35">
      <c r="A1819" s="3" t="s">
        <v>4888</v>
      </c>
      <c r="E1819" s="3" t="s">
        <v>5596</v>
      </c>
    </row>
    <row r="1820" spans="1:5" x14ac:dyDescent="0.35">
      <c r="A1820" s="3" t="s">
        <v>4412</v>
      </c>
      <c r="E1820" s="3" t="s">
        <v>5598</v>
      </c>
    </row>
    <row r="1821" spans="1:5" x14ac:dyDescent="0.35">
      <c r="A1821" s="3" t="s">
        <v>2304</v>
      </c>
      <c r="E1821" s="3" t="s">
        <v>5602</v>
      </c>
    </row>
    <row r="1822" spans="1:5" x14ac:dyDescent="0.35">
      <c r="A1822" s="3" t="s">
        <v>2705</v>
      </c>
      <c r="E1822" s="3" t="s">
        <v>5606</v>
      </c>
    </row>
    <row r="1823" spans="1:5" x14ac:dyDescent="0.35">
      <c r="A1823" s="3" t="s">
        <v>4509</v>
      </c>
      <c r="E1823" s="3" t="s">
        <v>5608</v>
      </c>
    </row>
    <row r="1824" spans="1:5" x14ac:dyDescent="0.35">
      <c r="A1824" s="3" t="s">
        <v>4333</v>
      </c>
      <c r="E1824" s="3" t="s">
        <v>5610</v>
      </c>
    </row>
    <row r="1825" spans="1:5" x14ac:dyDescent="0.35">
      <c r="A1825" s="3" t="s">
        <v>2637</v>
      </c>
      <c r="E1825" s="3" t="s">
        <v>5612</v>
      </c>
    </row>
    <row r="1826" spans="1:5" x14ac:dyDescent="0.35">
      <c r="A1826" s="3" t="s">
        <v>2819</v>
      </c>
      <c r="E1826" s="3" t="s">
        <v>5614</v>
      </c>
    </row>
    <row r="1827" spans="1:5" x14ac:dyDescent="0.35">
      <c r="A1827" s="3" t="s">
        <v>841</v>
      </c>
      <c r="E1827" s="3" t="s">
        <v>5616</v>
      </c>
    </row>
    <row r="1828" spans="1:5" x14ac:dyDescent="0.35">
      <c r="A1828" s="3" t="s">
        <v>2994</v>
      </c>
      <c r="E1828" s="3" t="s">
        <v>5618</v>
      </c>
    </row>
    <row r="1829" spans="1:5" x14ac:dyDescent="0.35">
      <c r="A1829" s="3" t="s">
        <v>932</v>
      </c>
      <c r="E1829" s="3" t="s">
        <v>5620</v>
      </c>
    </row>
    <row r="1830" spans="1:5" x14ac:dyDescent="0.35">
      <c r="A1830" s="3" t="s">
        <v>2064</v>
      </c>
      <c r="E1830" s="3" t="s">
        <v>5624</v>
      </c>
    </row>
    <row r="1831" spans="1:5" x14ac:dyDescent="0.35">
      <c r="A1831" s="3" t="s">
        <v>4065</v>
      </c>
      <c r="E1831" s="3" t="s">
        <v>5626</v>
      </c>
    </row>
    <row r="1832" spans="1:5" x14ac:dyDescent="0.35">
      <c r="A1832" s="3" t="s">
        <v>5169</v>
      </c>
      <c r="E1832" s="3" t="s">
        <v>5630</v>
      </c>
    </row>
    <row r="1833" spans="1:5" x14ac:dyDescent="0.35">
      <c r="A1833" s="3" t="s">
        <v>4924</v>
      </c>
      <c r="E1833" s="3" t="s">
        <v>5634</v>
      </c>
    </row>
    <row r="1834" spans="1:5" x14ac:dyDescent="0.35">
      <c r="A1834" s="3" t="s">
        <v>4465</v>
      </c>
      <c r="E1834" s="3" t="s">
        <v>5636</v>
      </c>
    </row>
    <row r="1835" spans="1:5" x14ac:dyDescent="0.35">
      <c r="A1835" s="3" t="s">
        <v>2593</v>
      </c>
      <c r="E1835" s="3" t="s">
        <v>5638</v>
      </c>
    </row>
    <row r="1836" spans="1:5" x14ac:dyDescent="0.35">
      <c r="A1836" s="3" t="s">
        <v>4191</v>
      </c>
      <c r="E1836" s="3" t="s">
        <v>5640</v>
      </c>
    </row>
    <row r="1837" spans="1:5" x14ac:dyDescent="0.35">
      <c r="A1837" s="3" t="s">
        <v>5641</v>
      </c>
      <c r="E1837" s="3" t="s">
        <v>5644</v>
      </c>
    </row>
    <row r="1838" spans="1:5" x14ac:dyDescent="0.35">
      <c r="A1838" s="3" t="s">
        <v>4473</v>
      </c>
      <c r="E1838" s="3" t="s">
        <v>5646</v>
      </c>
    </row>
    <row r="1839" spans="1:5" x14ac:dyDescent="0.35">
      <c r="A1839" s="3" t="s">
        <v>5442</v>
      </c>
      <c r="E1839" s="3" t="s">
        <v>5652</v>
      </c>
    </row>
    <row r="1840" spans="1:5" x14ac:dyDescent="0.35">
      <c r="A1840" s="3" t="s">
        <v>1875</v>
      </c>
      <c r="E1840" s="3" t="s">
        <v>5654</v>
      </c>
    </row>
    <row r="1841" spans="1:5" x14ac:dyDescent="0.35">
      <c r="A1841" s="3" t="s">
        <v>2841</v>
      </c>
      <c r="E1841" s="3" t="s">
        <v>5656</v>
      </c>
    </row>
    <row r="1842" spans="1:5" x14ac:dyDescent="0.35">
      <c r="A1842" s="3" t="s">
        <v>5300</v>
      </c>
      <c r="E1842" s="3" t="s">
        <v>5658</v>
      </c>
    </row>
    <row r="1843" spans="1:5" x14ac:dyDescent="0.35">
      <c r="A1843" s="3" t="s">
        <v>3107</v>
      </c>
      <c r="E1843" s="3" t="s">
        <v>5660</v>
      </c>
    </row>
    <row r="1844" spans="1:5" x14ac:dyDescent="0.35">
      <c r="A1844" s="3" t="s">
        <v>204</v>
      </c>
      <c r="E1844" s="3" t="s">
        <v>5662</v>
      </c>
    </row>
    <row r="1845" spans="1:5" x14ac:dyDescent="0.35">
      <c r="A1845" s="3" t="s">
        <v>1575</v>
      </c>
      <c r="E1845" s="3" t="s">
        <v>5664</v>
      </c>
    </row>
    <row r="1846" spans="1:5" x14ac:dyDescent="0.35">
      <c r="A1846" s="3" t="s">
        <v>5399</v>
      </c>
      <c r="E1846" s="3" t="s">
        <v>5668</v>
      </c>
    </row>
    <row r="1847" spans="1:5" x14ac:dyDescent="0.35">
      <c r="A1847" s="3" t="s">
        <v>5773</v>
      </c>
      <c r="E1847" s="3" t="s">
        <v>5670</v>
      </c>
    </row>
    <row r="1848" spans="1:5" x14ac:dyDescent="0.35">
      <c r="A1848" s="3" t="s">
        <v>1497</v>
      </c>
      <c r="E1848" s="3" t="s">
        <v>5674</v>
      </c>
    </row>
    <row r="1849" spans="1:5" x14ac:dyDescent="0.35">
      <c r="A1849" s="3" t="s">
        <v>1423</v>
      </c>
      <c r="E1849" s="3" t="s">
        <v>5676</v>
      </c>
    </row>
    <row r="1850" spans="1:5" x14ac:dyDescent="0.35">
      <c r="A1850" s="3" t="s">
        <v>2481</v>
      </c>
      <c r="E1850" s="3" t="s">
        <v>5678</v>
      </c>
    </row>
    <row r="1851" spans="1:5" x14ac:dyDescent="0.35">
      <c r="A1851" s="3" t="s">
        <v>3653</v>
      </c>
      <c r="E1851" s="3" t="s">
        <v>5680</v>
      </c>
    </row>
    <row r="1852" spans="1:5" x14ac:dyDescent="0.35">
      <c r="A1852" s="3" t="s">
        <v>672</v>
      </c>
      <c r="E1852" s="3" t="s">
        <v>5684</v>
      </c>
    </row>
    <row r="1853" spans="1:5" x14ac:dyDescent="0.35">
      <c r="A1853" s="3" t="s">
        <v>3289</v>
      </c>
      <c r="E1853" s="3" t="s">
        <v>5692</v>
      </c>
    </row>
    <row r="1854" spans="1:5" x14ac:dyDescent="0.35">
      <c r="A1854" s="3" t="s">
        <v>4858</v>
      </c>
      <c r="E1854" s="3" t="s">
        <v>5694</v>
      </c>
    </row>
    <row r="1855" spans="1:5" x14ac:dyDescent="0.35">
      <c r="A1855" s="3" t="s">
        <v>3800</v>
      </c>
      <c r="E1855" s="3" t="s">
        <v>5704</v>
      </c>
    </row>
    <row r="1856" spans="1:5" x14ac:dyDescent="0.35">
      <c r="A1856" s="3" t="s">
        <v>1321</v>
      </c>
      <c r="E1856" s="3" t="s">
        <v>5706</v>
      </c>
    </row>
    <row r="1857" spans="1:5" x14ac:dyDescent="0.35">
      <c r="A1857" s="3" t="s">
        <v>1702</v>
      </c>
      <c r="E1857" s="3" t="s">
        <v>5708</v>
      </c>
    </row>
    <row r="1858" spans="1:5" x14ac:dyDescent="0.35">
      <c r="A1858" s="3" t="s">
        <v>5899</v>
      </c>
      <c r="E1858" s="3" t="s">
        <v>5710</v>
      </c>
    </row>
    <row r="1859" spans="1:5" x14ac:dyDescent="0.35">
      <c r="A1859" s="3" t="s">
        <v>3675</v>
      </c>
      <c r="E1859" s="3" t="s">
        <v>5712</v>
      </c>
    </row>
    <row r="1860" spans="1:5" x14ac:dyDescent="0.35">
      <c r="A1860" s="3" t="s">
        <v>501</v>
      </c>
      <c r="E1860" s="3" t="s">
        <v>5716</v>
      </c>
    </row>
    <row r="1861" spans="1:5" x14ac:dyDescent="0.35">
      <c r="A1861" s="3" t="s">
        <v>2485</v>
      </c>
      <c r="E1861" s="3" t="s">
        <v>5718</v>
      </c>
    </row>
    <row r="1862" spans="1:5" x14ac:dyDescent="0.35">
      <c r="A1862" s="3" t="s">
        <v>2847</v>
      </c>
      <c r="E1862" s="3" t="s">
        <v>5722</v>
      </c>
    </row>
    <row r="1863" spans="1:5" x14ac:dyDescent="0.35">
      <c r="A1863" s="3" t="s">
        <v>3814</v>
      </c>
      <c r="E1863" s="3" t="s">
        <v>5724</v>
      </c>
    </row>
    <row r="1864" spans="1:5" x14ac:dyDescent="0.35">
      <c r="A1864" s="3" t="s">
        <v>1597</v>
      </c>
      <c r="E1864" s="3" t="s">
        <v>5730</v>
      </c>
    </row>
    <row r="1865" spans="1:5" x14ac:dyDescent="0.35">
      <c r="A1865" s="3" t="s">
        <v>1361</v>
      </c>
      <c r="E1865" s="3" t="s">
        <v>5732</v>
      </c>
    </row>
    <row r="1866" spans="1:5" x14ac:dyDescent="0.35">
      <c r="A1866" s="3" t="s">
        <v>2074</v>
      </c>
      <c r="E1866" s="3" t="s">
        <v>5734</v>
      </c>
    </row>
    <row r="1867" spans="1:5" x14ac:dyDescent="0.35">
      <c r="A1867" s="3" t="s">
        <v>5454</v>
      </c>
      <c r="E1867" s="3" t="s">
        <v>5736</v>
      </c>
    </row>
    <row r="1868" spans="1:5" x14ac:dyDescent="0.35">
      <c r="A1868" s="3" t="s">
        <v>110</v>
      </c>
      <c r="E1868" s="3" t="s">
        <v>5738</v>
      </c>
    </row>
    <row r="1869" spans="1:5" x14ac:dyDescent="0.35">
      <c r="A1869" s="3" t="s">
        <v>4591</v>
      </c>
      <c r="E1869" s="3" t="s">
        <v>5740</v>
      </c>
    </row>
    <row r="1870" spans="1:5" x14ac:dyDescent="0.35">
      <c r="A1870" s="3" t="s">
        <v>4295</v>
      </c>
      <c r="E1870" s="3" t="s">
        <v>5742</v>
      </c>
    </row>
    <row r="1871" spans="1:5" x14ac:dyDescent="0.35">
      <c r="A1871" s="3" t="s">
        <v>5985</v>
      </c>
      <c r="E1871" s="3" t="s">
        <v>5744</v>
      </c>
    </row>
    <row r="1872" spans="1:5" x14ac:dyDescent="0.35">
      <c r="A1872" s="3" t="s">
        <v>2853</v>
      </c>
      <c r="E1872" s="3" t="s">
        <v>5746</v>
      </c>
    </row>
    <row r="1873" spans="1:5" x14ac:dyDescent="0.35">
      <c r="A1873" s="3" t="s">
        <v>2550</v>
      </c>
      <c r="E1873" s="3" t="s">
        <v>5750</v>
      </c>
    </row>
    <row r="1874" spans="1:5" x14ac:dyDescent="0.35">
      <c r="A1874" s="3" t="s">
        <v>4317</v>
      </c>
      <c r="E1874" s="3" t="s">
        <v>5756</v>
      </c>
    </row>
    <row r="1875" spans="1:5" x14ac:dyDescent="0.35">
      <c r="A1875" s="3" t="s">
        <v>5645</v>
      </c>
      <c r="E1875" s="3" t="s">
        <v>5760</v>
      </c>
    </row>
    <row r="1876" spans="1:5" x14ac:dyDescent="0.35">
      <c r="A1876" s="3" t="s">
        <v>777</v>
      </c>
      <c r="E1876" s="3" t="s">
        <v>5762</v>
      </c>
    </row>
    <row r="1877" spans="1:5" x14ac:dyDescent="0.35">
      <c r="A1877" s="3" t="s">
        <v>879</v>
      </c>
      <c r="E1877" s="3" t="s">
        <v>5764</v>
      </c>
    </row>
    <row r="1878" spans="1:5" x14ac:dyDescent="0.35">
      <c r="A1878" s="3" t="s">
        <v>6021</v>
      </c>
      <c r="E1878" s="3" t="s">
        <v>5766</v>
      </c>
    </row>
    <row r="1879" spans="1:5" x14ac:dyDescent="0.35">
      <c r="A1879" s="3" t="s">
        <v>235</v>
      </c>
      <c r="E1879" s="3" t="s">
        <v>5770</v>
      </c>
    </row>
    <row r="1880" spans="1:5" x14ac:dyDescent="0.35">
      <c r="A1880" s="3" t="s">
        <v>1042</v>
      </c>
      <c r="E1880" s="3" t="s">
        <v>5772</v>
      </c>
    </row>
    <row r="1881" spans="1:5" x14ac:dyDescent="0.35">
      <c r="A1881" s="3" t="s">
        <v>3830</v>
      </c>
      <c r="E1881" s="3" t="s">
        <v>5774</v>
      </c>
    </row>
    <row r="1882" spans="1:5" x14ac:dyDescent="0.35">
      <c r="A1882" s="3" t="s">
        <v>2078</v>
      </c>
      <c r="E1882" s="3" t="s">
        <v>5782</v>
      </c>
    </row>
    <row r="1883" spans="1:5" x14ac:dyDescent="0.35">
      <c r="A1883" s="3" t="s">
        <v>1639</v>
      </c>
      <c r="E1883" s="3" t="s">
        <v>5784</v>
      </c>
    </row>
    <row r="1884" spans="1:5" x14ac:dyDescent="0.35">
      <c r="A1884" s="3" t="s">
        <v>1467</v>
      </c>
      <c r="E1884" s="3" t="s">
        <v>5786</v>
      </c>
    </row>
    <row r="1885" spans="1:5" x14ac:dyDescent="0.35">
      <c r="A1885" s="3" t="s">
        <v>2697</v>
      </c>
      <c r="E1885" s="3" t="s">
        <v>5790</v>
      </c>
    </row>
    <row r="1886" spans="1:5" x14ac:dyDescent="0.35">
      <c r="A1886" s="3" t="s">
        <v>5599</v>
      </c>
      <c r="E1886" s="3" t="s">
        <v>5792</v>
      </c>
    </row>
    <row r="1887" spans="1:5" x14ac:dyDescent="0.35">
      <c r="A1887" s="3" t="s">
        <v>1016</v>
      </c>
      <c r="E1887" s="3" t="s">
        <v>5794</v>
      </c>
    </row>
    <row r="1888" spans="1:5" x14ac:dyDescent="0.35">
      <c r="A1888" s="3" t="s">
        <v>4384</v>
      </c>
      <c r="E1888" s="3" t="s">
        <v>5796</v>
      </c>
    </row>
    <row r="1889" spans="1:5" x14ac:dyDescent="0.35">
      <c r="A1889" s="3" t="s">
        <v>4481</v>
      </c>
      <c r="E1889" s="3" t="s">
        <v>5798</v>
      </c>
    </row>
    <row r="1890" spans="1:5" x14ac:dyDescent="0.35">
      <c r="A1890" s="3" t="s">
        <v>5121</v>
      </c>
      <c r="E1890" s="3" t="s">
        <v>5800</v>
      </c>
    </row>
    <row r="1891" spans="1:5" x14ac:dyDescent="0.35">
      <c r="A1891" s="3" t="s">
        <v>1902</v>
      </c>
      <c r="E1891" s="3" t="s">
        <v>5802</v>
      </c>
    </row>
    <row r="1892" spans="1:5" x14ac:dyDescent="0.35">
      <c r="A1892" s="3" t="s">
        <v>3714</v>
      </c>
      <c r="E1892" s="3" t="s">
        <v>5806</v>
      </c>
    </row>
    <row r="1893" spans="1:5" x14ac:dyDescent="0.35">
      <c r="A1893" s="3" t="s">
        <v>1815</v>
      </c>
      <c r="E1893" s="3" t="s">
        <v>5808</v>
      </c>
    </row>
    <row r="1894" spans="1:5" x14ac:dyDescent="0.35">
      <c r="A1894" s="3" t="s">
        <v>3265</v>
      </c>
      <c r="E1894" s="3" t="s">
        <v>5816</v>
      </c>
    </row>
    <row r="1895" spans="1:5" x14ac:dyDescent="0.35">
      <c r="A1895" s="3" t="s">
        <v>4379</v>
      </c>
      <c r="E1895" s="3" t="s">
        <v>5818</v>
      </c>
    </row>
    <row r="1896" spans="1:5" x14ac:dyDescent="0.35">
      <c r="A1896" s="3" t="s">
        <v>3541</v>
      </c>
      <c r="E1896" s="3" t="s">
        <v>5822</v>
      </c>
    </row>
    <row r="1897" spans="1:5" x14ac:dyDescent="0.35">
      <c r="A1897" s="3" t="s">
        <v>4902</v>
      </c>
      <c r="E1897" s="3" t="s">
        <v>5824</v>
      </c>
    </row>
    <row r="1898" spans="1:5" x14ac:dyDescent="0.35">
      <c r="A1898" s="3" t="s">
        <v>3858</v>
      </c>
      <c r="E1898" s="3" t="s">
        <v>5826</v>
      </c>
    </row>
    <row r="1899" spans="1:5" x14ac:dyDescent="0.35">
      <c r="A1899" s="3" t="s">
        <v>811</v>
      </c>
      <c r="E1899" s="3" t="s">
        <v>5829</v>
      </c>
    </row>
    <row r="1900" spans="1:5" x14ac:dyDescent="0.35">
      <c r="A1900" s="3" t="s">
        <v>5960</v>
      </c>
      <c r="E1900" s="3" t="s">
        <v>5831</v>
      </c>
    </row>
    <row r="1901" spans="1:5" x14ac:dyDescent="0.35">
      <c r="A1901" s="3" t="s">
        <v>3986</v>
      </c>
      <c r="E1901" s="3" t="s">
        <v>5834</v>
      </c>
    </row>
    <row r="1902" spans="1:5" x14ac:dyDescent="0.35">
      <c r="A1902" s="3" t="s">
        <v>2427</v>
      </c>
      <c r="E1902" s="3" t="s">
        <v>5840</v>
      </c>
    </row>
    <row r="1903" spans="1:5" x14ac:dyDescent="0.35">
      <c r="A1903" s="3" t="s">
        <v>5611</v>
      </c>
      <c r="E1903" s="3" t="s">
        <v>5842</v>
      </c>
    </row>
    <row r="1904" spans="1:5" x14ac:dyDescent="0.35">
      <c r="A1904" s="3" t="s">
        <v>3990</v>
      </c>
      <c r="E1904" s="3" t="s">
        <v>5852</v>
      </c>
    </row>
    <row r="1905" spans="1:5" x14ac:dyDescent="0.35">
      <c r="A1905" s="3" t="s">
        <v>5446</v>
      </c>
      <c r="E1905" s="3" t="s">
        <v>5854</v>
      </c>
    </row>
    <row r="1906" spans="1:5" x14ac:dyDescent="0.35">
      <c r="A1906" s="3" t="s">
        <v>1092</v>
      </c>
      <c r="E1906" s="3" t="s">
        <v>5858</v>
      </c>
    </row>
    <row r="1907" spans="1:5" x14ac:dyDescent="0.35">
      <c r="A1907" s="3" t="s">
        <v>5817</v>
      </c>
      <c r="E1907" s="3" t="s">
        <v>5860</v>
      </c>
    </row>
    <row r="1908" spans="1:5" x14ac:dyDescent="0.35">
      <c r="A1908" s="3" t="s">
        <v>690</v>
      </c>
      <c r="E1908" s="3" t="s">
        <v>5862</v>
      </c>
    </row>
    <row r="1909" spans="1:5" x14ac:dyDescent="0.35">
      <c r="A1909" s="3" t="s">
        <v>1853</v>
      </c>
      <c r="E1909" s="3" t="s">
        <v>5868</v>
      </c>
    </row>
    <row r="1910" spans="1:5" x14ac:dyDescent="0.35">
      <c r="A1910" s="3" t="s">
        <v>4803</v>
      </c>
      <c r="E1910" s="3" t="s">
        <v>5870</v>
      </c>
    </row>
    <row r="1911" spans="1:5" x14ac:dyDescent="0.35">
      <c r="A1911" s="3" t="s">
        <v>773</v>
      </c>
      <c r="E1911" s="3" t="s">
        <v>5872</v>
      </c>
    </row>
    <row r="1912" spans="1:5" x14ac:dyDescent="0.35">
      <c r="A1912" s="3" t="s">
        <v>4229</v>
      </c>
      <c r="E1912" s="3" t="s">
        <v>5874</v>
      </c>
    </row>
    <row r="1913" spans="1:5" x14ac:dyDescent="0.35">
      <c r="A1913" s="3" t="s">
        <v>5369</v>
      </c>
      <c r="E1913" s="3" t="s">
        <v>5876</v>
      </c>
    </row>
    <row r="1914" spans="1:5" x14ac:dyDescent="0.35">
      <c r="A1914" s="3" t="s">
        <v>3406</v>
      </c>
      <c r="E1914" s="3" t="s">
        <v>5878</v>
      </c>
    </row>
    <row r="1915" spans="1:5" x14ac:dyDescent="0.35">
      <c r="A1915" s="3" t="s">
        <v>1641</v>
      </c>
      <c r="E1915" s="3" t="s">
        <v>5880</v>
      </c>
    </row>
    <row r="1916" spans="1:5" x14ac:dyDescent="0.35">
      <c r="A1916" s="3" t="s">
        <v>2326</v>
      </c>
      <c r="E1916" s="3" t="s">
        <v>5882</v>
      </c>
    </row>
    <row r="1917" spans="1:5" x14ac:dyDescent="0.35">
      <c r="A1917" s="3" t="s">
        <v>1190</v>
      </c>
      <c r="E1917" s="3" t="s">
        <v>5884</v>
      </c>
    </row>
    <row r="1918" spans="1:5" x14ac:dyDescent="0.35">
      <c r="A1918" s="3" t="s">
        <v>2809</v>
      </c>
      <c r="E1918" s="3" t="s">
        <v>5886</v>
      </c>
    </row>
    <row r="1919" spans="1:5" x14ac:dyDescent="0.35">
      <c r="A1919" s="3" t="s">
        <v>2030</v>
      </c>
      <c r="E1919" s="3" t="s">
        <v>5888</v>
      </c>
    </row>
    <row r="1920" spans="1:5" x14ac:dyDescent="0.35">
      <c r="A1920" s="3" t="s">
        <v>4420</v>
      </c>
      <c r="E1920" s="3" t="s">
        <v>5890</v>
      </c>
    </row>
    <row r="1921" spans="1:5" x14ac:dyDescent="0.35">
      <c r="A1921" s="3" t="s">
        <v>3210</v>
      </c>
      <c r="E1921" s="3" t="s">
        <v>5892</v>
      </c>
    </row>
    <row r="1922" spans="1:5" x14ac:dyDescent="0.35">
      <c r="A1922" s="3" t="s">
        <v>699</v>
      </c>
      <c r="E1922" s="3" t="s">
        <v>5894</v>
      </c>
    </row>
    <row r="1923" spans="1:5" x14ac:dyDescent="0.35">
      <c r="A1923" s="3" t="s">
        <v>5473</v>
      </c>
      <c r="E1923" s="3" t="s">
        <v>5896</v>
      </c>
    </row>
    <row r="1924" spans="1:5" x14ac:dyDescent="0.35">
      <c r="A1924" s="3" t="s">
        <v>5713</v>
      </c>
      <c r="E1924" s="3" t="s">
        <v>5898</v>
      </c>
    </row>
    <row r="1925" spans="1:5" x14ac:dyDescent="0.35">
      <c r="A1925" s="3" t="s">
        <v>3269</v>
      </c>
      <c r="E1925" s="3" t="s">
        <v>5900</v>
      </c>
    </row>
    <row r="1926" spans="1:5" x14ac:dyDescent="0.35">
      <c r="A1926" s="3" t="s">
        <v>4208</v>
      </c>
      <c r="E1926" s="3" t="s">
        <v>5902</v>
      </c>
    </row>
    <row r="1927" spans="1:5" x14ac:dyDescent="0.35">
      <c r="A1927" s="3" t="s">
        <v>3412</v>
      </c>
      <c r="E1927" s="3" t="s">
        <v>5904</v>
      </c>
    </row>
    <row r="1928" spans="1:5" x14ac:dyDescent="0.35">
      <c r="A1928" s="3" t="s">
        <v>5157</v>
      </c>
      <c r="E1928" s="3" t="s">
        <v>5906</v>
      </c>
    </row>
    <row r="1929" spans="1:5" x14ac:dyDescent="0.35">
      <c r="A1929" s="3" t="s">
        <v>247</v>
      </c>
      <c r="E1929" s="3" t="s">
        <v>5908</v>
      </c>
    </row>
    <row r="1930" spans="1:5" x14ac:dyDescent="0.35">
      <c r="A1930" s="3" t="s">
        <v>242</v>
      </c>
      <c r="E1930" s="3" t="s">
        <v>5909</v>
      </c>
    </row>
    <row r="1931" spans="1:5" x14ac:dyDescent="0.35">
      <c r="A1931" s="3" t="s">
        <v>4980</v>
      </c>
      <c r="E1931" s="3" t="s">
        <v>5911</v>
      </c>
    </row>
    <row r="1932" spans="1:5" x14ac:dyDescent="0.35">
      <c r="A1932" s="3" t="s">
        <v>5981</v>
      </c>
      <c r="E1932" s="3" t="s">
        <v>5913</v>
      </c>
    </row>
    <row r="1933" spans="1:5" x14ac:dyDescent="0.35">
      <c r="A1933" s="3" t="s">
        <v>1471</v>
      </c>
      <c r="E1933" s="3" t="s">
        <v>5915</v>
      </c>
    </row>
    <row r="1934" spans="1:5" x14ac:dyDescent="0.35">
      <c r="A1934" s="3" t="s">
        <v>1184</v>
      </c>
      <c r="E1934" s="3" t="s">
        <v>5921</v>
      </c>
    </row>
    <row r="1935" spans="1:5" x14ac:dyDescent="0.35">
      <c r="A1935" s="3" t="s">
        <v>1311</v>
      </c>
      <c r="E1935" s="3" t="s">
        <v>5923</v>
      </c>
    </row>
    <row r="1936" spans="1:5" x14ac:dyDescent="0.35">
      <c r="A1936" s="3" t="s">
        <v>1136</v>
      </c>
      <c r="E1936" s="3" t="s">
        <v>5925</v>
      </c>
    </row>
    <row r="1937" spans="1:5" x14ac:dyDescent="0.35">
      <c r="A1937" s="3" t="s">
        <v>1509</v>
      </c>
      <c r="E1937" s="3" t="s">
        <v>5927</v>
      </c>
    </row>
    <row r="1938" spans="1:5" x14ac:dyDescent="0.35">
      <c r="A1938" s="3" t="s">
        <v>353</v>
      </c>
      <c r="E1938" s="3" t="s">
        <v>5935</v>
      </c>
    </row>
    <row r="1939" spans="1:5" x14ac:dyDescent="0.35">
      <c r="A1939" s="3" t="s">
        <v>5723</v>
      </c>
      <c r="E1939" s="3" t="s">
        <v>5941</v>
      </c>
    </row>
    <row r="1940" spans="1:5" x14ac:dyDescent="0.35">
      <c r="A1940" s="3" t="s">
        <v>5545</v>
      </c>
      <c r="E1940" s="3" t="s">
        <v>5943</v>
      </c>
    </row>
    <row r="1941" spans="1:5" x14ac:dyDescent="0.35">
      <c r="A1941" s="3" t="s">
        <v>5615</v>
      </c>
      <c r="E1941" s="3" t="s">
        <v>5945</v>
      </c>
    </row>
    <row r="1942" spans="1:5" x14ac:dyDescent="0.35">
      <c r="A1942" s="3" t="s">
        <v>5460</v>
      </c>
      <c r="E1942" s="3" t="s">
        <v>5951</v>
      </c>
    </row>
    <row r="1943" spans="1:5" x14ac:dyDescent="0.35">
      <c r="A1943" s="3" t="s">
        <v>3256</v>
      </c>
      <c r="E1943" s="3" t="s">
        <v>5957</v>
      </c>
    </row>
    <row r="1944" spans="1:5" x14ac:dyDescent="0.35">
      <c r="A1944" s="3" t="s">
        <v>5705</v>
      </c>
      <c r="E1944" s="3" t="s">
        <v>5959</v>
      </c>
    </row>
    <row r="1945" spans="1:5" x14ac:dyDescent="0.35">
      <c r="A1945" s="3" t="s">
        <v>1964</v>
      </c>
      <c r="E1945" s="3" t="s">
        <v>5961</v>
      </c>
    </row>
    <row r="1946" spans="1:5" x14ac:dyDescent="0.35">
      <c r="A1946" s="3" t="s">
        <v>2887</v>
      </c>
      <c r="E1946" s="3" t="s">
        <v>5963</v>
      </c>
    </row>
    <row r="1947" spans="1:5" x14ac:dyDescent="0.35">
      <c r="A1947" s="3" t="s">
        <v>4733</v>
      </c>
      <c r="E1947" s="3" t="s">
        <v>5965</v>
      </c>
    </row>
    <row r="1948" spans="1:5" x14ac:dyDescent="0.35">
      <c r="A1948" s="3" t="s">
        <v>2894</v>
      </c>
      <c r="E1948" s="3" t="s">
        <v>5967</v>
      </c>
    </row>
    <row r="1949" spans="1:5" x14ac:dyDescent="0.35">
      <c r="A1949" s="3" t="s">
        <v>5719</v>
      </c>
      <c r="E1949" s="3" t="s">
        <v>5969</v>
      </c>
    </row>
    <row r="1950" spans="1:5" x14ac:dyDescent="0.35">
      <c r="A1950" s="3" t="s">
        <v>3655</v>
      </c>
      <c r="E1950" s="3" t="s">
        <v>5974</v>
      </c>
    </row>
    <row r="1951" spans="1:5" x14ac:dyDescent="0.35">
      <c r="A1951" s="3" t="s">
        <v>3061</v>
      </c>
      <c r="E1951" s="3" t="s">
        <v>5978</v>
      </c>
    </row>
    <row r="1952" spans="1:5" x14ac:dyDescent="0.35">
      <c r="A1952" s="3" t="s">
        <v>2278</v>
      </c>
      <c r="E1952" s="3" t="s">
        <v>5980</v>
      </c>
    </row>
    <row r="1953" spans="1:5" x14ac:dyDescent="0.35">
      <c r="A1953" s="3" t="s">
        <v>5001</v>
      </c>
      <c r="E1953" s="3" t="s">
        <v>5984</v>
      </c>
    </row>
    <row r="1954" spans="1:5" x14ac:dyDescent="0.35">
      <c r="A1954" s="3" t="s">
        <v>5061</v>
      </c>
      <c r="E1954" s="3" t="s">
        <v>5990</v>
      </c>
    </row>
    <row r="1955" spans="1:5" x14ac:dyDescent="0.35">
      <c r="A1955" s="3" t="s">
        <v>676</v>
      </c>
      <c r="E1955" s="3" t="s">
        <v>5992</v>
      </c>
    </row>
    <row r="1956" spans="1:5" x14ac:dyDescent="0.35">
      <c r="A1956" s="3" t="s">
        <v>625</v>
      </c>
      <c r="E1956" s="3" t="s">
        <v>5994</v>
      </c>
    </row>
    <row r="1957" spans="1:5" x14ac:dyDescent="0.35">
      <c r="A1957" s="3" t="s">
        <v>279</v>
      </c>
      <c r="E1957" s="3" t="s">
        <v>5996</v>
      </c>
    </row>
    <row r="1958" spans="1:5" x14ac:dyDescent="0.35">
      <c r="A1958" s="3" t="s">
        <v>126</v>
      </c>
      <c r="E1958" s="3" t="s">
        <v>5998</v>
      </c>
    </row>
    <row r="1959" spans="1:5" x14ac:dyDescent="0.35">
      <c r="A1959" s="3" t="s">
        <v>4051</v>
      </c>
      <c r="E1959" s="3" t="s">
        <v>6002</v>
      </c>
    </row>
    <row r="1960" spans="1:5" x14ac:dyDescent="0.35">
      <c r="A1960" s="3" t="s">
        <v>1421</v>
      </c>
      <c r="E1960" s="3" t="s">
        <v>6004</v>
      </c>
    </row>
    <row r="1961" spans="1:5" x14ac:dyDescent="0.35">
      <c r="A1961" s="3" t="s">
        <v>1158</v>
      </c>
      <c r="E1961" s="3" t="s">
        <v>6006</v>
      </c>
    </row>
    <row r="1962" spans="1:5" x14ac:dyDescent="0.35">
      <c r="A1962" s="3" t="s">
        <v>3132</v>
      </c>
      <c r="E1962" s="3" t="s">
        <v>6008</v>
      </c>
    </row>
    <row r="1963" spans="1:5" x14ac:dyDescent="0.35">
      <c r="A1963" s="3" t="s">
        <v>3590</v>
      </c>
      <c r="E1963" s="3" t="s">
        <v>6020</v>
      </c>
    </row>
    <row r="1964" spans="1:5" x14ac:dyDescent="0.35">
      <c r="A1964" s="3" t="s">
        <v>3871</v>
      </c>
      <c r="E1964" s="3" t="s">
        <v>6022</v>
      </c>
    </row>
    <row r="1965" spans="1:5" x14ac:dyDescent="0.35">
      <c r="A1965" s="3" t="s">
        <v>5901</v>
      </c>
      <c r="E1965" s="3" t="s">
        <v>6024</v>
      </c>
    </row>
    <row r="1966" spans="1:5" x14ac:dyDescent="0.35">
      <c r="A1966" s="3" t="s">
        <v>6096</v>
      </c>
      <c r="E1966" s="3" t="s">
        <v>6026</v>
      </c>
    </row>
    <row r="1967" spans="1:5" x14ac:dyDescent="0.35">
      <c r="E1967" s="3" t="s">
        <v>6030</v>
      </c>
    </row>
    <row r="1968" spans="1:5" x14ac:dyDescent="0.35">
      <c r="E1968" s="3" t="s">
        <v>6034</v>
      </c>
    </row>
    <row r="1969" spans="5:5" x14ac:dyDescent="0.35">
      <c r="E1969" s="3" t="s">
        <v>6040</v>
      </c>
    </row>
    <row r="1970" spans="5:5" x14ac:dyDescent="0.35">
      <c r="E1970" s="3" t="s">
        <v>6044</v>
      </c>
    </row>
    <row r="1971" spans="5:5" x14ac:dyDescent="0.35">
      <c r="E1971" s="3" t="s">
        <v>6046</v>
      </c>
    </row>
    <row r="1972" spans="5:5" x14ac:dyDescent="0.35">
      <c r="E1972" s="3" t="s">
        <v>6048</v>
      </c>
    </row>
    <row r="1973" spans="5:5" x14ac:dyDescent="0.35">
      <c r="E1973" s="3" t="s">
        <v>6052</v>
      </c>
    </row>
    <row r="1974" spans="5:5" x14ac:dyDescent="0.35">
      <c r="E1974" s="3" t="s">
        <v>6054</v>
      </c>
    </row>
    <row r="1975" spans="5:5" x14ac:dyDescent="0.35">
      <c r="E1975" s="3" t="s">
        <v>6058</v>
      </c>
    </row>
    <row r="1976" spans="5:5" x14ac:dyDescent="0.35">
      <c r="E1976" s="3" t="s">
        <v>6062</v>
      </c>
    </row>
    <row r="1977" spans="5:5" x14ac:dyDescent="0.35">
      <c r="E1977" s="3" t="s">
        <v>6064</v>
      </c>
    </row>
    <row r="1978" spans="5:5" x14ac:dyDescent="0.35">
      <c r="E1978" s="3" t="s">
        <v>6066</v>
      </c>
    </row>
    <row r="1979" spans="5:5" x14ac:dyDescent="0.35">
      <c r="E1979" s="3" t="s">
        <v>6067</v>
      </c>
    </row>
    <row r="1980" spans="5:5" x14ac:dyDescent="0.35">
      <c r="E1980" s="3" t="s">
        <v>6069</v>
      </c>
    </row>
    <row r="1981" spans="5:5" x14ac:dyDescent="0.35">
      <c r="E1981" s="3" t="s">
        <v>6071</v>
      </c>
    </row>
    <row r="1982" spans="5:5" x14ac:dyDescent="0.35">
      <c r="E1982" s="3" t="s">
        <v>6073</v>
      </c>
    </row>
    <row r="1983" spans="5:5" x14ac:dyDescent="0.35">
      <c r="E1983" s="3" t="s">
        <v>6077</v>
      </c>
    </row>
    <row r="1984" spans="5:5" x14ac:dyDescent="0.35">
      <c r="E1984" s="3" t="s">
        <v>6079</v>
      </c>
    </row>
    <row r="1985" spans="5:5" x14ac:dyDescent="0.35">
      <c r="E1985" s="3" t="s">
        <v>6081</v>
      </c>
    </row>
    <row r="1986" spans="5:5" x14ac:dyDescent="0.35">
      <c r="E1986" s="3" t="s">
        <v>6083</v>
      </c>
    </row>
    <row r="1987" spans="5:5" x14ac:dyDescent="0.35">
      <c r="E1987" s="3" t="s">
        <v>6085</v>
      </c>
    </row>
    <row r="1988" spans="5:5" x14ac:dyDescent="0.35">
      <c r="E1988" s="3" t="s">
        <v>6087</v>
      </c>
    </row>
    <row r="1989" spans="5:5" x14ac:dyDescent="0.35">
      <c r="E1989" s="3" t="s">
        <v>6089</v>
      </c>
    </row>
    <row r="1990" spans="5:5" x14ac:dyDescent="0.35">
      <c r="E1990" s="3" t="s">
        <v>6096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B8B5D1-CAB2-4357-904A-69CA5595FF1B}">
  <sheetPr>
    <tabColor rgb="FF00B050"/>
  </sheetPr>
  <dimension ref="A2:L21"/>
  <sheetViews>
    <sheetView topLeftCell="A2" workbookViewId="0">
      <selection sqref="A1:C1048576"/>
    </sheetView>
  </sheetViews>
  <sheetFormatPr defaultRowHeight="14.5" x14ac:dyDescent="0.35"/>
  <cols>
    <col min="1" max="1" width="12.36328125" bestFit="1" customWidth="1"/>
    <col min="2" max="2" width="14.36328125" bestFit="1" customWidth="1"/>
    <col min="5" max="5" width="12.36328125" bestFit="1" customWidth="1"/>
    <col min="6" max="6" width="14.54296875" bestFit="1" customWidth="1"/>
    <col min="8" max="8" width="12.36328125" bestFit="1" customWidth="1"/>
    <col min="9" max="9" width="21.453125" bestFit="1" customWidth="1"/>
    <col min="11" max="11" width="12.36328125" bestFit="1" customWidth="1"/>
    <col min="12" max="12" width="14.36328125" bestFit="1" customWidth="1"/>
  </cols>
  <sheetData>
    <row r="2" spans="1:12" x14ac:dyDescent="0.35">
      <c r="A2" s="2" t="s">
        <v>6095</v>
      </c>
      <c r="B2" t="s">
        <v>6099</v>
      </c>
      <c r="E2" s="2" t="s">
        <v>6095</v>
      </c>
      <c r="F2" t="s">
        <v>6098</v>
      </c>
      <c r="H2" s="2" t="s">
        <v>6095</v>
      </c>
      <c r="I2" t="s">
        <v>6097</v>
      </c>
      <c r="K2" s="2" t="s">
        <v>6095</v>
      </c>
      <c r="L2" t="s">
        <v>6099</v>
      </c>
    </row>
    <row r="3" spans="1:12" x14ac:dyDescent="0.35">
      <c r="A3" s="3" t="s">
        <v>171</v>
      </c>
      <c r="B3">
        <v>2417.099999999999</v>
      </c>
      <c r="E3" s="3" t="s">
        <v>6100</v>
      </c>
      <c r="F3">
        <v>778</v>
      </c>
      <c r="H3" s="3" t="s">
        <v>61</v>
      </c>
      <c r="I3">
        <v>342</v>
      </c>
      <c r="K3" s="3" t="s">
        <v>6100</v>
      </c>
      <c r="L3">
        <v>2356.5999999999995</v>
      </c>
    </row>
    <row r="4" spans="1:12" x14ac:dyDescent="0.35">
      <c r="A4" s="3" t="s">
        <v>69</v>
      </c>
      <c r="B4">
        <v>2417.2999999999993</v>
      </c>
      <c r="E4" s="3" t="s">
        <v>6101</v>
      </c>
      <c r="F4">
        <v>755</v>
      </c>
      <c r="H4" s="3" t="s">
        <v>21</v>
      </c>
      <c r="I4">
        <v>339</v>
      </c>
      <c r="K4" s="3" t="s">
        <v>6101</v>
      </c>
      <c r="L4">
        <v>2059.2999999999993</v>
      </c>
    </row>
    <row r="5" spans="1:12" x14ac:dyDescent="0.35">
      <c r="A5" s="3" t="s">
        <v>44</v>
      </c>
      <c r="B5">
        <v>2464.8999999999996</v>
      </c>
      <c r="E5" s="3" t="s">
        <v>6104</v>
      </c>
      <c r="F5">
        <v>920</v>
      </c>
      <c r="H5" s="3" t="s">
        <v>86</v>
      </c>
      <c r="I5">
        <v>332</v>
      </c>
      <c r="K5" s="3" t="s">
        <v>6102</v>
      </c>
      <c r="L5">
        <v>2223</v>
      </c>
    </row>
    <row r="6" spans="1:12" x14ac:dyDescent="0.35">
      <c r="A6" s="3" t="s">
        <v>30</v>
      </c>
      <c r="B6">
        <v>2698.4000000000005</v>
      </c>
      <c r="E6" s="3" t="s">
        <v>6110</v>
      </c>
      <c r="F6">
        <v>1056</v>
      </c>
      <c r="H6" s="3" t="s">
        <v>36</v>
      </c>
      <c r="I6">
        <v>328</v>
      </c>
      <c r="K6" s="3" t="s">
        <v>6103</v>
      </c>
      <c r="L6">
        <v>2112.6000000000004</v>
      </c>
    </row>
    <row r="7" spans="1:12" x14ac:dyDescent="0.35">
      <c r="A7" s="3" t="s">
        <v>77</v>
      </c>
      <c r="B7">
        <v>2783.4999999999995</v>
      </c>
      <c r="E7" s="3" t="s">
        <v>6105</v>
      </c>
      <c r="F7">
        <v>1062</v>
      </c>
      <c r="H7" s="3" t="s">
        <v>15</v>
      </c>
      <c r="I7">
        <v>328</v>
      </c>
      <c r="K7" s="3" t="s">
        <v>6104</v>
      </c>
      <c r="L7">
        <v>2634.7000000000003</v>
      </c>
    </row>
    <row r="8" spans="1:12" x14ac:dyDescent="0.35">
      <c r="A8" s="3" t="s">
        <v>6096</v>
      </c>
      <c r="B8">
        <v>12781.199999999999</v>
      </c>
      <c r="E8" s="3" t="s">
        <v>6106</v>
      </c>
      <c r="F8">
        <v>1013</v>
      </c>
      <c r="H8" s="3" t="s">
        <v>40</v>
      </c>
      <c r="I8">
        <v>318</v>
      </c>
      <c r="K8" s="3" t="s">
        <v>6110</v>
      </c>
      <c r="L8">
        <v>3148.7000000000003</v>
      </c>
    </row>
    <row r="9" spans="1:12" x14ac:dyDescent="0.35">
      <c r="E9" s="3" t="s">
        <v>6107</v>
      </c>
      <c r="F9">
        <v>1047</v>
      </c>
      <c r="H9" s="3" t="s">
        <v>6096</v>
      </c>
      <c r="I9">
        <v>1987</v>
      </c>
      <c r="K9" s="3" t="s">
        <v>6105</v>
      </c>
      <c r="L9">
        <v>3054.2000000000003</v>
      </c>
    </row>
    <row r="10" spans="1:12" x14ac:dyDescent="0.35">
      <c r="E10" s="3" t="s">
        <v>6108</v>
      </c>
      <c r="F10">
        <v>1191</v>
      </c>
      <c r="K10" s="3" t="s">
        <v>6106</v>
      </c>
      <c r="L10">
        <v>2939.1999999999994</v>
      </c>
    </row>
    <row r="11" spans="1:12" x14ac:dyDescent="0.35">
      <c r="E11" s="3" t="s">
        <v>6111</v>
      </c>
      <c r="F11">
        <v>881</v>
      </c>
      <c r="K11" s="3" t="s">
        <v>6107</v>
      </c>
      <c r="L11">
        <v>2955.6999999999989</v>
      </c>
    </row>
    <row r="12" spans="1:12" x14ac:dyDescent="0.35">
      <c r="E12" s="3" t="s">
        <v>6109</v>
      </c>
      <c r="F12">
        <v>1123</v>
      </c>
      <c r="K12" s="3" t="s">
        <v>6108</v>
      </c>
      <c r="L12">
        <v>3438.6</v>
      </c>
    </row>
    <row r="13" spans="1:12" x14ac:dyDescent="0.35">
      <c r="E13" s="3" t="s">
        <v>6096</v>
      </c>
      <c r="F13">
        <v>9826</v>
      </c>
      <c r="K13" s="3" t="s">
        <v>6111</v>
      </c>
      <c r="L13">
        <v>2633.6999999999994</v>
      </c>
    </row>
    <row r="14" spans="1:12" x14ac:dyDescent="0.35">
      <c r="K14" s="3" t="s">
        <v>6109</v>
      </c>
      <c r="L14">
        <v>3280.9000000000005</v>
      </c>
    </row>
    <row r="15" spans="1:12" x14ac:dyDescent="0.35">
      <c r="A15" s="2" t="s">
        <v>6095</v>
      </c>
      <c r="B15" t="s">
        <v>6099</v>
      </c>
      <c r="K15" s="3" t="s">
        <v>6096</v>
      </c>
      <c r="L15">
        <v>32837.199999999997</v>
      </c>
    </row>
    <row r="16" spans="1:12" x14ac:dyDescent="0.35">
      <c r="A16" s="3" t="s">
        <v>78</v>
      </c>
      <c r="B16">
        <v>2216</v>
      </c>
    </row>
    <row r="17" spans="1:2" x14ac:dyDescent="0.35">
      <c r="A17" s="3" t="s">
        <v>57</v>
      </c>
      <c r="B17">
        <v>2241</v>
      </c>
    </row>
    <row r="18" spans="1:2" x14ac:dyDescent="0.35">
      <c r="A18" s="3" t="s">
        <v>70</v>
      </c>
      <c r="B18">
        <v>2800</v>
      </c>
    </row>
    <row r="19" spans="1:2" x14ac:dyDescent="0.35">
      <c r="A19" s="3" t="s">
        <v>49</v>
      </c>
      <c r="B19">
        <v>3486</v>
      </c>
    </row>
    <row r="20" spans="1:2" x14ac:dyDescent="0.35">
      <c r="A20" s="3" t="s">
        <v>148</v>
      </c>
      <c r="B20">
        <v>4130.5</v>
      </c>
    </row>
    <row r="21" spans="1:2" x14ac:dyDescent="0.35">
      <c r="A21" s="3" t="s">
        <v>6096</v>
      </c>
      <c r="B21">
        <v>14873.5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A2BA20-5635-4FAC-899B-B60F1365D41E}">
  <sheetPr>
    <tabColor rgb="FF7030A0"/>
  </sheetPr>
  <dimension ref="A1"/>
  <sheetViews>
    <sheetView showGridLines="0" tabSelected="1" workbookViewId="0">
      <selection sqref="A1:C1048576"/>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F74BC52-FE99-4827-8DED-2727945A866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Pqp supermarket data</vt:lpstr>
      <vt:lpstr>cards</vt:lpstr>
      <vt:lpstr>charts</vt:lpstr>
      <vt:lpstr>reports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Emmanuel Justice</dc:creator>
  <cp:lastModifiedBy>okafor prisca</cp:lastModifiedBy>
  <dcterms:created xsi:type="dcterms:W3CDTF">2025-05-12T09:22:12Z</dcterms:created>
  <dcterms:modified xsi:type="dcterms:W3CDTF">2026-10-31T01:56:16Z</dcterms:modified>
</cp:coreProperties>
</file>